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<sst xmlns="http://schemas.openxmlformats.org/spreadsheetml/2006/main" uniqueCount="385">
  <si>
    <t>KEMENTERIAN RISET, TEKNOLOGI DAN PENDIDIKAN TINGGI</t>
  </si>
  <si>
    <t>UNIVERSITAS RIAU</t>
  </si>
  <si>
    <t>FAKULTAS EKONOMI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</si>
  <si>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</si>
  <si>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</si>
  <si>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</si>
  <si>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</si>
  <si>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Mei 2020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</si>
  <si>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</si>
  <si>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</si>
  <si>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</si>
  <si>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</si>
  <si>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</si>
  <si>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</si>
  <si>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</si>
  <si>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</si>
  <si>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</si>
  <si>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</si>
  <si>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</si>
  <si>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</si>
  <si>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</si>
  <si>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</si>
  <si>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</si>
  <si>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</si>
  <si>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</si>
  <si>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</si>
  <si>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</si>
  <si>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</si>
  <si>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</si>
  <si>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</si>
  <si>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</si>
  <si>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</si>
  <si>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</si>
  <si>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</si>
  <si>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</si>
  <si>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</si>
  <si>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</si>
  <si>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</si>
  <si>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195011291973031003</t>
  </si>
  <si>
    <t>PROF. DR. H. AMIR HASAN, SE, MM, MS, AK, CPA., CA</t>
  </si>
  <si>
    <t>Akuntansi</t>
  </si>
  <si>
    <t>IV/d</t>
  </si>
  <si>
    <t>Profesor</t>
  </si>
  <si>
    <t>Tidak ada jabatan struktural</t>
  </si>
  <si>
    <t>195709151986031006</t>
  </si>
  <si>
    <t>PROF. DR. H. B. ISYANDI, SE., MS</t>
  </si>
  <si>
    <t>Ekonomi Pembangunan</t>
  </si>
  <si>
    <t>195412101982111001</t>
  </si>
  <si>
    <t>PROF. DR. H. HARLEN, SE., MM</t>
  </si>
  <si>
    <t>196007181987021001</t>
  </si>
  <si>
    <t>PROF. DR. H. ZULKARNAIN, MM</t>
  </si>
  <si>
    <t>Manajemen</t>
  </si>
  <si>
    <t>Ketua Lembaga Tk. Universitas Gol. IV</t>
  </si>
  <si>
    <t>195811201986012001</t>
  </si>
  <si>
    <t>PROF. DR. HJ. MARNIS, SE., MS</t>
  </si>
  <si>
    <t>IV/e</t>
  </si>
  <si>
    <t>Ketua BPU</t>
  </si>
  <si>
    <t>196406091989032001</t>
  </si>
  <si>
    <t>PROF. DR. HJ. SRI INDARTI, SE., M.SI</t>
  </si>
  <si>
    <t>IV/c</t>
  </si>
  <si>
    <t>Dekan A Gol. IV</t>
  </si>
  <si>
    <t>196211081989032002</t>
  </si>
  <si>
    <t>PROF. DR. RIA NELLY SARI, SE., MBA., AK., CA</t>
  </si>
  <si>
    <t>197008271994032002</t>
  </si>
  <si>
    <t>PROF. DR. SUSI HENDRIANI, SE., M.SI</t>
  </si>
  <si>
    <t>196311021989111001</t>
  </si>
  <si>
    <t>PROF. DR. ZULFADIL, SE., MBA</t>
  </si>
  <si>
    <t>Koordinator Program Studi A</t>
  </si>
  <si>
    <t>196703311993032003</t>
  </si>
  <si>
    <t>PROF. HJ. JUMIATI SASMITA, SE., M.SI., Ph.D</t>
  </si>
  <si>
    <t>196103271989032001</t>
  </si>
  <si>
    <t>Prof. DR. HJ. RITA ANUGERAH, MAFIS., AK., CA</t>
  </si>
  <si>
    <t>IV/b</t>
  </si>
  <si>
    <t>196206121990021002</t>
  </si>
  <si>
    <t>Prof. DR. KIRMIZI RITONGA, MBA., AK., CA</t>
  </si>
  <si>
    <t>196405051990031004</t>
  </si>
  <si>
    <t>ANTHONI MAYES, SE., M.SI</t>
  </si>
  <si>
    <t>IV/a</t>
  </si>
  <si>
    <t>Lektor Kepala Gol. IV</t>
  </si>
  <si>
    <t>197112151997022001</t>
  </si>
  <si>
    <t>DESMIYAWATI, SE., M.SI., AK., CA</t>
  </si>
  <si>
    <t>196104061994031001</t>
  </si>
  <si>
    <t>DR. ANDREAS, SE., MM., AK., CA</t>
  </si>
  <si>
    <t>197405252000121001</t>
  </si>
  <si>
    <t>DR. EMRINALDI NUR DP, SE., M.SI., AK., CA</t>
  </si>
  <si>
    <t>Ketua Jurusan A Gol. IV</t>
  </si>
  <si>
    <t>197310152008122003</t>
  </si>
  <si>
    <t>DR. ENNI SAVITRI, SE., MM., AK., CA</t>
  </si>
  <si>
    <t>Lektor Kepala Gol. III</t>
  </si>
  <si>
    <t>197010121998022001</t>
  </si>
  <si>
    <t>DR. HJ. ALVI PURWANTI ALWIE, SE., MM</t>
  </si>
  <si>
    <t>196108271989032001</t>
  </si>
  <si>
    <t>DR. HJ. KAMALIAH, SE., MM., AK., CA</t>
  </si>
  <si>
    <t>Wakil Dekan I A Gol. IV</t>
  </si>
  <si>
    <t>196206141988102001</t>
  </si>
  <si>
    <t>DR. HJ. YULIA EFNI, SE., ME</t>
  </si>
  <si>
    <t>196211211989031001</t>
  </si>
  <si>
    <t>DR. JAHRIZAL, SE., MT</t>
  </si>
  <si>
    <t>196609201996011001</t>
  </si>
  <si>
    <t>DR. NASRIZAL, SE., M.SI., AK., CA</t>
  </si>
  <si>
    <t>197510112000122001</t>
  </si>
  <si>
    <t>DR. POPPY NURMAYANTI M, SE., M.SI., AK., CA</t>
  </si>
  <si>
    <t>196701201993031002</t>
  </si>
  <si>
    <t>DR. RUHUL FITRIOS, SE., M.SI., AK., CA</t>
  </si>
  <si>
    <t>196309031990091001</t>
  </si>
  <si>
    <t>DR. SAMSIR, SE., M.SI</t>
  </si>
  <si>
    <t>196911181995122001</t>
  </si>
  <si>
    <t>DR. SRI ENDANG KORNITA, SE., M.SI</t>
  </si>
  <si>
    <t>195701151986011001</t>
  </si>
  <si>
    <t>DR. SYAPSAN, SE., ME</t>
  </si>
  <si>
    <t>196307011991032002</t>
  </si>
  <si>
    <t>DR. TAUFENI TAUFIK, SE., M.SI., AK., CA</t>
  </si>
  <si>
    <t>196307281992032001</t>
  </si>
  <si>
    <t>DR. VINCE RATNAWATI, SE., M.SI, AK., CA</t>
  </si>
  <si>
    <t>197207202006042001</t>
  </si>
  <si>
    <t>DR. YESI MUTIA BASRI, SE., M.SI., AK., CA</t>
  </si>
  <si>
    <t>196510221990032002</t>
  </si>
  <si>
    <t>DRA. ERIYATI, M.SI</t>
  </si>
  <si>
    <t>195809211987022001</t>
  </si>
  <si>
    <t>DRA. HARYETTI, M.SI</t>
  </si>
  <si>
    <t>196002121987032001</t>
  </si>
  <si>
    <t>DRA. HJ. RITA YANI IYAN, MS</t>
  </si>
  <si>
    <t>196008011988102001</t>
  </si>
  <si>
    <t>DRA. HJ. YUSRALAINI, MM., AK</t>
  </si>
  <si>
    <t>195602021984031002</t>
  </si>
  <si>
    <t>DRS. AZWAR HARAHAP, M.SI</t>
  </si>
  <si>
    <t>195801291991031001</t>
  </si>
  <si>
    <t>DRS. H. SYAFRIL BASRI, M.SI</t>
  </si>
  <si>
    <t>196207081988031003</t>
  </si>
  <si>
    <t>DRS. HARDI, SH., MM., MH., AK., CA</t>
  </si>
  <si>
    <t>196112281989031002</t>
  </si>
  <si>
    <t>DRS. KENNEDY, MM., AK., CA</t>
  </si>
  <si>
    <t>196206281989031002</t>
  </si>
  <si>
    <t>DRS. MACHASIN, M.SI</t>
  </si>
  <si>
    <t>196508161993031003</t>
  </si>
  <si>
    <t>DRS. RESTU AGUSTI, M.SI., AK., CA</t>
  </si>
  <si>
    <t>196010091988031004</t>
  </si>
  <si>
    <t>DRS. WAHYU HAMIDI, M.SI</t>
  </si>
  <si>
    <t>196111191990021001</t>
  </si>
  <si>
    <t>DRS. ZIRMAN, MM., AK., CA</t>
  </si>
  <si>
    <t>196008191989031002</t>
  </si>
  <si>
    <t>Dr. H. AZWIR NASIR, MM., AK., CA</t>
  </si>
  <si>
    <t>196505221990091001</t>
  </si>
  <si>
    <t>Dr. H. GATOT WIJAYANTO, SE., M.SI</t>
  </si>
  <si>
    <t>197101212000031002</t>
  </si>
  <si>
    <t>EDFAN DARLIS, SE., M.SI., AK., CA</t>
  </si>
  <si>
    <t>196301081988031003</t>
  </si>
  <si>
    <t>H. EDYANUS HERMAN HALIM, SE., MS</t>
  </si>
  <si>
    <t>Kepala UPT</t>
  </si>
  <si>
    <t>196101261989032001</t>
  </si>
  <si>
    <t>HJ. TOTI INDRAWATI, SE., M.SI</t>
  </si>
  <si>
    <t>196304031989032003</t>
  </si>
  <si>
    <t>LAPETI SARI, SE., M.SI</t>
  </si>
  <si>
    <t>197504192008012011</t>
  </si>
  <si>
    <t>MARDIANA, SE., M.SI</t>
  </si>
  <si>
    <t>196603131990022001</t>
  </si>
  <si>
    <t>MARZOLINA, SE., MM</t>
  </si>
  <si>
    <t>197504082000122001</t>
  </si>
  <si>
    <t>NUR AZLINA, SE., M.SI., AK., CA</t>
  </si>
  <si>
    <t>196409291989032003</t>
  </si>
  <si>
    <t>RAHMITA B. NINGSIH, SE., M.HUM</t>
  </si>
  <si>
    <t>197308261997021001</t>
  </si>
  <si>
    <t>RAJA ADRI SATRIAWAN SURYA, SE., M.AK., AK., CA</t>
  </si>
  <si>
    <t>Wakil Dekan II A Gol. IV</t>
  </si>
  <si>
    <t>196412111988032001</t>
  </si>
  <si>
    <t>SRI RESTUTI, SE., MM</t>
  </si>
  <si>
    <t>196706161995022001</t>
  </si>
  <si>
    <t>YUNEITA ANISMA, SE., M.SI., AK., CA</t>
  </si>
  <si>
    <t>198905272014041001</t>
  </si>
  <si>
    <t>ADHITYA AGRI PUTRA, SE., M.ACC., AK., CA</t>
  </si>
  <si>
    <t>III/b</t>
  </si>
  <si>
    <t>Lektor Gol. III</t>
  </si>
  <si>
    <t>Sekretaris Jurusan A</t>
  </si>
  <si>
    <t>198311182010121003</t>
  </si>
  <si>
    <t>AHMAD FAUZAN FATHONI, SE, M.SC</t>
  </si>
  <si>
    <t>III/c</t>
  </si>
  <si>
    <t>196910162008121001</t>
  </si>
  <si>
    <t>AHMAD RIFQI, SE., M.SI</t>
  </si>
  <si>
    <t>III/a</t>
  </si>
  <si>
    <t>197711162008011011</t>
  </si>
  <si>
    <t>ANDO FAHDA AULIA, SE., ME., MBA (IB), Ph.D</t>
  </si>
  <si>
    <t>198703092014042002</t>
  </si>
  <si>
    <t>ARUMEGA ZAREFAR, SE., M.AK., AK., CA</t>
  </si>
  <si>
    <t>196808201993032002</t>
  </si>
  <si>
    <t>ARWINENCE PRAMADEWI, SE., MM</t>
  </si>
  <si>
    <t>197512172008012010</t>
  </si>
  <si>
    <t>DENY DANAR RAHAYU, SE., M.Si</t>
  </si>
  <si>
    <t>III/d</t>
  </si>
  <si>
    <t>198412122010122008</t>
  </si>
  <si>
    <t>DEVI SAVITRI, SE., M.AK., AK., CA</t>
  </si>
  <si>
    <t>196802041994032002</t>
  </si>
  <si>
    <t>DEWITA SURYATI NINGSIH, SE., MBA</t>
  </si>
  <si>
    <t>197308112000122001</t>
  </si>
  <si>
    <t>DR. ANDEWI ROKHMAWATI, SE., M.SI., M.ED</t>
  </si>
  <si>
    <t>Ketua Jurusan A Gol. III</t>
  </si>
  <si>
    <t>196811071993032004</t>
  </si>
  <si>
    <t>DR. ANY WIDAYATSARI, SE., M.EC</t>
  </si>
  <si>
    <t>Koordinator Program Studi B</t>
  </si>
  <si>
    <t>197305122006041002</t>
  </si>
  <si>
    <t>DR. DAHLAN TAMPUBOLON, SE., M.SI</t>
  </si>
  <si>
    <t>197709212008121001</t>
  </si>
  <si>
    <t>DR. DENY SETIAWAN, SE., M.EC</t>
  </si>
  <si>
    <t>Wakil Dekan III A Gol. III</t>
  </si>
  <si>
    <t>198203162008121001</t>
  </si>
  <si>
    <t>DR. EKA ARMAS PAILIS, SE., MM</t>
  </si>
  <si>
    <t>196303251991031004</t>
  </si>
  <si>
    <t>DR. H. M. RASULI, SE., M.SI., AK., CA</t>
  </si>
  <si>
    <t>196312021988102001</t>
  </si>
  <si>
    <t>DR. HJ. ROSYETTI, SE., M.SI</t>
  </si>
  <si>
    <t>196706251993032001</t>
  </si>
  <si>
    <t>DR. HJ. YUSNI MAULIDA, SE., M.SI</t>
  </si>
  <si>
    <t>197411012000122001</t>
  </si>
  <si>
    <t>DR. NOVITA INDRAWATI, SE., M.SI., AK., CA</t>
  </si>
  <si>
    <t>196806131994032002</t>
  </si>
  <si>
    <t>DR. RADEN LESTARI GARNARSIH, SE., MM</t>
  </si>
  <si>
    <t>Koordinator Program Studi C</t>
  </si>
  <si>
    <t>196209051988032002</t>
  </si>
  <si>
    <t>DRA. HJ. AIDA NURSANTI, MM</t>
  </si>
  <si>
    <t>195910091986032001</t>
  </si>
  <si>
    <t>DRA. NURYANTI, M.SI</t>
  </si>
  <si>
    <t>195910191991032001</t>
  </si>
  <si>
    <t>DRA. SUSILATRI, MM., AK., CA</t>
  </si>
  <si>
    <t>196204271990021001</t>
  </si>
  <si>
    <t>DRS. AL AZHAR ALI, MM., AK., CA</t>
  </si>
  <si>
    <t>196211171994031003</t>
  </si>
  <si>
    <t>DRS. AL AZHAR LUKMAN, MM., AK., CA</t>
  </si>
  <si>
    <t>195906041989031002</t>
  </si>
  <si>
    <t>DRS. AZHARI S, MA., AK., CA</t>
  </si>
  <si>
    <t>Sekretaris SPI, BPU, Bagian FK dan Bagian FH</t>
  </si>
  <si>
    <t>196106171991031001</t>
  </si>
  <si>
    <t>DRS. ELFI ILHAM, M.AK., AK., CA</t>
  </si>
  <si>
    <t>196102091987031002</t>
  </si>
  <si>
    <t>DRS. H. HENDRO EKWARSO, M.SI</t>
  </si>
  <si>
    <t>196302241990011001</t>
  </si>
  <si>
    <t>DRS. HARIADI, MBA., AK., CA</t>
  </si>
  <si>
    <t>195907271987021002</t>
  </si>
  <si>
    <t>DRS. RAJA PUTRA SAMAD, MPM</t>
  </si>
  <si>
    <t>195802231986011002</t>
  </si>
  <si>
    <t>DRS. RESTU, M.SI</t>
  </si>
  <si>
    <t>196104121994031002</t>
  </si>
  <si>
    <t>DRS. RUSLI, MM., AK., CA</t>
  </si>
  <si>
    <t>197403061998022001</t>
  </si>
  <si>
    <t>Dr. ALFIATI SILFI, SE., M.SI., AK., CA</t>
  </si>
  <si>
    <t>198509122008122005</t>
  </si>
  <si>
    <t>EKA HARIYANI, SE., M.AK., AK., CA</t>
  </si>
  <si>
    <t>197704282005011001</t>
  </si>
  <si>
    <t>H. MUDRIKA ALAMSYAH HASAN, SE., MM., AK., CA</t>
  </si>
  <si>
    <t>197611192006042001</t>
  </si>
  <si>
    <t>HJ. HENNI NOVIASARI, SE., MM</t>
  </si>
  <si>
    <t>196605211993031001</t>
  </si>
  <si>
    <t>IRMEIDI, S.E., M.Si</t>
  </si>
  <si>
    <t>197412252006041001</t>
  </si>
  <si>
    <t>IWAN NAULI DAULAY, ST., MM</t>
  </si>
  <si>
    <t>197506132000122001</t>
  </si>
  <si>
    <t>JULITA, SE., M.SI., AK., CA</t>
  </si>
  <si>
    <t>196208191989032001</t>
  </si>
  <si>
    <t>JUSHERMI, SE., MSBA</t>
  </si>
  <si>
    <t>197410102008122002</t>
  </si>
  <si>
    <t>KURNIAWATY FITRI, SE., MM</t>
  </si>
  <si>
    <t>198303102009121006</t>
  </si>
  <si>
    <t>MARHADI, SE., M.SC</t>
  </si>
  <si>
    <t>198205202010122002</t>
  </si>
  <si>
    <t>MEILDA WIGUNA, SE., M.SC., AK., CA</t>
  </si>
  <si>
    <t>198503012014041001</t>
  </si>
  <si>
    <t>NANDA FITO MELA, SE., MBA., AK., CA</t>
  </si>
  <si>
    <t>198002022006041003</t>
  </si>
  <si>
    <t>NOBEL AQUALDO, SE., M.EC</t>
  </si>
  <si>
    <t>198211272008122002</t>
  </si>
  <si>
    <t>PIPIN KURNIA, SE., M.AK., AK., CA</t>
  </si>
  <si>
    <t>196609241993031005</t>
  </si>
  <si>
    <t>RAHMAT RICHARD, SE., M.SI</t>
  </si>
  <si>
    <t>197807072008121001</t>
  </si>
  <si>
    <t>RENDRA WASNURY, SE., MIB</t>
  </si>
  <si>
    <t>198004192009122002</t>
  </si>
  <si>
    <t>RHENY AFRIANA HANIF, SE., M.SA., AK., CA</t>
  </si>
  <si>
    <t>197903292008121001</t>
  </si>
  <si>
    <t>RIO JONNES MARTAHAN MARPAUNG, SE., MM</t>
  </si>
  <si>
    <t>197907042005012001</t>
  </si>
  <si>
    <t>RISKA NATARIASARI, SE., MM., AK., CA</t>
  </si>
  <si>
    <t>197409132000122001</t>
  </si>
  <si>
    <t>ROFIKA, SE., M.SI, AK., CA</t>
  </si>
  <si>
    <t>196902231990303201</t>
  </si>
  <si>
    <t>ROSNELLY ROESDY, SE., M.SI</t>
  </si>
  <si>
    <t>196902161994032002</t>
  </si>
  <si>
    <t>ROVANITA RAMA, SE., MH</t>
  </si>
  <si>
    <t>197907142008011015</t>
  </si>
  <si>
    <t>SEM PAULUS SILALAHI, SE., M.AK., AK., CA</t>
  </si>
  <si>
    <t>198203242008121002</t>
  </si>
  <si>
    <t>TARYONO, SE., M.SI</t>
  </si>
  <si>
    <t>197009271998021001</t>
  </si>
  <si>
    <t>TAUFIQURRAHMAN, SE., M.SC., M.PHIL</t>
  </si>
  <si>
    <t>197810142008121003</t>
  </si>
  <si>
    <t>TENGKU FIRLI MUSFAR, SE., MM</t>
  </si>
  <si>
    <t>198312272008122003</t>
  </si>
  <si>
    <t>UFIRA ISBAH, SE., M.EC</t>
  </si>
  <si>
    <t>197809272009121001</t>
  </si>
  <si>
    <t>VOLTA DIYANTO, SE., M.SI., AK., CA</t>
  </si>
  <si>
    <t>199210182019032028</t>
  </si>
  <si>
    <t>AGNES ALVIONITA, S.E., M.M</t>
  </si>
  <si>
    <t>Dosen CPNS</t>
  </si>
  <si>
    <t>198801232014042001</t>
  </si>
  <si>
    <t>ANGGIA PARAMITHA, SE., M.SC</t>
  </si>
  <si>
    <t>Asisten Ahli Gol. III</t>
  </si>
  <si>
    <t>199004102018032001</t>
  </si>
  <si>
    <t>Astrid Faradisty, S.E., Ak., M.Ak., BKP</t>
  </si>
  <si>
    <t>Dosen belum punya Jabatan Gol. III</t>
  </si>
  <si>
    <t>198908222019032015</t>
  </si>
  <si>
    <t>BUNGA CHINTIA UTAMI, S.IP., M.E</t>
  </si>
  <si>
    <t>199309282019032023</t>
  </si>
  <si>
    <t>CUT ENDANG KURNIASIH, S.E., M.Si</t>
  </si>
  <si>
    <t>198204202008121003</t>
  </si>
  <si>
    <t>DARMAYUDA, SE., M.SI</t>
  </si>
  <si>
    <t>199008022019032020</t>
  </si>
  <si>
    <t>DIAN PRATIWI, S.M.B., M.M</t>
  </si>
  <si>
    <t>198511172019032017</t>
  </si>
  <si>
    <t>DIAN PUSPITA NOVRIANTI, S.E., M.Sc</t>
  </si>
  <si>
    <t>198909012019032017</t>
  </si>
  <si>
    <t>ELVI RAHMAYANTI, S.E., M.Si</t>
  </si>
  <si>
    <t>199004232015041003</t>
  </si>
  <si>
    <t>FAJAR ODIATMA, SE., M.AK., AK., CA</t>
  </si>
  <si>
    <t>198906012019031017</t>
  </si>
  <si>
    <t>FERDY PUTRA, S.E., M.Ak</t>
  </si>
  <si>
    <t>199204142019032030</t>
  </si>
  <si>
    <t>FITRI HUMAIROH, S.E., M.Ak</t>
  </si>
  <si>
    <t>197211202014092002</t>
  </si>
  <si>
    <t>FITRI, SE., MM</t>
  </si>
  <si>
    <t>199203162018032001</t>
  </si>
  <si>
    <t>HILMAH ZURYANI, S.E., M.EC</t>
  </si>
  <si>
    <t>198101052008012010</t>
  </si>
  <si>
    <t>HJ. INDRI YOVITA, SE., M.SI</t>
  </si>
  <si>
    <t>198107072009122001</t>
  </si>
  <si>
    <t>LILA ANGGRAINI, SE., M.SI., AK., CA</t>
  </si>
  <si>
    <t>198703082019031006</t>
  </si>
  <si>
    <t>MAHA MARTABAR MANGATASI L., S.E., M.M</t>
  </si>
  <si>
    <t>199305152019032030</t>
  </si>
  <si>
    <t>MAYLA KHOIRIYAH, S.E., M.AK</t>
  </si>
  <si>
    <t>199206172019032020</t>
  </si>
  <si>
    <t>MEILISA, S.E., M.M</t>
  </si>
  <si>
    <t>199004092018032001</t>
  </si>
  <si>
    <t>MIDA APRILINA TARIGAN, S.Pd., M.Si</t>
  </si>
  <si>
    <t>198810042019032017</t>
  </si>
  <si>
    <t>MISDAWATI, S.Si., M.S.E</t>
  </si>
  <si>
    <t>197906272014092001</t>
  </si>
  <si>
    <t>NITA WAHYUNI, S.ST., Pa., M.SI</t>
  </si>
  <si>
    <t>198708072014041001</t>
  </si>
  <si>
    <t>PRIMA ANDREAS S, SE., M.SI</t>
  </si>
  <si>
    <t>199501212019032017</t>
  </si>
  <si>
    <t>PUTRI ASRINA, S.E., M.Sc</t>
  </si>
  <si>
    <t>198609112019031007</t>
  </si>
  <si>
    <t>RAHMAT JUNAIDI, S.E., M.M</t>
  </si>
  <si>
    <t>199109232019032028</t>
  </si>
  <si>
    <t>RAISYA ZENITA, S.E., M.Bus</t>
  </si>
  <si>
    <t>199105142019031016</t>
  </si>
  <si>
    <t>REZI ABDURRAHMAN, S.E.Sy., M.Ak</t>
  </si>
  <si>
    <t>198408162015042001</t>
  </si>
  <si>
    <t>RIKA PROMALESSY, SE., M.SI</t>
  </si>
  <si>
    <t>198912202019032020</t>
  </si>
  <si>
    <t>SELLY PRIMA DESWENI, S.E., M.E</t>
  </si>
  <si>
    <t>198904062019031012</t>
  </si>
  <si>
    <t>SHARNUKE ASRILSYAK, S.K.M., M.M</t>
  </si>
  <si>
    <t>198705022019032021</t>
  </si>
  <si>
    <t>SINTA RAMAIYANTI, S.E., M.Ak</t>
  </si>
  <si>
    <t>199009192019032027</t>
  </si>
  <si>
    <t>SRI WAHYUNI WILDAH, S.IP., M.B.A</t>
  </si>
  <si>
    <t>198803162019032015</t>
  </si>
  <si>
    <t>SUCI NURULITA, S.E., M.Si</t>
  </si>
  <si>
    <t>198611252019032013</t>
  </si>
  <si>
    <t>SUPRIANI SIDABALOK, S.Pd., M.Si</t>
  </si>
  <si>
    <t>197806112009121006</t>
  </si>
  <si>
    <t>SUPRIONO, SE., M.AK., AK., CA</t>
  </si>
  <si>
    <t>199305262019032022</t>
  </si>
  <si>
    <t>ULFA AFIFAH, S.E., M.Acc</t>
  </si>
  <si>
    <t>198410312015042002</t>
  </si>
  <si>
    <t>VERA OKTARI, SE., M.AK., AK., CA</t>
  </si>
  <si>
    <t>199401022019032018</t>
  </si>
  <si>
    <t>YANI ZULVINA, S.E., M.Ak</t>
  </si>
  <si>
    <t>198609292019032012</t>
  </si>
  <si>
    <t>YELLY ZAMAYA, S.E., M.E</t>
  </si>
  <si>
    <t>Menyetujui,</t>
  </si>
  <si>
    <t>Pekanbaru, 10 Juni 2020</t>
  </si>
  <si>
    <t>Wakil Dekan Bidang Akademik</t>
  </si>
  <si>
    <t>Admin Fakultas</t>
  </si>
  <si>
    <t>(..............................................)</t>
  </si>
  <si>
    <t>( Admin Fakultas Ekonomi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</si>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</sst>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d2a3de6db5c478a3bcd6c6aa2c6c2f1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74"/>
  <sheetViews>
    <sheetView tabSelected="1" workbookViewId="0" showGridLines="true" showRowColHeaders="1">
      <selection activeCell="A167" sqref="A167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2.72</v>
      </c>
      <c r="M11" s="11">
        <v>0.33</v>
      </c>
      <c r="N11" s="11">
        <v>0</v>
      </c>
      <c r="O11" s="11">
        <v>0.36</v>
      </c>
      <c r="P11" s="11">
        <v>0</v>
      </c>
      <c r="Q11" s="11">
        <v>3.410000000000001</v>
      </c>
      <c r="R11" s="11">
        <v>16.56</v>
      </c>
      <c r="S11" s="11">
        <v>19.97</v>
      </c>
      <c r="T11" s="11">
        <v>2.67</v>
      </c>
      <c r="U11" s="11">
        <v>3</v>
      </c>
      <c r="V11" s="11">
        <v>14.3</v>
      </c>
      <c r="W11" s="13">
        <v>13.35</v>
      </c>
      <c r="X11" s="13">
        <v>15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41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8.259999999999994</v>
      </c>
      <c r="M12" s="11">
        <v>0.16</v>
      </c>
      <c r="N12" s="11">
        <v>0</v>
      </c>
      <c r="O12" s="11">
        <v>0.3</v>
      </c>
      <c r="P12" s="11">
        <v>0</v>
      </c>
      <c r="Q12" s="11">
        <v>8.719999999999995</v>
      </c>
      <c r="R12" s="11">
        <v>52.50999999999999</v>
      </c>
      <c r="S12" s="11">
        <v>61.22999999999999</v>
      </c>
      <c r="T12" s="11">
        <v>2.67</v>
      </c>
      <c r="U12" s="11">
        <v>3</v>
      </c>
      <c r="V12" s="11">
        <v>55.55999999999999</v>
      </c>
      <c r="W12" s="13">
        <v>13.35</v>
      </c>
      <c r="X12" s="13">
        <v>15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47</v>
      </c>
      <c r="C13" s="10" t="s">
        <v>48</v>
      </c>
      <c r="D13" s="7" t="s">
        <v>46</v>
      </c>
      <c r="E13" s="7" t="s">
        <v>41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5.819999999999998</v>
      </c>
      <c r="M13" s="11">
        <v>0.16</v>
      </c>
      <c r="N13" s="11">
        <v>0</v>
      </c>
      <c r="O13" s="11">
        <v>0.9399999999999999</v>
      </c>
      <c r="P13" s="11">
        <v>0</v>
      </c>
      <c r="Q13" s="11">
        <v>6.919999999999996</v>
      </c>
      <c r="R13" s="11">
        <v>28.86</v>
      </c>
      <c r="S13" s="11">
        <v>35.77999999999999</v>
      </c>
      <c r="T13" s="11">
        <v>2.67</v>
      </c>
      <c r="U13" s="11">
        <v>3</v>
      </c>
      <c r="V13" s="11">
        <v>30.10999999999999</v>
      </c>
      <c r="W13" s="13">
        <v>13.35</v>
      </c>
      <c r="X13" s="13">
        <v>15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49</v>
      </c>
      <c r="C14" s="10" t="s">
        <v>50</v>
      </c>
      <c r="D14" s="7" t="s">
        <v>51</v>
      </c>
      <c r="E14" s="7" t="s">
        <v>41</v>
      </c>
      <c r="F14" s="7" t="s">
        <v>42</v>
      </c>
      <c r="G14" s="7"/>
      <c r="H14" s="7" t="s">
        <v>52</v>
      </c>
      <c r="I14" s="11">
        <v>2.67</v>
      </c>
      <c r="J14" s="11">
        <v>3</v>
      </c>
      <c r="K14" s="11">
        <v>1.5</v>
      </c>
      <c r="L14" s="11">
        <v>8.709999999999999</v>
      </c>
      <c r="M14" s="11">
        <v>0.16</v>
      </c>
      <c r="N14" s="11">
        <v>0</v>
      </c>
      <c r="O14" s="11">
        <v>0.6100000000000001</v>
      </c>
      <c r="P14" s="11">
        <v>0</v>
      </c>
      <c r="Q14" s="11">
        <v>10.98</v>
      </c>
      <c r="R14" s="11">
        <v>57.51000000000001</v>
      </c>
      <c r="S14" s="11">
        <v>68.49000000000001</v>
      </c>
      <c r="T14" s="11">
        <v>2.67</v>
      </c>
      <c r="U14" s="11">
        <v>3</v>
      </c>
      <c r="V14" s="11">
        <v>62.82000000000001</v>
      </c>
      <c r="W14" s="13">
        <v>13.35</v>
      </c>
      <c r="X14" s="13">
        <v>15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51</v>
      </c>
      <c r="E15" s="7" t="s">
        <v>55</v>
      </c>
      <c r="F15" s="7" t="s">
        <v>42</v>
      </c>
      <c r="G15" s="7"/>
      <c r="H15" s="7" t="s">
        <v>56</v>
      </c>
      <c r="I15" s="11">
        <v>2.67</v>
      </c>
      <c r="J15" s="11">
        <v>3</v>
      </c>
      <c r="K15" s="11">
        <v>0.83</v>
      </c>
      <c r="L15" s="11">
        <v>3.46</v>
      </c>
      <c r="M15" s="11">
        <v>0.32</v>
      </c>
      <c r="N15" s="11">
        <v>0</v>
      </c>
      <c r="O15" s="11">
        <v>0.52</v>
      </c>
      <c r="P15" s="11">
        <v>0</v>
      </c>
      <c r="Q15" s="11">
        <v>5.130000000000001</v>
      </c>
      <c r="R15" s="11">
        <v>28.85</v>
      </c>
      <c r="S15" s="11">
        <v>33.98</v>
      </c>
      <c r="T15" s="11">
        <v>2.67</v>
      </c>
      <c r="U15" s="11">
        <v>3</v>
      </c>
      <c r="V15" s="11">
        <v>28.31</v>
      </c>
      <c r="W15" s="13">
        <v>13.35</v>
      </c>
      <c r="X15" s="13">
        <v>15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57</v>
      </c>
      <c r="C16" s="10" t="s">
        <v>58</v>
      </c>
      <c r="D16" s="7" t="s">
        <v>51</v>
      </c>
      <c r="E16" s="7" t="s">
        <v>59</v>
      </c>
      <c r="F16" s="7" t="s">
        <v>42</v>
      </c>
      <c r="G16" s="7"/>
      <c r="H16" s="7" t="s">
        <v>60</v>
      </c>
      <c r="I16" s="11">
        <v>2.67</v>
      </c>
      <c r="J16" s="11">
        <v>3</v>
      </c>
      <c r="K16" s="11">
        <v>1.67</v>
      </c>
      <c r="L16" s="11">
        <v>2.19</v>
      </c>
      <c r="M16" s="11">
        <v>0.24</v>
      </c>
      <c r="N16" s="11">
        <v>0</v>
      </c>
      <c r="O16" s="11">
        <v>7.189999999999997</v>
      </c>
      <c r="P16" s="11">
        <v>0</v>
      </c>
      <c r="Q16" s="11">
        <v>11.29</v>
      </c>
      <c r="R16" s="11">
        <v>37.92000000000001</v>
      </c>
      <c r="S16" s="11">
        <v>49.21000000000001</v>
      </c>
      <c r="T16" s="11">
        <v>2.67</v>
      </c>
      <c r="U16" s="11">
        <v>3</v>
      </c>
      <c r="V16" s="11">
        <v>43.54000000000001</v>
      </c>
      <c r="W16" s="13">
        <v>13.35</v>
      </c>
      <c r="X16" s="13">
        <v>15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61</v>
      </c>
      <c r="C17" s="10" t="s">
        <v>62</v>
      </c>
      <c r="D17" s="7" t="s">
        <v>40</v>
      </c>
      <c r="E17" s="7" t="s">
        <v>41</v>
      </c>
      <c r="F17" s="7" t="s">
        <v>42</v>
      </c>
      <c r="G17" s="7"/>
      <c r="H17" s="7" t="s">
        <v>43</v>
      </c>
      <c r="I17" s="11">
        <v>2.67</v>
      </c>
      <c r="J17" s="11">
        <v>3</v>
      </c>
      <c r="K17" s="11">
        <v>0</v>
      </c>
      <c r="L17" s="11">
        <v>6.889999999999998</v>
      </c>
      <c r="M17" s="11">
        <v>0.9899999999999999</v>
      </c>
      <c r="N17" s="11">
        <v>0</v>
      </c>
      <c r="O17" s="11">
        <v>2.05</v>
      </c>
      <c r="P17" s="11">
        <v>0</v>
      </c>
      <c r="Q17" s="11">
        <v>9.929999999999998</v>
      </c>
      <c r="R17" s="11">
        <v>28.67999999999999</v>
      </c>
      <c r="S17" s="11">
        <v>38.60999999999999</v>
      </c>
      <c r="T17" s="11">
        <v>2.67</v>
      </c>
      <c r="U17" s="11">
        <v>3</v>
      </c>
      <c r="V17" s="11">
        <v>32.93999999999999</v>
      </c>
      <c r="W17" s="13">
        <v>13.35</v>
      </c>
      <c r="X17" s="13">
        <v>15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51</v>
      </c>
      <c r="E18" s="7" t="s">
        <v>55</v>
      </c>
      <c r="F18" s="7" t="s">
        <v>42</v>
      </c>
      <c r="G18" s="7"/>
      <c r="H18" s="7" t="s">
        <v>43</v>
      </c>
      <c r="I18" s="11">
        <v>2.67</v>
      </c>
      <c r="J18" s="11">
        <v>3</v>
      </c>
      <c r="K18" s="11">
        <v>0</v>
      </c>
      <c r="L18" s="11">
        <v>7.069999999999999</v>
      </c>
      <c r="M18" s="11">
        <v>0.32</v>
      </c>
      <c r="N18" s="11">
        <v>0</v>
      </c>
      <c r="O18" s="11">
        <v>0.76</v>
      </c>
      <c r="P18" s="11">
        <v>0</v>
      </c>
      <c r="Q18" s="11">
        <v>8.149999999999999</v>
      </c>
      <c r="R18" s="11">
        <v>45.51999999999999</v>
      </c>
      <c r="S18" s="11">
        <v>53.66999999999999</v>
      </c>
      <c r="T18" s="11">
        <v>2.67</v>
      </c>
      <c r="U18" s="11">
        <v>3</v>
      </c>
      <c r="V18" s="11">
        <v>47.99999999999999</v>
      </c>
      <c r="W18" s="13">
        <v>13.35</v>
      </c>
      <c r="X18" s="13">
        <v>15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65</v>
      </c>
      <c r="C19" s="10" t="s">
        <v>66</v>
      </c>
      <c r="D19" s="7" t="s">
        <v>51</v>
      </c>
      <c r="E19" s="7" t="s">
        <v>41</v>
      </c>
      <c r="F19" s="7" t="s">
        <v>42</v>
      </c>
      <c r="G19" s="7"/>
      <c r="H19" s="7" t="s">
        <v>67</v>
      </c>
      <c r="I19" s="11">
        <v>2.67</v>
      </c>
      <c r="J19" s="11">
        <v>3</v>
      </c>
      <c r="K19" s="11">
        <v>0.95</v>
      </c>
      <c r="L19" s="11">
        <v>6.950000000000001</v>
      </c>
      <c r="M19" s="11">
        <v>0.4</v>
      </c>
      <c r="N19" s="11">
        <v>0</v>
      </c>
      <c r="O19" s="11">
        <v>0</v>
      </c>
      <c r="P19" s="11">
        <v>0</v>
      </c>
      <c r="Q19" s="11">
        <v>8.300000000000001</v>
      </c>
      <c r="R19" s="11">
        <v>31.62</v>
      </c>
      <c r="S19" s="11">
        <v>39.92</v>
      </c>
      <c r="T19" s="11">
        <v>2.67</v>
      </c>
      <c r="U19" s="11">
        <v>3</v>
      </c>
      <c r="V19" s="11">
        <v>34.25</v>
      </c>
      <c r="W19" s="13">
        <v>13.35</v>
      </c>
      <c r="X19" s="13">
        <v>15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68</v>
      </c>
      <c r="C20" s="10" t="s">
        <v>69</v>
      </c>
      <c r="D20" s="7" t="s">
        <v>51</v>
      </c>
      <c r="E20" s="7" t="s">
        <v>41</v>
      </c>
      <c r="F20" s="7" t="s">
        <v>42</v>
      </c>
      <c r="G20" s="7"/>
      <c r="H20" s="7" t="s">
        <v>43</v>
      </c>
      <c r="I20" s="11">
        <v>2.67</v>
      </c>
      <c r="J20" s="11">
        <v>3</v>
      </c>
      <c r="K20" s="11">
        <v>0</v>
      </c>
      <c r="L20" s="11">
        <v>4.180000000000001</v>
      </c>
      <c r="M20" s="11">
        <v>0.24</v>
      </c>
      <c r="N20" s="11">
        <v>0</v>
      </c>
      <c r="O20" s="11">
        <v>0</v>
      </c>
      <c r="P20" s="11">
        <v>0</v>
      </c>
      <c r="Q20" s="11">
        <v>4.420000000000001</v>
      </c>
      <c r="R20" s="11">
        <v>21.71</v>
      </c>
      <c r="S20" s="11">
        <v>26.13000000000001</v>
      </c>
      <c r="T20" s="11">
        <v>2.67</v>
      </c>
      <c r="U20" s="11">
        <v>3</v>
      </c>
      <c r="V20" s="11">
        <v>20.46000000000001</v>
      </c>
      <c r="W20" s="13">
        <v>13.35</v>
      </c>
      <c r="X20" s="13">
        <v>15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70</v>
      </c>
      <c r="C21" s="10" t="s">
        <v>71</v>
      </c>
      <c r="D21" s="7" t="s">
        <v>40</v>
      </c>
      <c r="E21" s="7" t="s">
        <v>72</v>
      </c>
      <c r="F21" s="7" t="s">
        <v>42</v>
      </c>
      <c r="G21" s="7"/>
      <c r="H21" s="7" t="s">
        <v>43</v>
      </c>
      <c r="I21" s="11">
        <v>2.67</v>
      </c>
      <c r="J21" s="11">
        <v>3</v>
      </c>
      <c r="K21" s="11">
        <v>0</v>
      </c>
      <c r="L21" s="11">
        <v>5.33</v>
      </c>
      <c r="M21" s="11">
        <v>0.98</v>
      </c>
      <c r="N21" s="11">
        <v>0</v>
      </c>
      <c r="O21" s="11">
        <v>1.71</v>
      </c>
      <c r="P21" s="11">
        <v>0</v>
      </c>
      <c r="Q21" s="11">
        <v>8.02</v>
      </c>
      <c r="R21" s="11">
        <v>31.5</v>
      </c>
      <c r="S21" s="11">
        <v>39.52</v>
      </c>
      <c r="T21" s="11">
        <v>2.67</v>
      </c>
      <c r="U21" s="11">
        <v>3</v>
      </c>
      <c r="V21" s="11">
        <v>33.84999999999999</v>
      </c>
      <c r="W21" s="13">
        <v>13.35</v>
      </c>
      <c r="X21" s="13">
        <v>15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73</v>
      </c>
      <c r="C22" s="10" t="s">
        <v>74</v>
      </c>
      <c r="D22" s="7" t="s">
        <v>40</v>
      </c>
      <c r="E22" s="7" t="s">
        <v>55</v>
      </c>
      <c r="F22" s="7" t="s">
        <v>42</v>
      </c>
      <c r="G22" s="7"/>
      <c r="H22" s="7" t="s">
        <v>43</v>
      </c>
      <c r="I22" s="11">
        <v>2.67</v>
      </c>
      <c r="J22" s="11">
        <v>3</v>
      </c>
      <c r="K22" s="11">
        <v>0</v>
      </c>
      <c r="L22" s="11">
        <v>5.130000000000001</v>
      </c>
      <c r="M22" s="11">
        <v>0.8100000000000001</v>
      </c>
      <c r="N22" s="11">
        <v>0</v>
      </c>
      <c r="O22" s="11">
        <v>0.36</v>
      </c>
      <c r="P22" s="11">
        <v>0</v>
      </c>
      <c r="Q22" s="11">
        <v>6.300000000000002</v>
      </c>
      <c r="R22" s="11">
        <v>25.42999999999999</v>
      </c>
      <c r="S22" s="11">
        <v>31.72999999999999</v>
      </c>
      <c r="T22" s="11">
        <v>2.67</v>
      </c>
      <c r="U22" s="11">
        <v>3</v>
      </c>
      <c r="V22" s="11">
        <v>26.06</v>
      </c>
      <c r="W22" s="13">
        <v>13.35</v>
      </c>
      <c r="X22" s="13">
        <v>15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75</v>
      </c>
      <c r="C23" s="10" t="s">
        <v>76</v>
      </c>
      <c r="D23" s="7" t="s">
        <v>46</v>
      </c>
      <c r="E23" s="7" t="s">
        <v>77</v>
      </c>
      <c r="F23" s="7" t="s">
        <v>78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7.339999999999996</v>
      </c>
      <c r="M23" s="11">
        <v>0.4</v>
      </c>
      <c r="N23" s="11">
        <v>0</v>
      </c>
      <c r="O23" s="11">
        <v>0.9399999999999999</v>
      </c>
      <c r="P23" s="11">
        <v>0</v>
      </c>
      <c r="Q23" s="11">
        <v>8.679999999999996</v>
      </c>
      <c r="R23" s="11">
        <v>34.51999999999998</v>
      </c>
      <c r="S23" s="11">
        <v>43.19999999999997</v>
      </c>
      <c r="T23" s="11">
        <v>2</v>
      </c>
      <c r="U23" s="11">
        <v>3</v>
      </c>
      <c r="V23" s="11">
        <v>38.19999999999997</v>
      </c>
      <c r="W23" s="13">
        <v>10</v>
      </c>
      <c r="X23" s="13">
        <v>15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79</v>
      </c>
      <c r="C24" s="10" t="s">
        <v>80</v>
      </c>
      <c r="D24" s="7" t="s">
        <v>40</v>
      </c>
      <c r="E24" s="7" t="s">
        <v>77</v>
      </c>
      <c r="F24" s="7" t="s">
        <v>78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6.839999999999996</v>
      </c>
      <c r="M24" s="11">
        <v>0.4</v>
      </c>
      <c r="N24" s="11">
        <v>0</v>
      </c>
      <c r="O24" s="11">
        <v>0.85</v>
      </c>
      <c r="P24" s="11">
        <v>0</v>
      </c>
      <c r="Q24" s="11">
        <v>8.089999999999996</v>
      </c>
      <c r="R24" s="11">
        <v>41.89999999999998</v>
      </c>
      <c r="S24" s="11">
        <v>49.98999999999998</v>
      </c>
      <c r="T24" s="11">
        <v>2</v>
      </c>
      <c r="U24" s="11">
        <v>3</v>
      </c>
      <c r="V24" s="11">
        <v>44.98999999999998</v>
      </c>
      <c r="W24" s="13">
        <v>10</v>
      </c>
      <c r="X24" s="13">
        <v>15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81</v>
      </c>
      <c r="C25" s="10" t="s">
        <v>82</v>
      </c>
      <c r="D25" s="7" t="s">
        <v>40</v>
      </c>
      <c r="E25" s="7" t="s">
        <v>72</v>
      </c>
      <c r="F25" s="7" t="s">
        <v>78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7.489999999999998</v>
      </c>
      <c r="M25" s="11">
        <v>1.16</v>
      </c>
      <c r="N25" s="11">
        <v>0</v>
      </c>
      <c r="O25" s="11">
        <v>0.36</v>
      </c>
      <c r="P25" s="11">
        <v>0</v>
      </c>
      <c r="Q25" s="11">
        <v>9.009999999999998</v>
      </c>
      <c r="R25" s="11">
        <v>36.38999999999999</v>
      </c>
      <c r="S25" s="11">
        <v>45.39999999999998</v>
      </c>
      <c r="T25" s="11">
        <v>2</v>
      </c>
      <c r="U25" s="11">
        <v>3</v>
      </c>
      <c r="V25" s="11">
        <v>40.39999999999998</v>
      </c>
      <c r="W25" s="13">
        <v>10</v>
      </c>
      <c r="X25" s="13">
        <v>15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83</v>
      </c>
      <c r="C26" s="10" t="s">
        <v>84</v>
      </c>
      <c r="D26" s="7" t="s">
        <v>40</v>
      </c>
      <c r="E26" s="7" t="s">
        <v>77</v>
      </c>
      <c r="F26" s="7" t="s">
        <v>78</v>
      </c>
      <c r="G26" s="7"/>
      <c r="H26" s="7" t="s">
        <v>85</v>
      </c>
      <c r="I26" s="11">
        <v>2</v>
      </c>
      <c r="J26" s="11">
        <v>3</v>
      </c>
      <c r="K26" s="11">
        <v>1</v>
      </c>
      <c r="L26" s="11">
        <v>5.99</v>
      </c>
      <c r="M26" s="11">
        <v>0.48</v>
      </c>
      <c r="N26" s="11">
        <v>0</v>
      </c>
      <c r="O26" s="11">
        <v>3.31</v>
      </c>
      <c r="P26" s="11">
        <v>0</v>
      </c>
      <c r="Q26" s="11">
        <v>10.78</v>
      </c>
      <c r="R26" s="11">
        <v>30.97</v>
      </c>
      <c r="S26" s="11">
        <v>41.75</v>
      </c>
      <c r="T26" s="11">
        <v>2</v>
      </c>
      <c r="U26" s="11">
        <v>3</v>
      </c>
      <c r="V26" s="11">
        <v>36.75</v>
      </c>
      <c r="W26" s="13">
        <v>10</v>
      </c>
      <c r="X26" s="13">
        <v>15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86</v>
      </c>
      <c r="C27" s="10" t="s">
        <v>87</v>
      </c>
      <c r="D27" s="7" t="s">
        <v>40</v>
      </c>
      <c r="E27" s="7" t="s">
        <v>77</v>
      </c>
      <c r="F27" s="7" t="s">
        <v>88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7.689999999999997</v>
      </c>
      <c r="M27" s="11">
        <v>1.66</v>
      </c>
      <c r="N27" s="11">
        <v>0</v>
      </c>
      <c r="O27" s="11">
        <v>0.53</v>
      </c>
      <c r="P27" s="11">
        <v>0</v>
      </c>
      <c r="Q27" s="11">
        <v>9.879999999999995</v>
      </c>
      <c r="R27" s="11">
        <v>51.24999999999999</v>
      </c>
      <c r="S27" s="11">
        <v>61.12999999999999</v>
      </c>
      <c r="T27" s="11">
        <v>2</v>
      </c>
      <c r="U27" s="11">
        <v>3</v>
      </c>
      <c r="V27" s="11">
        <v>56.12999999999999</v>
      </c>
      <c r="W27" s="13">
        <v>10</v>
      </c>
      <c r="X27" s="13">
        <v>15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89</v>
      </c>
      <c r="C28" s="10" t="s">
        <v>90</v>
      </c>
      <c r="D28" s="7" t="s">
        <v>51</v>
      </c>
      <c r="E28" s="7" t="s">
        <v>72</v>
      </c>
      <c r="F28" s="7" t="s">
        <v>78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7.769999999999998</v>
      </c>
      <c r="M28" s="11">
        <v>0.4</v>
      </c>
      <c r="N28" s="11">
        <v>0</v>
      </c>
      <c r="O28" s="11">
        <v>0.18</v>
      </c>
      <c r="P28" s="11">
        <v>0</v>
      </c>
      <c r="Q28" s="11">
        <v>8.349999999999998</v>
      </c>
      <c r="R28" s="11">
        <v>38.96999999999999</v>
      </c>
      <c r="S28" s="11">
        <v>47.31999999999999</v>
      </c>
      <c r="T28" s="11">
        <v>2</v>
      </c>
      <c r="U28" s="11">
        <v>3</v>
      </c>
      <c r="V28" s="11">
        <v>42.31999999999999</v>
      </c>
      <c r="W28" s="13">
        <v>10</v>
      </c>
      <c r="X28" s="13">
        <v>15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91</v>
      </c>
      <c r="C29" s="10" t="s">
        <v>92</v>
      </c>
      <c r="D29" s="7" t="s">
        <v>40</v>
      </c>
      <c r="E29" s="7" t="s">
        <v>72</v>
      </c>
      <c r="F29" s="7" t="s">
        <v>78</v>
      </c>
      <c r="G29" s="7"/>
      <c r="H29" s="7" t="s">
        <v>93</v>
      </c>
      <c r="I29" s="11">
        <v>2</v>
      </c>
      <c r="J29" s="11">
        <v>3</v>
      </c>
      <c r="K29" s="11">
        <v>1.33</v>
      </c>
      <c r="L29" s="11">
        <v>9.109999999999998</v>
      </c>
      <c r="M29" s="11">
        <v>0.32</v>
      </c>
      <c r="N29" s="11">
        <v>0</v>
      </c>
      <c r="O29" s="11">
        <v>6.349999999999996</v>
      </c>
      <c r="P29" s="11">
        <v>0</v>
      </c>
      <c r="Q29" s="11">
        <v>17.10999999999999</v>
      </c>
      <c r="R29" s="11">
        <v>61.18</v>
      </c>
      <c r="S29" s="11">
        <v>78.28999999999999</v>
      </c>
      <c r="T29" s="11">
        <v>2</v>
      </c>
      <c r="U29" s="11">
        <v>3</v>
      </c>
      <c r="V29" s="11">
        <v>73.28999999999999</v>
      </c>
      <c r="W29" s="13">
        <v>10</v>
      </c>
      <c r="X29" s="13">
        <v>15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94</v>
      </c>
      <c r="C30" s="10" t="s">
        <v>95</v>
      </c>
      <c r="D30" s="7" t="s">
        <v>51</v>
      </c>
      <c r="E30" s="7" t="s">
        <v>77</v>
      </c>
      <c r="F30" s="7" t="s">
        <v>78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15.68999999999999</v>
      </c>
      <c r="M30" s="11">
        <v>0.9</v>
      </c>
      <c r="N30" s="11">
        <v>0</v>
      </c>
      <c r="O30" s="11">
        <v>1.36</v>
      </c>
      <c r="P30" s="11">
        <v>0</v>
      </c>
      <c r="Q30" s="11">
        <v>17.94999999999999</v>
      </c>
      <c r="R30" s="11">
        <v>55.59999999999997</v>
      </c>
      <c r="S30" s="11">
        <v>73.54999999999995</v>
      </c>
      <c r="T30" s="11">
        <v>2</v>
      </c>
      <c r="U30" s="11">
        <v>3</v>
      </c>
      <c r="V30" s="11">
        <v>68.54999999999995</v>
      </c>
      <c r="W30" s="13">
        <v>10</v>
      </c>
      <c r="X30" s="13">
        <v>15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96</v>
      </c>
      <c r="C31" s="10" t="s">
        <v>97</v>
      </c>
      <c r="D31" s="7" t="s">
        <v>46</v>
      </c>
      <c r="E31" s="7" t="s">
        <v>77</v>
      </c>
      <c r="F31" s="7" t="s">
        <v>78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9.379999999999999</v>
      </c>
      <c r="M31" s="11">
        <v>0.32</v>
      </c>
      <c r="N31" s="11">
        <v>0</v>
      </c>
      <c r="O31" s="11">
        <v>0.17</v>
      </c>
      <c r="P31" s="11">
        <v>0</v>
      </c>
      <c r="Q31" s="11">
        <v>9.869999999999999</v>
      </c>
      <c r="R31" s="11">
        <v>56.14999999999998</v>
      </c>
      <c r="S31" s="11">
        <v>66.01999999999998</v>
      </c>
      <c r="T31" s="11">
        <v>2</v>
      </c>
      <c r="U31" s="11">
        <v>3</v>
      </c>
      <c r="V31" s="11">
        <v>61.01999999999998</v>
      </c>
      <c r="W31" s="13">
        <v>10</v>
      </c>
      <c r="X31" s="13">
        <v>15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98</v>
      </c>
      <c r="C32" s="10" t="s">
        <v>99</v>
      </c>
      <c r="D32" s="7" t="s">
        <v>40</v>
      </c>
      <c r="E32" s="7" t="s">
        <v>77</v>
      </c>
      <c r="F32" s="7" t="s">
        <v>78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8.259999999999996</v>
      </c>
      <c r="M32" s="11">
        <v>0.33</v>
      </c>
      <c r="N32" s="11">
        <v>0</v>
      </c>
      <c r="O32" s="11">
        <v>0.36</v>
      </c>
      <c r="P32" s="11">
        <v>0</v>
      </c>
      <c r="Q32" s="11">
        <v>8.949999999999996</v>
      </c>
      <c r="R32" s="11">
        <v>37.74</v>
      </c>
      <c r="S32" s="11">
        <v>46.69</v>
      </c>
      <c r="T32" s="11">
        <v>2</v>
      </c>
      <c r="U32" s="11">
        <v>3</v>
      </c>
      <c r="V32" s="11">
        <v>41.69</v>
      </c>
      <c r="W32" s="13">
        <v>10</v>
      </c>
      <c r="X32" s="13">
        <v>15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100</v>
      </c>
      <c r="C33" s="10" t="s">
        <v>101</v>
      </c>
      <c r="D33" s="7" t="s">
        <v>40</v>
      </c>
      <c r="E33" s="7" t="s">
        <v>77</v>
      </c>
      <c r="F33" s="7" t="s">
        <v>78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2.85</v>
      </c>
      <c r="M33" s="11">
        <v>0.48</v>
      </c>
      <c r="N33" s="11">
        <v>0</v>
      </c>
      <c r="O33" s="11">
        <v>0.5700000000000001</v>
      </c>
      <c r="P33" s="11">
        <v>0</v>
      </c>
      <c r="Q33" s="11">
        <v>3.9</v>
      </c>
      <c r="R33" s="11">
        <v>9.27</v>
      </c>
      <c r="S33" s="11">
        <v>13.17</v>
      </c>
      <c r="T33" s="11">
        <v>2</v>
      </c>
      <c r="U33" s="11">
        <v>3</v>
      </c>
      <c r="V33" s="11">
        <v>8.17</v>
      </c>
      <c r="W33" s="13">
        <v>10</v>
      </c>
      <c r="X33" s="13">
        <v>15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102</v>
      </c>
      <c r="C34" s="10" t="s">
        <v>103</v>
      </c>
      <c r="D34" s="7" t="s">
        <v>40</v>
      </c>
      <c r="E34" s="7" t="s">
        <v>77</v>
      </c>
      <c r="F34" s="7" t="s">
        <v>78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5.859999999999999</v>
      </c>
      <c r="M34" s="11">
        <v>0.4</v>
      </c>
      <c r="N34" s="11">
        <v>0</v>
      </c>
      <c r="O34" s="11">
        <v>0.83</v>
      </c>
      <c r="P34" s="11">
        <v>0</v>
      </c>
      <c r="Q34" s="11">
        <v>7.089999999999999</v>
      </c>
      <c r="R34" s="11">
        <v>31.15999999999999</v>
      </c>
      <c r="S34" s="11">
        <v>38.24999999999999</v>
      </c>
      <c r="T34" s="11">
        <v>2</v>
      </c>
      <c r="U34" s="11">
        <v>3</v>
      </c>
      <c r="V34" s="11">
        <v>33.24999999999999</v>
      </c>
      <c r="W34" s="13">
        <v>10</v>
      </c>
      <c r="X34" s="13">
        <v>15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104</v>
      </c>
      <c r="C35" s="10" t="s">
        <v>105</v>
      </c>
      <c r="D35" s="7" t="s">
        <v>51</v>
      </c>
      <c r="E35" s="7" t="s">
        <v>77</v>
      </c>
      <c r="F35" s="7" t="s">
        <v>78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10.56</v>
      </c>
      <c r="M35" s="11">
        <v>0.32</v>
      </c>
      <c r="N35" s="11">
        <v>0</v>
      </c>
      <c r="O35" s="11">
        <v>0</v>
      </c>
      <c r="P35" s="11">
        <v>0</v>
      </c>
      <c r="Q35" s="11">
        <v>10.88</v>
      </c>
      <c r="R35" s="11">
        <v>58.17999999999999</v>
      </c>
      <c r="S35" s="11">
        <v>69.05999999999999</v>
      </c>
      <c r="T35" s="11">
        <v>2</v>
      </c>
      <c r="U35" s="11">
        <v>3</v>
      </c>
      <c r="V35" s="11">
        <v>64.05999999999999</v>
      </c>
      <c r="W35" s="13">
        <v>10</v>
      </c>
      <c r="X35" s="13">
        <v>15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106</v>
      </c>
      <c r="C36" s="10" t="s">
        <v>107</v>
      </c>
      <c r="D36" s="7" t="s">
        <v>46</v>
      </c>
      <c r="E36" s="7" t="s">
        <v>77</v>
      </c>
      <c r="F36" s="7" t="s">
        <v>78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6.789999999999996</v>
      </c>
      <c r="M36" s="11">
        <v>1.31</v>
      </c>
      <c r="N36" s="11">
        <v>0</v>
      </c>
      <c r="O36" s="11">
        <v>1.1</v>
      </c>
      <c r="P36" s="11">
        <v>0</v>
      </c>
      <c r="Q36" s="11">
        <v>9.199999999999994</v>
      </c>
      <c r="R36" s="11">
        <v>33.27999999999999</v>
      </c>
      <c r="S36" s="11">
        <v>42.47999999999999</v>
      </c>
      <c r="T36" s="11">
        <v>2</v>
      </c>
      <c r="U36" s="11">
        <v>3</v>
      </c>
      <c r="V36" s="11">
        <v>37.47999999999999</v>
      </c>
      <c r="W36" s="13">
        <v>10</v>
      </c>
      <c r="X36" s="13">
        <v>15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108</v>
      </c>
      <c r="C37" s="10" t="s">
        <v>109</v>
      </c>
      <c r="D37" s="7" t="s">
        <v>46</v>
      </c>
      <c r="E37" s="7" t="s">
        <v>77</v>
      </c>
      <c r="F37" s="7" t="s">
        <v>78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7.099999999999996</v>
      </c>
      <c r="M37" s="11">
        <v>0.8999999999999999</v>
      </c>
      <c r="N37" s="11">
        <v>0</v>
      </c>
      <c r="O37" s="11">
        <v>0.1</v>
      </c>
      <c r="P37" s="11">
        <v>0</v>
      </c>
      <c r="Q37" s="11">
        <v>8.099999999999994</v>
      </c>
      <c r="R37" s="11">
        <v>34.19999999999999</v>
      </c>
      <c r="S37" s="11">
        <v>42.29999999999998</v>
      </c>
      <c r="T37" s="11">
        <v>2</v>
      </c>
      <c r="U37" s="11">
        <v>3</v>
      </c>
      <c r="V37" s="11">
        <v>37.29999999999998</v>
      </c>
      <c r="W37" s="13">
        <v>10</v>
      </c>
      <c r="X37" s="13">
        <v>15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110</v>
      </c>
      <c r="C38" s="10" t="s">
        <v>111</v>
      </c>
      <c r="D38" s="7" t="s">
        <v>40</v>
      </c>
      <c r="E38" s="7" t="s">
        <v>77</v>
      </c>
      <c r="F38" s="7" t="s">
        <v>78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6.629999999999998</v>
      </c>
      <c r="M38" s="11">
        <v>0.32</v>
      </c>
      <c r="N38" s="11">
        <v>0</v>
      </c>
      <c r="O38" s="11">
        <v>0.54</v>
      </c>
      <c r="P38" s="11">
        <v>0</v>
      </c>
      <c r="Q38" s="11">
        <v>7.489999999999998</v>
      </c>
      <c r="R38" s="11">
        <v>30.89999999999999</v>
      </c>
      <c r="S38" s="11">
        <v>38.38999999999999</v>
      </c>
      <c r="T38" s="11">
        <v>2</v>
      </c>
      <c r="U38" s="11">
        <v>3</v>
      </c>
      <c r="V38" s="11">
        <v>33.38999999999999</v>
      </c>
      <c r="W38" s="13">
        <v>10</v>
      </c>
      <c r="X38" s="13">
        <v>15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112</v>
      </c>
      <c r="C39" s="10" t="s">
        <v>113</v>
      </c>
      <c r="D39" s="7" t="s">
        <v>40</v>
      </c>
      <c r="E39" s="7" t="s">
        <v>59</v>
      </c>
      <c r="F39" s="7" t="s">
        <v>78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7.029999999999998</v>
      </c>
      <c r="M39" s="11">
        <v>0.48</v>
      </c>
      <c r="N39" s="11">
        <v>0</v>
      </c>
      <c r="O39" s="11">
        <v>1.81</v>
      </c>
      <c r="P39" s="11">
        <v>0</v>
      </c>
      <c r="Q39" s="11">
        <v>9.319999999999999</v>
      </c>
      <c r="R39" s="11">
        <v>42.65999999999999</v>
      </c>
      <c r="S39" s="11">
        <v>51.97999999999999</v>
      </c>
      <c r="T39" s="11">
        <v>2</v>
      </c>
      <c r="U39" s="11">
        <v>3</v>
      </c>
      <c r="V39" s="11">
        <v>46.97999999999999</v>
      </c>
      <c r="W39" s="13">
        <v>10</v>
      </c>
      <c r="X39" s="13">
        <v>15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114</v>
      </c>
      <c r="C40" s="10" t="s">
        <v>115</v>
      </c>
      <c r="D40" s="7" t="s">
        <v>40</v>
      </c>
      <c r="E40" s="7" t="s">
        <v>77</v>
      </c>
      <c r="F40" s="7" t="s">
        <v>78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9.199999999999996</v>
      </c>
      <c r="M40" s="11">
        <v>1.62</v>
      </c>
      <c r="N40" s="11">
        <v>0</v>
      </c>
      <c r="O40" s="11">
        <v>3</v>
      </c>
      <c r="P40" s="11">
        <v>0</v>
      </c>
      <c r="Q40" s="11">
        <v>13.82</v>
      </c>
      <c r="R40" s="11">
        <v>52.56999999999999</v>
      </c>
      <c r="S40" s="11">
        <v>66.38999999999999</v>
      </c>
      <c r="T40" s="11">
        <v>2</v>
      </c>
      <c r="U40" s="11">
        <v>3</v>
      </c>
      <c r="V40" s="11">
        <v>61.38999999999999</v>
      </c>
      <c r="W40" s="13">
        <v>10</v>
      </c>
      <c r="X40" s="13">
        <v>15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116</v>
      </c>
      <c r="C41" s="10" t="s">
        <v>117</v>
      </c>
      <c r="D41" s="7" t="s">
        <v>46</v>
      </c>
      <c r="E41" s="7" t="s">
        <v>77</v>
      </c>
      <c r="F41" s="7" t="s">
        <v>78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3.870000000000001</v>
      </c>
      <c r="M41" s="11">
        <v>1.38</v>
      </c>
      <c r="N41" s="11">
        <v>0</v>
      </c>
      <c r="O41" s="11">
        <v>0</v>
      </c>
      <c r="P41" s="11">
        <v>0</v>
      </c>
      <c r="Q41" s="11">
        <v>5.25</v>
      </c>
      <c r="R41" s="11">
        <v>27.38999999999999</v>
      </c>
      <c r="S41" s="11">
        <v>32.63999999999999</v>
      </c>
      <c r="T41" s="11">
        <v>2</v>
      </c>
      <c r="U41" s="11">
        <v>3</v>
      </c>
      <c r="V41" s="11">
        <v>27.63999999999999</v>
      </c>
      <c r="W41" s="13">
        <v>10</v>
      </c>
      <c r="X41" s="13">
        <v>15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118</v>
      </c>
      <c r="C42" s="10" t="s">
        <v>119</v>
      </c>
      <c r="D42" s="7" t="s">
        <v>51</v>
      </c>
      <c r="E42" s="7" t="s">
        <v>77</v>
      </c>
      <c r="F42" s="7" t="s">
        <v>78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4.799999999999999</v>
      </c>
      <c r="M42" s="11">
        <v>0.24</v>
      </c>
      <c r="N42" s="11">
        <v>0</v>
      </c>
      <c r="O42" s="11">
        <v>0</v>
      </c>
      <c r="P42" s="11">
        <v>0</v>
      </c>
      <c r="Q42" s="11">
        <v>5.039999999999998</v>
      </c>
      <c r="R42" s="11">
        <v>27.27999999999998</v>
      </c>
      <c r="S42" s="11">
        <v>32.31999999999998</v>
      </c>
      <c r="T42" s="11">
        <v>2</v>
      </c>
      <c r="U42" s="11">
        <v>3</v>
      </c>
      <c r="V42" s="11">
        <v>27.31999999999998</v>
      </c>
      <c r="W42" s="13">
        <v>10</v>
      </c>
      <c r="X42" s="13">
        <v>15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120</v>
      </c>
      <c r="C43" s="10" t="s">
        <v>121</v>
      </c>
      <c r="D43" s="7" t="s">
        <v>46</v>
      </c>
      <c r="E43" s="7" t="s">
        <v>59</v>
      </c>
      <c r="F43" s="7" t="s">
        <v>78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6.589999999999995</v>
      </c>
      <c r="M43" s="11">
        <v>0.72</v>
      </c>
      <c r="N43" s="11">
        <v>0</v>
      </c>
      <c r="O43" s="11">
        <v>0</v>
      </c>
      <c r="P43" s="11">
        <v>0</v>
      </c>
      <c r="Q43" s="11">
        <v>7.309999999999996</v>
      </c>
      <c r="R43" s="11">
        <v>38.06999999999996</v>
      </c>
      <c r="S43" s="11">
        <v>45.37999999999996</v>
      </c>
      <c r="T43" s="11">
        <v>2</v>
      </c>
      <c r="U43" s="11">
        <v>3</v>
      </c>
      <c r="V43" s="11">
        <v>40.37999999999996</v>
      </c>
      <c r="W43" s="13">
        <v>10</v>
      </c>
      <c r="X43" s="13">
        <v>15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122</v>
      </c>
      <c r="C44" s="10" t="s">
        <v>123</v>
      </c>
      <c r="D44" s="7" t="s">
        <v>40</v>
      </c>
      <c r="E44" s="7" t="s">
        <v>77</v>
      </c>
      <c r="F44" s="7" t="s">
        <v>78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6.669999999999997</v>
      </c>
      <c r="M44" s="11">
        <v>0.24</v>
      </c>
      <c r="N44" s="11">
        <v>0</v>
      </c>
      <c r="O44" s="11">
        <v>0.18</v>
      </c>
      <c r="P44" s="11">
        <v>0</v>
      </c>
      <c r="Q44" s="11">
        <v>7.089999999999997</v>
      </c>
      <c r="R44" s="11">
        <v>34.46999999999998</v>
      </c>
      <c r="S44" s="11">
        <v>41.55999999999997</v>
      </c>
      <c r="T44" s="11">
        <v>2</v>
      </c>
      <c r="U44" s="11">
        <v>3</v>
      </c>
      <c r="V44" s="11">
        <v>36.55999999999997</v>
      </c>
      <c r="W44" s="13">
        <v>10</v>
      </c>
      <c r="X44" s="13">
        <v>15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124</v>
      </c>
      <c r="C45" s="10" t="s">
        <v>125</v>
      </c>
      <c r="D45" s="7" t="s">
        <v>46</v>
      </c>
      <c r="E45" s="7" t="s">
        <v>77</v>
      </c>
      <c r="F45" s="7" t="s">
        <v>78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7.039999999999996</v>
      </c>
      <c r="M45" s="11">
        <v>0.32</v>
      </c>
      <c r="N45" s="11">
        <v>0</v>
      </c>
      <c r="O45" s="11">
        <v>0</v>
      </c>
      <c r="P45" s="11">
        <v>0</v>
      </c>
      <c r="Q45" s="11">
        <v>7.359999999999995</v>
      </c>
      <c r="R45" s="11">
        <v>40.23999999999996</v>
      </c>
      <c r="S45" s="11">
        <v>47.59999999999995</v>
      </c>
      <c r="T45" s="11">
        <v>2</v>
      </c>
      <c r="U45" s="11">
        <v>3</v>
      </c>
      <c r="V45" s="11">
        <v>42.59999999999995</v>
      </c>
      <c r="W45" s="13">
        <v>10</v>
      </c>
      <c r="X45" s="13">
        <v>15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126</v>
      </c>
      <c r="C46" s="10" t="s">
        <v>127</v>
      </c>
      <c r="D46" s="7" t="s">
        <v>46</v>
      </c>
      <c r="E46" s="7" t="s">
        <v>77</v>
      </c>
      <c r="F46" s="7" t="s">
        <v>78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4.200000000000001</v>
      </c>
      <c r="M46" s="11">
        <v>1.14</v>
      </c>
      <c r="N46" s="11">
        <v>0</v>
      </c>
      <c r="O46" s="11">
        <v>0</v>
      </c>
      <c r="P46" s="11">
        <v>0</v>
      </c>
      <c r="Q46" s="11">
        <v>5.34</v>
      </c>
      <c r="R46" s="11">
        <v>20.81000000000001</v>
      </c>
      <c r="S46" s="11">
        <v>26.15000000000001</v>
      </c>
      <c r="T46" s="11">
        <v>2</v>
      </c>
      <c r="U46" s="11">
        <v>3</v>
      </c>
      <c r="V46" s="11">
        <v>21.15000000000001</v>
      </c>
      <c r="W46" s="13">
        <v>10</v>
      </c>
      <c r="X46" s="13">
        <v>15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128</v>
      </c>
      <c r="C47" s="10" t="s">
        <v>129</v>
      </c>
      <c r="D47" s="7" t="s">
        <v>40</v>
      </c>
      <c r="E47" s="7" t="s">
        <v>77</v>
      </c>
      <c r="F47" s="7" t="s">
        <v>78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7.089999999999995</v>
      </c>
      <c r="M47" s="11">
        <v>0.6599999999999999</v>
      </c>
      <c r="N47" s="11">
        <v>0</v>
      </c>
      <c r="O47" s="11">
        <v>0.18</v>
      </c>
      <c r="P47" s="11">
        <v>0</v>
      </c>
      <c r="Q47" s="11">
        <v>7.929999999999994</v>
      </c>
      <c r="R47" s="11">
        <v>35.89999999999999</v>
      </c>
      <c r="S47" s="11">
        <v>43.82999999999998</v>
      </c>
      <c r="T47" s="11">
        <v>2</v>
      </c>
      <c r="U47" s="11">
        <v>3</v>
      </c>
      <c r="V47" s="11">
        <v>38.82999999999998</v>
      </c>
      <c r="W47" s="13">
        <v>10</v>
      </c>
      <c r="X47" s="13">
        <v>15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130</v>
      </c>
      <c r="C48" s="10" t="s">
        <v>131</v>
      </c>
      <c r="D48" s="7" t="s">
        <v>40</v>
      </c>
      <c r="E48" s="7" t="s">
        <v>59</v>
      </c>
      <c r="F48" s="7" t="s">
        <v>78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6.039999999999996</v>
      </c>
      <c r="M48" s="11">
        <v>0.9</v>
      </c>
      <c r="N48" s="11">
        <v>0</v>
      </c>
      <c r="O48" s="11">
        <v>0.18</v>
      </c>
      <c r="P48" s="11">
        <v>0</v>
      </c>
      <c r="Q48" s="11">
        <v>7.119999999999997</v>
      </c>
      <c r="R48" s="11">
        <v>19.85</v>
      </c>
      <c r="S48" s="11">
        <v>26.97</v>
      </c>
      <c r="T48" s="11">
        <v>2</v>
      </c>
      <c r="U48" s="11">
        <v>3</v>
      </c>
      <c r="V48" s="11">
        <v>21.97</v>
      </c>
      <c r="W48" s="13">
        <v>10</v>
      </c>
      <c r="X48" s="13">
        <v>15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132</v>
      </c>
      <c r="C49" s="10" t="s">
        <v>133</v>
      </c>
      <c r="D49" s="7" t="s">
        <v>51</v>
      </c>
      <c r="E49" s="7" t="s">
        <v>72</v>
      </c>
      <c r="F49" s="7" t="s">
        <v>78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8.059999999999997</v>
      </c>
      <c r="M49" s="11">
        <v>0.4</v>
      </c>
      <c r="N49" s="11">
        <v>0</v>
      </c>
      <c r="O49" s="11">
        <v>1.44</v>
      </c>
      <c r="P49" s="11">
        <v>0</v>
      </c>
      <c r="Q49" s="11">
        <v>9.899999999999997</v>
      </c>
      <c r="R49" s="11">
        <v>65.88999999999996</v>
      </c>
      <c r="S49" s="11">
        <v>75.78999999999995</v>
      </c>
      <c r="T49" s="11">
        <v>2</v>
      </c>
      <c r="U49" s="11">
        <v>3</v>
      </c>
      <c r="V49" s="11">
        <v>70.78999999999995</v>
      </c>
      <c r="W49" s="13">
        <v>10</v>
      </c>
      <c r="X49" s="13">
        <v>15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134</v>
      </c>
      <c r="C50" s="10" t="s">
        <v>135</v>
      </c>
      <c r="D50" s="7" t="s">
        <v>40</v>
      </c>
      <c r="E50" s="7" t="s">
        <v>72</v>
      </c>
      <c r="F50" s="7" t="s">
        <v>78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6.699999999999997</v>
      </c>
      <c r="M50" s="11">
        <v>0</v>
      </c>
      <c r="N50" s="11">
        <v>0</v>
      </c>
      <c r="O50" s="11">
        <v>0.36</v>
      </c>
      <c r="P50" s="11">
        <v>0</v>
      </c>
      <c r="Q50" s="11">
        <v>7.059999999999997</v>
      </c>
      <c r="R50" s="11">
        <v>28.74999999999999</v>
      </c>
      <c r="S50" s="11">
        <v>35.80999999999998</v>
      </c>
      <c r="T50" s="11">
        <v>2</v>
      </c>
      <c r="U50" s="11">
        <v>3</v>
      </c>
      <c r="V50" s="11">
        <v>30.80999999999998</v>
      </c>
      <c r="W50" s="13">
        <v>10</v>
      </c>
      <c r="X50" s="13">
        <v>15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136</v>
      </c>
      <c r="C51" s="10" t="s">
        <v>137</v>
      </c>
      <c r="D51" s="7" t="s">
        <v>46</v>
      </c>
      <c r="E51" s="7" t="s">
        <v>77</v>
      </c>
      <c r="F51" s="7" t="s">
        <v>78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4.9</v>
      </c>
      <c r="M51" s="11">
        <v>0.32</v>
      </c>
      <c r="N51" s="11">
        <v>0</v>
      </c>
      <c r="O51" s="11">
        <v>0.1</v>
      </c>
      <c r="P51" s="11">
        <v>0</v>
      </c>
      <c r="Q51" s="11">
        <v>5.319999999999999</v>
      </c>
      <c r="R51" s="11">
        <v>25.21999999999999</v>
      </c>
      <c r="S51" s="11">
        <v>30.53999999999999</v>
      </c>
      <c r="T51" s="11">
        <v>2</v>
      </c>
      <c r="U51" s="11">
        <v>3</v>
      </c>
      <c r="V51" s="11">
        <v>25.53999999999999</v>
      </c>
      <c r="W51" s="13">
        <v>10</v>
      </c>
      <c r="X51" s="13">
        <v>15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138</v>
      </c>
      <c r="C52" s="10" t="s">
        <v>139</v>
      </c>
      <c r="D52" s="7" t="s">
        <v>40</v>
      </c>
      <c r="E52" s="7" t="s">
        <v>77</v>
      </c>
      <c r="F52" s="7" t="s">
        <v>78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6.979999999999996</v>
      </c>
      <c r="M52" s="11">
        <v>0.24</v>
      </c>
      <c r="N52" s="11">
        <v>0</v>
      </c>
      <c r="O52" s="11">
        <v>0.54</v>
      </c>
      <c r="P52" s="11">
        <v>0</v>
      </c>
      <c r="Q52" s="11">
        <v>7.759999999999996</v>
      </c>
      <c r="R52" s="11">
        <v>31.58999999999998</v>
      </c>
      <c r="S52" s="11">
        <v>39.34999999999998</v>
      </c>
      <c r="T52" s="11">
        <v>2</v>
      </c>
      <c r="U52" s="11">
        <v>3</v>
      </c>
      <c r="V52" s="11">
        <v>34.34999999999998</v>
      </c>
      <c r="W52" s="13">
        <v>10</v>
      </c>
      <c r="X52" s="13">
        <v>15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140</v>
      </c>
      <c r="C53" s="10" t="s">
        <v>141</v>
      </c>
      <c r="D53" s="7" t="s">
        <v>40</v>
      </c>
      <c r="E53" s="7" t="s">
        <v>72</v>
      </c>
      <c r="F53" s="7" t="s">
        <v>78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8.899999999999999</v>
      </c>
      <c r="M53" s="11">
        <v>0.16</v>
      </c>
      <c r="N53" s="11">
        <v>0</v>
      </c>
      <c r="O53" s="11">
        <v>0.18</v>
      </c>
      <c r="P53" s="11">
        <v>0</v>
      </c>
      <c r="Q53" s="11">
        <v>9.239999999999998</v>
      </c>
      <c r="R53" s="11">
        <v>36.18999999999998</v>
      </c>
      <c r="S53" s="11">
        <v>45.42999999999998</v>
      </c>
      <c r="T53" s="11">
        <v>2</v>
      </c>
      <c r="U53" s="11">
        <v>3</v>
      </c>
      <c r="V53" s="11">
        <v>40.42999999999998</v>
      </c>
      <c r="W53" s="13">
        <v>10</v>
      </c>
      <c r="X53" s="13">
        <v>15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142</v>
      </c>
      <c r="C54" s="10" t="s">
        <v>143</v>
      </c>
      <c r="D54" s="7" t="s">
        <v>51</v>
      </c>
      <c r="E54" s="7" t="s">
        <v>77</v>
      </c>
      <c r="F54" s="7" t="s">
        <v>78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9.529999999999999</v>
      </c>
      <c r="M54" s="11">
        <v>0.32</v>
      </c>
      <c r="N54" s="11">
        <v>0</v>
      </c>
      <c r="O54" s="11">
        <v>0</v>
      </c>
      <c r="P54" s="11">
        <v>0</v>
      </c>
      <c r="Q54" s="11">
        <v>9.85</v>
      </c>
      <c r="R54" s="11">
        <v>39.73999999999999</v>
      </c>
      <c r="S54" s="11">
        <v>49.58999999999999</v>
      </c>
      <c r="T54" s="11">
        <v>2</v>
      </c>
      <c r="U54" s="11">
        <v>3</v>
      </c>
      <c r="V54" s="11">
        <v>44.58999999999999</v>
      </c>
      <c r="W54" s="13">
        <v>10</v>
      </c>
      <c r="X54" s="13">
        <v>15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144</v>
      </c>
      <c r="C55" s="10" t="s">
        <v>145</v>
      </c>
      <c r="D55" s="7" t="s">
        <v>40</v>
      </c>
      <c r="E55" s="7" t="s">
        <v>77</v>
      </c>
      <c r="F55" s="7" t="s">
        <v>78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3.950000000000001</v>
      </c>
      <c r="M55" s="11">
        <v>0.24</v>
      </c>
      <c r="N55" s="11">
        <v>0</v>
      </c>
      <c r="O55" s="11">
        <v>0.46</v>
      </c>
      <c r="P55" s="11">
        <v>0</v>
      </c>
      <c r="Q55" s="11">
        <v>4.65</v>
      </c>
      <c r="R55" s="11">
        <v>21.42</v>
      </c>
      <c r="S55" s="11">
        <v>26.07</v>
      </c>
      <c r="T55" s="11">
        <v>2</v>
      </c>
      <c r="U55" s="11">
        <v>3</v>
      </c>
      <c r="V55" s="11">
        <v>21.07</v>
      </c>
      <c r="W55" s="13">
        <v>10</v>
      </c>
      <c r="X55" s="13">
        <v>15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146</v>
      </c>
      <c r="C56" s="10" t="s">
        <v>147</v>
      </c>
      <c r="D56" s="7" t="s">
        <v>51</v>
      </c>
      <c r="E56" s="7" t="s">
        <v>59</v>
      </c>
      <c r="F56" s="7" t="s">
        <v>78</v>
      </c>
      <c r="G56" s="7"/>
      <c r="H56" s="7" t="s">
        <v>148</v>
      </c>
      <c r="I56" s="11">
        <v>2</v>
      </c>
      <c r="J56" s="11">
        <v>3</v>
      </c>
      <c r="K56" s="11">
        <v>1</v>
      </c>
      <c r="L56" s="11">
        <v>2.99</v>
      </c>
      <c r="M56" s="11">
        <v>0.32</v>
      </c>
      <c r="N56" s="11">
        <v>0</v>
      </c>
      <c r="O56" s="11">
        <v>0.1</v>
      </c>
      <c r="P56" s="11">
        <v>0</v>
      </c>
      <c r="Q56" s="11">
        <v>4.41</v>
      </c>
      <c r="R56" s="11">
        <v>21.25</v>
      </c>
      <c r="S56" s="11">
        <v>25.66</v>
      </c>
      <c r="T56" s="11">
        <v>2</v>
      </c>
      <c r="U56" s="11">
        <v>3</v>
      </c>
      <c r="V56" s="11">
        <v>20.66</v>
      </c>
      <c r="W56" s="13">
        <v>10</v>
      </c>
      <c r="X56" s="13">
        <v>15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149</v>
      </c>
      <c r="C57" s="10" t="s">
        <v>150</v>
      </c>
      <c r="D57" s="7" t="s">
        <v>46</v>
      </c>
      <c r="E57" s="7" t="s">
        <v>77</v>
      </c>
      <c r="F57" s="7" t="s">
        <v>78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1.26</v>
      </c>
      <c r="M57" s="11">
        <v>0.64</v>
      </c>
      <c r="N57" s="11">
        <v>0</v>
      </c>
      <c r="O57" s="11">
        <v>0</v>
      </c>
      <c r="P57" s="11">
        <v>0</v>
      </c>
      <c r="Q57" s="11">
        <v>1.9</v>
      </c>
      <c r="R57" s="11">
        <v>7.149999999999999</v>
      </c>
      <c r="S57" s="11">
        <v>9.049999999999999</v>
      </c>
      <c r="T57" s="11">
        <v>2</v>
      </c>
      <c r="U57" s="11">
        <v>3</v>
      </c>
      <c r="V57" s="11">
        <v>4.049999999999999</v>
      </c>
      <c r="W57" s="13">
        <v>10</v>
      </c>
      <c r="X57" s="13">
        <v>15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151</v>
      </c>
      <c r="C58" s="10" t="s">
        <v>152</v>
      </c>
      <c r="D58" s="7" t="s">
        <v>46</v>
      </c>
      <c r="E58" s="7" t="s">
        <v>72</v>
      </c>
      <c r="F58" s="7" t="s">
        <v>78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4.630000000000001</v>
      </c>
      <c r="M58" s="11">
        <v>0.4</v>
      </c>
      <c r="N58" s="11">
        <v>0</v>
      </c>
      <c r="O58" s="11">
        <v>0</v>
      </c>
      <c r="P58" s="11">
        <v>0</v>
      </c>
      <c r="Q58" s="11">
        <v>5.03</v>
      </c>
      <c r="R58" s="11">
        <v>25.49999999999999</v>
      </c>
      <c r="S58" s="11">
        <v>30.52999999999999</v>
      </c>
      <c r="T58" s="11">
        <v>2</v>
      </c>
      <c r="U58" s="11">
        <v>3</v>
      </c>
      <c r="V58" s="11">
        <v>25.52999999999999</v>
      </c>
      <c r="W58" s="13">
        <v>10</v>
      </c>
      <c r="X58" s="13">
        <v>15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153</v>
      </c>
      <c r="C59" s="10" t="s">
        <v>154</v>
      </c>
      <c r="D59" s="7" t="s">
        <v>46</v>
      </c>
      <c r="E59" s="7" t="s">
        <v>77</v>
      </c>
      <c r="F59" s="7" t="s">
        <v>78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7.489999999999991</v>
      </c>
      <c r="M59" s="11">
        <v>0.5600000000000001</v>
      </c>
      <c r="N59" s="11">
        <v>0</v>
      </c>
      <c r="O59" s="11">
        <v>0</v>
      </c>
      <c r="P59" s="11">
        <v>0</v>
      </c>
      <c r="Q59" s="11">
        <v>8.049999999999992</v>
      </c>
      <c r="R59" s="11">
        <v>35.88999999999998</v>
      </c>
      <c r="S59" s="11">
        <v>43.93999999999997</v>
      </c>
      <c r="T59" s="11">
        <v>2</v>
      </c>
      <c r="U59" s="11">
        <v>3</v>
      </c>
      <c r="V59" s="11">
        <v>38.93999999999997</v>
      </c>
      <c r="W59" s="13">
        <v>10</v>
      </c>
      <c r="X59" s="13">
        <v>15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155</v>
      </c>
      <c r="C60" s="10" t="s">
        <v>156</v>
      </c>
      <c r="D60" s="7" t="s">
        <v>51</v>
      </c>
      <c r="E60" s="7" t="s">
        <v>77</v>
      </c>
      <c r="F60" s="7" t="s">
        <v>78</v>
      </c>
      <c r="G60" s="7"/>
      <c r="H60" s="7" t="s">
        <v>43</v>
      </c>
      <c r="I60" s="11">
        <v>2</v>
      </c>
      <c r="J60" s="11">
        <v>3</v>
      </c>
      <c r="K60" s="11">
        <v>0</v>
      </c>
      <c r="L60" s="11">
        <v>4.960000000000001</v>
      </c>
      <c r="M60" s="11">
        <v>0.24</v>
      </c>
      <c r="N60" s="11">
        <v>0</v>
      </c>
      <c r="O60" s="11">
        <v>0</v>
      </c>
      <c r="P60" s="11">
        <v>0</v>
      </c>
      <c r="Q60" s="11">
        <v>5.200000000000001</v>
      </c>
      <c r="R60" s="11">
        <v>23.52999999999999</v>
      </c>
      <c r="S60" s="11">
        <v>28.73</v>
      </c>
      <c r="T60" s="11">
        <v>2</v>
      </c>
      <c r="U60" s="11">
        <v>3</v>
      </c>
      <c r="V60" s="11">
        <v>23.73</v>
      </c>
      <c r="W60" s="13">
        <v>10</v>
      </c>
      <c r="X60" s="13">
        <v>15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157</v>
      </c>
      <c r="C61" s="10" t="s">
        <v>158</v>
      </c>
      <c r="D61" s="7" t="s">
        <v>40</v>
      </c>
      <c r="E61" s="7" t="s">
        <v>77</v>
      </c>
      <c r="F61" s="7" t="s">
        <v>78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5.399999999999999</v>
      </c>
      <c r="M61" s="11">
        <v>1.21</v>
      </c>
      <c r="N61" s="11">
        <v>0</v>
      </c>
      <c r="O61" s="11">
        <v>1.78</v>
      </c>
      <c r="P61" s="11">
        <v>0</v>
      </c>
      <c r="Q61" s="11">
        <v>8.389999999999999</v>
      </c>
      <c r="R61" s="11">
        <v>32.39999999999998</v>
      </c>
      <c r="S61" s="11">
        <v>40.78999999999998</v>
      </c>
      <c r="T61" s="11">
        <v>2</v>
      </c>
      <c r="U61" s="11">
        <v>3</v>
      </c>
      <c r="V61" s="11">
        <v>35.78999999999998</v>
      </c>
      <c r="W61" s="13">
        <v>10</v>
      </c>
      <c r="X61" s="13">
        <v>15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159</v>
      </c>
      <c r="C62" s="10" t="s">
        <v>160</v>
      </c>
      <c r="D62" s="7" t="s">
        <v>46</v>
      </c>
      <c r="E62" s="7" t="s">
        <v>72</v>
      </c>
      <c r="F62" s="7" t="s">
        <v>78</v>
      </c>
      <c r="G62" s="7"/>
      <c r="H62" s="7" t="s">
        <v>67</v>
      </c>
      <c r="I62" s="11">
        <v>2</v>
      </c>
      <c r="J62" s="11">
        <v>3</v>
      </c>
      <c r="K62" s="11">
        <v>0.95</v>
      </c>
      <c r="L62" s="11">
        <v>4.9</v>
      </c>
      <c r="M62" s="11">
        <v>0.48</v>
      </c>
      <c r="N62" s="11">
        <v>0</v>
      </c>
      <c r="O62" s="11">
        <v>0.76</v>
      </c>
      <c r="P62" s="11">
        <v>0</v>
      </c>
      <c r="Q62" s="11">
        <v>7.09</v>
      </c>
      <c r="R62" s="11">
        <v>30.81999999999999</v>
      </c>
      <c r="S62" s="11">
        <v>37.91</v>
      </c>
      <c r="T62" s="11">
        <v>2</v>
      </c>
      <c r="U62" s="11">
        <v>3</v>
      </c>
      <c r="V62" s="11">
        <v>32.91</v>
      </c>
      <c r="W62" s="13">
        <v>10</v>
      </c>
      <c r="X62" s="13">
        <v>15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161</v>
      </c>
      <c r="C63" s="10" t="s">
        <v>162</v>
      </c>
      <c r="D63" s="7" t="s">
        <v>40</v>
      </c>
      <c r="E63" s="7" t="s">
        <v>77</v>
      </c>
      <c r="F63" s="7" t="s">
        <v>78</v>
      </c>
      <c r="G63" s="7"/>
      <c r="H63" s="7" t="s">
        <v>163</v>
      </c>
      <c r="I63" s="11">
        <v>2</v>
      </c>
      <c r="J63" s="11">
        <v>3</v>
      </c>
      <c r="K63" s="11">
        <v>1.33</v>
      </c>
      <c r="L63" s="11">
        <v>4.68</v>
      </c>
      <c r="M63" s="11">
        <v>0.4</v>
      </c>
      <c r="N63" s="11">
        <v>0</v>
      </c>
      <c r="O63" s="11">
        <v>6.269999999999996</v>
      </c>
      <c r="P63" s="11">
        <v>0</v>
      </c>
      <c r="Q63" s="11">
        <v>12.67999999999999</v>
      </c>
      <c r="R63" s="11">
        <v>40.29999999999999</v>
      </c>
      <c r="S63" s="11">
        <v>52.97999999999998</v>
      </c>
      <c r="T63" s="11">
        <v>2</v>
      </c>
      <c r="U63" s="11">
        <v>3</v>
      </c>
      <c r="V63" s="11">
        <v>47.97999999999998</v>
      </c>
      <c r="W63" s="13">
        <v>10</v>
      </c>
      <c r="X63" s="13">
        <v>15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164</v>
      </c>
      <c r="C64" s="10" t="s">
        <v>165</v>
      </c>
      <c r="D64" s="7" t="s">
        <v>51</v>
      </c>
      <c r="E64" s="7" t="s">
        <v>77</v>
      </c>
      <c r="F64" s="7" t="s">
        <v>78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6.849999999999997</v>
      </c>
      <c r="M64" s="11">
        <v>0.32</v>
      </c>
      <c r="N64" s="11">
        <v>0</v>
      </c>
      <c r="O64" s="11">
        <v>0.18</v>
      </c>
      <c r="P64" s="11">
        <v>0</v>
      </c>
      <c r="Q64" s="11">
        <v>7.349999999999997</v>
      </c>
      <c r="R64" s="11">
        <v>31.09999999999999</v>
      </c>
      <c r="S64" s="11">
        <v>38.44999999999999</v>
      </c>
      <c r="T64" s="11">
        <v>2</v>
      </c>
      <c r="U64" s="11">
        <v>3</v>
      </c>
      <c r="V64" s="11">
        <v>33.44999999999999</v>
      </c>
      <c r="W64" s="13">
        <v>10</v>
      </c>
      <c r="X64" s="13">
        <v>15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166</v>
      </c>
      <c r="C65" s="10" t="s">
        <v>167</v>
      </c>
      <c r="D65" s="7" t="s">
        <v>40</v>
      </c>
      <c r="E65" s="7" t="s">
        <v>77</v>
      </c>
      <c r="F65" s="7" t="s">
        <v>88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6.979999999999994</v>
      </c>
      <c r="M65" s="11">
        <v>0.24</v>
      </c>
      <c r="N65" s="11">
        <v>0</v>
      </c>
      <c r="O65" s="11">
        <v>0.18</v>
      </c>
      <c r="P65" s="11">
        <v>0</v>
      </c>
      <c r="Q65" s="11">
        <v>7.399999999999994</v>
      </c>
      <c r="R65" s="11">
        <v>41.71999999999997</v>
      </c>
      <c r="S65" s="11">
        <v>49.11999999999996</v>
      </c>
      <c r="T65" s="11">
        <v>2</v>
      </c>
      <c r="U65" s="11">
        <v>3</v>
      </c>
      <c r="V65" s="11">
        <v>44.11999999999996</v>
      </c>
      <c r="W65" s="13">
        <v>10</v>
      </c>
      <c r="X65" s="13">
        <v>15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168</v>
      </c>
      <c r="C66" s="10" t="s">
        <v>169</v>
      </c>
      <c r="D66" s="7" t="s">
        <v>40</v>
      </c>
      <c r="E66" s="7" t="s">
        <v>170</v>
      </c>
      <c r="F66" s="7" t="s">
        <v>171</v>
      </c>
      <c r="G66" s="7"/>
      <c r="H66" s="7" t="s">
        <v>172</v>
      </c>
      <c r="I66" s="11">
        <v>2</v>
      </c>
      <c r="J66" s="11">
        <v>3</v>
      </c>
      <c r="K66" s="11">
        <v>0.95</v>
      </c>
      <c r="L66" s="11">
        <v>6.099999999999998</v>
      </c>
      <c r="M66" s="11">
        <v>0.73</v>
      </c>
      <c r="N66" s="11">
        <v>0</v>
      </c>
      <c r="O66" s="11">
        <v>3.13</v>
      </c>
      <c r="P66" s="11">
        <v>0</v>
      </c>
      <c r="Q66" s="11">
        <v>10.91</v>
      </c>
      <c r="R66" s="11">
        <v>32.91999999999999</v>
      </c>
      <c r="S66" s="11">
        <v>43.82999999999998</v>
      </c>
      <c r="T66" s="11">
        <v>2</v>
      </c>
      <c r="U66" s="11">
        <v>3</v>
      </c>
      <c r="V66" s="11">
        <v>38.82999999999998</v>
      </c>
      <c r="W66" s="13">
        <v>10</v>
      </c>
      <c r="X66" s="13">
        <v>15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173</v>
      </c>
      <c r="C67" s="10" t="s">
        <v>174</v>
      </c>
      <c r="D67" s="7" t="s">
        <v>51</v>
      </c>
      <c r="E67" s="7" t="s">
        <v>175</v>
      </c>
      <c r="F67" s="7" t="s">
        <v>171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5.04</v>
      </c>
      <c r="M67" s="11">
        <v>0</v>
      </c>
      <c r="N67" s="11">
        <v>0</v>
      </c>
      <c r="O67" s="11">
        <v>1.72</v>
      </c>
      <c r="P67" s="11">
        <v>0</v>
      </c>
      <c r="Q67" s="11">
        <v>6.76</v>
      </c>
      <c r="R67" s="11">
        <v>33.20999999999999</v>
      </c>
      <c r="S67" s="11">
        <v>39.96999999999999</v>
      </c>
      <c r="T67" s="11">
        <v>2</v>
      </c>
      <c r="U67" s="11">
        <v>3</v>
      </c>
      <c r="V67" s="11">
        <v>34.96999999999999</v>
      </c>
      <c r="W67" s="13">
        <v>10</v>
      </c>
      <c r="X67" s="13">
        <v>15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176</v>
      </c>
      <c r="C68" s="10" t="s">
        <v>177</v>
      </c>
      <c r="D68" s="7" t="s">
        <v>51</v>
      </c>
      <c r="E68" s="7" t="s">
        <v>178</v>
      </c>
      <c r="F68" s="7" t="s">
        <v>171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4.830000000000001</v>
      </c>
      <c r="M68" s="11">
        <v>0.16</v>
      </c>
      <c r="N68" s="11">
        <v>0</v>
      </c>
      <c r="O68" s="11">
        <v>0</v>
      </c>
      <c r="P68" s="11">
        <v>0</v>
      </c>
      <c r="Q68" s="11">
        <v>4.99</v>
      </c>
      <c r="R68" s="11">
        <v>21.56</v>
      </c>
      <c r="S68" s="11">
        <v>26.55</v>
      </c>
      <c r="T68" s="11">
        <v>2</v>
      </c>
      <c r="U68" s="11">
        <v>3</v>
      </c>
      <c r="V68" s="11">
        <v>21.55</v>
      </c>
      <c r="W68" s="13">
        <v>10</v>
      </c>
      <c r="X68" s="13">
        <v>15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179</v>
      </c>
      <c r="C69" s="10" t="s">
        <v>180</v>
      </c>
      <c r="D69" s="7" t="s">
        <v>46</v>
      </c>
      <c r="E69" s="7" t="s">
        <v>175</v>
      </c>
      <c r="F69" s="7" t="s">
        <v>171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5.46</v>
      </c>
      <c r="M69" s="11">
        <v>1.31</v>
      </c>
      <c r="N69" s="11">
        <v>0</v>
      </c>
      <c r="O69" s="11">
        <v>0.5700000000000001</v>
      </c>
      <c r="P69" s="11">
        <v>0</v>
      </c>
      <c r="Q69" s="11">
        <v>7.339999999999999</v>
      </c>
      <c r="R69" s="11">
        <v>31.37</v>
      </c>
      <c r="S69" s="11">
        <v>38.70999999999999</v>
      </c>
      <c r="T69" s="11">
        <v>2</v>
      </c>
      <c r="U69" s="11">
        <v>3</v>
      </c>
      <c r="V69" s="11">
        <v>33.70999999999999</v>
      </c>
      <c r="W69" s="13">
        <v>10</v>
      </c>
      <c r="X69" s="13">
        <v>15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181</v>
      </c>
      <c r="C70" s="10" t="s">
        <v>182</v>
      </c>
      <c r="D70" s="7" t="s">
        <v>40</v>
      </c>
      <c r="E70" s="7" t="s">
        <v>175</v>
      </c>
      <c r="F70" s="7" t="s">
        <v>171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5.679999999999999</v>
      </c>
      <c r="M70" s="11">
        <v>0.64</v>
      </c>
      <c r="N70" s="11">
        <v>0</v>
      </c>
      <c r="O70" s="11">
        <v>0.18</v>
      </c>
      <c r="P70" s="11">
        <v>0</v>
      </c>
      <c r="Q70" s="11">
        <v>6.499999999999997</v>
      </c>
      <c r="R70" s="11">
        <v>30.70999999999999</v>
      </c>
      <c r="S70" s="11">
        <v>37.20999999999999</v>
      </c>
      <c r="T70" s="11">
        <v>2</v>
      </c>
      <c r="U70" s="11">
        <v>3</v>
      </c>
      <c r="V70" s="11">
        <v>32.20999999999999</v>
      </c>
      <c r="W70" s="13">
        <v>10</v>
      </c>
      <c r="X70" s="13">
        <v>15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183</v>
      </c>
      <c r="C71" s="10" t="s">
        <v>184</v>
      </c>
      <c r="D71" s="7" t="s">
        <v>51</v>
      </c>
      <c r="E71" s="7" t="s">
        <v>175</v>
      </c>
      <c r="F71" s="7" t="s">
        <v>171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5.220000000000001</v>
      </c>
      <c r="M71" s="11">
        <v>0.4</v>
      </c>
      <c r="N71" s="11">
        <v>0</v>
      </c>
      <c r="O71" s="11">
        <v>0</v>
      </c>
      <c r="P71" s="11">
        <v>0</v>
      </c>
      <c r="Q71" s="11">
        <v>5.62</v>
      </c>
      <c r="R71" s="11">
        <v>27.18999999999999</v>
      </c>
      <c r="S71" s="11">
        <v>32.80999999999999</v>
      </c>
      <c r="T71" s="11">
        <v>2</v>
      </c>
      <c r="U71" s="11">
        <v>3</v>
      </c>
      <c r="V71" s="11">
        <v>27.80999999999999</v>
      </c>
      <c r="W71" s="13">
        <v>10</v>
      </c>
      <c r="X71" s="13">
        <v>15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185</v>
      </c>
      <c r="C72" s="10" t="s">
        <v>186</v>
      </c>
      <c r="D72" s="7" t="s">
        <v>51</v>
      </c>
      <c r="E72" s="7" t="s">
        <v>187</v>
      </c>
      <c r="F72" s="7" t="s">
        <v>171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4.980000000000001</v>
      </c>
      <c r="M72" s="11">
        <v>0.24</v>
      </c>
      <c r="N72" s="11">
        <v>0</v>
      </c>
      <c r="O72" s="11">
        <v>0</v>
      </c>
      <c r="P72" s="11">
        <v>0</v>
      </c>
      <c r="Q72" s="11">
        <v>5.220000000000001</v>
      </c>
      <c r="R72" s="11">
        <v>26.29</v>
      </c>
      <c r="S72" s="11">
        <v>31.51</v>
      </c>
      <c r="T72" s="11">
        <v>2</v>
      </c>
      <c r="U72" s="11">
        <v>3</v>
      </c>
      <c r="V72" s="11">
        <v>26.51</v>
      </c>
      <c r="W72" s="13">
        <v>10</v>
      </c>
      <c r="X72" s="13">
        <v>15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188</v>
      </c>
      <c r="C73" s="10" t="s">
        <v>189</v>
      </c>
      <c r="D73" s="7" t="s">
        <v>40</v>
      </c>
      <c r="E73" s="7" t="s">
        <v>187</v>
      </c>
      <c r="F73" s="7" t="s">
        <v>171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5.869999999999997</v>
      </c>
      <c r="M73" s="11">
        <v>0.4</v>
      </c>
      <c r="N73" s="11">
        <v>0</v>
      </c>
      <c r="O73" s="11">
        <v>0.36</v>
      </c>
      <c r="P73" s="11">
        <v>0</v>
      </c>
      <c r="Q73" s="11">
        <v>6.629999999999996</v>
      </c>
      <c r="R73" s="11">
        <v>35.17999999999998</v>
      </c>
      <c r="S73" s="11">
        <v>41.80999999999997</v>
      </c>
      <c r="T73" s="11">
        <v>2</v>
      </c>
      <c r="U73" s="11">
        <v>3</v>
      </c>
      <c r="V73" s="11">
        <v>36.80999999999997</v>
      </c>
      <c r="W73" s="13">
        <v>10</v>
      </c>
      <c r="X73" s="13">
        <v>15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190</v>
      </c>
      <c r="C74" s="10" t="s">
        <v>191</v>
      </c>
      <c r="D74" s="7" t="s">
        <v>51</v>
      </c>
      <c r="E74" s="7" t="s">
        <v>175</v>
      </c>
      <c r="F74" s="7" t="s">
        <v>171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8.239999999999997</v>
      </c>
      <c r="M74" s="11">
        <v>0.4</v>
      </c>
      <c r="N74" s="11">
        <v>0</v>
      </c>
      <c r="O74" s="11">
        <v>0.18</v>
      </c>
      <c r="P74" s="11">
        <v>0</v>
      </c>
      <c r="Q74" s="11">
        <v>8.819999999999997</v>
      </c>
      <c r="R74" s="11">
        <v>29.78999999999998</v>
      </c>
      <c r="S74" s="11">
        <v>38.60999999999999</v>
      </c>
      <c r="T74" s="11">
        <v>2</v>
      </c>
      <c r="U74" s="11">
        <v>3</v>
      </c>
      <c r="V74" s="11">
        <v>33.60999999999999</v>
      </c>
      <c r="W74" s="13">
        <v>10</v>
      </c>
      <c r="X74" s="13">
        <v>15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192</v>
      </c>
      <c r="C75" s="10" t="s">
        <v>193</v>
      </c>
      <c r="D75" s="7" t="s">
        <v>51</v>
      </c>
      <c r="E75" s="7" t="s">
        <v>175</v>
      </c>
      <c r="F75" s="7" t="s">
        <v>171</v>
      </c>
      <c r="G75" s="7"/>
      <c r="H75" s="7" t="s">
        <v>194</v>
      </c>
      <c r="I75" s="11">
        <v>2</v>
      </c>
      <c r="J75" s="11">
        <v>3</v>
      </c>
      <c r="K75" s="11">
        <v>1</v>
      </c>
      <c r="L75" s="11">
        <v>8.959999999999997</v>
      </c>
      <c r="M75" s="11">
        <v>0.91</v>
      </c>
      <c r="N75" s="11">
        <v>0</v>
      </c>
      <c r="O75" s="11">
        <v>2.1</v>
      </c>
      <c r="P75" s="11">
        <v>0.8</v>
      </c>
      <c r="Q75" s="11">
        <v>13.77</v>
      </c>
      <c r="R75" s="11">
        <v>47.76000000000001</v>
      </c>
      <c r="S75" s="11">
        <v>61.53</v>
      </c>
      <c r="T75" s="11">
        <v>2</v>
      </c>
      <c r="U75" s="11">
        <v>3</v>
      </c>
      <c r="V75" s="11">
        <v>56.53</v>
      </c>
      <c r="W75" s="13">
        <v>10</v>
      </c>
      <c r="X75" s="13">
        <v>15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195</v>
      </c>
      <c r="C76" s="10" t="s">
        <v>196</v>
      </c>
      <c r="D76" s="7" t="s">
        <v>46</v>
      </c>
      <c r="E76" s="7" t="s">
        <v>175</v>
      </c>
      <c r="F76" s="7" t="s">
        <v>171</v>
      </c>
      <c r="G76" s="7"/>
      <c r="H76" s="7" t="s">
        <v>197</v>
      </c>
      <c r="I76" s="11">
        <v>2</v>
      </c>
      <c r="J76" s="11">
        <v>3</v>
      </c>
      <c r="K76" s="11">
        <v>0.95</v>
      </c>
      <c r="L76" s="11">
        <v>13.41999999999999</v>
      </c>
      <c r="M76" s="11">
        <v>0.32</v>
      </c>
      <c r="N76" s="11">
        <v>0</v>
      </c>
      <c r="O76" s="11">
        <v>0.18</v>
      </c>
      <c r="P76" s="11">
        <v>0</v>
      </c>
      <c r="Q76" s="11">
        <v>14.86999999999999</v>
      </c>
      <c r="R76" s="11">
        <v>51.77999999999998</v>
      </c>
      <c r="S76" s="11">
        <v>66.64999999999998</v>
      </c>
      <c r="T76" s="11">
        <v>2</v>
      </c>
      <c r="U76" s="11">
        <v>3</v>
      </c>
      <c r="V76" s="11">
        <v>61.64999999999998</v>
      </c>
      <c r="W76" s="13">
        <v>10</v>
      </c>
      <c r="X76" s="13">
        <v>15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198</v>
      </c>
      <c r="C77" s="10" t="s">
        <v>199</v>
      </c>
      <c r="D77" s="7" t="s">
        <v>46</v>
      </c>
      <c r="E77" s="7" t="s">
        <v>175</v>
      </c>
      <c r="F77" s="7" t="s">
        <v>171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4.77</v>
      </c>
      <c r="M77" s="11">
        <v>0.8100000000000001</v>
      </c>
      <c r="N77" s="11">
        <v>0</v>
      </c>
      <c r="O77" s="11">
        <v>1.69</v>
      </c>
      <c r="P77" s="11">
        <v>0</v>
      </c>
      <c r="Q77" s="11">
        <v>7.27</v>
      </c>
      <c r="R77" s="11">
        <v>27.29</v>
      </c>
      <c r="S77" s="11">
        <v>34.56</v>
      </c>
      <c r="T77" s="11">
        <v>2</v>
      </c>
      <c r="U77" s="11">
        <v>3</v>
      </c>
      <c r="V77" s="11">
        <v>29.56</v>
      </c>
      <c r="W77" s="13">
        <v>10</v>
      </c>
      <c r="X77" s="13">
        <v>15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200</v>
      </c>
      <c r="C78" s="10" t="s">
        <v>201</v>
      </c>
      <c r="D78" s="7" t="s">
        <v>46</v>
      </c>
      <c r="E78" s="7" t="s">
        <v>187</v>
      </c>
      <c r="F78" s="7" t="s">
        <v>171</v>
      </c>
      <c r="G78" s="7"/>
      <c r="H78" s="7" t="s">
        <v>202</v>
      </c>
      <c r="I78" s="11">
        <v>2</v>
      </c>
      <c r="J78" s="11">
        <v>3</v>
      </c>
      <c r="K78" s="11">
        <v>1.33</v>
      </c>
      <c r="L78" s="11">
        <v>7.279999999999997</v>
      </c>
      <c r="M78" s="11">
        <v>0.32</v>
      </c>
      <c r="N78" s="11">
        <v>0</v>
      </c>
      <c r="O78" s="11">
        <v>6.929999999999994</v>
      </c>
      <c r="P78" s="11">
        <v>0</v>
      </c>
      <c r="Q78" s="11">
        <v>15.85999999999999</v>
      </c>
      <c r="R78" s="11">
        <v>51.19999999999998</v>
      </c>
      <c r="S78" s="11">
        <v>67.05999999999997</v>
      </c>
      <c r="T78" s="11">
        <v>2</v>
      </c>
      <c r="U78" s="11">
        <v>3</v>
      </c>
      <c r="V78" s="11">
        <v>62.05999999999997</v>
      </c>
      <c r="W78" s="13">
        <v>10</v>
      </c>
      <c r="X78" s="13">
        <v>15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203</v>
      </c>
      <c r="C79" s="10" t="s">
        <v>204</v>
      </c>
      <c r="D79" s="7" t="s">
        <v>46</v>
      </c>
      <c r="E79" s="7" t="s">
        <v>187</v>
      </c>
      <c r="F79" s="7" t="s">
        <v>171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5.729999999999999</v>
      </c>
      <c r="M79" s="11">
        <v>0.4</v>
      </c>
      <c r="N79" s="11">
        <v>0</v>
      </c>
      <c r="O79" s="11">
        <v>0.3</v>
      </c>
      <c r="P79" s="11">
        <v>0</v>
      </c>
      <c r="Q79" s="11">
        <v>6.429999999999998</v>
      </c>
      <c r="R79" s="11">
        <v>39.84999999999998</v>
      </c>
      <c r="S79" s="11">
        <v>46.27999999999998</v>
      </c>
      <c r="T79" s="11">
        <v>2</v>
      </c>
      <c r="U79" s="11">
        <v>3</v>
      </c>
      <c r="V79" s="11">
        <v>41.27999999999998</v>
      </c>
      <c r="W79" s="13">
        <v>10</v>
      </c>
      <c r="X79" s="13">
        <v>15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205</v>
      </c>
      <c r="C80" s="10" t="s">
        <v>206</v>
      </c>
      <c r="D80" s="7" t="s">
        <v>40</v>
      </c>
      <c r="E80" s="7" t="s">
        <v>175</v>
      </c>
      <c r="F80" s="7" t="s">
        <v>171</v>
      </c>
      <c r="G80" s="7"/>
      <c r="H80" s="7" t="s">
        <v>67</v>
      </c>
      <c r="I80" s="11">
        <v>2</v>
      </c>
      <c r="J80" s="11">
        <v>3</v>
      </c>
      <c r="K80" s="11">
        <v>0.95</v>
      </c>
      <c r="L80" s="11">
        <v>10.28999999999999</v>
      </c>
      <c r="M80" s="11">
        <v>0.24</v>
      </c>
      <c r="N80" s="11">
        <v>0</v>
      </c>
      <c r="O80" s="11">
        <v>3.49</v>
      </c>
      <c r="P80" s="11">
        <v>0</v>
      </c>
      <c r="Q80" s="11">
        <v>14.96999999999999</v>
      </c>
      <c r="R80" s="11">
        <v>52.38999999999998</v>
      </c>
      <c r="S80" s="11">
        <v>67.35999999999997</v>
      </c>
      <c r="T80" s="11">
        <v>2</v>
      </c>
      <c r="U80" s="11">
        <v>3</v>
      </c>
      <c r="V80" s="11">
        <v>62.35999999999997</v>
      </c>
      <c r="W80" s="13">
        <v>10</v>
      </c>
      <c r="X80" s="13">
        <v>15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207</v>
      </c>
      <c r="C81" s="10" t="s">
        <v>208</v>
      </c>
      <c r="D81" s="7" t="s">
        <v>46</v>
      </c>
      <c r="E81" s="7" t="s">
        <v>187</v>
      </c>
      <c r="F81" s="7" t="s">
        <v>171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8.94</v>
      </c>
      <c r="M81" s="11">
        <v>0.65</v>
      </c>
      <c r="N81" s="11">
        <v>0</v>
      </c>
      <c r="O81" s="11">
        <v>0</v>
      </c>
      <c r="P81" s="11">
        <v>0</v>
      </c>
      <c r="Q81" s="11">
        <v>9.59</v>
      </c>
      <c r="R81" s="11">
        <v>44.64999999999998</v>
      </c>
      <c r="S81" s="11">
        <v>54.23999999999998</v>
      </c>
      <c r="T81" s="11">
        <v>2</v>
      </c>
      <c r="U81" s="11">
        <v>3</v>
      </c>
      <c r="V81" s="11">
        <v>49.23999999999998</v>
      </c>
      <c r="W81" s="13">
        <v>10</v>
      </c>
      <c r="X81" s="13">
        <v>15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209</v>
      </c>
      <c r="C82" s="10" t="s">
        <v>210</v>
      </c>
      <c r="D82" s="7" t="s">
        <v>46</v>
      </c>
      <c r="E82" s="7" t="s">
        <v>175</v>
      </c>
      <c r="F82" s="7" t="s">
        <v>171</v>
      </c>
      <c r="G82" s="7"/>
      <c r="H82" s="7" t="s">
        <v>194</v>
      </c>
      <c r="I82" s="11">
        <v>2</v>
      </c>
      <c r="J82" s="11">
        <v>3</v>
      </c>
      <c r="K82" s="11">
        <v>1</v>
      </c>
      <c r="L82" s="11">
        <v>9.509999999999996</v>
      </c>
      <c r="M82" s="11">
        <v>0.4</v>
      </c>
      <c r="N82" s="11">
        <v>0</v>
      </c>
      <c r="O82" s="11">
        <v>0.76</v>
      </c>
      <c r="P82" s="11">
        <v>0</v>
      </c>
      <c r="Q82" s="11">
        <v>11.67</v>
      </c>
      <c r="R82" s="11">
        <v>51.24999999999999</v>
      </c>
      <c r="S82" s="11">
        <v>62.91999999999998</v>
      </c>
      <c r="T82" s="11">
        <v>2</v>
      </c>
      <c r="U82" s="11">
        <v>3</v>
      </c>
      <c r="V82" s="11">
        <v>57.91999999999998</v>
      </c>
      <c r="W82" s="13">
        <v>10</v>
      </c>
      <c r="X82" s="13">
        <v>15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211</v>
      </c>
      <c r="C83" s="10" t="s">
        <v>212</v>
      </c>
      <c r="D83" s="7" t="s">
        <v>40</v>
      </c>
      <c r="E83" s="7" t="s">
        <v>187</v>
      </c>
      <c r="F83" s="7" t="s">
        <v>171</v>
      </c>
      <c r="G83" s="7"/>
      <c r="H83" s="7" t="s">
        <v>67</v>
      </c>
      <c r="I83" s="11">
        <v>2</v>
      </c>
      <c r="J83" s="11">
        <v>3</v>
      </c>
      <c r="K83" s="11">
        <v>0.95</v>
      </c>
      <c r="L83" s="11">
        <v>10.24</v>
      </c>
      <c r="M83" s="11">
        <v>0.5600000000000001</v>
      </c>
      <c r="N83" s="11">
        <v>0</v>
      </c>
      <c r="O83" s="11">
        <v>1.13</v>
      </c>
      <c r="P83" s="11">
        <v>0</v>
      </c>
      <c r="Q83" s="11">
        <v>12.88</v>
      </c>
      <c r="R83" s="11">
        <v>55.95999999999999</v>
      </c>
      <c r="S83" s="11">
        <v>68.83999999999999</v>
      </c>
      <c r="T83" s="11">
        <v>2</v>
      </c>
      <c r="U83" s="11">
        <v>3</v>
      </c>
      <c r="V83" s="11">
        <v>63.83999999999999</v>
      </c>
      <c r="W83" s="13">
        <v>10</v>
      </c>
      <c r="X83" s="13">
        <v>15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213</v>
      </c>
      <c r="C84" s="10" t="s">
        <v>214</v>
      </c>
      <c r="D84" s="7" t="s">
        <v>51</v>
      </c>
      <c r="E84" s="7" t="s">
        <v>175</v>
      </c>
      <c r="F84" s="7" t="s">
        <v>171</v>
      </c>
      <c r="G84" s="7"/>
      <c r="H84" s="7" t="s">
        <v>215</v>
      </c>
      <c r="I84" s="11">
        <v>2</v>
      </c>
      <c r="J84" s="11">
        <v>3</v>
      </c>
      <c r="K84" s="11">
        <v>0.95</v>
      </c>
      <c r="L84" s="11">
        <v>9.829999999999998</v>
      </c>
      <c r="M84" s="11">
        <v>0.32</v>
      </c>
      <c r="N84" s="11">
        <v>0</v>
      </c>
      <c r="O84" s="11">
        <v>0.95</v>
      </c>
      <c r="P84" s="11">
        <v>0</v>
      </c>
      <c r="Q84" s="11">
        <v>12.05</v>
      </c>
      <c r="R84" s="11">
        <v>55.67999999999999</v>
      </c>
      <c r="S84" s="11">
        <v>67.72999999999999</v>
      </c>
      <c r="T84" s="11">
        <v>2</v>
      </c>
      <c r="U84" s="11">
        <v>3</v>
      </c>
      <c r="V84" s="11">
        <v>62.72999999999999</v>
      </c>
      <c r="W84" s="13">
        <v>10</v>
      </c>
      <c r="X84" s="13">
        <v>15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216</v>
      </c>
      <c r="C85" s="10" t="s">
        <v>217</v>
      </c>
      <c r="D85" s="7" t="s">
        <v>51</v>
      </c>
      <c r="E85" s="7" t="s">
        <v>187</v>
      </c>
      <c r="F85" s="7" t="s">
        <v>171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5.839999999999998</v>
      </c>
      <c r="M85" s="11">
        <v>0.32</v>
      </c>
      <c r="N85" s="11">
        <v>0</v>
      </c>
      <c r="O85" s="11">
        <v>0</v>
      </c>
      <c r="P85" s="11">
        <v>0</v>
      </c>
      <c r="Q85" s="11">
        <v>6.159999999999997</v>
      </c>
      <c r="R85" s="11">
        <v>26.31999999999999</v>
      </c>
      <c r="S85" s="11">
        <v>32.47999999999999</v>
      </c>
      <c r="T85" s="11">
        <v>2</v>
      </c>
      <c r="U85" s="11">
        <v>3</v>
      </c>
      <c r="V85" s="11">
        <v>27.47999999999999</v>
      </c>
      <c r="W85" s="13">
        <v>10</v>
      </c>
      <c r="X85" s="13">
        <v>15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218</v>
      </c>
      <c r="C86" s="10" t="s">
        <v>219</v>
      </c>
      <c r="D86" s="7" t="s">
        <v>51</v>
      </c>
      <c r="E86" s="7" t="s">
        <v>175</v>
      </c>
      <c r="F86" s="7" t="s">
        <v>171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3.520000000000001</v>
      </c>
      <c r="M86" s="11">
        <v>0.24</v>
      </c>
      <c r="N86" s="11">
        <v>0</v>
      </c>
      <c r="O86" s="11">
        <v>0</v>
      </c>
      <c r="P86" s="11">
        <v>0</v>
      </c>
      <c r="Q86" s="11">
        <v>3.760000000000002</v>
      </c>
      <c r="R86" s="11">
        <v>21.63</v>
      </c>
      <c r="S86" s="11">
        <v>25.39</v>
      </c>
      <c r="T86" s="11">
        <v>2</v>
      </c>
      <c r="U86" s="11">
        <v>3</v>
      </c>
      <c r="V86" s="11">
        <v>20.39</v>
      </c>
      <c r="W86" s="13">
        <v>10</v>
      </c>
      <c r="X86" s="13">
        <v>15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220</v>
      </c>
      <c r="C87" s="10" t="s">
        <v>221</v>
      </c>
      <c r="D87" s="7" t="s">
        <v>40</v>
      </c>
      <c r="E87" s="7" t="s">
        <v>175</v>
      </c>
      <c r="F87" s="7" t="s">
        <v>171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5.279999999999998</v>
      </c>
      <c r="M87" s="11">
        <v>0.48</v>
      </c>
      <c r="N87" s="11">
        <v>0</v>
      </c>
      <c r="O87" s="11">
        <v>0.18</v>
      </c>
      <c r="P87" s="11">
        <v>0</v>
      </c>
      <c r="Q87" s="11">
        <v>5.939999999999997</v>
      </c>
      <c r="R87" s="11">
        <v>26.88999999999999</v>
      </c>
      <c r="S87" s="11">
        <v>32.82999999999998</v>
      </c>
      <c r="T87" s="11">
        <v>2</v>
      </c>
      <c r="U87" s="11">
        <v>3</v>
      </c>
      <c r="V87" s="11">
        <v>27.82999999999998</v>
      </c>
      <c r="W87" s="13">
        <v>10</v>
      </c>
      <c r="X87" s="13">
        <v>15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222</v>
      </c>
      <c r="C88" s="10" t="s">
        <v>223</v>
      </c>
      <c r="D88" s="7" t="s">
        <v>40</v>
      </c>
      <c r="E88" s="7" t="s">
        <v>187</v>
      </c>
      <c r="F88" s="7" t="s">
        <v>171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6.259999999999998</v>
      </c>
      <c r="M88" s="11">
        <v>0.24</v>
      </c>
      <c r="N88" s="11">
        <v>0</v>
      </c>
      <c r="O88" s="11">
        <v>0.18</v>
      </c>
      <c r="P88" s="11">
        <v>0</v>
      </c>
      <c r="Q88" s="11">
        <v>6.679999999999997</v>
      </c>
      <c r="R88" s="11">
        <v>32.35999999999999</v>
      </c>
      <c r="S88" s="11">
        <v>39.03999999999998</v>
      </c>
      <c r="T88" s="11">
        <v>2</v>
      </c>
      <c r="U88" s="11">
        <v>3</v>
      </c>
      <c r="V88" s="11">
        <v>34.03999999999998</v>
      </c>
      <c r="W88" s="13">
        <v>10</v>
      </c>
      <c r="X88" s="13">
        <v>15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224</v>
      </c>
      <c r="C89" s="10" t="s">
        <v>225</v>
      </c>
      <c r="D89" s="7" t="s">
        <v>40</v>
      </c>
      <c r="E89" s="7" t="s">
        <v>175</v>
      </c>
      <c r="F89" s="7" t="s">
        <v>171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8.719999999999997</v>
      </c>
      <c r="M89" s="11">
        <v>0.32</v>
      </c>
      <c r="N89" s="11">
        <v>0</v>
      </c>
      <c r="O89" s="11">
        <v>0.42</v>
      </c>
      <c r="P89" s="11">
        <v>0</v>
      </c>
      <c r="Q89" s="11">
        <v>9.459999999999997</v>
      </c>
      <c r="R89" s="11">
        <v>49.15999999999997</v>
      </c>
      <c r="S89" s="11">
        <v>58.61999999999996</v>
      </c>
      <c r="T89" s="11">
        <v>2</v>
      </c>
      <c r="U89" s="11">
        <v>3</v>
      </c>
      <c r="V89" s="11">
        <v>53.61999999999996</v>
      </c>
      <c r="W89" s="13">
        <v>10</v>
      </c>
      <c r="X89" s="13">
        <v>15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226</v>
      </c>
      <c r="C90" s="10" t="s">
        <v>227</v>
      </c>
      <c r="D90" s="7" t="s">
        <v>40</v>
      </c>
      <c r="E90" s="7" t="s">
        <v>175</v>
      </c>
      <c r="F90" s="7" t="s">
        <v>171</v>
      </c>
      <c r="G90" s="7"/>
      <c r="H90" s="7" t="s">
        <v>228</v>
      </c>
      <c r="I90" s="11">
        <v>2</v>
      </c>
      <c r="J90" s="11">
        <v>3</v>
      </c>
      <c r="K90" s="11">
        <v>0.83</v>
      </c>
      <c r="L90" s="11">
        <v>3.390000000000001</v>
      </c>
      <c r="M90" s="11">
        <v>0</v>
      </c>
      <c r="N90" s="11">
        <v>0</v>
      </c>
      <c r="O90" s="11">
        <v>0.38</v>
      </c>
      <c r="P90" s="11">
        <v>0</v>
      </c>
      <c r="Q90" s="11">
        <v>4.600000000000001</v>
      </c>
      <c r="R90" s="11">
        <v>23.78</v>
      </c>
      <c r="S90" s="11">
        <v>28.38</v>
      </c>
      <c r="T90" s="11">
        <v>2</v>
      </c>
      <c r="U90" s="11">
        <v>3</v>
      </c>
      <c r="V90" s="11">
        <v>23.38</v>
      </c>
      <c r="W90" s="13">
        <v>10</v>
      </c>
      <c r="X90" s="13">
        <v>15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229</v>
      </c>
      <c r="C91" s="10" t="s">
        <v>230</v>
      </c>
      <c r="D91" s="7" t="s">
        <v>40</v>
      </c>
      <c r="E91" s="7" t="s">
        <v>175</v>
      </c>
      <c r="F91" s="7" t="s">
        <v>171</v>
      </c>
      <c r="G91" s="7"/>
      <c r="H91" s="7" t="s">
        <v>67</v>
      </c>
      <c r="I91" s="11">
        <v>2</v>
      </c>
      <c r="J91" s="11">
        <v>3</v>
      </c>
      <c r="K91" s="11">
        <v>0.95</v>
      </c>
      <c r="L91" s="11">
        <v>4.02</v>
      </c>
      <c r="M91" s="11">
        <v>0.16</v>
      </c>
      <c r="N91" s="11">
        <v>0</v>
      </c>
      <c r="O91" s="11">
        <v>0.18</v>
      </c>
      <c r="P91" s="11">
        <v>0</v>
      </c>
      <c r="Q91" s="11">
        <v>5.31</v>
      </c>
      <c r="R91" s="11">
        <v>28.22999999999999</v>
      </c>
      <c r="S91" s="11">
        <v>33.53999999999999</v>
      </c>
      <c r="T91" s="11">
        <v>2</v>
      </c>
      <c r="U91" s="11">
        <v>3</v>
      </c>
      <c r="V91" s="11">
        <v>28.53999999999999</v>
      </c>
      <c r="W91" s="13">
        <v>10</v>
      </c>
      <c r="X91" s="13">
        <v>15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231</v>
      </c>
      <c r="C92" s="10" t="s">
        <v>232</v>
      </c>
      <c r="D92" s="7" t="s">
        <v>46</v>
      </c>
      <c r="E92" s="7" t="s">
        <v>187</v>
      </c>
      <c r="F92" s="7" t="s">
        <v>171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7.11</v>
      </c>
      <c r="M92" s="11">
        <v>0.32</v>
      </c>
      <c r="N92" s="11">
        <v>0</v>
      </c>
      <c r="O92" s="11">
        <v>0.7</v>
      </c>
      <c r="P92" s="11">
        <v>0</v>
      </c>
      <c r="Q92" s="11">
        <v>8.130000000000001</v>
      </c>
      <c r="R92" s="11">
        <v>33.16</v>
      </c>
      <c r="S92" s="11">
        <v>41.29</v>
      </c>
      <c r="T92" s="11">
        <v>2</v>
      </c>
      <c r="U92" s="11">
        <v>3</v>
      </c>
      <c r="V92" s="11">
        <v>36.29</v>
      </c>
      <c r="W92" s="13">
        <v>10</v>
      </c>
      <c r="X92" s="13">
        <v>15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233</v>
      </c>
      <c r="C93" s="10" t="s">
        <v>234</v>
      </c>
      <c r="D93" s="7" t="s">
        <v>40</v>
      </c>
      <c r="E93" s="7" t="s">
        <v>187</v>
      </c>
      <c r="F93" s="7" t="s">
        <v>171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5.580000000000001</v>
      </c>
      <c r="M93" s="11">
        <v>0.48</v>
      </c>
      <c r="N93" s="11">
        <v>0</v>
      </c>
      <c r="O93" s="11">
        <v>0.18</v>
      </c>
      <c r="P93" s="11">
        <v>0</v>
      </c>
      <c r="Q93" s="11">
        <v>6.239999999999999</v>
      </c>
      <c r="R93" s="11">
        <v>20.24</v>
      </c>
      <c r="S93" s="11">
        <v>26.48</v>
      </c>
      <c r="T93" s="11">
        <v>2</v>
      </c>
      <c r="U93" s="11">
        <v>3</v>
      </c>
      <c r="V93" s="11">
        <v>21.48</v>
      </c>
      <c r="W93" s="13">
        <v>10</v>
      </c>
      <c r="X93" s="13">
        <v>15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235</v>
      </c>
      <c r="C94" s="10" t="s">
        <v>236</v>
      </c>
      <c r="D94" s="7" t="s">
        <v>46</v>
      </c>
      <c r="E94" s="7" t="s">
        <v>175</v>
      </c>
      <c r="F94" s="7" t="s">
        <v>171</v>
      </c>
      <c r="G94" s="7"/>
      <c r="H94" s="7"/>
      <c r="I94" s="11">
        <v>2</v>
      </c>
      <c r="J94" s="11">
        <v>3</v>
      </c>
      <c r="K94" s="11">
        <v>0</v>
      </c>
      <c r="L94" s="11">
        <v>0</v>
      </c>
      <c r="M94" s="11">
        <v>0</v>
      </c>
      <c r="N94" s="11">
        <v>0</v>
      </c>
      <c r="O94" s="11">
        <v>0</v>
      </c>
      <c r="P94" s="11">
        <v>0</v>
      </c>
      <c r="Q94" s="11">
        <v>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13">
        <v>10</v>
      </c>
      <c r="X94" s="13">
        <v>15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237</v>
      </c>
      <c r="C95" s="10" t="s">
        <v>238</v>
      </c>
      <c r="D95" s="7" t="s">
        <v>51</v>
      </c>
      <c r="E95" s="7" t="s">
        <v>187</v>
      </c>
      <c r="F95" s="7" t="s">
        <v>171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4.130000000000002</v>
      </c>
      <c r="M95" s="11">
        <v>0.98</v>
      </c>
      <c r="N95" s="11">
        <v>0</v>
      </c>
      <c r="O95" s="11">
        <v>0</v>
      </c>
      <c r="P95" s="11">
        <v>0</v>
      </c>
      <c r="Q95" s="11">
        <v>5.11</v>
      </c>
      <c r="R95" s="11">
        <v>24.21</v>
      </c>
      <c r="S95" s="11">
        <v>29.32</v>
      </c>
      <c r="T95" s="11">
        <v>2</v>
      </c>
      <c r="U95" s="11">
        <v>3</v>
      </c>
      <c r="V95" s="11">
        <v>24.32</v>
      </c>
      <c r="W95" s="13">
        <v>10</v>
      </c>
      <c r="X95" s="13">
        <v>15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239</v>
      </c>
      <c r="C96" s="10" t="s">
        <v>240</v>
      </c>
      <c r="D96" s="7" t="s">
        <v>40</v>
      </c>
      <c r="E96" s="7" t="s">
        <v>170</v>
      </c>
      <c r="F96" s="7" t="s">
        <v>171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8.119999999999994</v>
      </c>
      <c r="M96" s="11">
        <v>0.32</v>
      </c>
      <c r="N96" s="11">
        <v>0</v>
      </c>
      <c r="O96" s="11">
        <v>0.78</v>
      </c>
      <c r="P96" s="11">
        <v>0</v>
      </c>
      <c r="Q96" s="11">
        <v>9.219999999999994</v>
      </c>
      <c r="R96" s="11">
        <v>30.45999999999998</v>
      </c>
      <c r="S96" s="11">
        <v>39.67999999999997</v>
      </c>
      <c r="T96" s="11">
        <v>2</v>
      </c>
      <c r="U96" s="11">
        <v>3</v>
      </c>
      <c r="V96" s="11">
        <v>34.67999999999997</v>
      </c>
      <c r="W96" s="13">
        <v>10</v>
      </c>
      <c r="X96" s="13">
        <v>15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241</v>
      </c>
      <c r="C97" s="10" t="s">
        <v>242</v>
      </c>
      <c r="D97" s="7" t="s">
        <v>40</v>
      </c>
      <c r="E97" s="7" t="s">
        <v>175</v>
      </c>
      <c r="F97" s="7" t="s">
        <v>171</v>
      </c>
      <c r="G97" s="7"/>
      <c r="H97" s="7" t="s">
        <v>197</v>
      </c>
      <c r="I97" s="11">
        <v>2</v>
      </c>
      <c r="J97" s="11">
        <v>3</v>
      </c>
      <c r="K97" s="11">
        <v>0.95</v>
      </c>
      <c r="L97" s="11">
        <v>6.859999999999998</v>
      </c>
      <c r="M97" s="11">
        <v>0.32</v>
      </c>
      <c r="N97" s="11">
        <v>0</v>
      </c>
      <c r="O97" s="11">
        <v>0.6</v>
      </c>
      <c r="P97" s="11">
        <v>0</v>
      </c>
      <c r="Q97" s="11">
        <v>8.729999999999997</v>
      </c>
      <c r="R97" s="11">
        <v>45.89999999999997</v>
      </c>
      <c r="S97" s="11">
        <v>54.62999999999997</v>
      </c>
      <c r="T97" s="11">
        <v>2</v>
      </c>
      <c r="U97" s="11">
        <v>3</v>
      </c>
      <c r="V97" s="11">
        <v>49.62999999999997</v>
      </c>
      <c r="W97" s="13">
        <v>10</v>
      </c>
      <c r="X97" s="13">
        <v>15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243</v>
      </c>
      <c r="C98" s="10" t="s">
        <v>244</v>
      </c>
      <c r="D98" s="7" t="s">
        <v>40</v>
      </c>
      <c r="E98" s="7" t="s">
        <v>175</v>
      </c>
      <c r="F98" s="7" t="s">
        <v>171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4.680000000000001</v>
      </c>
      <c r="M98" s="11">
        <v>0.65</v>
      </c>
      <c r="N98" s="11">
        <v>0</v>
      </c>
      <c r="O98" s="11">
        <v>0.18</v>
      </c>
      <c r="P98" s="11">
        <v>0</v>
      </c>
      <c r="Q98" s="11">
        <v>5.51</v>
      </c>
      <c r="R98" s="11">
        <v>24.63</v>
      </c>
      <c r="S98" s="11">
        <v>30.13999999999999</v>
      </c>
      <c r="T98" s="11">
        <v>2</v>
      </c>
      <c r="U98" s="11">
        <v>3</v>
      </c>
      <c r="V98" s="11">
        <v>25.13999999999999</v>
      </c>
      <c r="W98" s="13">
        <v>10</v>
      </c>
      <c r="X98" s="13">
        <v>15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245</v>
      </c>
      <c r="C99" s="10" t="s">
        <v>246</v>
      </c>
      <c r="D99" s="7" t="s">
        <v>40</v>
      </c>
      <c r="E99" s="7" t="s">
        <v>187</v>
      </c>
      <c r="F99" s="7" t="s">
        <v>171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2.910000000000001</v>
      </c>
      <c r="M99" s="11">
        <v>0.4</v>
      </c>
      <c r="N99" s="11">
        <v>0</v>
      </c>
      <c r="O99" s="11">
        <v>0.18</v>
      </c>
      <c r="P99" s="11">
        <v>0</v>
      </c>
      <c r="Q99" s="11">
        <v>3.490000000000001</v>
      </c>
      <c r="R99" s="11">
        <v>13.35</v>
      </c>
      <c r="S99" s="11">
        <v>16.84</v>
      </c>
      <c r="T99" s="11">
        <v>2</v>
      </c>
      <c r="U99" s="11">
        <v>3</v>
      </c>
      <c r="V99" s="11">
        <v>11.84</v>
      </c>
      <c r="W99" s="13">
        <v>10</v>
      </c>
      <c r="X99" s="13">
        <v>15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247</v>
      </c>
      <c r="C100" s="10" t="s">
        <v>248</v>
      </c>
      <c r="D100" s="7" t="s">
        <v>51</v>
      </c>
      <c r="E100" s="7" t="s">
        <v>187</v>
      </c>
      <c r="F100" s="7" t="s">
        <v>171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7.979999999999997</v>
      </c>
      <c r="M100" s="11">
        <v>0.16</v>
      </c>
      <c r="N100" s="11">
        <v>0</v>
      </c>
      <c r="O100" s="11">
        <v>0</v>
      </c>
      <c r="P100" s="11">
        <v>0</v>
      </c>
      <c r="Q100" s="11">
        <v>8.139999999999997</v>
      </c>
      <c r="R100" s="11">
        <v>31.29999999999998</v>
      </c>
      <c r="S100" s="11">
        <v>39.43999999999998</v>
      </c>
      <c r="T100" s="11">
        <v>2</v>
      </c>
      <c r="U100" s="11">
        <v>3</v>
      </c>
      <c r="V100" s="11">
        <v>34.43999999999998</v>
      </c>
      <c r="W100" s="13">
        <v>10</v>
      </c>
      <c r="X100" s="13">
        <v>15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249</v>
      </c>
      <c r="C101" s="10" t="s">
        <v>250</v>
      </c>
      <c r="D101" s="7" t="s">
        <v>46</v>
      </c>
      <c r="E101" s="7" t="s">
        <v>170</v>
      </c>
      <c r="F101" s="7" t="s">
        <v>171</v>
      </c>
      <c r="G101" s="7"/>
      <c r="H101" s="7"/>
      <c r="I101" s="11">
        <v>2</v>
      </c>
      <c r="J101" s="11">
        <v>3</v>
      </c>
      <c r="K101" s="11">
        <v>0</v>
      </c>
      <c r="L101" s="11">
        <v>0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13">
        <v>10</v>
      </c>
      <c r="X101" s="13">
        <v>15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251</v>
      </c>
      <c r="C102" s="10" t="s">
        <v>252</v>
      </c>
      <c r="D102" s="7" t="s">
        <v>51</v>
      </c>
      <c r="E102" s="7" t="s">
        <v>187</v>
      </c>
      <c r="F102" s="7" t="s">
        <v>171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4.670000000000001</v>
      </c>
      <c r="M102" s="11">
        <v>0.08</v>
      </c>
      <c r="N102" s="11">
        <v>0</v>
      </c>
      <c r="O102" s="11">
        <v>0</v>
      </c>
      <c r="P102" s="11">
        <v>0</v>
      </c>
      <c r="Q102" s="11">
        <v>4.75</v>
      </c>
      <c r="R102" s="11">
        <v>25.59999999999999</v>
      </c>
      <c r="S102" s="11">
        <v>30.34999999999999</v>
      </c>
      <c r="T102" s="11">
        <v>2</v>
      </c>
      <c r="U102" s="11">
        <v>3</v>
      </c>
      <c r="V102" s="11">
        <v>25.34999999999999</v>
      </c>
      <c r="W102" s="13">
        <v>10</v>
      </c>
      <c r="X102" s="13">
        <v>15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253</v>
      </c>
      <c r="C103" s="10" t="s">
        <v>254</v>
      </c>
      <c r="D103" s="7" t="s">
        <v>40</v>
      </c>
      <c r="E103" s="7" t="s">
        <v>175</v>
      </c>
      <c r="F103" s="7" t="s">
        <v>171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4.779999999999998</v>
      </c>
      <c r="M103" s="11">
        <v>0.8899999999999999</v>
      </c>
      <c r="N103" s="11">
        <v>0</v>
      </c>
      <c r="O103" s="11">
        <v>1.88</v>
      </c>
      <c r="P103" s="11">
        <v>0</v>
      </c>
      <c r="Q103" s="11">
        <v>7.549999999999999</v>
      </c>
      <c r="R103" s="11">
        <v>31.76999999999997</v>
      </c>
      <c r="S103" s="11">
        <v>39.31999999999997</v>
      </c>
      <c r="T103" s="11">
        <v>2</v>
      </c>
      <c r="U103" s="11">
        <v>3</v>
      </c>
      <c r="V103" s="11">
        <v>34.31999999999997</v>
      </c>
      <c r="W103" s="13">
        <v>10</v>
      </c>
      <c r="X103" s="13">
        <v>15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255</v>
      </c>
      <c r="C104" s="10" t="s">
        <v>256</v>
      </c>
      <c r="D104" s="7" t="s">
        <v>51</v>
      </c>
      <c r="E104" s="7" t="s">
        <v>175</v>
      </c>
      <c r="F104" s="7" t="s">
        <v>171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7.889999999999998</v>
      </c>
      <c r="M104" s="11">
        <v>0.48</v>
      </c>
      <c r="N104" s="11">
        <v>0</v>
      </c>
      <c r="O104" s="11">
        <v>0.18</v>
      </c>
      <c r="P104" s="11">
        <v>0</v>
      </c>
      <c r="Q104" s="11">
        <v>8.549999999999994</v>
      </c>
      <c r="R104" s="11">
        <v>31.74999999999999</v>
      </c>
      <c r="S104" s="11">
        <v>40.29999999999998</v>
      </c>
      <c r="T104" s="11">
        <v>2</v>
      </c>
      <c r="U104" s="11">
        <v>3</v>
      </c>
      <c r="V104" s="11">
        <v>35.29999999999998</v>
      </c>
      <c r="W104" s="13">
        <v>10</v>
      </c>
      <c r="X104" s="13">
        <v>15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257</v>
      </c>
      <c r="C105" s="10" t="s">
        <v>258</v>
      </c>
      <c r="D105" s="7" t="s">
        <v>51</v>
      </c>
      <c r="E105" s="7" t="s">
        <v>175</v>
      </c>
      <c r="F105" s="7" t="s">
        <v>171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7.459999999999996</v>
      </c>
      <c r="M105" s="11">
        <v>0.4</v>
      </c>
      <c r="N105" s="11">
        <v>0</v>
      </c>
      <c r="O105" s="11">
        <v>0.36</v>
      </c>
      <c r="P105" s="11">
        <v>0</v>
      </c>
      <c r="Q105" s="11">
        <v>8.219999999999995</v>
      </c>
      <c r="R105" s="11">
        <v>32.21999999999998</v>
      </c>
      <c r="S105" s="11">
        <v>40.43999999999998</v>
      </c>
      <c r="T105" s="11">
        <v>2</v>
      </c>
      <c r="U105" s="11">
        <v>3</v>
      </c>
      <c r="V105" s="11">
        <v>35.43999999999998</v>
      </c>
      <c r="W105" s="13">
        <v>10</v>
      </c>
      <c r="X105" s="13">
        <v>15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259</v>
      </c>
      <c r="C106" s="10" t="s">
        <v>260</v>
      </c>
      <c r="D106" s="7" t="s">
        <v>51</v>
      </c>
      <c r="E106" s="7" t="s">
        <v>187</v>
      </c>
      <c r="F106" s="7" t="s">
        <v>171</v>
      </c>
      <c r="G106" s="7"/>
      <c r="H106" s="7" t="s">
        <v>67</v>
      </c>
      <c r="I106" s="11">
        <v>2</v>
      </c>
      <c r="J106" s="11">
        <v>3</v>
      </c>
      <c r="K106" s="11">
        <v>0.95</v>
      </c>
      <c r="L106" s="11">
        <v>5.349999999999999</v>
      </c>
      <c r="M106" s="11">
        <v>0.32</v>
      </c>
      <c r="N106" s="11">
        <v>0</v>
      </c>
      <c r="O106" s="11">
        <v>1.56</v>
      </c>
      <c r="P106" s="11">
        <v>0</v>
      </c>
      <c r="Q106" s="11">
        <v>8.179999999999998</v>
      </c>
      <c r="R106" s="11">
        <v>36.84999999999999</v>
      </c>
      <c r="S106" s="11">
        <v>45.02999999999999</v>
      </c>
      <c r="T106" s="11">
        <v>2</v>
      </c>
      <c r="U106" s="11">
        <v>3</v>
      </c>
      <c r="V106" s="11">
        <v>40.02999999999999</v>
      </c>
      <c r="W106" s="13">
        <v>10</v>
      </c>
      <c r="X106" s="13">
        <v>15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261</v>
      </c>
      <c r="C107" s="10" t="s">
        <v>262</v>
      </c>
      <c r="D107" s="7" t="s">
        <v>40</v>
      </c>
      <c r="E107" s="7" t="s">
        <v>187</v>
      </c>
      <c r="F107" s="7" t="s">
        <v>171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5.85</v>
      </c>
      <c r="M107" s="11">
        <v>0.8900000000000001</v>
      </c>
      <c r="N107" s="11">
        <v>0</v>
      </c>
      <c r="O107" s="11">
        <v>0.36</v>
      </c>
      <c r="P107" s="11">
        <v>0</v>
      </c>
      <c r="Q107" s="11">
        <v>7.099999999999998</v>
      </c>
      <c r="R107" s="11">
        <v>25.84999999999999</v>
      </c>
      <c r="S107" s="11">
        <v>32.94999999999999</v>
      </c>
      <c r="T107" s="11">
        <v>2</v>
      </c>
      <c r="U107" s="11">
        <v>3</v>
      </c>
      <c r="V107" s="11">
        <v>27.94999999999999</v>
      </c>
      <c r="W107" s="13">
        <v>10</v>
      </c>
      <c r="X107" s="13">
        <v>15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263</v>
      </c>
      <c r="C108" s="10" t="s">
        <v>264</v>
      </c>
      <c r="D108" s="7" t="s">
        <v>40</v>
      </c>
      <c r="E108" s="7" t="s">
        <v>170</v>
      </c>
      <c r="F108" s="7" t="s">
        <v>171</v>
      </c>
      <c r="G108" s="7"/>
      <c r="H108" s="7" t="s">
        <v>43</v>
      </c>
      <c r="I108" s="11">
        <v>2</v>
      </c>
      <c r="J108" s="11">
        <v>3</v>
      </c>
      <c r="K108" s="11">
        <v>0</v>
      </c>
      <c r="L108" s="11">
        <v>5.449999999999999</v>
      </c>
      <c r="M108" s="11">
        <v>0.4</v>
      </c>
      <c r="N108" s="11">
        <v>0</v>
      </c>
      <c r="O108" s="11">
        <v>0.18</v>
      </c>
      <c r="P108" s="11">
        <v>0</v>
      </c>
      <c r="Q108" s="11">
        <v>6.029999999999998</v>
      </c>
      <c r="R108" s="11">
        <v>24.06999999999999</v>
      </c>
      <c r="S108" s="11">
        <v>30.09999999999999</v>
      </c>
      <c r="T108" s="11">
        <v>2</v>
      </c>
      <c r="U108" s="11">
        <v>3</v>
      </c>
      <c r="V108" s="11">
        <v>25.09999999999999</v>
      </c>
      <c r="W108" s="13">
        <v>10</v>
      </c>
      <c r="X108" s="13">
        <v>15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265</v>
      </c>
      <c r="C109" s="10" t="s">
        <v>266</v>
      </c>
      <c r="D109" s="7" t="s">
        <v>46</v>
      </c>
      <c r="E109" s="7" t="s">
        <v>187</v>
      </c>
      <c r="F109" s="7" t="s">
        <v>171</v>
      </c>
      <c r="G109" s="7"/>
      <c r="H109" s="7" t="s">
        <v>172</v>
      </c>
      <c r="I109" s="11">
        <v>2</v>
      </c>
      <c r="J109" s="11">
        <v>3</v>
      </c>
      <c r="K109" s="11">
        <v>0.95</v>
      </c>
      <c r="L109" s="11">
        <v>5.289999999999999</v>
      </c>
      <c r="M109" s="11">
        <v>0.24</v>
      </c>
      <c r="N109" s="11">
        <v>0</v>
      </c>
      <c r="O109" s="11">
        <v>0.52</v>
      </c>
      <c r="P109" s="11">
        <v>0</v>
      </c>
      <c r="Q109" s="11">
        <v>6.999999999999999</v>
      </c>
      <c r="R109" s="11">
        <v>28.91999999999998</v>
      </c>
      <c r="S109" s="11">
        <v>35.91999999999998</v>
      </c>
      <c r="T109" s="11">
        <v>2</v>
      </c>
      <c r="U109" s="11">
        <v>3</v>
      </c>
      <c r="V109" s="11">
        <v>30.91999999999998</v>
      </c>
      <c r="W109" s="13">
        <v>10</v>
      </c>
      <c r="X109" s="13">
        <v>15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267</v>
      </c>
      <c r="C110" s="10" t="s">
        <v>268</v>
      </c>
      <c r="D110" s="7" t="s">
        <v>40</v>
      </c>
      <c r="E110" s="7" t="s">
        <v>187</v>
      </c>
      <c r="F110" s="7" t="s">
        <v>171</v>
      </c>
      <c r="G110" s="7"/>
      <c r="H110" s="7" t="s">
        <v>43</v>
      </c>
      <c r="I110" s="11">
        <v>2</v>
      </c>
      <c r="J110" s="11">
        <v>3</v>
      </c>
      <c r="K110" s="11">
        <v>0</v>
      </c>
      <c r="L110" s="11">
        <v>6.569999999999997</v>
      </c>
      <c r="M110" s="11">
        <v>0.48</v>
      </c>
      <c r="N110" s="11">
        <v>0</v>
      </c>
      <c r="O110" s="11">
        <v>0.18</v>
      </c>
      <c r="P110" s="11">
        <v>0</v>
      </c>
      <c r="Q110" s="11">
        <v>7.229999999999997</v>
      </c>
      <c r="R110" s="11">
        <v>33.88999999999997</v>
      </c>
      <c r="S110" s="11">
        <v>41.11999999999997</v>
      </c>
      <c r="T110" s="11">
        <v>2</v>
      </c>
      <c r="U110" s="11">
        <v>3</v>
      </c>
      <c r="V110" s="11">
        <v>36.11999999999997</v>
      </c>
      <c r="W110" s="13">
        <v>10</v>
      </c>
      <c r="X110" s="13">
        <v>15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269</v>
      </c>
      <c r="C111" s="10" t="s">
        <v>270</v>
      </c>
      <c r="D111" s="7" t="s">
        <v>46</v>
      </c>
      <c r="E111" s="7" t="s">
        <v>175</v>
      </c>
      <c r="F111" s="7" t="s">
        <v>171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8.289999999999992</v>
      </c>
      <c r="M111" s="11">
        <v>0.48</v>
      </c>
      <c r="N111" s="11">
        <v>0</v>
      </c>
      <c r="O111" s="11">
        <v>0</v>
      </c>
      <c r="P111" s="11">
        <v>0</v>
      </c>
      <c r="Q111" s="11">
        <v>8.769999999999996</v>
      </c>
      <c r="R111" s="11">
        <v>39.17999999999996</v>
      </c>
      <c r="S111" s="11">
        <v>47.94999999999995</v>
      </c>
      <c r="T111" s="11">
        <v>2</v>
      </c>
      <c r="U111" s="11">
        <v>3</v>
      </c>
      <c r="V111" s="11">
        <v>42.94999999999995</v>
      </c>
      <c r="W111" s="13">
        <v>10</v>
      </c>
      <c r="X111" s="13">
        <v>15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271</v>
      </c>
      <c r="C112" s="10" t="s">
        <v>272</v>
      </c>
      <c r="D112" s="7" t="s">
        <v>51</v>
      </c>
      <c r="E112" s="7" t="s">
        <v>187</v>
      </c>
      <c r="F112" s="7" t="s">
        <v>171</v>
      </c>
      <c r="G112" s="7"/>
      <c r="H112" s="7" t="s">
        <v>172</v>
      </c>
      <c r="I112" s="11">
        <v>2</v>
      </c>
      <c r="J112" s="11">
        <v>3</v>
      </c>
      <c r="K112" s="11">
        <v>0.95</v>
      </c>
      <c r="L112" s="11">
        <v>8.369999999999994</v>
      </c>
      <c r="M112" s="11">
        <v>0.82</v>
      </c>
      <c r="N112" s="11">
        <v>0</v>
      </c>
      <c r="O112" s="11">
        <v>1.8</v>
      </c>
      <c r="P112" s="11">
        <v>0</v>
      </c>
      <c r="Q112" s="11">
        <v>11.93999999999999</v>
      </c>
      <c r="R112" s="11">
        <v>33.07999999999998</v>
      </c>
      <c r="S112" s="11">
        <v>45.01999999999997</v>
      </c>
      <c r="T112" s="11">
        <v>2</v>
      </c>
      <c r="U112" s="11">
        <v>3</v>
      </c>
      <c r="V112" s="11">
        <v>40.01999999999997</v>
      </c>
      <c r="W112" s="13">
        <v>10</v>
      </c>
      <c r="X112" s="13">
        <v>15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273</v>
      </c>
      <c r="C113" s="10" t="s">
        <v>274</v>
      </c>
      <c r="D113" s="7" t="s">
        <v>40</v>
      </c>
      <c r="E113" s="7" t="s">
        <v>187</v>
      </c>
      <c r="F113" s="7" t="s">
        <v>171</v>
      </c>
      <c r="G113" s="7"/>
      <c r="H113" s="7" t="s">
        <v>43</v>
      </c>
      <c r="I113" s="11">
        <v>2</v>
      </c>
      <c r="J113" s="11">
        <v>3</v>
      </c>
      <c r="K113" s="11">
        <v>0</v>
      </c>
      <c r="L113" s="11">
        <v>5.04</v>
      </c>
      <c r="M113" s="11">
        <v>0.32</v>
      </c>
      <c r="N113" s="11">
        <v>0</v>
      </c>
      <c r="O113" s="11">
        <v>0.53</v>
      </c>
      <c r="P113" s="11">
        <v>0</v>
      </c>
      <c r="Q113" s="11">
        <v>5.890000000000001</v>
      </c>
      <c r="R113" s="11">
        <v>32.24999999999999</v>
      </c>
      <c r="S113" s="11">
        <v>38.13999999999999</v>
      </c>
      <c r="T113" s="11">
        <v>2</v>
      </c>
      <c r="U113" s="11">
        <v>3</v>
      </c>
      <c r="V113" s="11">
        <v>33.13999999999999</v>
      </c>
      <c r="W113" s="13">
        <v>10</v>
      </c>
      <c r="X113" s="13">
        <v>15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275</v>
      </c>
      <c r="C114" s="10" t="s">
        <v>276</v>
      </c>
      <c r="D114" s="7" t="s">
        <v>51</v>
      </c>
      <c r="E114" s="7" t="s">
        <v>187</v>
      </c>
      <c r="F114" s="7" t="s">
        <v>171</v>
      </c>
      <c r="G114" s="7"/>
      <c r="H114" s="7" t="s">
        <v>43</v>
      </c>
      <c r="I114" s="11">
        <v>2</v>
      </c>
      <c r="J114" s="11">
        <v>3</v>
      </c>
      <c r="K114" s="11">
        <v>0</v>
      </c>
      <c r="L114" s="11">
        <v>5.04</v>
      </c>
      <c r="M114" s="11">
        <v>0.32</v>
      </c>
      <c r="N114" s="11">
        <v>0</v>
      </c>
      <c r="O114" s="11">
        <v>0</v>
      </c>
      <c r="P114" s="11">
        <v>0</v>
      </c>
      <c r="Q114" s="11">
        <v>5.36</v>
      </c>
      <c r="R114" s="11">
        <v>21.01</v>
      </c>
      <c r="S114" s="11">
        <v>26.37</v>
      </c>
      <c r="T114" s="11">
        <v>2</v>
      </c>
      <c r="U114" s="11">
        <v>3</v>
      </c>
      <c r="V114" s="11">
        <v>21.37</v>
      </c>
      <c r="W114" s="13">
        <v>10</v>
      </c>
      <c r="X114" s="13">
        <v>15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277</v>
      </c>
      <c r="C115" s="10" t="s">
        <v>278</v>
      </c>
      <c r="D115" s="7" t="s">
        <v>40</v>
      </c>
      <c r="E115" s="7" t="s">
        <v>187</v>
      </c>
      <c r="F115" s="7" t="s">
        <v>171</v>
      </c>
      <c r="G115" s="7"/>
      <c r="H115" s="7" t="s">
        <v>43</v>
      </c>
      <c r="I115" s="11">
        <v>2</v>
      </c>
      <c r="J115" s="11">
        <v>3</v>
      </c>
      <c r="K115" s="11">
        <v>0</v>
      </c>
      <c r="L115" s="11">
        <v>4.400000000000002</v>
      </c>
      <c r="M115" s="11">
        <v>0.4</v>
      </c>
      <c r="N115" s="11">
        <v>0</v>
      </c>
      <c r="O115" s="11">
        <v>0.18</v>
      </c>
      <c r="P115" s="11">
        <v>0</v>
      </c>
      <c r="Q115" s="11">
        <v>4.98</v>
      </c>
      <c r="R115" s="11">
        <v>21</v>
      </c>
      <c r="S115" s="11">
        <v>25.98</v>
      </c>
      <c r="T115" s="11">
        <v>2</v>
      </c>
      <c r="U115" s="11">
        <v>3</v>
      </c>
      <c r="V115" s="11">
        <v>20.98</v>
      </c>
      <c r="W115" s="13">
        <v>10</v>
      </c>
      <c r="X115" s="13">
        <v>15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279</v>
      </c>
      <c r="C116" s="10" t="s">
        <v>280</v>
      </c>
      <c r="D116" s="7" t="s">
        <v>40</v>
      </c>
      <c r="E116" s="7" t="s">
        <v>187</v>
      </c>
      <c r="F116" s="7" t="s">
        <v>171</v>
      </c>
      <c r="G116" s="7"/>
      <c r="H116" s="7" t="s">
        <v>197</v>
      </c>
      <c r="I116" s="11">
        <v>2</v>
      </c>
      <c r="J116" s="11">
        <v>3</v>
      </c>
      <c r="K116" s="11">
        <v>0.95</v>
      </c>
      <c r="L116" s="11">
        <v>8.379999999999997</v>
      </c>
      <c r="M116" s="11">
        <v>0.7999999999999999</v>
      </c>
      <c r="N116" s="11">
        <v>0</v>
      </c>
      <c r="O116" s="11">
        <v>0.54</v>
      </c>
      <c r="P116" s="11">
        <v>0</v>
      </c>
      <c r="Q116" s="11">
        <v>10.67</v>
      </c>
      <c r="R116" s="11">
        <v>45.84999999999996</v>
      </c>
      <c r="S116" s="11">
        <v>56.51999999999995</v>
      </c>
      <c r="T116" s="11">
        <v>2</v>
      </c>
      <c r="U116" s="11">
        <v>3</v>
      </c>
      <c r="V116" s="11">
        <v>51.51999999999995</v>
      </c>
      <c r="W116" s="13">
        <v>10</v>
      </c>
      <c r="X116" s="13">
        <v>15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281</v>
      </c>
      <c r="C117" s="10" t="s">
        <v>282</v>
      </c>
      <c r="D117" s="7" t="s">
        <v>51</v>
      </c>
      <c r="E117" s="7" t="s">
        <v>175</v>
      </c>
      <c r="F117" s="7" t="s">
        <v>171</v>
      </c>
      <c r="G117" s="7"/>
      <c r="H117" s="7" t="s">
        <v>43</v>
      </c>
      <c r="I117" s="11">
        <v>2</v>
      </c>
      <c r="J117" s="11">
        <v>3</v>
      </c>
      <c r="K117" s="11">
        <v>0</v>
      </c>
      <c r="L117" s="11">
        <v>4.969999999999999</v>
      </c>
      <c r="M117" s="11">
        <v>0.24</v>
      </c>
      <c r="N117" s="11">
        <v>0</v>
      </c>
      <c r="O117" s="11">
        <v>0</v>
      </c>
      <c r="P117" s="11">
        <v>0</v>
      </c>
      <c r="Q117" s="11">
        <v>5.209999999999999</v>
      </c>
      <c r="R117" s="11">
        <v>22.34</v>
      </c>
      <c r="S117" s="11">
        <v>27.55</v>
      </c>
      <c r="T117" s="11">
        <v>2</v>
      </c>
      <c r="U117" s="11">
        <v>3</v>
      </c>
      <c r="V117" s="11">
        <v>22.55</v>
      </c>
      <c r="W117" s="13">
        <v>10</v>
      </c>
      <c r="X117" s="13">
        <v>15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283</v>
      </c>
      <c r="C118" s="10" t="s">
        <v>284</v>
      </c>
      <c r="D118" s="7" t="s">
        <v>51</v>
      </c>
      <c r="E118" s="7" t="s">
        <v>187</v>
      </c>
      <c r="F118" s="7" t="s">
        <v>171</v>
      </c>
      <c r="G118" s="7"/>
      <c r="H118" s="7" t="s">
        <v>43</v>
      </c>
      <c r="I118" s="11">
        <v>2</v>
      </c>
      <c r="J118" s="11">
        <v>3</v>
      </c>
      <c r="K118" s="11">
        <v>0</v>
      </c>
      <c r="L118" s="11">
        <v>5.38</v>
      </c>
      <c r="M118" s="11">
        <v>0.4</v>
      </c>
      <c r="N118" s="11">
        <v>0</v>
      </c>
      <c r="O118" s="11">
        <v>0</v>
      </c>
      <c r="P118" s="11">
        <v>0</v>
      </c>
      <c r="Q118" s="11">
        <v>5.779999999999999</v>
      </c>
      <c r="R118" s="11">
        <v>9.790000000000001</v>
      </c>
      <c r="S118" s="11">
        <v>15.57</v>
      </c>
      <c r="T118" s="11">
        <v>2</v>
      </c>
      <c r="U118" s="11">
        <v>3</v>
      </c>
      <c r="V118" s="11">
        <v>10.57</v>
      </c>
      <c r="W118" s="13">
        <v>10</v>
      </c>
      <c r="X118" s="13">
        <v>15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285</v>
      </c>
      <c r="C119" s="10" t="s">
        <v>286</v>
      </c>
      <c r="D119" s="7" t="s">
        <v>40</v>
      </c>
      <c r="E119" s="7" t="s">
        <v>187</v>
      </c>
      <c r="F119" s="7" t="s">
        <v>171</v>
      </c>
      <c r="G119" s="7"/>
      <c r="H119" s="7" t="s">
        <v>43</v>
      </c>
      <c r="I119" s="11">
        <v>2</v>
      </c>
      <c r="J119" s="11">
        <v>3</v>
      </c>
      <c r="K119" s="11">
        <v>0</v>
      </c>
      <c r="L119" s="11">
        <v>4.970000000000002</v>
      </c>
      <c r="M119" s="11">
        <v>0.08</v>
      </c>
      <c r="N119" s="11">
        <v>0</v>
      </c>
      <c r="O119" s="11">
        <v>0</v>
      </c>
      <c r="P119" s="11">
        <v>0</v>
      </c>
      <c r="Q119" s="11">
        <v>5.050000000000002</v>
      </c>
      <c r="R119" s="11">
        <v>23.07</v>
      </c>
      <c r="S119" s="11">
        <v>28.12</v>
      </c>
      <c r="T119" s="11">
        <v>2</v>
      </c>
      <c r="U119" s="11">
        <v>3</v>
      </c>
      <c r="V119" s="11">
        <v>23.12</v>
      </c>
      <c r="W119" s="13">
        <v>10</v>
      </c>
      <c r="X119" s="13">
        <v>15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287</v>
      </c>
      <c r="C120" s="10" t="s">
        <v>288</v>
      </c>
      <c r="D120" s="7" t="s">
        <v>46</v>
      </c>
      <c r="E120" s="7" t="s">
        <v>175</v>
      </c>
      <c r="F120" s="7" t="s">
        <v>171</v>
      </c>
      <c r="G120" s="7"/>
      <c r="H120" s="7" t="s">
        <v>43</v>
      </c>
      <c r="I120" s="11">
        <v>2</v>
      </c>
      <c r="J120" s="11">
        <v>3</v>
      </c>
      <c r="K120" s="11">
        <v>0</v>
      </c>
      <c r="L120" s="11">
        <v>5.909999999999998</v>
      </c>
      <c r="M120" s="11">
        <v>0.64</v>
      </c>
      <c r="N120" s="11">
        <v>0</v>
      </c>
      <c r="O120" s="11">
        <v>0.11</v>
      </c>
      <c r="P120" s="11">
        <v>0</v>
      </c>
      <c r="Q120" s="11">
        <v>6.659999999999998</v>
      </c>
      <c r="R120" s="11">
        <v>30.65999999999999</v>
      </c>
      <c r="S120" s="11">
        <v>37.31999999999999</v>
      </c>
      <c r="T120" s="11">
        <v>2</v>
      </c>
      <c r="U120" s="11">
        <v>3</v>
      </c>
      <c r="V120" s="11">
        <v>32.31999999999999</v>
      </c>
      <c r="W120" s="13">
        <v>10</v>
      </c>
      <c r="X120" s="13">
        <v>15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289</v>
      </c>
      <c r="C121" s="10" t="s">
        <v>290</v>
      </c>
      <c r="D121" s="7" t="s">
        <v>51</v>
      </c>
      <c r="E121" s="7" t="s">
        <v>175</v>
      </c>
      <c r="F121" s="7" t="s">
        <v>171</v>
      </c>
      <c r="G121" s="7"/>
      <c r="H121" s="7" t="s">
        <v>43</v>
      </c>
      <c r="I121" s="11">
        <v>2</v>
      </c>
      <c r="J121" s="11">
        <v>3</v>
      </c>
      <c r="K121" s="11">
        <v>0</v>
      </c>
      <c r="L121" s="11">
        <v>6.529999999999999</v>
      </c>
      <c r="M121" s="11">
        <v>0.4</v>
      </c>
      <c r="N121" s="11">
        <v>0</v>
      </c>
      <c r="O121" s="11">
        <v>0</v>
      </c>
      <c r="P121" s="11">
        <v>0</v>
      </c>
      <c r="Q121" s="11">
        <v>6.929999999999999</v>
      </c>
      <c r="R121" s="11">
        <v>24.31</v>
      </c>
      <c r="S121" s="11">
        <v>31.23999999999999</v>
      </c>
      <c r="T121" s="11">
        <v>2</v>
      </c>
      <c r="U121" s="11">
        <v>3</v>
      </c>
      <c r="V121" s="11">
        <v>26.23999999999999</v>
      </c>
      <c r="W121" s="13">
        <v>10</v>
      </c>
      <c r="X121" s="13">
        <v>15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291</v>
      </c>
      <c r="C122" s="10" t="s">
        <v>292</v>
      </c>
      <c r="D122" s="7" t="s">
        <v>51</v>
      </c>
      <c r="E122" s="7" t="s">
        <v>175</v>
      </c>
      <c r="F122" s="7" t="s">
        <v>171</v>
      </c>
      <c r="G122" s="7"/>
      <c r="H122" s="7" t="s">
        <v>43</v>
      </c>
      <c r="I122" s="11">
        <v>2</v>
      </c>
      <c r="J122" s="11">
        <v>3</v>
      </c>
      <c r="K122" s="11">
        <v>0</v>
      </c>
      <c r="L122" s="11">
        <v>5.31</v>
      </c>
      <c r="M122" s="11">
        <v>0.32</v>
      </c>
      <c r="N122" s="11">
        <v>0</v>
      </c>
      <c r="O122" s="11">
        <v>0.36</v>
      </c>
      <c r="P122" s="11">
        <v>0</v>
      </c>
      <c r="Q122" s="11">
        <v>5.99</v>
      </c>
      <c r="R122" s="11">
        <v>22.43</v>
      </c>
      <c r="S122" s="11">
        <v>28.41999999999999</v>
      </c>
      <c r="T122" s="11">
        <v>2</v>
      </c>
      <c r="U122" s="11">
        <v>3</v>
      </c>
      <c r="V122" s="11">
        <v>23.41999999999999</v>
      </c>
      <c r="W122" s="13">
        <v>10</v>
      </c>
      <c r="X122" s="13">
        <v>15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293</v>
      </c>
      <c r="C123" s="10" t="s">
        <v>294</v>
      </c>
      <c r="D123" s="7" t="s">
        <v>46</v>
      </c>
      <c r="E123" s="7" t="s">
        <v>178</v>
      </c>
      <c r="F123" s="7" t="s">
        <v>171</v>
      </c>
      <c r="G123" s="7"/>
      <c r="H123" s="7" t="s">
        <v>43</v>
      </c>
      <c r="I123" s="11">
        <v>2</v>
      </c>
      <c r="J123" s="11">
        <v>3</v>
      </c>
      <c r="K123" s="11">
        <v>0</v>
      </c>
      <c r="L123" s="11">
        <v>4.180000000000001</v>
      </c>
      <c r="M123" s="11">
        <v>0.89</v>
      </c>
      <c r="N123" s="11">
        <v>0</v>
      </c>
      <c r="O123" s="11">
        <v>0.09</v>
      </c>
      <c r="P123" s="11">
        <v>0</v>
      </c>
      <c r="Q123" s="11">
        <v>5.160000000000001</v>
      </c>
      <c r="R123" s="11">
        <v>28.60999999999999</v>
      </c>
      <c r="S123" s="11">
        <v>33.77</v>
      </c>
      <c r="T123" s="11">
        <v>2</v>
      </c>
      <c r="U123" s="11">
        <v>3</v>
      </c>
      <c r="V123" s="11">
        <v>28.77</v>
      </c>
      <c r="W123" s="13">
        <v>10</v>
      </c>
      <c r="X123" s="13">
        <v>15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295</v>
      </c>
      <c r="C124" s="10" t="s">
        <v>296</v>
      </c>
      <c r="D124" s="7" t="s">
        <v>40</v>
      </c>
      <c r="E124" s="7" t="s">
        <v>170</v>
      </c>
      <c r="F124" s="7" t="s">
        <v>171</v>
      </c>
      <c r="G124" s="7"/>
      <c r="H124" s="7" t="s">
        <v>43</v>
      </c>
      <c r="I124" s="11">
        <v>2</v>
      </c>
      <c r="J124" s="11">
        <v>3</v>
      </c>
      <c r="K124" s="11">
        <v>0</v>
      </c>
      <c r="L124" s="11">
        <v>6.359999999999999</v>
      </c>
      <c r="M124" s="11">
        <v>1.08</v>
      </c>
      <c r="N124" s="11">
        <v>0</v>
      </c>
      <c r="O124" s="11">
        <v>0.18</v>
      </c>
      <c r="P124" s="11">
        <v>0</v>
      </c>
      <c r="Q124" s="11">
        <v>7.619999999999999</v>
      </c>
      <c r="R124" s="11">
        <v>22.73</v>
      </c>
      <c r="S124" s="11">
        <v>30.35</v>
      </c>
      <c r="T124" s="11">
        <v>2</v>
      </c>
      <c r="U124" s="11">
        <v>3</v>
      </c>
      <c r="V124" s="11">
        <v>25.35</v>
      </c>
      <c r="W124" s="13">
        <v>10</v>
      </c>
      <c r="X124" s="13">
        <v>15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297</v>
      </c>
      <c r="C125" s="10" t="s">
        <v>298</v>
      </c>
      <c r="D125" s="7" t="s">
        <v>51</v>
      </c>
      <c r="E125" s="7" t="s">
        <v>170</v>
      </c>
      <c r="F125" s="7" t="s">
        <v>299</v>
      </c>
      <c r="G125" s="7"/>
      <c r="H125" s="7"/>
      <c r="I125" s="11">
        <v>2</v>
      </c>
      <c r="J125" s="11">
        <v>3</v>
      </c>
      <c r="K125" s="11">
        <v>0</v>
      </c>
      <c r="L125" s="11">
        <v>2.16</v>
      </c>
      <c r="M125" s="11">
        <v>0.16</v>
      </c>
      <c r="N125" s="11">
        <v>0</v>
      </c>
      <c r="O125" s="11">
        <v>0</v>
      </c>
      <c r="P125" s="11">
        <v>0</v>
      </c>
      <c r="Q125" s="11">
        <v>2.32</v>
      </c>
      <c r="R125" s="11">
        <v>9.33</v>
      </c>
      <c r="S125" s="11">
        <v>11.65</v>
      </c>
      <c r="T125" s="11">
        <v>2</v>
      </c>
      <c r="U125" s="11">
        <v>3</v>
      </c>
      <c r="V125" s="11">
        <v>6.65</v>
      </c>
      <c r="W125" s="13">
        <v>10</v>
      </c>
      <c r="X125" s="13">
        <v>15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300</v>
      </c>
      <c r="C126" s="10" t="s">
        <v>301</v>
      </c>
      <c r="D126" s="7" t="s">
        <v>51</v>
      </c>
      <c r="E126" s="7" t="s">
        <v>170</v>
      </c>
      <c r="F126" s="7" t="s">
        <v>302</v>
      </c>
      <c r="G126" s="7"/>
      <c r="H126" s="7" t="s">
        <v>43</v>
      </c>
      <c r="I126" s="11">
        <v>2</v>
      </c>
      <c r="J126" s="11">
        <v>3</v>
      </c>
      <c r="K126" s="11">
        <v>0</v>
      </c>
      <c r="L126" s="11">
        <v>5.49</v>
      </c>
      <c r="M126" s="11">
        <v>0.16</v>
      </c>
      <c r="N126" s="11">
        <v>0</v>
      </c>
      <c r="O126" s="11">
        <v>0.6499999999999999</v>
      </c>
      <c r="P126" s="11">
        <v>0</v>
      </c>
      <c r="Q126" s="11">
        <v>6.300000000000001</v>
      </c>
      <c r="R126" s="11">
        <v>30.22999999999999</v>
      </c>
      <c r="S126" s="11">
        <v>36.52999999999999</v>
      </c>
      <c r="T126" s="11">
        <v>2</v>
      </c>
      <c r="U126" s="11">
        <v>3</v>
      </c>
      <c r="V126" s="11">
        <v>31.52999999999999</v>
      </c>
      <c r="W126" s="13">
        <v>10</v>
      </c>
      <c r="X126" s="13">
        <v>15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303</v>
      </c>
      <c r="C127" s="10" t="s">
        <v>304</v>
      </c>
      <c r="D127" s="7" t="s">
        <v>40</v>
      </c>
      <c r="E127" s="7" t="s">
        <v>170</v>
      </c>
      <c r="F127" s="7" t="s">
        <v>305</v>
      </c>
      <c r="G127" s="7"/>
      <c r="H127" s="7"/>
      <c r="I127" s="11">
        <v>2</v>
      </c>
      <c r="J127" s="11">
        <v>3</v>
      </c>
      <c r="K127" s="11">
        <v>0</v>
      </c>
      <c r="L127" s="11">
        <v>5.370000000000001</v>
      </c>
      <c r="M127" s="11">
        <v>0.4</v>
      </c>
      <c r="N127" s="11">
        <v>0</v>
      </c>
      <c r="O127" s="11">
        <v>1.74</v>
      </c>
      <c r="P127" s="11">
        <v>0</v>
      </c>
      <c r="Q127" s="11">
        <v>7.510000000000002</v>
      </c>
      <c r="R127" s="11">
        <v>23.43</v>
      </c>
      <c r="S127" s="11">
        <v>30.94</v>
      </c>
      <c r="T127" s="11">
        <v>2</v>
      </c>
      <c r="U127" s="11">
        <v>3</v>
      </c>
      <c r="V127" s="11">
        <v>25.94</v>
      </c>
      <c r="W127" s="13">
        <v>10</v>
      </c>
      <c r="X127" s="13">
        <v>15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306</v>
      </c>
      <c r="C128" s="10" t="s">
        <v>307</v>
      </c>
      <c r="D128" s="7" t="s">
        <v>46</v>
      </c>
      <c r="E128" s="7" t="s">
        <v>170</v>
      </c>
      <c r="F128" s="7" t="s">
        <v>299</v>
      </c>
      <c r="G128" s="7"/>
      <c r="H128" s="7"/>
      <c r="I128" s="11">
        <v>2</v>
      </c>
      <c r="J128" s="11">
        <v>3</v>
      </c>
      <c r="K128" s="11">
        <v>0</v>
      </c>
      <c r="L128" s="11">
        <v>0.72</v>
      </c>
      <c r="M128" s="11">
        <v>1.15</v>
      </c>
      <c r="N128" s="11">
        <v>0</v>
      </c>
      <c r="O128" s="11">
        <v>0</v>
      </c>
      <c r="P128" s="11">
        <v>0</v>
      </c>
      <c r="Q128" s="11">
        <v>1.87</v>
      </c>
      <c r="R128" s="11">
        <v>9.41</v>
      </c>
      <c r="S128" s="11">
        <v>11.28</v>
      </c>
      <c r="T128" s="11">
        <v>2</v>
      </c>
      <c r="U128" s="11">
        <v>3</v>
      </c>
      <c r="V128" s="11">
        <v>6.279999999999999</v>
      </c>
      <c r="W128" s="13">
        <v>10</v>
      </c>
      <c r="X128" s="13">
        <v>15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308</v>
      </c>
      <c r="C129" s="10" t="s">
        <v>309</v>
      </c>
      <c r="D129" s="7" t="s">
        <v>46</v>
      </c>
      <c r="E129" s="7" t="s">
        <v>170</v>
      </c>
      <c r="F129" s="7" t="s">
        <v>299</v>
      </c>
      <c r="G129" s="7"/>
      <c r="H129" s="7"/>
      <c r="I129" s="11">
        <v>2</v>
      </c>
      <c r="J129" s="11">
        <v>3</v>
      </c>
      <c r="K129" s="11">
        <v>0</v>
      </c>
      <c r="L129" s="11">
        <v>1.95</v>
      </c>
      <c r="M129" s="11">
        <v>0.32</v>
      </c>
      <c r="N129" s="11">
        <v>0</v>
      </c>
      <c r="O129" s="11">
        <v>0</v>
      </c>
      <c r="P129" s="11">
        <v>0</v>
      </c>
      <c r="Q129" s="11">
        <v>2.27</v>
      </c>
      <c r="R129" s="11">
        <v>8.969999999999999</v>
      </c>
      <c r="S129" s="11">
        <v>11.24</v>
      </c>
      <c r="T129" s="11">
        <v>2</v>
      </c>
      <c r="U129" s="11">
        <v>3</v>
      </c>
      <c r="V129" s="11">
        <v>6.239999999999998</v>
      </c>
      <c r="W129" s="13">
        <v>10</v>
      </c>
      <c r="X129" s="13">
        <v>15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310</v>
      </c>
      <c r="C130" s="10" t="s">
        <v>311</v>
      </c>
      <c r="D130" s="7" t="s">
        <v>46</v>
      </c>
      <c r="E130" s="7" t="s">
        <v>170</v>
      </c>
      <c r="F130" s="7" t="s">
        <v>302</v>
      </c>
      <c r="G130" s="7"/>
      <c r="H130" s="7" t="s">
        <v>43</v>
      </c>
      <c r="I130" s="11">
        <v>2</v>
      </c>
      <c r="J130" s="11">
        <v>3</v>
      </c>
      <c r="K130" s="11">
        <v>0</v>
      </c>
      <c r="L130" s="11">
        <v>6.229999999999998</v>
      </c>
      <c r="M130" s="11">
        <v>0.32</v>
      </c>
      <c r="N130" s="11">
        <v>0</v>
      </c>
      <c r="O130" s="11">
        <v>0.1</v>
      </c>
      <c r="P130" s="11">
        <v>0</v>
      </c>
      <c r="Q130" s="11">
        <v>6.649999999999997</v>
      </c>
      <c r="R130" s="11">
        <v>24.06999999999999</v>
      </c>
      <c r="S130" s="11">
        <v>30.71999999999999</v>
      </c>
      <c r="T130" s="11">
        <v>2</v>
      </c>
      <c r="U130" s="11">
        <v>3</v>
      </c>
      <c r="V130" s="11">
        <v>25.71999999999999</v>
      </c>
      <c r="W130" s="13">
        <v>10</v>
      </c>
      <c r="X130" s="13">
        <v>15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312</v>
      </c>
      <c r="C131" s="10" t="s">
        <v>313</v>
      </c>
      <c r="D131" s="7" t="s">
        <v>51</v>
      </c>
      <c r="E131" s="7" t="s">
        <v>170</v>
      </c>
      <c r="F131" s="7" t="s">
        <v>299</v>
      </c>
      <c r="G131" s="7"/>
      <c r="H131" s="7"/>
      <c r="I131" s="11">
        <v>2</v>
      </c>
      <c r="J131" s="11">
        <v>3</v>
      </c>
      <c r="K131" s="11">
        <v>0</v>
      </c>
      <c r="L131" s="11">
        <v>1.87</v>
      </c>
      <c r="M131" s="11">
        <v>0.16</v>
      </c>
      <c r="N131" s="11">
        <v>0</v>
      </c>
      <c r="O131" s="11">
        <v>0.54</v>
      </c>
      <c r="P131" s="11">
        <v>0</v>
      </c>
      <c r="Q131" s="11">
        <v>2.57</v>
      </c>
      <c r="R131" s="11">
        <v>10.5</v>
      </c>
      <c r="S131" s="11">
        <v>13.07</v>
      </c>
      <c r="T131" s="11">
        <v>2</v>
      </c>
      <c r="U131" s="11">
        <v>3</v>
      </c>
      <c r="V131" s="11">
        <v>8.07</v>
      </c>
      <c r="W131" s="13">
        <v>10</v>
      </c>
      <c r="X131" s="13">
        <v>15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314</v>
      </c>
      <c r="C132" s="10" t="s">
        <v>315</v>
      </c>
      <c r="D132" s="7" t="s">
        <v>51</v>
      </c>
      <c r="E132" s="7" t="s">
        <v>170</v>
      </c>
      <c r="F132" s="7" t="s">
        <v>299</v>
      </c>
      <c r="G132" s="7"/>
      <c r="H132" s="7"/>
      <c r="I132" s="11">
        <v>2</v>
      </c>
      <c r="J132" s="11">
        <v>3</v>
      </c>
      <c r="K132" s="11">
        <v>0</v>
      </c>
      <c r="L132" s="11">
        <v>2.77</v>
      </c>
      <c r="M132" s="11">
        <v>0.08</v>
      </c>
      <c r="N132" s="11">
        <v>0</v>
      </c>
      <c r="O132" s="11">
        <v>0.36</v>
      </c>
      <c r="P132" s="11">
        <v>0</v>
      </c>
      <c r="Q132" s="11">
        <v>3.21</v>
      </c>
      <c r="R132" s="11">
        <v>12.52</v>
      </c>
      <c r="S132" s="11">
        <v>15.73</v>
      </c>
      <c r="T132" s="11">
        <v>2</v>
      </c>
      <c r="U132" s="11">
        <v>3</v>
      </c>
      <c r="V132" s="11">
        <v>10.73</v>
      </c>
      <c r="W132" s="13">
        <v>10</v>
      </c>
      <c r="X132" s="13">
        <v>15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316</v>
      </c>
      <c r="C133" s="10" t="s">
        <v>317</v>
      </c>
      <c r="D133" s="7" t="s">
        <v>51</v>
      </c>
      <c r="E133" s="7" t="s">
        <v>170</v>
      </c>
      <c r="F133" s="7" t="s">
        <v>299</v>
      </c>
      <c r="G133" s="7"/>
      <c r="H133" s="7"/>
      <c r="I133" s="11">
        <v>2</v>
      </c>
      <c r="J133" s="11">
        <v>3</v>
      </c>
      <c r="K133" s="11">
        <v>0</v>
      </c>
      <c r="L133" s="11">
        <v>4.080000000000001</v>
      </c>
      <c r="M133" s="11">
        <v>0.16</v>
      </c>
      <c r="N133" s="11">
        <v>0</v>
      </c>
      <c r="O133" s="11">
        <v>0.54</v>
      </c>
      <c r="P133" s="11">
        <v>0</v>
      </c>
      <c r="Q133" s="11">
        <v>4.780000000000001</v>
      </c>
      <c r="R133" s="11">
        <v>14.14</v>
      </c>
      <c r="S133" s="11">
        <v>18.92</v>
      </c>
      <c r="T133" s="11">
        <v>2</v>
      </c>
      <c r="U133" s="11">
        <v>3</v>
      </c>
      <c r="V133" s="11">
        <v>13.92</v>
      </c>
      <c r="W133" s="13">
        <v>10</v>
      </c>
      <c r="X133" s="13">
        <v>15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318</v>
      </c>
      <c r="C134" s="10" t="s">
        <v>319</v>
      </c>
      <c r="D134" s="7" t="s">
        <v>40</v>
      </c>
      <c r="E134" s="7" t="s">
        <v>170</v>
      </c>
      <c r="F134" s="7" t="s">
        <v>302</v>
      </c>
      <c r="G134" s="7"/>
      <c r="H134" s="7" t="s">
        <v>43</v>
      </c>
      <c r="I134" s="11">
        <v>2</v>
      </c>
      <c r="J134" s="11">
        <v>3</v>
      </c>
      <c r="K134" s="11">
        <v>0</v>
      </c>
      <c r="L134" s="11">
        <v>4.56</v>
      </c>
      <c r="M134" s="11">
        <v>0.4</v>
      </c>
      <c r="N134" s="11">
        <v>0</v>
      </c>
      <c r="O134" s="11">
        <v>0.36</v>
      </c>
      <c r="P134" s="11">
        <v>0</v>
      </c>
      <c r="Q134" s="11">
        <v>5.32</v>
      </c>
      <c r="R134" s="11">
        <v>23.24</v>
      </c>
      <c r="S134" s="11">
        <v>28.56</v>
      </c>
      <c r="T134" s="11">
        <v>2</v>
      </c>
      <c r="U134" s="11">
        <v>3</v>
      </c>
      <c r="V134" s="11">
        <v>23.56</v>
      </c>
      <c r="W134" s="13">
        <v>10</v>
      </c>
      <c r="X134" s="13">
        <v>15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320</v>
      </c>
      <c r="C135" s="10" t="s">
        <v>321</v>
      </c>
      <c r="D135" s="7" t="s">
        <v>40</v>
      </c>
      <c r="E135" s="7" t="s">
        <v>170</v>
      </c>
      <c r="F135" s="7" t="s">
        <v>299</v>
      </c>
      <c r="G135" s="7"/>
      <c r="H135" s="7"/>
      <c r="I135" s="11">
        <v>2</v>
      </c>
      <c r="J135" s="11">
        <v>3</v>
      </c>
      <c r="K135" s="11">
        <v>0</v>
      </c>
      <c r="L135" s="11">
        <v>2.17</v>
      </c>
      <c r="M135" s="11">
        <v>0.48</v>
      </c>
      <c r="N135" s="11">
        <v>0</v>
      </c>
      <c r="O135" s="11">
        <v>0.18</v>
      </c>
      <c r="P135" s="11">
        <v>0</v>
      </c>
      <c r="Q135" s="11">
        <v>2.830000000000001</v>
      </c>
      <c r="R135" s="11">
        <v>12.24</v>
      </c>
      <c r="S135" s="11">
        <v>15.07</v>
      </c>
      <c r="T135" s="11">
        <v>2</v>
      </c>
      <c r="U135" s="11">
        <v>3</v>
      </c>
      <c r="V135" s="11">
        <v>10.07</v>
      </c>
      <c r="W135" s="13">
        <v>10</v>
      </c>
      <c r="X135" s="13">
        <v>15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322</v>
      </c>
      <c r="C136" s="10" t="s">
        <v>323</v>
      </c>
      <c r="D136" s="7" t="s">
        <v>40</v>
      </c>
      <c r="E136" s="7" t="s">
        <v>170</v>
      </c>
      <c r="F136" s="7" t="s">
        <v>299</v>
      </c>
      <c r="G136" s="7"/>
      <c r="H136" s="7"/>
      <c r="I136" s="11">
        <v>2</v>
      </c>
      <c r="J136" s="11">
        <v>3</v>
      </c>
      <c r="K136" s="11">
        <v>0</v>
      </c>
      <c r="L136" s="11">
        <v>1.72</v>
      </c>
      <c r="M136" s="11">
        <v>0.32</v>
      </c>
      <c r="N136" s="11">
        <v>0</v>
      </c>
      <c r="O136" s="11">
        <v>0.18</v>
      </c>
      <c r="P136" s="11">
        <v>0</v>
      </c>
      <c r="Q136" s="11">
        <v>2.22</v>
      </c>
      <c r="R136" s="11">
        <v>10.2</v>
      </c>
      <c r="S136" s="11">
        <v>12.42</v>
      </c>
      <c r="T136" s="11">
        <v>2</v>
      </c>
      <c r="U136" s="11">
        <v>3</v>
      </c>
      <c r="V136" s="11">
        <v>7.42</v>
      </c>
      <c r="W136" s="13">
        <v>10</v>
      </c>
      <c r="X136" s="13">
        <v>15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324</v>
      </c>
      <c r="C137" s="10" t="s">
        <v>325</v>
      </c>
      <c r="D137" s="7" t="s">
        <v>51</v>
      </c>
      <c r="E137" s="7" t="s">
        <v>170</v>
      </c>
      <c r="F137" s="7" t="s">
        <v>302</v>
      </c>
      <c r="G137" s="7"/>
      <c r="H137" s="7" t="s">
        <v>43</v>
      </c>
      <c r="I137" s="11">
        <v>2</v>
      </c>
      <c r="J137" s="11">
        <v>3</v>
      </c>
      <c r="K137" s="11">
        <v>0</v>
      </c>
      <c r="L137" s="11">
        <v>4.77</v>
      </c>
      <c r="M137" s="11">
        <v>0.24</v>
      </c>
      <c r="N137" s="11">
        <v>0</v>
      </c>
      <c r="O137" s="11">
        <v>0.36</v>
      </c>
      <c r="P137" s="11">
        <v>0</v>
      </c>
      <c r="Q137" s="11">
        <v>5.37</v>
      </c>
      <c r="R137" s="11">
        <v>26.37999999999999</v>
      </c>
      <c r="S137" s="11">
        <v>31.74999999999999</v>
      </c>
      <c r="T137" s="11">
        <v>2</v>
      </c>
      <c r="U137" s="11">
        <v>3</v>
      </c>
      <c r="V137" s="11">
        <v>26.74999999999999</v>
      </c>
      <c r="W137" s="13">
        <v>10</v>
      </c>
      <c r="X137" s="13">
        <v>15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326</v>
      </c>
      <c r="C138" s="10" t="s">
        <v>327</v>
      </c>
      <c r="D138" s="7" t="s">
        <v>46</v>
      </c>
      <c r="E138" s="7" t="s">
        <v>170</v>
      </c>
      <c r="F138" s="7" t="s">
        <v>302</v>
      </c>
      <c r="G138" s="7"/>
      <c r="H138" s="7"/>
      <c r="I138" s="11">
        <v>2</v>
      </c>
      <c r="J138" s="11">
        <v>3</v>
      </c>
      <c r="K138" s="11">
        <v>0</v>
      </c>
      <c r="L138" s="11">
        <v>5.709999999999997</v>
      </c>
      <c r="M138" s="11">
        <v>0.48</v>
      </c>
      <c r="N138" s="11">
        <v>0</v>
      </c>
      <c r="O138" s="11">
        <v>0.18</v>
      </c>
      <c r="P138" s="11">
        <v>0</v>
      </c>
      <c r="Q138" s="11">
        <v>6.369999999999997</v>
      </c>
      <c r="R138" s="11">
        <v>18.28</v>
      </c>
      <c r="S138" s="11">
        <v>24.65</v>
      </c>
      <c r="T138" s="11">
        <v>2</v>
      </c>
      <c r="U138" s="11">
        <v>3</v>
      </c>
      <c r="V138" s="11">
        <v>19.65</v>
      </c>
      <c r="W138" s="13">
        <v>10</v>
      </c>
      <c r="X138" s="13">
        <v>15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328</v>
      </c>
      <c r="C139" s="10" t="s">
        <v>329</v>
      </c>
      <c r="D139" s="7" t="s">
        <v>46</v>
      </c>
      <c r="E139" s="7" t="s">
        <v>178</v>
      </c>
      <c r="F139" s="7" t="s">
        <v>302</v>
      </c>
      <c r="G139" s="7"/>
      <c r="H139" s="7" t="s">
        <v>43</v>
      </c>
      <c r="I139" s="11">
        <v>2</v>
      </c>
      <c r="J139" s="11">
        <v>3</v>
      </c>
      <c r="K139" s="11">
        <v>0</v>
      </c>
      <c r="L139" s="11">
        <v>1.08</v>
      </c>
      <c r="M139" s="11">
        <v>0.4</v>
      </c>
      <c r="N139" s="11">
        <v>0</v>
      </c>
      <c r="O139" s="11">
        <v>0</v>
      </c>
      <c r="P139" s="11">
        <v>0</v>
      </c>
      <c r="Q139" s="11">
        <v>1.48</v>
      </c>
      <c r="R139" s="11">
        <v>7.69</v>
      </c>
      <c r="S139" s="11">
        <v>9.17</v>
      </c>
      <c r="T139" s="11">
        <v>2</v>
      </c>
      <c r="U139" s="11">
        <v>3</v>
      </c>
      <c r="V139" s="11">
        <v>4.17</v>
      </c>
      <c r="W139" s="13">
        <v>10</v>
      </c>
      <c r="X139" s="13">
        <v>15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330</v>
      </c>
      <c r="C140" s="10" t="s">
        <v>331</v>
      </c>
      <c r="D140" s="7" t="s">
        <v>40</v>
      </c>
      <c r="E140" s="7" t="s">
        <v>170</v>
      </c>
      <c r="F140" s="7" t="s">
        <v>302</v>
      </c>
      <c r="G140" s="7"/>
      <c r="H140" s="7" t="s">
        <v>43</v>
      </c>
      <c r="I140" s="11">
        <v>2</v>
      </c>
      <c r="J140" s="11">
        <v>3</v>
      </c>
      <c r="K140" s="11">
        <v>0</v>
      </c>
      <c r="L140" s="11">
        <v>0</v>
      </c>
      <c r="M140" s="11">
        <v>0</v>
      </c>
      <c r="N140" s="11">
        <v>0</v>
      </c>
      <c r="O140" s="11">
        <v>0.18</v>
      </c>
      <c r="P140" s="11">
        <v>0</v>
      </c>
      <c r="Q140" s="11">
        <v>0.18</v>
      </c>
      <c r="R140" s="11">
        <v>0</v>
      </c>
      <c r="S140" s="11">
        <v>0.18</v>
      </c>
      <c r="T140" s="11">
        <v>0.18</v>
      </c>
      <c r="U140" s="11">
        <v>0</v>
      </c>
      <c r="V140" s="11">
        <v>0</v>
      </c>
      <c r="W140" s="13">
        <v>10</v>
      </c>
      <c r="X140" s="13">
        <v>15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332</v>
      </c>
      <c r="C141" s="10" t="s">
        <v>333</v>
      </c>
      <c r="D141" s="7" t="s">
        <v>51</v>
      </c>
      <c r="E141" s="7" t="s">
        <v>170</v>
      </c>
      <c r="F141" s="7" t="s">
        <v>299</v>
      </c>
      <c r="G141" s="7"/>
      <c r="H141" s="7"/>
      <c r="I141" s="11">
        <v>2</v>
      </c>
      <c r="J141" s="11">
        <v>3</v>
      </c>
      <c r="K141" s="11">
        <v>0</v>
      </c>
      <c r="L141" s="11">
        <v>2.7</v>
      </c>
      <c r="M141" s="11">
        <v>0.16</v>
      </c>
      <c r="N141" s="11">
        <v>0</v>
      </c>
      <c r="O141" s="11">
        <v>0.54</v>
      </c>
      <c r="P141" s="11">
        <v>0</v>
      </c>
      <c r="Q141" s="11">
        <v>3.4</v>
      </c>
      <c r="R141" s="11">
        <v>13.3</v>
      </c>
      <c r="S141" s="11">
        <v>16.7</v>
      </c>
      <c r="T141" s="11">
        <v>2</v>
      </c>
      <c r="U141" s="11">
        <v>3</v>
      </c>
      <c r="V141" s="11">
        <v>11.7</v>
      </c>
      <c r="W141" s="13">
        <v>10</v>
      </c>
      <c r="X141" s="13">
        <v>15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334</v>
      </c>
      <c r="C142" s="10" t="s">
        <v>335</v>
      </c>
      <c r="D142" s="7" t="s">
        <v>40</v>
      </c>
      <c r="E142" s="7" t="s">
        <v>170</v>
      </c>
      <c r="F142" s="7" t="s">
        <v>299</v>
      </c>
      <c r="G142" s="7"/>
      <c r="H142" s="7"/>
      <c r="I142" s="11">
        <v>2</v>
      </c>
      <c r="J142" s="11">
        <v>3</v>
      </c>
      <c r="K142" s="11">
        <v>0</v>
      </c>
      <c r="L142" s="11">
        <v>1.96</v>
      </c>
      <c r="M142" s="11">
        <v>0.4</v>
      </c>
      <c r="N142" s="11">
        <v>0</v>
      </c>
      <c r="O142" s="11">
        <v>1.61</v>
      </c>
      <c r="P142" s="11">
        <v>0</v>
      </c>
      <c r="Q142" s="11">
        <v>3.97</v>
      </c>
      <c r="R142" s="11">
        <v>10.5</v>
      </c>
      <c r="S142" s="11">
        <v>14.47</v>
      </c>
      <c r="T142" s="11">
        <v>2</v>
      </c>
      <c r="U142" s="11">
        <v>3</v>
      </c>
      <c r="V142" s="11">
        <v>9.469999999999999</v>
      </c>
      <c r="W142" s="13">
        <v>10</v>
      </c>
      <c r="X142" s="13">
        <v>15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336</v>
      </c>
      <c r="C143" s="10" t="s">
        <v>337</v>
      </c>
      <c r="D143" s="7" t="s">
        <v>51</v>
      </c>
      <c r="E143" s="7" t="s">
        <v>170</v>
      </c>
      <c r="F143" s="7" t="s">
        <v>299</v>
      </c>
      <c r="G143" s="7"/>
      <c r="H143" s="7"/>
      <c r="I143" s="11">
        <v>2</v>
      </c>
      <c r="J143" s="11">
        <v>3</v>
      </c>
      <c r="K143" s="11">
        <v>0</v>
      </c>
      <c r="L143" s="11">
        <v>1.66</v>
      </c>
      <c r="M143" s="11">
        <v>0.16</v>
      </c>
      <c r="N143" s="11">
        <v>0</v>
      </c>
      <c r="O143" s="11">
        <v>0.36</v>
      </c>
      <c r="P143" s="11">
        <v>0</v>
      </c>
      <c r="Q143" s="11">
        <v>2.18</v>
      </c>
      <c r="R143" s="11">
        <v>8.98</v>
      </c>
      <c r="S143" s="11">
        <v>11.16</v>
      </c>
      <c r="T143" s="11">
        <v>2</v>
      </c>
      <c r="U143" s="11">
        <v>3</v>
      </c>
      <c r="V143" s="11">
        <v>6.16</v>
      </c>
      <c r="W143" s="13">
        <v>10</v>
      </c>
      <c r="X143" s="13">
        <v>15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338</v>
      </c>
      <c r="C144" s="10" t="s">
        <v>339</v>
      </c>
      <c r="D144" s="7" t="s">
        <v>51</v>
      </c>
      <c r="E144" s="7" t="s">
        <v>170</v>
      </c>
      <c r="F144" s="7" t="s">
        <v>305</v>
      </c>
      <c r="G144" s="7"/>
      <c r="H144" s="7" t="s">
        <v>43</v>
      </c>
      <c r="I144" s="11">
        <v>2</v>
      </c>
      <c r="J144" s="11">
        <v>3</v>
      </c>
      <c r="K144" s="11">
        <v>0</v>
      </c>
      <c r="L144" s="11">
        <v>4.560000000000001</v>
      </c>
      <c r="M144" s="11">
        <v>0.16</v>
      </c>
      <c r="N144" s="11">
        <v>0</v>
      </c>
      <c r="O144" s="11">
        <v>0.36</v>
      </c>
      <c r="P144" s="11">
        <v>0</v>
      </c>
      <c r="Q144" s="11">
        <v>5.080000000000002</v>
      </c>
      <c r="R144" s="11">
        <v>15.66</v>
      </c>
      <c r="S144" s="11">
        <v>20.74000000000001</v>
      </c>
      <c r="T144" s="11">
        <v>2</v>
      </c>
      <c r="U144" s="11">
        <v>3</v>
      </c>
      <c r="V144" s="11">
        <v>15.74000000000001</v>
      </c>
      <c r="W144" s="13">
        <v>10</v>
      </c>
      <c r="X144" s="13">
        <v>15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340</v>
      </c>
      <c r="C145" s="10" t="s">
        <v>341</v>
      </c>
      <c r="D145" s="7" t="s">
        <v>46</v>
      </c>
      <c r="E145" s="7" t="s">
        <v>170</v>
      </c>
      <c r="F145" s="7" t="s">
        <v>299</v>
      </c>
      <c r="G145" s="7"/>
      <c r="H145" s="7"/>
      <c r="I145" s="11">
        <v>2</v>
      </c>
      <c r="J145" s="11">
        <v>3</v>
      </c>
      <c r="K145" s="11">
        <v>0</v>
      </c>
      <c r="L145" s="11">
        <v>1.08</v>
      </c>
      <c r="M145" s="11">
        <v>0.32</v>
      </c>
      <c r="N145" s="11">
        <v>0</v>
      </c>
      <c r="O145" s="11">
        <v>0</v>
      </c>
      <c r="P145" s="11">
        <v>0</v>
      </c>
      <c r="Q145" s="11">
        <v>1.4</v>
      </c>
      <c r="R145" s="11">
        <v>8.33</v>
      </c>
      <c r="S145" s="11">
        <v>9.73</v>
      </c>
      <c r="T145" s="11">
        <v>2</v>
      </c>
      <c r="U145" s="11">
        <v>3</v>
      </c>
      <c r="V145" s="11">
        <v>4.73</v>
      </c>
      <c r="W145" s="13">
        <v>10</v>
      </c>
      <c r="X145" s="13">
        <v>15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342</v>
      </c>
      <c r="C146" s="10" t="s">
        <v>343</v>
      </c>
      <c r="D146" s="7" t="s">
        <v>40</v>
      </c>
      <c r="E146" s="7" t="s">
        <v>170</v>
      </c>
      <c r="F146" s="7" t="s">
        <v>302</v>
      </c>
      <c r="G146" s="7"/>
      <c r="H146" s="7" t="s">
        <v>43</v>
      </c>
      <c r="I146" s="11">
        <v>2</v>
      </c>
      <c r="J146" s="11">
        <v>3</v>
      </c>
      <c r="K146" s="11">
        <v>0</v>
      </c>
      <c r="L146" s="11">
        <v>5.04</v>
      </c>
      <c r="M146" s="11">
        <v>0.48</v>
      </c>
      <c r="N146" s="11">
        <v>0</v>
      </c>
      <c r="O146" s="11">
        <v>0.76</v>
      </c>
      <c r="P146" s="11">
        <v>0</v>
      </c>
      <c r="Q146" s="11">
        <v>6.279999999999999</v>
      </c>
      <c r="R146" s="11">
        <v>29.99999999999999</v>
      </c>
      <c r="S146" s="11">
        <v>36.27999999999999</v>
      </c>
      <c r="T146" s="11">
        <v>2</v>
      </c>
      <c r="U146" s="11">
        <v>3</v>
      </c>
      <c r="V146" s="11">
        <v>31.27999999999999</v>
      </c>
      <c r="W146" s="13">
        <v>10</v>
      </c>
      <c r="X146" s="13">
        <v>15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344</v>
      </c>
      <c r="C147" s="10" t="s">
        <v>345</v>
      </c>
      <c r="D147" s="7" t="s">
        <v>51</v>
      </c>
      <c r="E147" s="7" t="s">
        <v>170</v>
      </c>
      <c r="F147" s="7" t="s">
        <v>302</v>
      </c>
      <c r="G147" s="7"/>
      <c r="H147" s="7" t="s">
        <v>43</v>
      </c>
      <c r="I147" s="11">
        <v>2</v>
      </c>
      <c r="J147" s="11">
        <v>3</v>
      </c>
      <c r="K147" s="11">
        <v>0</v>
      </c>
      <c r="L147" s="11">
        <v>4.82</v>
      </c>
      <c r="M147" s="11">
        <v>0.16</v>
      </c>
      <c r="N147" s="11">
        <v>0</v>
      </c>
      <c r="O147" s="11">
        <v>0</v>
      </c>
      <c r="P147" s="11">
        <v>0</v>
      </c>
      <c r="Q147" s="11">
        <v>4.98</v>
      </c>
      <c r="R147" s="11">
        <v>20.05</v>
      </c>
      <c r="S147" s="11">
        <v>25.03</v>
      </c>
      <c r="T147" s="11">
        <v>2</v>
      </c>
      <c r="U147" s="11">
        <v>3</v>
      </c>
      <c r="V147" s="11">
        <v>20.03</v>
      </c>
      <c r="W147" s="13">
        <v>10</v>
      </c>
      <c r="X147" s="13">
        <v>15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346</v>
      </c>
      <c r="C148" s="10" t="s">
        <v>347</v>
      </c>
      <c r="D148" s="7" t="s">
        <v>46</v>
      </c>
      <c r="E148" s="7" t="s">
        <v>170</v>
      </c>
      <c r="F148" s="7" t="s">
        <v>299</v>
      </c>
      <c r="G148" s="7"/>
      <c r="H148" s="7"/>
      <c r="I148" s="11">
        <v>2</v>
      </c>
      <c r="J148" s="11">
        <v>3</v>
      </c>
      <c r="K148" s="11">
        <v>0</v>
      </c>
      <c r="L148" s="11">
        <v>1.08</v>
      </c>
      <c r="M148" s="11">
        <v>0.5700000000000001</v>
      </c>
      <c r="N148" s="11">
        <v>0</v>
      </c>
      <c r="O148" s="11">
        <v>0</v>
      </c>
      <c r="P148" s="11">
        <v>0</v>
      </c>
      <c r="Q148" s="11">
        <v>1.65</v>
      </c>
      <c r="R148" s="11">
        <v>9.23</v>
      </c>
      <c r="S148" s="11">
        <v>10.88</v>
      </c>
      <c r="T148" s="11">
        <v>2</v>
      </c>
      <c r="U148" s="11">
        <v>3</v>
      </c>
      <c r="V148" s="11">
        <v>5.880000000000001</v>
      </c>
      <c r="W148" s="13">
        <v>10</v>
      </c>
      <c r="X148" s="13">
        <v>15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348</v>
      </c>
      <c r="C149" s="10" t="s">
        <v>349</v>
      </c>
      <c r="D149" s="7" t="s">
        <v>51</v>
      </c>
      <c r="E149" s="7" t="s">
        <v>170</v>
      </c>
      <c r="F149" s="7" t="s">
        <v>299</v>
      </c>
      <c r="G149" s="7"/>
      <c r="H149" s="7"/>
      <c r="I149" s="11">
        <v>2</v>
      </c>
      <c r="J149" s="11">
        <v>3</v>
      </c>
      <c r="K149" s="11">
        <v>0</v>
      </c>
      <c r="L149" s="11">
        <v>1.14</v>
      </c>
      <c r="M149" s="11">
        <v>0.16</v>
      </c>
      <c r="N149" s="11">
        <v>0</v>
      </c>
      <c r="O149" s="11">
        <v>0.54</v>
      </c>
      <c r="P149" s="11">
        <v>0</v>
      </c>
      <c r="Q149" s="11">
        <v>1.84</v>
      </c>
      <c r="R149" s="11">
        <v>7.499999999999999</v>
      </c>
      <c r="S149" s="11">
        <v>9.34</v>
      </c>
      <c r="T149" s="11">
        <v>2</v>
      </c>
      <c r="U149" s="11">
        <v>3</v>
      </c>
      <c r="V149" s="11">
        <v>4.34</v>
      </c>
      <c r="W149" s="13">
        <v>10</v>
      </c>
      <c r="X149" s="13">
        <v>15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350</v>
      </c>
      <c r="C150" s="10" t="s">
        <v>351</v>
      </c>
      <c r="D150" s="7" t="s">
        <v>40</v>
      </c>
      <c r="E150" s="7" t="s">
        <v>170</v>
      </c>
      <c r="F150" s="7" t="s">
        <v>299</v>
      </c>
      <c r="G150" s="7"/>
      <c r="H150" s="7"/>
      <c r="I150" s="11">
        <v>2</v>
      </c>
      <c r="J150" s="11">
        <v>3</v>
      </c>
      <c r="K150" s="11">
        <v>0</v>
      </c>
      <c r="L150" s="11">
        <v>4.16</v>
      </c>
      <c r="M150" s="11">
        <v>0.24</v>
      </c>
      <c r="N150" s="11">
        <v>0</v>
      </c>
      <c r="O150" s="11">
        <v>0.36</v>
      </c>
      <c r="P150" s="11">
        <v>0</v>
      </c>
      <c r="Q150" s="11">
        <v>4.760000000000001</v>
      </c>
      <c r="R150" s="11">
        <v>14.47</v>
      </c>
      <c r="S150" s="11">
        <v>19.23</v>
      </c>
      <c r="T150" s="11">
        <v>2</v>
      </c>
      <c r="U150" s="11">
        <v>3</v>
      </c>
      <c r="V150" s="11">
        <v>14.23</v>
      </c>
      <c r="W150" s="13">
        <v>10</v>
      </c>
      <c r="X150" s="13">
        <v>15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352</v>
      </c>
      <c r="C151" s="10" t="s">
        <v>353</v>
      </c>
      <c r="D151" s="7" t="s">
        <v>40</v>
      </c>
      <c r="E151" s="7" t="s">
        <v>170</v>
      </c>
      <c r="F151" s="7" t="s">
        <v>299</v>
      </c>
      <c r="G151" s="7"/>
      <c r="H151" s="7"/>
      <c r="I151" s="11">
        <v>2</v>
      </c>
      <c r="J151" s="11">
        <v>3</v>
      </c>
      <c r="K151" s="11">
        <v>0</v>
      </c>
      <c r="L151" s="11">
        <v>2.51</v>
      </c>
      <c r="M151" s="11">
        <v>0.5600000000000001</v>
      </c>
      <c r="N151" s="11">
        <v>0</v>
      </c>
      <c r="O151" s="11">
        <v>1.79</v>
      </c>
      <c r="P151" s="11">
        <v>0</v>
      </c>
      <c r="Q151" s="11">
        <v>4.860000000000001</v>
      </c>
      <c r="R151" s="11">
        <v>10.37</v>
      </c>
      <c r="S151" s="11">
        <v>15.23</v>
      </c>
      <c r="T151" s="11">
        <v>2</v>
      </c>
      <c r="U151" s="11">
        <v>3</v>
      </c>
      <c r="V151" s="11">
        <v>10.23</v>
      </c>
      <c r="W151" s="13">
        <v>10</v>
      </c>
      <c r="X151" s="13">
        <v>15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354</v>
      </c>
      <c r="C152" s="10" t="s">
        <v>355</v>
      </c>
      <c r="D152" s="7" t="s">
        <v>51</v>
      </c>
      <c r="E152" s="7" t="s">
        <v>170</v>
      </c>
      <c r="F152" s="7" t="s">
        <v>302</v>
      </c>
      <c r="G152" s="7"/>
      <c r="H152" s="7" t="s">
        <v>43</v>
      </c>
      <c r="I152" s="11">
        <v>2</v>
      </c>
      <c r="J152" s="11">
        <v>3</v>
      </c>
      <c r="K152" s="11">
        <v>0</v>
      </c>
      <c r="L152" s="11">
        <v>6.039999999999998</v>
      </c>
      <c r="M152" s="11">
        <v>0.32</v>
      </c>
      <c r="N152" s="11">
        <v>0</v>
      </c>
      <c r="O152" s="11">
        <v>1.62</v>
      </c>
      <c r="P152" s="11">
        <v>0</v>
      </c>
      <c r="Q152" s="11">
        <v>7.979999999999999</v>
      </c>
      <c r="R152" s="11">
        <v>30.92999999999999</v>
      </c>
      <c r="S152" s="11">
        <v>38.90999999999999</v>
      </c>
      <c r="T152" s="11">
        <v>2</v>
      </c>
      <c r="U152" s="11">
        <v>3</v>
      </c>
      <c r="V152" s="11">
        <v>33.90999999999999</v>
      </c>
      <c r="W152" s="13">
        <v>10</v>
      </c>
      <c r="X152" s="13">
        <v>15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356</v>
      </c>
      <c r="C153" s="10" t="s">
        <v>357</v>
      </c>
      <c r="D153" s="7" t="s">
        <v>46</v>
      </c>
      <c r="E153" s="7" t="s">
        <v>170</v>
      </c>
      <c r="F153" s="7" t="s">
        <v>299</v>
      </c>
      <c r="G153" s="7"/>
      <c r="H153" s="7"/>
      <c r="I153" s="11">
        <v>2</v>
      </c>
      <c r="J153" s="11">
        <v>3</v>
      </c>
      <c r="K153" s="11">
        <v>0</v>
      </c>
      <c r="L153" s="11">
        <v>1.08</v>
      </c>
      <c r="M153" s="11">
        <v>0.41</v>
      </c>
      <c r="N153" s="11">
        <v>0</v>
      </c>
      <c r="O153" s="11">
        <v>0</v>
      </c>
      <c r="P153" s="11">
        <v>0</v>
      </c>
      <c r="Q153" s="11">
        <v>1.49</v>
      </c>
      <c r="R153" s="11">
        <v>8.67</v>
      </c>
      <c r="S153" s="11">
        <v>10.16</v>
      </c>
      <c r="T153" s="11">
        <v>2</v>
      </c>
      <c r="U153" s="11">
        <v>3</v>
      </c>
      <c r="V153" s="11">
        <v>5.16</v>
      </c>
      <c r="W153" s="13">
        <v>10</v>
      </c>
      <c r="X153" s="13">
        <v>15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358</v>
      </c>
      <c r="C154" s="10" t="s">
        <v>359</v>
      </c>
      <c r="D154" s="7" t="s">
        <v>51</v>
      </c>
      <c r="E154" s="7" t="s">
        <v>170</v>
      </c>
      <c r="F154" s="7" t="s">
        <v>299</v>
      </c>
      <c r="G154" s="7"/>
      <c r="H154" s="7"/>
      <c r="I154" s="11">
        <v>2</v>
      </c>
      <c r="J154" s="11">
        <v>3</v>
      </c>
      <c r="K154" s="11">
        <v>0</v>
      </c>
      <c r="L154" s="11">
        <v>1.830000000000001</v>
      </c>
      <c r="M154" s="11">
        <v>0.16</v>
      </c>
      <c r="N154" s="11">
        <v>0</v>
      </c>
      <c r="O154" s="11">
        <v>0.09</v>
      </c>
      <c r="P154" s="11">
        <v>0</v>
      </c>
      <c r="Q154" s="11">
        <v>2.080000000000001</v>
      </c>
      <c r="R154" s="11">
        <v>7.090000000000001</v>
      </c>
      <c r="S154" s="11">
        <v>9.170000000000002</v>
      </c>
      <c r="T154" s="11">
        <v>2</v>
      </c>
      <c r="U154" s="11">
        <v>3</v>
      </c>
      <c r="V154" s="11">
        <v>4.170000000000002</v>
      </c>
      <c r="W154" s="13">
        <v>10</v>
      </c>
      <c r="X154" s="13">
        <v>15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360</v>
      </c>
      <c r="C155" s="10" t="s">
        <v>361</v>
      </c>
      <c r="D155" s="7" t="s">
        <v>40</v>
      </c>
      <c r="E155" s="7" t="s">
        <v>170</v>
      </c>
      <c r="F155" s="7" t="s">
        <v>299</v>
      </c>
      <c r="G155" s="7"/>
      <c r="H155" s="7"/>
      <c r="I155" s="11">
        <v>2</v>
      </c>
      <c r="J155" s="11">
        <v>3</v>
      </c>
      <c r="K155" s="11">
        <v>0</v>
      </c>
      <c r="L155" s="11">
        <v>1.89</v>
      </c>
      <c r="M155" s="11">
        <v>0.24</v>
      </c>
      <c r="N155" s="11">
        <v>0</v>
      </c>
      <c r="O155" s="11">
        <v>1.44</v>
      </c>
      <c r="P155" s="11">
        <v>0</v>
      </c>
      <c r="Q155" s="11">
        <v>3.569999999999999</v>
      </c>
      <c r="R155" s="11">
        <v>11.11</v>
      </c>
      <c r="S155" s="11">
        <v>14.68</v>
      </c>
      <c r="T155" s="11">
        <v>2</v>
      </c>
      <c r="U155" s="11">
        <v>3</v>
      </c>
      <c r="V155" s="11">
        <v>9.68</v>
      </c>
      <c r="W155" s="13">
        <v>10</v>
      </c>
      <c r="X155" s="13">
        <v>15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362</v>
      </c>
      <c r="C156" s="10" t="s">
        <v>363</v>
      </c>
      <c r="D156" s="7" t="s">
        <v>51</v>
      </c>
      <c r="E156" s="7" t="s">
        <v>170</v>
      </c>
      <c r="F156" s="7" t="s">
        <v>299</v>
      </c>
      <c r="G156" s="7"/>
      <c r="H156" s="7"/>
      <c r="I156" s="11">
        <v>2</v>
      </c>
      <c r="J156" s="11">
        <v>3</v>
      </c>
      <c r="K156" s="11">
        <v>0</v>
      </c>
      <c r="L156" s="11">
        <v>2.4</v>
      </c>
      <c r="M156" s="11">
        <v>0.16</v>
      </c>
      <c r="N156" s="11">
        <v>0</v>
      </c>
      <c r="O156" s="11">
        <v>0.54</v>
      </c>
      <c r="P156" s="11">
        <v>0</v>
      </c>
      <c r="Q156" s="11">
        <v>3.1</v>
      </c>
      <c r="R156" s="11">
        <v>10.26</v>
      </c>
      <c r="S156" s="11">
        <v>13.36</v>
      </c>
      <c r="T156" s="11">
        <v>2</v>
      </c>
      <c r="U156" s="11">
        <v>3</v>
      </c>
      <c r="V156" s="11">
        <v>8.359999999999999</v>
      </c>
      <c r="W156" s="13">
        <v>10</v>
      </c>
      <c r="X156" s="13">
        <v>15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364</v>
      </c>
      <c r="C157" s="10" t="s">
        <v>365</v>
      </c>
      <c r="D157" s="7" t="s">
        <v>40</v>
      </c>
      <c r="E157" s="7" t="s">
        <v>170</v>
      </c>
      <c r="F157" s="7" t="s">
        <v>299</v>
      </c>
      <c r="G157" s="7"/>
      <c r="H157" s="7"/>
      <c r="I157" s="11">
        <v>2</v>
      </c>
      <c r="J157" s="11">
        <v>3</v>
      </c>
      <c r="K157" s="11">
        <v>0</v>
      </c>
      <c r="L157" s="11">
        <v>0.59</v>
      </c>
      <c r="M157" s="11">
        <v>0.5700000000000001</v>
      </c>
      <c r="N157" s="11">
        <v>0</v>
      </c>
      <c r="O157" s="11">
        <v>0.38</v>
      </c>
      <c r="P157" s="11">
        <v>0</v>
      </c>
      <c r="Q157" s="11">
        <v>1.54</v>
      </c>
      <c r="R157" s="11">
        <v>11</v>
      </c>
      <c r="S157" s="11">
        <v>12.54</v>
      </c>
      <c r="T157" s="11">
        <v>2</v>
      </c>
      <c r="U157" s="11">
        <v>3</v>
      </c>
      <c r="V157" s="11">
        <v>7.540000000000003</v>
      </c>
      <c r="W157" s="13">
        <v>10</v>
      </c>
      <c r="X157" s="13">
        <v>15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366</v>
      </c>
      <c r="C158" s="10" t="s">
        <v>367</v>
      </c>
      <c r="D158" s="7" t="s">
        <v>46</v>
      </c>
      <c r="E158" s="7" t="s">
        <v>170</v>
      </c>
      <c r="F158" s="7" t="s">
        <v>299</v>
      </c>
      <c r="G158" s="7"/>
      <c r="H158" s="7"/>
      <c r="I158" s="11">
        <v>2</v>
      </c>
      <c r="J158" s="11">
        <v>3</v>
      </c>
      <c r="K158" s="11">
        <v>0</v>
      </c>
      <c r="L158" s="11">
        <v>1.32</v>
      </c>
      <c r="M158" s="11">
        <v>0.24</v>
      </c>
      <c r="N158" s="11">
        <v>0</v>
      </c>
      <c r="O158" s="11">
        <v>0</v>
      </c>
      <c r="P158" s="11">
        <v>0</v>
      </c>
      <c r="Q158" s="11">
        <v>1.56</v>
      </c>
      <c r="R158" s="11">
        <v>8.669999999999998</v>
      </c>
      <c r="S158" s="11">
        <v>10.23</v>
      </c>
      <c r="T158" s="11">
        <v>2</v>
      </c>
      <c r="U158" s="11">
        <v>3</v>
      </c>
      <c r="V158" s="11">
        <v>5.229999999999999</v>
      </c>
      <c r="W158" s="13">
        <v>10</v>
      </c>
      <c r="X158" s="13">
        <v>15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368</v>
      </c>
      <c r="C159" s="10" t="s">
        <v>369</v>
      </c>
      <c r="D159" s="7" t="s">
        <v>40</v>
      </c>
      <c r="E159" s="7" t="s">
        <v>170</v>
      </c>
      <c r="F159" s="7" t="s">
        <v>302</v>
      </c>
      <c r="G159" s="7"/>
      <c r="H159" s="7" t="s">
        <v>43</v>
      </c>
      <c r="I159" s="11">
        <v>2</v>
      </c>
      <c r="J159" s="11">
        <v>3</v>
      </c>
      <c r="K159" s="11">
        <v>0</v>
      </c>
      <c r="L159" s="11">
        <v>6.419999999999996</v>
      </c>
      <c r="M159" s="11">
        <v>0.32</v>
      </c>
      <c r="N159" s="11">
        <v>0</v>
      </c>
      <c r="O159" s="11">
        <v>0.18</v>
      </c>
      <c r="P159" s="11">
        <v>0</v>
      </c>
      <c r="Q159" s="11">
        <v>6.919999999999996</v>
      </c>
      <c r="R159" s="11">
        <v>26.88999999999998</v>
      </c>
      <c r="S159" s="11">
        <v>33.80999999999998</v>
      </c>
      <c r="T159" s="11">
        <v>2</v>
      </c>
      <c r="U159" s="11">
        <v>3</v>
      </c>
      <c r="V159" s="11">
        <v>28.80999999999998</v>
      </c>
      <c r="W159" s="13">
        <v>10</v>
      </c>
      <c r="X159" s="13">
        <v>15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370</v>
      </c>
      <c r="C160" s="10" t="s">
        <v>371</v>
      </c>
      <c r="D160" s="7" t="s">
        <v>40</v>
      </c>
      <c r="E160" s="7" t="s">
        <v>170</v>
      </c>
      <c r="F160" s="7" t="s">
        <v>299</v>
      </c>
      <c r="G160" s="7"/>
      <c r="H160" s="7"/>
      <c r="I160" s="11">
        <v>2</v>
      </c>
      <c r="J160" s="11">
        <v>3</v>
      </c>
      <c r="K160" s="11">
        <v>0</v>
      </c>
      <c r="L160" s="11">
        <v>2.11</v>
      </c>
      <c r="M160" s="11">
        <v>0.4</v>
      </c>
      <c r="N160" s="11">
        <v>0</v>
      </c>
      <c r="O160" s="11">
        <v>0</v>
      </c>
      <c r="P160" s="11">
        <v>0</v>
      </c>
      <c r="Q160" s="11">
        <v>2.51</v>
      </c>
      <c r="R160" s="11">
        <v>13.16</v>
      </c>
      <c r="S160" s="11">
        <v>15.67</v>
      </c>
      <c r="T160" s="11">
        <v>2</v>
      </c>
      <c r="U160" s="11">
        <v>3</v>
      </c>
      <c r="V160" s="11">
        <v>10.67</v>
      </c>
      <c r="W160" s="13">
        <v>10</v>
      </c>
      <c r="X160" s="13">
        <v>15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372</v>
      </c>
      <c r="C161" s="10" t="s">
        <v>373</v>
      </c>
      <c r="D161" s="7" t="s">
        <v>40</v>
      </c>
      <c r="E161" s="7" t="s">
        <v>170</v>
      </c>
      <c r="F161" s="7" t="s">
        <v>302</v>
      </c>
      <c r="G161" s="7"/>
      <c r="H161" s="7" t="s">
        <v>43</v>
      </c>
      <c r="I161" s="11">
        <v>2</v>
      </c>
      <c r="J161" s="11">
        <v>3</v>
      </c>
      <c r="K161" s="11">
        <v>0</v>
      </c>
      <c r="L161" s="11">
        <v>3.8</v>
      </c>
      <c r="M161" s="11">
        <v>0.16</v>
      </c>
      <c r="N161" s="11">
        <v>0</v>
      </c>
      <c r="O161" s="11">
        <v>0.36</v>
      </c>
      <c r="P161" s="11">
        <v>0</v>
      </c>
      <c r="Q161" s="11">
        <v>4.32</v>
      </c>
      <c r="R161" s="11">
        <v>33.58999999999998</v>
      </c>
      <c r="S161" s="11">
        <v>37.90999999999998</v>
      </c>
      <c r="T161" s="11">
        <v>2</v>
      </c>
      <c r="U161" s="11">
        <v>3</v>
      </c>
      <c r="V161" s="11">
        <v>32.90999999999998</v>
      </c>
      <c r="W161" s="13">
        <v>10</v>
      </c>
      <c r="X161" s="13">
        <v>15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2" spans="1:676">
      <c r="A162" s="7">
        <v>152</v>
      </c>
      <c r="B162" s="7" t="s">
        <v>374</v>
      </c>
      <c r="C162" s="10" t="s">
        <v>375</v>
      </c>
      <c r="D162" s="7" t="s">
        <v>40</v>
      </c>
      <c r="E162" s="7" t="s">
        <v>170</v>
      </c>
      <c r="F162" s="7" t="s">
        <v>299</v>
      </c>
      <c r="G162" s="7"/>
      <c r="H162" s="7"/>
      <c r="I162" s="11">
        <v>2</v>
      </c>
      <c r="J162" s="11">
        <v>3</v>
      </c>
      <c r="K162" s="11">
        <v>0</v>
      </c>
      <c r="L162" s="11">
        <v>2.850000000000001</v>
      </c>
      <c r="M162" s="11">
        <v>0.08</v>
      </c>
      <c r="N162" s="11">
        <v>0</v>
      </c>
      <c r="O162" s="11">
        <v>0.18</v>
      </c>
      <c r="P162" s="11">
        <v>0</v>
      </c>
      <c r="Q162" s="11">
        <v>3.110000000000001</v>
      </c>
      <c r="R162" s="11">
        <v>13.22</v>
      </c>
      <c r="S162" s="11">
        <v>16.33</v>
      </c>
      <c r="T162" s="11">
        <v>2</v>
      </c>
      <c r="U162" s="11">
        <v>3</v>
      </c>
      <c r="V162" s="11">
        <v>11.33</v>
      </c>
      <c r="W162" s="13">
        <v>10</v>
      </c>
      <c r="X162" s="13">
        <v>15</v>
      </c>
      <c r="Y162" s="13" t="str">
        <f>MIN(W162,S162)</f>
        <v>0</v>
      </c>
      <c r="Z162" s="13" t="str">
        <f>MIN(X162,(S162-Y162))</f>
        <v>0</v>
      </c>
      <c r="AA162" s="13" t="str">
        <f>S162-SUM(Y162,Z162)</f>
        <v>0</v>
      </c>
      <c r="AB162" s="15"/>
      <c r="AC162" s="15"/>
      <c r="AD162" s="1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  <c r="IZ162" s="5"/>
      <c r="JA162" s="5"/>
      <c r="JB162" s="5"/>
      <c r="JC162" s="5"/>
      <c r="JD162" s="5"/>
      <c r="JE162" s="5"/>
      <c r="JF162" s="5"/>
      <c r="JG162" s="5"/>
      <c r="JH162" s="5"/>
      <c r="JI162" s="5"/>
      <c r="JJ162" s="5"/>
      <c r="JK162" s="5"/>
      <c r="JL162" s="5"/>
      <c r="JM162" s="5"/>
      <c r="JN162" s="5"/>
      <c r="JO162" s="5"/>
      <c r="JP162" s="5"/>
      <c r="JQ162" s="5"/>
      <c r="JR162" s="5"/>
      <c r="JS162" s="5"/>
      <c r="JT162" s="5"/>
      <c r="JU162" s="5"/>
      <c r="JV162" s="5"/>
      <c r="JW162" s="5"/>
      <c r="JX162" s="5"/>
      <c r="JY162" s="5"/>
      <c r="JZ162" s="5"/>
      <c r="KA162" s="5"/>
      <c r="KB162" s="5"/>
      <c r="KC162" s="5"/>
      <c r="KD162" s="5"/>
      <c r="KE162" s="5"/>
      <c r="KF162" s="5"/>
      <c r="KG162" s="5"/>
      <c r="KH162" s="5"/>
      <c r="KI162" s="5"/>
      <c r="KJ162" s="5"/>
      <c r="KK162" s="5"/>
      <c r="KL162" s="5"/>
      <c r="KM162" s="5"/>
      <c r="KN162" s="5"/>
      <c r="KO162" s="5"/>
      <c r="KP162" s="5"/>
      <c r="KQ162" s="5"/>
      <c r="KR162" s="5"/>
      <c r="KS162" s="5"/>
      <c r="KT162" s="5"/>
      <c r="KU162" s="5"/>
      <c r="KV162" s="5"/>
      <c r="KW162" s="5"/>
      <c r="KX162" s="5"/>
      <c r="KY162" s="5"/>
      <c r="KZ162" s="5"/>
      <c r="LA162" s="5"/>
      <c r="LB162" s="5"/>
      <c r="LC162" s="5"/>
      <c r="LD162" s="5"/>
      <c r="LE162" s="5"/>
      <c r="LF162" s="5"/>
      <c r="LG162" s="5"/>
      <c r="LH162" s="5"/>
      <c r="LI162" s="5"/>
      <c r="LJ162" s="5"/>
      <c r="LK162" s="5"/>
      <c r="LL162" s="5"/>
      <c r="LM162" s="5"/>
      <c r="LN162" s="5"/>
      <c r="LO162" s="5"/>
      <c r="LP162" s="5"/>
      <c r="LQ162" s="5"/>
      <c r="LR162" s="5"/>
      <c r="LS162" s="5"/>
      <c r="LT162" s="5"/>
      <c r="LU162" s="5"/>
      <c r="LV162" s="5"/>
      <c r="LW162" s="5"/>
      <c r="LX162" s="5"/>
      <c r="LY162" s="5"/>
      <c r="LZ162" s="5"/>
      <c r="MA162" s="5"/>
      <c r="MB162" s="5"/>
      <c r="MC162" s="5"/>
      <c r="MD162" s="5"/>
      <c r="ME162" s="5"/>
      <c r="MF162" s="5"/>
      <c r="MG162" s="5"/>
      <c r="MH162" s="5"/>
      <c r="MI162" s="5"/>
      <c r="MJ162" s="5"/>
      <c r="MK162" s="5"/>
      <c r="ML162" s="5"/>
      <c r="MM162" s="5"/>
      <c r="MN162" s="5"/>
      <c r="MO162" s="5"/>
      <c r="MP162" s="5"/>
      <c r="MQ162" s="5"/>
      <c r="MR162" s="5"/>
      <c r="MS162" s="5"/>
      <c r="MT162" s="5"/>
      <c r="MU162" s="5"/>
      <c r="MV162" s="5"/>
      <c r="MW162" s="5"/>
      <c r="MX162" s="5"/>
      <c r="MY162" s="5"/>
      <c r="MZ162" s="5"/>
      <c r="NA162" s="5"/>
      <c r="NB162" s="5"/>
      <c r="NC162" s="5"/>
      <c r="ND162" s="5"/>
      <c r="NE162" s="5"/>
      <c r="NF162" s="5"/>
      <c r="NG162" s="5"/>
      <c r="NH162" s="5"/>
      <c r="NI162" s="5"/>
      <c r="NJ162" s="5"/>
      <c r="NK162" s="5"/>
      <c r="NL162" s="5"/>
      <c r="NM162" s="5"/>
      <c r="NN162" s="5"/>
      <c r="NO162" s="5"/>
      <c r="NP162" s="5"/>
      <c r="NQ162" s="5"/>
      <c r="NR162" s="5"/>
      <c r="NS162" s="5"/>
      <c r="NT162" s="5"/>
      <c r="NU162" s="5"/>
      <c r="NV162" s="5"/>
      <c r="NW162" s="5"/>
      <c r="NX162" s="5"/>
      <c r="NY162" s="5"/>
      <c r="NZ162" s="5"/>
      <c r="OA162" s="5"/>
      <c r="OB162" s="5"/>
      <c r="OC162" s="5"/>
      <c r="OD162" s="5"/>
      <c r="OE162" s="5"/>
      <c r="OF162" s="5"/>
      <c r="OG162" s="5"/>
      <c r="OH162" s="5"/>
      <c r="OI162" s="5"/>
      <c r="OJ162" s="5"/>
      <c r="OK162" s="5"/>
      <c r="OL162" s="5"/>
      <c r="OM162" s="5"/>
      <c r="ON162" s="5"/>
      <c r="OO162" s="5"/>
      <c r="OP162" s="5"/>
      <c r="OQ162" s="5"/>
      <c r="OR162" s="5"/>
      <c r="OS162" s="5"/>
      <c r="OT162" s="5"/>
      <c r="OU162" s="5"/>
      <c r="OV162" s="5"/>
      <c r="OW162" s="5"/>
      <c r="OX162" s="5"/>
      <c r="OY162" s="5"/>
      <c r="OZ162" s="5"/>
      <c r="PA162" s="5"/>
      <c r="PB162" s="5"/>
      <c r="PC162" s="5"/>
      <c r="PD162" s="5"/>
      <c r="PE162" s="5"/>
      <c r="PF162" s="5"/>
      <c r="PG162" s="5"/>
      <c r="PH162" s="5"/>
      <c r="PI162" s="5"/>
      <c r="PJ162" s="5"/>
      <c r="PK162" s="5"/>
      <c r="PL162" s="5"/>
      <c r="PM162" s="5"/>
      <c r="PN162" s="5"/>
      <c r="PO162" s="5"/>
      <c r="PP162" s="5"/>
      <c r="PQ162" s="5"/>
      <c r="PR162" s="5"/>
      <c r="PS162" s="5"/>
      <c r="PT162" s="5"/>
      <c r="PU162" s="5"/>
      <c r="PV162" s="5"/>
      <c r="PW162" s="5"/>
      <c r="PX162" s="5"/>
      <c r="PY162" s="5"/>
      <c r="PZ162" s="5"/>
      <c r="QA162" s="5"/>
      <c r="QB162" s="5"/>
      <c r="QC162" s="5"/>
      <c r="QD162" s="5"/>
      <c r="QE162" s="5"/>
      <c r="QF162" s="5"/>
      <c r="QG162" s="5"/>
      <c r="QH162" s="5"/>
      <c r="QI162" s="5"/>
      <c r="QJ162" s="5"/>
      <c r="QK162" s="5"/>
      <c r="QL162" s="5"/>
      <c r="QM162" s="5"/>
      <c r="QN162" s="5"/>
      <c r="QO162" s="5"/>
      <c r="QP162" s="5"/>
      <c r="QQ162" s="5"/>
      <c r="QR162" s="5"/>
      <c r="QS162" s="5"/>
      <c r="QT162" s="5"/>
      <c r="QU162" s="5"/>
      <c r="QV162" s="5"/>
      <c r="QW162" s="5"/>
      <c r="QX162" s="5"/>
      <c r="QY162" s="5"/>
      <c r="QZ162" s="5"/>
      <c r="RA162" s="5"/>
      <c r="RB162" s="5"/>
      <c r="RC162" s="5"/>
      <c r="RD162" s="5"/>
      <c r="RE162" s="5"/>
      <c r="RF162" s="5"/>
      <c r="RG162" s="5"/>
      <c r="RH162" s="5"/>
      <c r="RI162" s="5"/>
      <c r="RJ162" s="5"/>
      <c r="RK162" s="5"/>
      <c r="RL162" s="5"/>
      <c r="RM162" s="5"/>
      <c r="RN162" s="5"/>
      <c r="RO162" s="5"/>
      <c r="RP162" s="5"/>
      <c r="RQ162" s="5"/>
      <c r="RR162" s="5"/>
      <c r="RS162" s="5"/>
      <c r="RT162" s="5"/>
      <c r="RU162" s="5"/>
      <c r="RV162" s="5"/>
      <c r="RW162" s="5"/>
      <c r="RX162" s="5"/>
      <c r="RY162" s="5"/>
      <c r="RZ162" s="5"/>
      <c r="SA162" s="5"/>
      <c r="SB162" s="5"/>
      <c r="SC162" s="5"/>
      <c r="SD162" s="5"/>
      <c r="SE162" s="5"/>
      <c r="SF162" s="5"/>
      <c r="SG162" s="5"/>
      <c r="SH162" s="5"/>
      <c r="SI162" s="5"/>
      <c r="SJ162" s="5"/>
      <c r="SK162" s="5"/>
      <c r="SL162" s="5"/>
      <c r="SM162" s="5"/>
      <c r="SN162" s="5"/>
      <c r="SO162" s="5"/>
      <c r="SP162" s="5"/>
      <c r="SQ162" s="5"/>
      <c r="SR162" s="5"/>
      <c r="SS162" s="5"/>
      <c r="ST162" s="5"/>
      <c r="SU162" s="5"/>
      <c r="SV162" s="5"/>
      <c r="SW162" s="5"/>
      <c r="SX162" s="5"/>
      <c r="SY162" s="5"/>
      <c r="SZ162" s="5"/>
      <c r="TA162" s="5"/>
      <c r="TB162" s="5"/>
      <c r="TC162" s="5"/>
      <c r="TD162" s="5"/>
      <c r="TE162" s="5"/>
      <c r="TF162" s="5"/>
      <c r="TG162" s="5"/>
      <c r="TH162" s="5"/>
      <c r="TI162" s="5"/>
      <c r="TJ162" s="5"/>
      <c r="TK162" s="5"/>
      <c r="TL162" s="5"/>
      <c r="TM162" s="5"/>
      <c r="TN162" s="5"/>
      <c r="TO162" s="5"/>
      <c r="TP162" s="5"/>
      <c r="TQ162" s="5"/>
      <c r="TR162" s="5"/>
      <c r="TS162" s="5"/>
      <c r="TT162" s="5"/>
      <c r="TU162" s="5"/>
      <c r="TV162" s="5"/>
      <c r="TW162" s="5"/>
      <c r="TX162" s="5"/>
      <c r="TY162" s="5"/>
      <c r="TZ162" s="5"/>
      <c r="UA162" s="5"/>
      <c r="UB162" s="5"/>
      <c r="UC162" s="5"/>
      <c r="UD162" s="5"/>
      <c r="UE162" s="5"/>
      <c r="UF162" s="5"/>
      <c r="UG162" s="5"/>
      <c r="UH162" s="5"/>
      <c r="UI162" s="5"/>
      <c r="UJ162" s="5"/>
      <c r="UK162" s="5"/>
      <c r="UL162" s="5"/>
      <c r="UM162" s="5"/>
      <c r="UN162" s="5"/>
      <c r="UO162" s="5"/>
      <c r="UP162" s="5"/>
      <c r="UQ162" s="5"/>
      <c r="UR162" s="5"/>
      <c r="US162" s="5"/>
      <c r="UT162" s="5"/>
      <c r="UU162" s="5"/>
      <c r="UV162" s="5"/>
      <c r="UW162" s="5"/>
      <c r="UX162" s="5"/>
      <c r="UY162" s="5"/>
      <c r="UZ162" s="5"/>
      <c r="VA162" s="5"/>
      <c r="VB162" s="5"/>
      <c r="VC162" s="5"/>
      <c r="VD162" s="5"/>
      <c r="VE162" s="5"/>
      <c r="VF162" s="5"/>
      <c r="VG162" s="5"/>
      <c r="VH162" s="5"/>
      <c r="VI162" s="5"/>
      <c r="VJ162" s="5"/>
      <c r="VK162" s="5"/>
      <c r="VL162" s="5"/>
      <c r="VM162" s="5"/>
      <c r="VN162" s="5"/>
      <c r="VO162" s="5"/>
      <c r="VP162" s="5"/>
      <c r="VQ162" s="5"/>
      <c r="VR162" s="5"/>
      <c r="VS162" s="5"/>
      <c r="VT162" s="5"/>
      <c r="VU162" s="5"/>
      <c r="VV162" s="5"/>
      <c r="VW162" s="5"/>
      <c r="VX162" s="5"/>
      <c r="VY162" s="5"/>
      <c r="VZ162" s="5"/>
      <c r="WA162" s="5"/>
      <c r="WB162" s="5"/>
      <c r="WC162" s="5"/>
      <c r="WD162" s="5"/>
      <c r="WE162" s="5"/>
      <c r="WF162" s="5"/>
      <c r="WG162" s="5"/>
      <c r="WH162" s="5"/>
      <c r="WI162" s="5"/>
      <c r="WJ162" s="5"/>
      <c r="WK162" s="5"/>
      <c r="WL162" s="5"/>
      <c r="WM162" s="5"/>
      <c r="WN162" s="5"/>
      <c r="WO162" s="5"/>
      <c r="WP162" s="5"/>
      <c r="WQ162" s="5"/>
      <c r="WR162" s="5"/>
      <c r="WS162" s="5"/>
      <c r="WT162" s="5"/>
      <c r="WU162" s="5"/>
      <c r="WV162" s="5"/>
      <c r="WW162" s="5"/>
      <c r="WX162" s="5"/>
      <c r="WY162" s="5"/>
      <c r="WZ162" s="5"/>
      <c r="XA162" s="5"/>
      <c r="XB162" s="5"/>
      <c r="XC162" s="5"/>
      <c r="XD162" s="5"/>
      <c r="XE162" s="5"/>
      <c r="XF162" s="5"/>
      <c r="XG162" s="5"/>
      <c r="XH162" s="5"/>
      <c r="XI162" s="5"/>
      <c r="XJ162" s="5"/>
      <c r="XK162" s="5"/>
      <c r="XL162" s="5"/>
      <c r="XM162" s="5"/>
      <c r="XN162" s="5"/>
      <c r="XO162" s="5"/>
      <c r="XP162" s="5"/>
      <c r="XQ162" s="5"/>
      <c r="XR162" s="5"/>
      <c r="XS162" s="5"/>
      <c r="XT162" s="5"/>
      <c r="XU162" s="5"/>
      <c r="XV162" s="5"/>
      <c r="XW162" s="5"/>
      <c r="XX162" s="5"/>
      <c r="XY162" s="5"/>
      <c r="XZ162" s="5"/>
      <c r="YA162" s="5"/>
      <c r="YB162" s="5"/>
      <c r="YC162" s="5"/>
      <c r="YD162" s="5"/>
      <c r="YE162" s="5"/>
      <c r="YF162" s="5"/>
      <c r="YG162" s="5"/>
      <c r="YH162" s="5"/>
      <c r="YI162" s="5"/>
      <c r="YJ162" s="5"/>
      <c r="YK162" s="5"/>
      <c r="YL162" s="5"/>
      <c r="YM162" s="5"/>
      <c r="YN162" s="5"/>
      <c r="YO162" s="5"/>
      <c r="YP162" s="5"/>
      <c r="YQ162" s="5"/>
      <c r="YR162" s="5"/>
      <c r="YS162" s="5"/>
      <c r="YT162" s="5"/>
      <c r="YU162" s="5"/>
      <c r="YV162" s="5"/>
      <c r="YW162" s="5"/>
      <c r="YX162" s="5"/>
      <c r="YY162" s="5"/>
      <c r="YZ162" s="5"/>
    </row>
    <row r="163" spans="1:676">
      <c r="A163" s="7">
        <v>153</v>
      </c>
      <c r="B163" s="7" t="s">
        <v>376</v>
      </c>
      <c r="C163" s="10" t="s">
        <v>377</v>
      </c>
      <c r="D163" s="7" t="s">
        <v>46</v>
      </c>
      <c r="E163" s="7" t="s">
        <v>170</v>
      </c>
      <c r="F163" s="7" t="s">
        <v>299</v>
      </c>
      <c r="G163" s="7"/>
      <c r="H163" s="7"/>
      <c r="I163" s="11">
        <v>2</v>
      </c>
      <c r="J163" s="11">
        <v>3</v>
      </c>
      <c r="K163" s="11">
        <v>0</v>
      </c>
      <c r="L163" s="11">
        <v>2.16</v>
      </c>
      <c r="M163" s="11">
        <v>0.5600000000000001</v>
      </c>
      <c r="N163" s="11">
        <v>0</v>
      </c>
      <c r="O163" s="11">
        <v>0.6</v>
      </c>
      <c r="P163" s="11">
        <v>0</v>
      </c>
      <c r="Q163" s="11">
        <v>3.32</v>
      </c>
      <c r="R163" s="11">
        <v>13.43</v>
      </c>
      <c r="S163" s="11">
        <v>16.75</v>
      </c>
      <c r="T163" s="11">
        <v>2</v>
      </c>
      <c r="U163" s="11">
        <v>3</v>
      </c>
      <c r="V163" s="11">
        <v>11.75</v>
      </c>
      <c r="W163" s="13">
        <v>10</v>
      </c>
      <c r="X163" s="13">
        <v>15</v>
      </c>
      <c r="Y163" s="13" t="str">
        <f>MIN(W163,S163)</f>
        <v>0</v>
      </c>
      <c r="Z163" s="13" t="str">
        <f>MIN(X163,(S163-Y163))</f>
        <v>0</v>
      </c>
      <c r="AA163" s="13" t="str">
        <f>S163-SUM(Y163,Z163)</f>
        <v>0</v>
      </c>
      <c r="AB163" s="15"/>
      <c r="AC163" s="15"/>
      <c r="AD163" s="1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  <c r="IZ163" s="5"/>
      <c r="JA163" s="5"/>
      <c r="JB163" s="5"/>
      <c r="JC163" s="5"/>
      <c r="JD163" s="5"/>
      <c r="JE163" s="5"/>
      <c r="JF163" s="5"/>
      <c r="JG163" s="5"/>
      <c r="JH163" s="5"/>
      <c r="JI163" s="5"/>
      <c r="JJ163" s="5"/>
      <c r="JK163" s="5"/>
      <c r="JL163" s="5"/>
      <c r="JM163" s="5"/>
      <c r="JN163" s="5"/>
      <c r="JO163" s="5"/>
      <c r="JP163" s="5"/>
      <c r="JQ163" s="5"/>
      <c r="JR163" s="5"/>
      <c r="JS163" s="5"/>
      <c r="JT163" s="5"/>
      <c r="JU163" s="5"/>
      <c r="JV163" s="5"/>
      <c r="JW163" s="5"/>
      <c r="JX163" s="5"/>
      <c r="JY163" s="5"/>
      <c r="JZ163" s="5"/>
      <c r="KA163" s="5"/>
      <c r="KB163" s="5"/>
      <c r="KC163" s="5"/>
      <c r="KD163" s="5"/>
      <c r="KE163" s="5"/>
      <c r="KF163" s="5"/>
      <c r="KG163" s="5"/>
      <c r="KH163" s="5"/>
      <c r="KI163" s="5"/>
      <c r="KJ163" s="5"/>
      <c r="KK163" s="5"/>
      <c r="KL163" s="5"/>
      <c r="KM163" s="5"/>
      <c r="KN163" s="5"/>
      <c r="KO163" s="5"/>
      <c r="KP163" s="5"/>
      <c r="KQ163" s="5"/>
      <c r="KR163" s="5"/>
      <c r="KS163" s="5"/>
      <c r="KT163" s="5"/>
      <c r="KU163" s="5"/>
      <c r="KV163" s="5"/>
      <c r="KW163" s="5"/>
      <c r="KX163" s="5"/>
      <c r="KY163" s="5"/>
      <c r="KZ163" s="5"/>
      <c r="LA163" s="5"/>
      <c r="LB163" s="5"/>
      <c r="LC163" s="5"/>
      <c r="LD163" s="5"/>
      <c r="LE163" s="5"/>
      <c r="LF163" s="5"/>
      <c r="LG163" s="5"/>
      <c r="LH163" s="5"/>
      <c r="LI163" s="5"/>
      <c r="LJ163" s="5"/>
      <c r="LK163" s="5"/>
      <c r="LL163" s="5"/>
      <c r="LM163" s="5"/>
      <c r="LN163" s="5"/>
      <c r="LO163" s="5"/>
      <c r="LP163" s="5"/>
      <c r="LQ163" s="5"/>
      <c r="LR163" s="5"/>
      <c r="LS163" s="5"/>
      <c r="LT163" s="5"/>
      <c r="LU163" s="5"/>
      <c r="LV163" s="5"/>
      <c r="LW163" s="5"/>
      <c r="LX163" s="5"/>
      <c r="LY163" s="5"/>
      <c r="LZ163" s="5"/>
      <c r="MA163" s="5"/>
      <c r="MB163" s="5"/>
      <c r="MC163" s="5"/>
      <c r="MD163" s="5"/>
      <c r="ME163" s="5"/>
      <c r="MF163" s="5"/>
      <c r="MG163" s="5"/>
      <c r="MH163" s="5"/>
      <c r="MI163" s="5"/>
      <c r="MJ163" s="5"/>
      <c r="MK163" s="5"/>
      <c r="ML163" s="5"/>
      <c r="MM163" s="5"/>
      <c r="MN163" s="5"/>
      <c r="MO163" s="5"/>
      <c r="MP163" s="5"/>
      <c r="MQ163" s="5"/>
      <c r="MR163" s="5"/>
      <c r="MS163" s="5"/>
      <c r="MT163" s="5"/>
      <c r="MU163" s="5"/>
      <c r="MV163" s="5"/>
      <c r="MW163" s="5"/>
      <c r="MX163" s="5"/>
      <c r="MY163" s="5"/>
      <c r="MZ163" s="5"/>
      <c r="NA163" s="5"/>
      <c r="NB163" s="5"/>
      <c r="NC163" s="5"/>
      <c r="ND163" s="5"/>
      <c r="NE163" s="5"/>
      <c r="NF163" s="5"/>
      <c r="NG163" s="5"/>
      <c r="NH163" s="5"/>
      <c r="NI163" s="5"/>
      <c r="NJ163" s="5"/>
      <c r="NK163" s="5"/>
      <c r="NL163" s="5"/>
      <c r="NM163" s="5"/>
      <c r="NN163" s="5"/>
      <c r="NO163" s="5"/>
      <c r="NP163" s="5"/>
      <c r="NQ163" s="5"/>
      <c r="NR163" s="5"/>
      <c r="NS163" s="5"/>
      <c r="NT163" s="5"/>
      <c r="NU163" s="5"/>
      <c r="NV163" s="5"/>
      <c r="NW163" s="5"/>
      <c r="NX163" s="5"/>
      <c r="NY163" s="5"/>
      <c r="NZ163" s="5"/>
      <c r="OA163" s="5"/>
      <c r="OB163" s="5"/>
      <c r="OC163" s="5"/>
      <c r="OD163" s="5"/>
      <c r="OE163" s="5"/>
      <c r="OF163" s="5"/>
      <c r="OG163" s="5"/>
      <c r="OH163" s="5"/>
      <c r="OI163" s="5"/>
      <c r="OJ163" s="5"/>
      <c r="OK163" s="5"/>
      <c r="OL163" s="5"/>
      <c r="OM163" s="5"/>
      <c r="ON163" s="5"/>
      <c r="OO163" s="5"/>
      <c r="OP163" s="5"/>
      <c r="OQ163" s="5"/>
      <c r="OR163" s="5"/>
      <c r="OS163" s="5"/>
      <c r="OT163" s="5"/>
      <c r="OU163" s="5"/>
      <c r="OV163" s="5"/>
      <c r="OW163" s="5"/>
      <c r="OX163" s="5"/>
      <c r="OY163" s="5"/>
      <c r="OZ163" s="5"/>
      <c r="PA163" s="5"/>
      <c r="PB163" s="5"/>
      <c r="PC163" s="5"/>
      <c r="PD163" s="5"/>
      <c r="PE163" s="5"/>
      <c r="PF163" s="5"/>
      <c r="PG163" s="5"/>
      <c r="PH163" s="5"/>
      <c r="PI163" s="5"/>
      <c r="PJ163" s="5"/>
      <c r="PK163" s="5"/>
      <c r="PL163" s="5"/>
      <c r="PM163" s="5"/>
      <c r="PN163" s="5"/>
      <c r="PO163" s="5"/>
      <c r="PP163" s="5"/>
      <c r="PQ163" s="5"/>
      <c r="PR163" s="5"/>
      <c r="PS163" s="5"/>
      <c r="PT163" s="5"/>
      <c r="PU163" s="5"/>
      <c r="PV163" s="5"/>
      <c r="PW163" s="5"/>
      <c r="PX163" s="5"/>
      <c r="PY163" s="5"/>
      <c r="PZ163" s="5"/>
      <c r="QA163" s="5"/>
      <c r="QB163" s="5"/>
      <c r="QC163" s="5"/>
      <c r="QD163" s="5"/>
      <c r="QE163" s="5"/>
      <c r="QF163" s="5"/>
      <c r="QG163" s="5"/>
      <c r="QH163" s="5"/>
      <c r="QI163" s="5"/>
      <c r="QJ163" s="5"/>
      <c r="QK163" s="5"/>
      <c r="QL163" s="5"/>
      <c r="QM163" s="5"/>
      <c r="QN163" s="5"/>
      <c r="QO163" s="5"/>
      <c r="QP163" s="5"/>
      <c r="QQ163" s="5"/>
      <c r="QR163" s="5"/>
      <c r="QS163" s="5"/>
      <c r="QT163" s="5"/>
      <c r="QU163" s="5"/>
      <c r="QV163" s="5"/>
      <c r="QW163" s="5"/>
      <c r="QX163" s="5"/>
      <c r="QY163" s="5"/>
      <c r="QZ163" s="5"/>
      <c r="RA163" s="5"/>
      <c r="RB163" s="5"/>
      <c r="RC163" s="5"/>
      <c r="RD163" s="5"/>
      <c r="RE163" s="5"/>
      <c r="RF163" s="5"/>
      <c r="RG163" s="5"/>
      <c r="RH163" s="5"/>
      <c r="RI163" s="5"/>
      <c r="RJ163" s="5"/>
      <c r="RK163" s="5"/>
      <c r="RL163" s="5"/>
      <c r="RM163" s="5"/>
      <c r="RN163" s="5"/>
      <c r="RO163" s="5"/>
      <c r="RP163" s="5"/>
      <c r="RQ163" s="5"/>
      <c r="RR163" s="5"/>
      <c r="RS163" s="5"/>
      <c r="RT163" s="5"/>
      <c r="RU163" s="5"/>
      <c r="RV163" s="5"/>
      <c r="RW163" s="5"/>
      <c r="RX163" s="5"/>
      <c r="RY163" s="5"/>
      <c r="RZ163" s="5"/>
      <c r="SA163" s="5"/>
      <c r="SB163" s="5"/>
      <c r="SC163" s="5"/>
      <c r="SD163" s="5"/>
      <c r="SE163" s="5"/>
      <c r="SF163" s="5"/>
      <c r="SG163" s="5"/>
      <c r="SH163" s="5"/>
      <c r="SI163" s="5"/>
      <c r="SJ163" s="5"/>
      <c r="SK163" s="5"/>
      <c r="SL163" s="5"/>
      <c r="SM163" s="5"/>
      <c r="SN163" s="5"/>
      <c r="SO163" s="5"/>
      <c r="SP163" s="5"/>
      <c r="SQ163" s="5"/>
      <c r="SR163" s="5"/>
      <c r="SS163" s="5"/>
      <c r="ST163" s="5"/>
      <c r="SU163" s="5"/>
      <c r="SV163" s="5"/>
      <c r="SW163" s="5"/>
      <c r="SX163" s="5"/>
      <c r="SY163" s="5"/>
      <c r="SZ163" s="5"/>
      <c r="TA163" s="5"/>
      <c r="TB163" s="5"/>
      <c r="TC163" s="5"/>
      <c r="TD163" s="5"/>
      <c r="TE163" s="5"/>
      <c r="TF163" s="5"/>
      <c r="TG163" s="5"/>
      <c r="TH163" s="5"/>
      <c r="TI163" s="5"/>
      <c r="TJ163" s="5"/>
      <c r="TK163" s="5"/>
      <c r="TL163" s="5"/>
      <c r="TM163" s="5"/>
      <c r="TN163" s="5"/>
      <c r="TO163" s="5"/>
      <c r="TP163" s="5"/>
      <c r="TQ163" s="5"/>
      <c r="TR163" s="5"/>
      <c r="TS163" s="5"/>
      <c r="TT163" s="5"/>
      <c r="TU163" s="5"/>
      <c r="TV163" s="5"/>
      <c r="TW163" s="5"/>
      <c r="TX163" s="5"/>
      <c r="TY163" s="5"/>
      <c r="TZ163" s="5"/>
      <c r="UA163" s="5"/>
      <c r="UB163" s="5"/>
      <c r="UC163" s="5"/>
      <c r="UD163" s="5"/>
      <c r="UE163" s="5"/>
      <c r="UF163" s="5"/>
      <c r="UG163" s="5"/>
      <c r="UH163" s="5"/>
      <c r="UI163" s="5"/>
      <c r="UJ163" s="5"/>
      <c r="UK163" s="5"/>
      <c r="UL163" s="5"/>
      <c r="UM163" s="5"/>
      <c r="UN163" s="5"/>
      <c r="UO163" s="5"/>
      <c r="UP163" s="5"/>
      <c r="UQ163" s="5"/>
      <c r="UR163" s="5"/>
      <c r="US163" s="5"/>
      <c r="UT163" s="5"/>
      <c r="UU163" s="5"/>
      <c r="UV163" s="5"/>
      <c r="UW163" s="5"/>
      <c r="UX163" s="5"/>
      <c r="UY163" s="5"/>
      <c r="UZ163" s="5"/>
      <c r="VA163" s="5"/>
      <c r="VB163" s="5"/>
      <c r="VC163" s="5"/>
      <c r="VD163" s="5"/>
      <c r="VE163" s="5"/>
      <c r="VF163" s="5"/>
      <c r="VG163" s="5"/>
      <c r="VH163" s="5"/>
      <c r="VI163" s="5"/>
      <c r="VJ163" s="5"/>
      <c r="VK163" s="5"/>
      <c r="VL163" s="5"/>
      <c r="VM163" s="5"/>
      <c r="VN163" s="5"/>
      <c r="VO163" s="5"/>
      <c r="VP163" s="5"/>
      <c r="VQ163" s="5"/>
      <c r="VR163" s="5"/>
      <c r="VS163" s="5"/>
      <c r="VT163" s="5"/>
      <c r="VU163" s="5"/>
      <c r="VV163" s="5"/>
      <c r="VW163" s="5"/>
      <c r="VX163" s="5"/>
      <c r="VY163" s="5"/>
      <c r="VZ163" s="5"/>
      <c r="WA163" s="5"/>
      <c r="WB163" s="5"/>
      <c r="WC163" s="5"/>
      <c r="WD163" s="5"/>
      <c r="WE163" s="5"/>
      <c r="WF163" s="5"/>
      <c r="WG163" s="5"/>
      <c r="WH163" s="5"/>
      <c r="WI163" s="5"/>
      <c r="WJ163" s="5"/>
      <c r="WK163" s="5"/>
      <c r="WL163" s="5"/>
      <c r="WM163" s="5"/>
      <c r="WN163" s="5"/>
      <c r="WO163" s="5"/>
      <c r="WP163" s="5"/>
      <c r="WQ163" s="5"/>
      <c r="WR163" s="5"/>
      <c r="WS163" s="5"/>
      <c r="WT163" s="5"/>
      <c r="WU163" s="5"/>
      <c r="WV163" s="5"/>
      <c r="WW163" s="5"/>
      <c r="WX163" s="5"/>
      <c r="WY163" s="5"/>
      <c r="WZ163" s="5"/>
      <c r="XA163" s="5"/>
      <c r="XB163" s="5"/>
      <c r="XC163" s="5"/>
      <c r="XD163" s="5"/>
      <c r="XE163" s="5"/>
      <c r="XF163" s="5"/>
      <c r="XG163" s="5"/>
      <c r="XH163" s="5"/>
      <c r="XI163" s="5"/>
      <c r="XJ163" s="5"/>
      <c r="XK163" s="5"/>
      <c r="XL163" s="5"/>
      <c r="XM163" s="5"/>
      <c r="XN163" s="5"/>
      <c r="XO163" s="5"/>
      <c r="XP163" s="5"/>
      <c r="XQ163" s="5"/>
      <c r="XR163" s="5"/>
      <c r="XS163" s="5"/>
      <c r="XT163" s="5"/>
      <c r="XU163" s="5"/>
      <c r="XV163" s="5"/>
      <c r="XW163" s="5"/>
      <c r="XX163" s="5"/>
      <c r="XY163" s="5"/>
      <c r="XZ163" s="5"/>
      <c r="YA163" s="5"/>
      <c r="YB163" s="5"/>
      <c r="YC163" s="5"/>
      <c r="YD163" s="5"/>
      <c r="YE163" s="5"/>
      <c r="YF163" s="5"/>
      <c r="YG163" s="5"/>
      <c r="YH163" s="5"/>
      <c r="YI163" s="5"/>
      <c r="YJ163" s="5"/>
      <c r="YK163" s="5"/>
      <c r="YL163" s="5"/>
      <c r="YM163" s="5"/>
      <c r="YN163" s="5"/>
      <c r="YO163" s="5"/>
      <c r="YP163" s="5"/>
      <c r="YQ163" s="5"/>
      <c r="YR163" s="5"/>
      <c r="YS163" s="5"/>
      <c r="YT163" s="5"/>
      <c r="YU163" s="5"/>
      <c r="YV163" s="5"/>
      <c r="YW163" s="5"/>
      <c r="YX163" s="5"/>
      <c r="YY163" s="5"/>
      <c r="YZ163" s="5"/>
    </row>
    <row r="167" spans="1:676">
      <c r="A167" s="16"/>
      <c r="B167" s="16" t="s">
        <v>378</v>
      </c>
      <c r="C167" s="16"/>
      <c r="D167" s="16"/>
      <c r="E167" s="16"/>
      <c r="F167" s="16"/>
      <c r="G167" s="16"/>
      <c r="H167" s="16"/>
      <c r="I167" s="16" t="s">
        <v>379</v>
      </c>
      <c r="J167" s="16"/>
      <c r="K167" s="16"/>
      <c r="L167" s="16"/>
      <c r="M167" s="16"/>
      <c r="N167" s="16"/>
      <c r="O167" s="16"/>
      <c r="P167" s="16"/>
      <c r="Q167" s="16"/>
    </row>
    <row r="168" spans="1:676">
      <c r="A168" s="16"/>
      <c r="B168" s="16" t="s">
        <v>380</v>
      </c>
      <c r="C168" s="16"/>
      <c r="D168" s="16"/>
      <c r="E168" s="16"/>
      <c r="F168" s="16"/>
      <c r="G168" s="16"/>
      <c r="H168" s="16"/>
      <c r="I168" s="16" t="s">
        <v>381</v>
      </c>
      <c r="J168" s="16"/>
      <c r="K168" s="16"/>
      <c r="L168" s="16"/>
      <c r="M168" s="16"/>
      <c r="N168" s="16"/>
      <c r="O168" s="16"/>
      <c r="P168" s="16"/>
      <c r="Q168" s="16"/>
    </row>
    <row r="169" spans="1:676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</row>
    <row r="170" spans="1:676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</row>
    <row r="171" spans="1:676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</row>
    <row r="172" spans="1:676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</row>
    <row r="173" spans="1:676">
      <c r="A173" s="16"/>
      <c r="B173" s="16" t="s">
        <v>382</v>
      </c>
      <c r="C173" s="16"/>
      <c r="D173" s="16"/>
      <c r="E173" s="16"/>
      <c r="F173" s="16"/>
      <c r="G173" s="16"/>
      <c r="H173" s="16"/>
      <c r="I173" s="16" t="s">
        <v>383</v>
      </c>
      <c r="J173" s="16"/>
      <c r="K173" s="16"/>
      <c r="L173" s="16"/>
      <c r="M173" s="16"/>
      <c r="N173" s="16"/>
      <c r="O173" s="16"/>
      <c r="P173" s="16"/>
      <c r="Q173" s="16"/>
    </row>
    <row r="174" spans="1:676">
      <c r="A174" s="16"/>
      <c r="B174" s="16" t="s">
        <v>384</v>
      </c>
      <c r="C174" s="16"/>
      <c r="D174" s="16"/>
      <c r="E174" s="16"/>
      <c r="F174" s="16"/>
      <c r="G174" s="16"/>
      <c r="H174" s="16"/>
      <c r="I174" s="16" t="s">
        <v>384</v>
      </c>
      <c r="J174" s="16"/>
      <c r="K174" s="16"/>
      <c r="L174" s="16"/>
      <c r="M174" s="16"/>
      <c r="N174" s="16"/>
      <c r="O174" s="16"/>
      <c r="P174" s="16"/>
      <c r="Q174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2020-06-10T10:10:58+07:00</dcterms:created>
  <dcterms:modified xsi:type="dcterms:W3CDTF">2020-06-10T10:10:58+07:00</dcterms:modified>
  <dc:title>Untitled Spreadsheet</dc:title>
  <dc:description/>
  <dc:subject/>
  <cp:keywords/>
  <cp:category/>
</cp:coreProperties>
</file>