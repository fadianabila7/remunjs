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gustu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<sst xmlns="http://schemas.openxmlformats.org/spreadsheetml/2006/main" uniqueCount="300">
  <si>
    <t>KEMENTERIAN RISET, TEKNOLOGI DAN PENDIDIKAN TINGGI</t>
  </si>
  <si>
    <t>UNIVERSITAS RIAU</t>
  </si>
  <si>
    <t>FAKULTAS PERIKANAN DAN ILMU KELAUTAN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</si>
  <si>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</si>
  <si>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</si>
  <si>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</si>
  <si>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</si>
  <si>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Agustus 2020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</si>
  <si>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</si>
  <si>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</si>
  <si>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</si>
  <si>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</si>
  <si>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</si>
  <si>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</si>
  <si>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</si>
  <si>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</si>
  <si>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</si>
  <si>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</si>
  <si>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</si>
  <si>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</si>
  <si>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</si>
  <si>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</si>
  <si>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</si>
  <si>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</si>
  <si>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</si>
  <si>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</si>
  <si>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</si>
  <si>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</si>
  <si>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</si>
  <si>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</si>
  <si>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</si>
  <si>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</si>
  <si>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</si>
  <si>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</si>
  <si>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</si>
  <si>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</si>
  <si>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</si>
  <si>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</si>
  <si>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195705221986032001</t>
  </si>
  <si>
    <t>PROF. DR. IR. DEWITA. B, MS</t>
  </si>
  <si>
    <t>Teknologi Hasil Perikanan</t>
  </si>
  <si>
    <t>IV/e</t>
  </si>
  <si>
    <t>Profesor</t>
  </si>
  <si>
    <t>Tidak ada jabatan struktural</t>
  </si>
  <si>
    <t>195411221983012001</t>
  </si>
  <si>
    <t>PROF. DR. IR. MIRNA ILZA, MS</t>
  </si>
  <si>
    <t>196007171990022001</t>
  </si>
  <si>
    <t>PROF. DR. IR. NETTI ARYANI. MS</t>
  </si>
  <si>
    <t>Budidaya Perairan</t>
  </si>
  <si>
    <t>IV/a</t>
  </si>
  <si>
    <t>196401251990031002</t>
  </si>
  <si>
    <t>PROF. DR. IR. RIFARDI, MSC</t>
  </si>
  <si>
    <t>Ilmu Kelautan</t>
  </si>
  <si>
    <t>195909051986031005</t>
  </si>
  <si>
    <t>PROF. DR. IR. SYAFRIADIMAN</t>
  </si>
  <si>
    <t>195401061977021001</t>
  </si>
  <si>
    <t>PROF. DR. IR. TENGKU DAHRIL, MSC</t>
  </si>
  <si>
    <t>Manajemen Sumber Daya Perairan</t>
  </si>
  <si>
    <t>196405011989031001</t>
  </si>
  <si>
    <t>PROF. DR. IR. USMAN, M.SI</t>
  </si>
  <si>
    <t xml:space="preserve">Dekan C Gol. IV </t>
  </si>
  <si>
    <t>196110241988031002</t>
  </si>
  <si>
    <t>PROF. DR.IR. ZULKARNAINI, M.SI</t>
  </si>
  <si>
    <t>Agrobisnis Perikanan</t>
  </si>
  <si>
    <t>IV/d</t>
  </si>
  <si>
    <t>196005041987031004</t>
  </si>
  <si>
    <t>PROF.DR. IR. IRWAN EFFENDI, M.SC</t>
  </si>
  <si>
    <t>196210131989031001</t>
  </si>
  <si>
    <t>PROF.DR. IR. SUKENDI, M.SI</t>
  </si>
  <si>
    <t>Wakil Direktur Pascasarjana Gol. IV</t>
  </si>
  <si>
    <t>196308171991031002</t>
  </si>
  <si>
    <t>PROF.DR. IR. THAMRIN, M.SC</t>
  </si>
  <si>
    <t>Direktur Pascasarjana Gol. IV</t>
  </si>
  <si>
    <t>196208151988031002</t>
  </si>
  <si>
    <t>PROF.DR.IR. ARAS MULYADI, DEA</t>
  </si>
  <si>
    <t>Rektor</t>
  </si>
  <si>
    <t>196304031988031003</t>
  </si>
  <si>
    <t>PROF.DR.IR. BINTAL AMIN, MSC</t>
  </si>
  <si>
    <t xml:space="preserve">Dekan B Gol. IV </t>
  </si>
  <si>
    <t>196308021988031002</t>
  </si>
  <si>
    <t>PROF.DR.IR. FELIATRA, DEA</t>
  </si>
  <si>
    <t>Koordinator Program Studi B</t>
  </si>
  <si>
    <t>195707071984011001</t>
  </si>
  <si>
    <t>Prof. DR. IR. YUSNI IKHWAN SIREGAR, M.Sc</t>
  </si>
  <si>
    <t>195910241986031004</t>
  </si>
  <si>
    <t>Prof. DR.IR. BUSTARI HASAN, M.SC</t>
  </si>
  <si>
    <t>197006121997021003</t>
  </si>
  <si>
    <t>BUDIJONO, S.PI, M.Sc</t>
  </si>
  <si>
    <t>Lektor Kepala Gol. IV</t>
  </si>
  <si>
    <t>Sekretaris Jurusan B</t>
  </si>
  <si>
    <t>197202161998032001</t>
  </si>
  <si>
    <t>DR. DESMELATI, S.PI, M.Sc</t>
  </si>
  <si>
    <t>IV/b</t>
  </si>
  <si>
    <t>197112131997022002</t>
  </si>
  <si>
    <t>DR. Dessy Yoswati, S.Pi, M.Si</t>
  </si>
  <si>
    <t>195711241988032001</t>
  </si>
  <si>
    <t>DR. IESJE LUKISTYOWATI, MS</t>
  </si>
  <si>
    <t>IV/c</t>
  </si>
  <si>
    <t>196401011991031009</t>
  </si>
  <si>
    <t>DR. IR. ADRIMAN, M.SI</t>
  </si>
  <si>
    <t>196312311991031031</t>
  </si>
  <si>
    <t>DR. IR. EDDIWAN, MSC</t>
  </si>
  <si>
    <t>196203121989032001</t>
  </si>
  <si>
    <t>DR. IR. HENNI SYAWAL, M.SI</t>
  </si>
  <si>
    <t>196407281989032002</t>
  </si>
  <si>
    <t>DR. IR. MERY SUKMIWATI, M.SI</t>
  </si>
  <si>
    <t>196109061986031002</t>
  </si>
  <si>
    <t>DR. IR. RIDWAN MANDA PUTRA, M.Si</t>
  </si>
  <si>
    <t>Koordinator Program Studi A</t>
  </si>
  <si>
    <t>196909091994032003</t>
  </si>
  <si>
    <t>DR. IR. SABERINA HASIBUAN, MT.</t>
  </si>
  <si>
    <t>195607211981031006</t>
  </si>
  <si>
    <t>DR. IR. SAMPE HARAHAP, MS</t>
  </si>
  <si>
    <t>196801231992031002</t>
  </si>
  <si>
    <t>DR. IR. SOFYAN HUSEIN S,M.Phil</t>
  </si>
  <si>
    <t>Wakil Dekan III B Gol. IV</t>
  </si>
  <si>
    <t>196002131986031003</t>
  </si>
  <si>
    <t>DR. IR. SYAFRUDDIN NST, M.SC</t>
  </si>
  <si>
    <t>195905291986012002</t>
  </si>
  <si>
    <t>DR. IR. TINCE SYOFIANI, MS</t>
  </si>
  <si>
    <t>196408221990032001</t>
  </si>
  <si>
    <t>DR. IR. Windarti</t>
  </si>
  <si>
    <t>196512061992031003</t>
  </si>
  <si>
    <t>DR. MUBARAK, M.SI</t>
  </si>
  <si>
    <t>197209171998021002</t>
  </si>
  <si>
    <t>DR. PARENG RENGI, SPI, MSI</t>
  </si>
  <si>
    <t>Pemanfaatan Sumber Daya Perikanan</t>
  </si>
  <si>
    <t>197410091999031001</t>
  </si>
  <si>
    <t>DR. VICTOR AMRIFO, S.PI., M.SI</t>
  </si>
  <si>
    <t>196204101990021001</t>
  </si>
  <si>
    <t>DR.IR. DARWIS AN, MS</t>
  </si>
  <si>
    <t>Ketua Jurusan B Gol. IV</t>
  </si>
  <si>
    <t>196610201994031005</t>
  </si>
  <si>
    <t>DR.IR. DENI EFIZON, M.SC</t>
  </si>
  <si>
    <t>196611181991031001</t>
  </si>
  <si>
    <t>DR.IR. EFRIYELDI, M.SI</t>
  </si>
  <si>
    <t>196605111992032003</t>
  </si>
  <si>
    <t>DR.IR. ENI SUMIARSIH, M.SC</t>
  </si>
  <si>
    <t>196009231986011002</t>
  </si>
  <si>
    <t>DR.IR. HENDRIK, MS</t>
  </si>
  <si>
    <t>196412151990022001</t>
  </si>
  <si>
    <t>DR.IR. MORINA RIAUWATY, M.P</t>
  </si>
  <si>
    <t>196006151988102001</t>
  </si>
  <si>
    <t>DR.IR. NURSYIRWANI, M.SC</t>
  </si>
  <si>
    <t>196405261990101001</t>
  </si>
  <si>
    <t>DR.IR. TJIPTO LEKSONO, M.PHILL</t>
  </si>
  <si>
    <t>195909051987031003</t>
  </si>
  <si>
    <t>DRS. EDISON, MSI</t>
  </si>
  <si>
    <t>196112121990021001</t>
  </si>
  <si>
    <t>DRS. M. HASBI, M.SI</t>
  </si>
  <si>
    <t>197007101995121001</t>
  </si>
  <si>
    <t>Dr. INDRA SUHARMAN, S.Pi, M.Sc</t>
  </si>
  <si>
    <t>196804111994031002</t>
  </si>
  <si>
    <t>Dr. MUHAMMAD FAUZI, S.Pi., M.Si</t>
  </si>
  <si>
    <t>197411251990031003</t>
  </si>
  <si>
    <t>Dr. NOFRIZAL, S.PI, M.SI</t>
  </si>
  <si>
    <t>196910301997021001</t>
  </si>
  <si>
    <t>Dr. RAHMAN KARNILA, S.PI, M.SI</t>
  </si>
  <si>
    <t>Wakil Dekan I B Gol. IV</t>
  </si>
  <si>
    <t>196608181992031002</t>
  </si>
  <si>
    <t>Dr. SYAHRIL NEDI, M.SI</t>
  </si>
  <si>
    <t>196703041993032001</t>
  </si>
  <si>
    <t>IR. ADELINA, M.SI</t>
  </si>
  <si>
    <t>196701081993032001</t>
  </si>
  <si>
    <t>IR. ALIT HINDRI YANI, MSC</t>
  </si>
  <si>
    <t>196210171992031001</t>
  </si>
  <si>
    <t>IR. ARTHUR BROWN, M.SI</t>
  </si>
  <si>
    <t>195909021988101001</t>
  </si>
  <si>
    <t>IR. BUSTARI, M.Si</t>
  </si>
  <si>
    <t>195904191986032000</t>
  </si>
  <si>
    <t>IR. DAHLIA, M.SI</t>
  </si>
  <si>
    <t>196707091993032003</t>
  </si>
  <si>
    <t>IR. ENI YULINDA ,MP</t>
  </si>
  <si>
    <t>196204091989031001</t>
  </si>
  <si>
    <t>IR. FIRMAN NUGROHO, MSI</t>
  </si>
  <si>
    <t>196306221989032002</t>
  </si>
  <si>
    <t>IR. IRVINA NURACHMI, M.SC</t>
  </si>
  <si>
    <t>196109031988031003</t>
  </si>
  <si>
    <t>IR. KUSAI, M.SI</t>
  </si>
  <si>
    <t>196112311987021009</t>
  </si>
  <si>
    <t>IR. MULYADI, M.Phil</t>
  </si>
  <si>
    <t>Wakil Dekan II B Gol. IV</t>
  </si>
  <si>
    <t>195909221987021001</t>
  </si>
  <si>
    <t>IR. MUSRIFIN, M.SC</t>
  </si>
  <si>
    <t>196109151987022001</t>
  </si>
  <si>
    <t>IR. N. IRA SARI, M.SI</t>
  </si>
  <si>
    <t>196105061986032002</t>
  </si>
  <si>
    <t>IR. NURAINI, MS</t>
  </si>
  <si>
    <t>196109111987021001</t>
  </si>
  <si>
    <t>IR. RUSLIADI, M.Si</t>
  </si>
  <si>
    <t>195808101988032001</t>
  </si>
  <si>
    <t>IR. SUPARMI, M.SI</t>
  </si>
  <si>
    <t>195902141986031002</t>
  </si>
  <si>
    <t>IR. SYAHRUL, MS</t>
  </si>
  <si>
    <t>195702021987031002</t>
  </si>
  <si>
    <t>IR. SYAIFUDDIN, MSI</t>
  </si>
  <si>
    <t>196512051995122001</t>
  </si>
  <si>
    <t>Ir. NIKEN AYU PAMUKAS, M.Si</t>
  </si>
  <si>
    <t>196707161997021001</t>
  </si>
  <si>
    <t>NUR ELFAJRI, SPI, MSI</t>
  </si>
  <si>
    <t>197007261998022001</t>
  </si>
  <si>
    <t>ANDARINI DIHARMI, SPI, MSI</t>
  </si>
  <si>
    <t>III/c</t>
  </si>
  <si>
    <t>Lektor Gol. III</t>
  </si>
  <si>
    <t>196104191987021001</t>
  </si>
  <si>
    <t>DR. IR. AFRIZAL TANJUNG, MSC</t>
  </si>
  <si>
    <t>III/d</t>
  </si>
  <si>
    <t>196707181994032003</t>
  </si>
  <si>
    <t>DR. IR. ASMIKA HARNALIN S, M.SI</t>
  </si>
  <si>
    <t>196509301989031002</t>
  </si>
  <si>
    <t>DR. IR. JOKO SAMIAJI, M.SC</t>
  </si>
  <si>
    <t>197107141998022001</t>
  </si>
  <si>
    <t>DR. T. ESTI YULIKA SARI, S.PI, MSI</t>
  </si>
  <si>
    <t>197901092008012010</t>
  </si>
  <si>
    <t>DR. TRISLA WARNINGSIH, S.Pi, M.Si</t>
  </si>
  <si>
    <t>197907132008121001</t>
  </si>
  <si>
    <t>DR. ZULKARNAIN, S.Pi, M.Si</t>
  </si>
  <si>
    <t>196908291997031001</t>
  </si>
  <si>
    <t>DR. ZULKIFLI, S.PI,M.SI</t>
  </si>
  <si>
    <t>198005212010121002</t>
  </si>
  <si>
    <t>HAZMI ARIEF, S.Pi, M.SI</t>
  </si>
  <si>
    <t>III/b</t>
  </si>
  <si>
    <t>196809161994032002</t>
  </si>
  <si>
    <t>IR. EFAWANI,M.SI</t>
  </si>
  <si>
    <t>196703071993031003</t>
  </si>
  <si>
    <t>IR. EKO PURWANTO, MSI</t>
  </si>
  <si>
    <t>196001171987021001</t>
  </si>
  <si>
    <t>IR. H. ELIZAL, M.SC</t>
  </si>
  <si>
    <t>195510201982111001</t>
  </si>
  <si>
    <t>IR. HAMDAN ALAWI, M.SC</t>
  </si>
  <si>
    <t>Lektor Gol. IV</t>
  </si>
  <si>
    <t>196601101993031003</t>
  </si>
  <si>
    <t>IR. JONNY ZAIN, M.SI</t>
  </si>
  <si>
    <t>Ketua Jurusan B Gol. III</t>
  </si>
  <si>
    <t>196211241989031003</t>
  </si>
  <si>
    <t>IR. USMAN, M.SI</t>
  </si>
  <si>
    <t>197401112007011001</t>
  </si>
  <si>
    <t>ISKANDAR PUTRA,S.Pi, M.Si</t>
  </si>
  <si>
    <t>196108281987031004</t>
  </si>
  <si>
    <t>Ir.Ridar Hendri,M.Si</t>
  </si>
  <si>
    <t>197411222008121001</t>
  </si>
  <si>
    <t>LAMUN BATHARA, S.Pi, M.Si</t>
  </si>
  <si>
    <t>197801152008011008</t>
  </si>
  <si>
    <t>POLARIS NASUTION, ST., MT</t>
  </si>
  <si>
    <t>198111032006041003</t>
  </si>
  <si>
    <t>RONALD MANGASI HUTAURUK, ST., MT</t>
  </si>
  <si>
    <t>197605302008011008</t>
  </si>
  <si>
    <t>SUMARTO, S.Pi, M.Si</t>
  </si>
  <si>
    <t>197607282006042001</t>
  </si>
  <si>
    <t>YULIATI, S.PI,MSI</t>
  </si>
  <si>
    <t>199012262019031015</t>
  </si>
  <si>
    <t>ANDRI HENDRIZAL, S.Pd., M.Sc</t>
  </si>
  <si>
    <t>Dosen CPNS</t>
  </si>
  <si>
    <t>198111122009121002</t>
  </si>
  <si>
    <t>BENNY HELTONIKA, S.PI, M.SI</t>
  </si>
  <si>
    <t>Asisten Ahli Gol. III</t>
  </si>
  <si>
    <t>198903062019032014</t>
  </si>
  <si>
    <t>CHICKA WILLY YANTI, S.P., M.P</t>
  </si>
  <si>
    <t>198402032014042001</t>
  </si>
  <si>
    <t>DIAN IRIANI, S.Pi, MP</t>
  </si>
  <si>
    <t>Dosen belum punya Jabatan Gol. III</t>
  </si>
  <si>
    <t>197501142005011001</t>
  </si>
  <si>
    <t>DR. ROMIE JHONNERIE, S.PI, M.SI</t>
  </si>
  <si>
    <t>197501212005021002</t>
  </si>
  <si>
    <t>Dr. EKO PRIANTO, S.PI., M.SI</t>
  </si>
  <si>
    <t>Dosen belum punya Jabatan Gol. IV</t>
  </si>
  <si>
    <t>198403082019031012</t>
  </si>
  <si>
    <t>INDRA LESMANA, S.Pi., M.Si</t>
  </si>
  <si>
    <t>198804042018032001</t>
  </si>
  <si>
    <t>ISMA MULYANI, S.Pi., M.Si</t>
  </si>
  <si>
    <t>197801092005012002</t>
  </si>
  <si>
    <t>ISNANIAH, S.PI., M.Si</t>
  </si>
  <si>
    <t>III/a</t>
  </si>
  <si>
    <t>199103012019032018</t>
  </si>
  <si>
    <t>MARDALISA, B.Sc., M.Si</t>
  </si>
  <si>
    <t>198707162019031015</t>
  </si>
  <si>
    <t>MUHAMMAD ARIEF WIBOWO, S.Kel., M.Si</t>
  </si>
  <si>
    <t>198711212019122001</t>
  </si>
  <si>
    <t>NOVRETA ERSYI DARFIA, S.T., M.T</t>
  </si>
  <si>
    <t>197608262009122001</t>
  </si>
  <si>
    <t>NUR ASIAH, S.PI, M.SI</t>
  </si>
  <si>
    <t>199109102019032024</t>
  </si>
  <si>
    <t>RINA DRITA SIBAGARIANG, S.Pi., M.Sc</t>
  </si>
  <si>
    <t>198802132019032012</t>
  </si>
  <si>
    <t>RINDI METALISA, S.P., M.Si</t>
  </si>
  <si>
    <t>199210262019032020</t>
  </si>
  <si>
    <t>SANTHY WISUDA SIDAURUK, S.Pi., M.Si</t>
  </si>
  <si>
    <t>198705112019031010</t>
  </si>
  <si>
    <t>TOMI RAMADONA, S.Pi., M.Si</t>
  </si>
  <si>
    <t>198804142019032013</t>
  </si>
  <si>
    <t>UMMI MARDHIAH BATUBARA, S.Si., M.Si</t>
  </si>
  <si>
    <t>199102012019031012</t>
  </si>
  <si>
    <t>YUDHO HARJOYUDANTO, S.Si., M.Si</t>
  </si>
  <si>
    <t>Menyetujui,</t>
  </si>
  <si>
    <t>Pekanbaru, 7 September 2020</t>
  </si>
  <si>
    <t>Wakil Dekan Bidang Akademik</t>
  </si>
  <si>
    <t>Admin Fakultas</t>
  </si>
  <si>
    <t>(..............................................)</t>
  </si>
  <si>
    <t>( Faperika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</si>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</sst>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0fd1f635c643694d763338b03988e9f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30"/>
  <sheetViews>
    <sheetView tabSelected="1" workbookViewId="0" showGridLines="true" showRowColHeaders="1">
      <selection activeCell="A123" sqref="A123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3.89</v>
      </c>
      <c r="M11" s="11">
        <v>2.15</v>
      </c>
      <c r="N11" s="11">
        <v>0</v>
      </c>
      <c r="O11" s="11">
        <v>2.3</v>
      </c>
      <c r="P11" s="11">
        <v>0.8</v>
      </c>
      <c r="Q11" s="11">
        <v>9.140000000000001</v>
      </c>
      <c r="R11" s="11">
        <v>51.41999999999999</v>
      </c>
      <c r="S11" s="11">
        <v>60.56</v>
      </c>
      <c r="T11" s="11">
        <v>2.67</v>
      </c>
      <c r="U11" s="11">
        <v>3</v>
      </c>
      <c r="V11" s="11">
        <v>54.88999999999999</v>
      </c>
      <c r="W11" s="13">
        <v>21.36</v>
      </c>
      <c r="X11" s="13">
        <v>24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41</v>
      </c>
      <c r="F12" s="7" t="s">
        <v>42</v>
      </c>
      <c r="G12" s="7"/>
      <c r="H12" s="7" t="s">
        <v>43</v>
      </c>
      <c r="I12" s="11">
        <v>2.67</v>
      </c>
      <c r="J12" s="11">
        <v>3</v>
      </c>
      <c r="K12" s="11">
        <v>0</v>
      </c>
      <c r="L12" s="11">
        <v>1.93</v>
      </c>
      <c r="M12" s="11">
        <v>0.5</v>
      </c>
      <c r="N12" s="11">
        <v>0</v>
      </c>
      <c r="O12" s="11">
        <v>0.7000000000000001</v>
      </c>
      <c r="P12" s="11">
        <v>0</v>
      </c>
      <c r="Q12" s="11">
        <v>3.130000000000001</v>
      </c>
      <c r="R12" s="11">
        <v>31.5</v>
      </c>
      <c r="S12" s="11">
        <v>34.63</v>
      </c>
      <c r="T12" s="11">
        <v>2.67</v>
      </c>
      <c r="U12" s="11">
        <v>3</v>
      </c>
      <c r="V12" s="11">
        <v>28.96</v>
      </c>
      <c r="W12" s="13">
        <v>21.36</v>
      </c>
      <c r="X12" s="13">
        <v>24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46</v>
      </c>
      <c r="C13" s="10" t="s">
        <v>47</v>
      </c>
      <c r="D13" s="7" t="s">
        <v>48</v>
      </c>
      <c r="E13" s="7" t="s">
        <v>49</v>
      </c>
      <c r="F13" s="7" t="s">
        <v>42</v>
      </c>
      <c r="G13" s="7"/>
      <c r="H13" s="7" t="s">
        <v>43</v>
      </c>
      <c r="I13" s="11">
        <v>2.67</v>
      </c>
      <c r="J13" s="11">
        <v>3</v>
      </c>
      <c r="K13" s="11">
        <v>0</v>
      </c>
      <c r="L13" s="11">
        <v>2.69</v>
      </c>
      <c r="M13" s="11">
        <v>0.67</v>
      </c>
      <c r="N13" s="11">
        <v>0</v>
      </c>
      <c r="O13" s="11">
        <v>0</v>
      </c>
      <c r="P13" s="11">
        <v>0</v>
      </c>
      <c r="Q13" s="11">
        <v>3.359999999999999</v>
      </c>
      <c r="R13" s="11">
        <v>36.98999999999999</v>
      </c>
      <c r="S13" s="11">
        <v>40.34999999999999</v>
      </c>
      <c r="T13" s="11">
        <v>2.67</v>
      </c>
      <c r="U13" s="11">
        <v>3</v>
      </c>
      <c r="V13" s="11">
        <v>34.67999999999999</v>
      </c>
      <c r="W13" s="13">
        <v>21.36</v>
      </c>
      <c r="X13" s="13">
        <v>24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50</v>
      </c>
      <c r="C14" s="10" t="s">
        <v>51</v>
      </c>
      <c r="D14" s="7" t="s">
        <v>52</v>
      </c>
      <c r="E14" s="7" t="s">
        <v>41</v>
      </c>
      <c r="F14" s="7" t="s">
        <v>42</v>
      </c>
      <c r="G14" s="7"/>
      <c r="H14" s="7" t="s">
        <v>43</v>
      </c>
      <c r="I14" s="11">
        <v>2.67</v>
      </c>
      <c r="J14" s="11">
        <v>3</v>
      </c>
      <c r="K14" s="11">
        <v>0</v>
      </c>
      <c r="L14" s="11">
        <v>0.64</v>
      </c>
      <c r="M14" s="11">
        <v>1.17</v>
      </c>
      <c r="N14" s="11">
        <v>0</v>
      </c>
      <c r="O14" s="11">
        <v>0</v>
      </c>
      <c r="P14" s="11">
        <v>1</v>
      </c>
      <c r="Q14" s="11">
        <v>2.81</v>
      </c>
      <c r="R14" s="11">
        <v>53.2</v>
      </c>
      <c r="S14" s="11">
        <v>56.01</v>
      </c>
      <c r="T14" s="11">
        <v>2.67</v>
      </c>
      <c r="U14" s="11">
        <v>3</v>
      </c>
      <c r="V14" s="11">
        <v>50.34</v>
      </c>
      <c r="W14" s="13">
        <v>21.36</v>
      </c>
      <c r="X14" s="13">
        <v>24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53</v>
      </c>
      <c r="C15" s="10" t="s">
        <v>54</v>
      </c>
      <c r="D15" s="7" t="s">
        <v>48</v>
      </c>
      <c r="E15" s="7" t="s">
        <v>41</v>
      </c>
      <c r="F15" s="7" t="s">
        <v>42</v>
      </c>
      <c r="G15" s="7"/>
      <c r="H15" s="7" t="s">
        <v>43</v>
      </c>
      <c r="I15" s="11">
        <v>2.67</v>
      </c>
      <c r="J15" s="11">
        <v>3</v>
      </c>
      <c r="K15" s="11">
        <v>0</v>
      </c>
      <c r="L15" s="11">
        <v>3.769999999999999</v>
      </c>
      <c r="M15" s="11">
        <v>0</v>
      </c>
      <c r="N15" s="11">
        <v>0</v>
      </c>
      <c r="O15" s="11">
        <v>0</v>
      </c>
      <c r="P15" s="11">
        <v>0</v>
      </c>
      <c r="Q15" s="11">
        <v>3.769999999999999</v>
      </c>
      <c r="R15" s="11">
        <v>36.56</v>
      </c>
      <c r="S15" s="11">
        <v>40.32999999999999</v>
      </c>
      <c r="T15" s="11">
        <v>2.67</v>
      </c>
      <c r="U15" s="11">
        <v>3</v>
      </c>
      <c r="V15" s="11">
        <v>34.65999999999999</v>
      </c>
      <c r="W15" s="13">
        <v>21.36</v>
      </c>
      <c r="X15" s="13">
        <v>24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55</v>
      </c>
      <c r="C16" s="10" t="s">
        <v>56</v>
      </c>
      <c r="D16" s="7" t="s">
        <v>57</v>
      </c>
      <c r="E16" s="7" t="s">
        <v>41</v>
      </c>
      <c r="F16" s="7" t="s">
        <v>42</v>
      </c>
      <c r="G16" s="7"/>
      <c r="H16" s="7" t="s">
        <v>43</v>
      </c>
      <c r="I16" s="11">
        <v>2.67</v>
      </c>
      <c r="J16" s="11">
        <v>3</v>
      </c>
      <c r="K16" s="11">
        <v>0</v>
      </c>
      <c r="L16" s="11">
        <v>4.659999999999999</v>
      </c>
      <c r="M16" s="11">
        <v>0.83</v>
      </c>
      <c r="N16" s="11">
        <v>0</v>
      </c>
      <c r="O16" s="11">
        <v>0</v>
      </c>
      <c r="P16" s="11">
        <v>0</v>
      </c>
      <c r="Q16" s="11">
        <v>5.489999999999998</v>
      </c>
      <c r="R16" s="11">
        <v>62.36999999999998</v>
      </c>
      <c r="S16" s="11">
        <v>67.85999999999999</v>
      </c>
      <c r="T16" s="11">
        <v>2.67</v>
      </c>
      <c r="U16" s="11">
        <v>3</v>
      </c>
      <c r="V16" s="11">
        <v>62.18999999999998</v>
      </c>
      <c r="W16" s="13">
        <v>21.36</v>
      </c>
      <c r="X16" s="13">
        <v>24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58</v>
      </c>
      <c r="C17" s="10" t="s">
        <v>59</v>
      </c>
      <c r="D17" s="7" t="s">
        <v>48</v>
      </c>
      <c r="E17" s="7" t="s">
        <v>41</v>
      </c>
      <c r="F17" s="7" t="s">
        <v>42</v>
      </c>
      <c r="G17" s="7"/>
      <c r="H17" s="7" t="s">
        <v>60</v>
      </c>
      <c r="I17" s="11">
        <v>2.67</v>
      </c>
      <c r="J17" s="11">
        <v>3</v>
      </c>
      <c r="K17" s="11">
        <v>1.67</v>
      </c>
      <c r="L17" s="11">
        <v>1.64</v>
      </c>
      <c r="M17" s="11">
        <v>1.16</v>
      </c>
      <c r="N17" s="11">
        <v>0</v>
      </c>
      <c r="O17" s="11">
        <v>0</v>
      </c>
      <c r="P17" s="11">
        <v>0.8</v>
      </c>
      <c r="Q17" s="11">
        <v>5.27</v>
      </c>
      <c r="R17" s="11">
        <v>46.84999999999999</v>
      </c>
      <c r="S17" s="11">
        <v>52.11999999999999</v>
      </c>
      <c r="T17" s="11">
        <v>2.67</v>
      </c>
      <c r="U17" s="11">
        <v>3</v>
      </c>
      <c r="V17" s="11">
        <v>46.44999999999999</v>
      </c>
      <c r="W17" s="13">
        <v>21.36</v>
      </c>
      <c r="X17" s="13">
        <v>24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61</v>
      </c>
      <c r="C18" s="10" t="s">
        <v>62</v>
      </c>
      <c r="D18" s="7" t="s">
        <v>63</v>
      </c>
      <c r="E18" s="7" t="s">
        <v>64</v>
      </c>
      <c r="F18" s="7" t="s">
        <v>42</v>
      </c>
      <c r="G18" s="7"/>
      <c r="H18" s="7" t="s">
        <v>43</v>
      </c>
      <c r="I18" s="11">
        <v>2.67</v>
      </c>
      <c r="J18" s="11">
        <v>3</v>
      </c>
      <c r="K18" s="11">
        <v>0</v>
      </c>
      <c r="L18" s="11">
        <v>1.69</v>
      </c>
      <c r="M18" s="11">
        <v>0</v>
      </c>
      <c r="N18" s="11">
        <v>0</v>
      </c>
      <c r="O18" s="11">
        <v>0</v>
      </c>
      <c r="P18" s="11">
        <v>0.8</v>
      </c>
      <c r="Q18" s="11">
        <v>2.49</v>
      </c>
      <c r="R18" s="11">
        <v>35.39999999999999</v>
      </c>
      <c r="S18" s="11">
        <v>37.88999999999999</v>
      </c>
      <c r="T18" s="11">
        <v>2.67</v>
      </c>
      <c r="U18" s="11">
        <v>3</v>
      </c>
      <c r="V18" s="11">
        <v>32.21999999999999</v>
      </c>
      <c r="W18" s="13">
        <v>21.36</v>
      </c>
      <c r="X18" s="13">
        <v>24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65</v>
      </c>
      <c r="C19" s="10" t="s">
        <v>66</v>
      </c>
      <c r="D19" s="7" t="s">
        <v>52</v>
      </c>
      <c r="E19" s="7" t="s">
        <v>64</v>
      </c>
      <c r="F19" s="7" t="s">
        <v>42</v>
      </c>
      <c r="G19" s="7"/>
      <c r="H19" s="7" t="s">
        <v>43</v>
      </c>
      <c r="I19" s="11">
        <v>2.67</v>
      </c>
      <c r="J19" s="11">
        <v>3</v>
      </c>
      <c r="K19" s="11">
        <v>0</v>
      </c>
      <c r="L19" s="11">
        <v>2.06</v>
      </c>
      <c r="M19" s="11">
        <v>1.66</v>
      </c>
      <c r="N19" s="11">
        <v>0</v>
      </c>
      <c r="O19" s="11">
        <v>0</v>
      </c>
      <c r="P19" s="11">
        <v>0</v>
      </c>
      <c r="Q19" s="11">
        <v>3.72</v>
      </c>
      <c r="R19" s="11">
        <v>52.30999999999998</v>
      </c>
      <c r="S19" s="11">
        <v>56.02999999999998</v>
      </c>
      <c r="T19" s="11">
        <v>2.67</v>
      </c>
      <c r="U19" s="11">
        <v>3</v>
      </c>
      <c r="V19" s="11">
        <v>50.35999999999998</v>
      </c>
      <c r="W19" s="13">
        <v>21.36</v>
      </c>
      <c r="X19" s="13">
        <v>24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67</v>
      </c>
      <c r="C20" s="10" t="s">
        <v>68</v>
      </c>
      <c r="D20" s="7" t="s">
        <v>48</v>
      </c>
      <c r="E20" s="7" t="s">
        <v>41</v>
      </c>
      <c r="F20" s="7" t="s">
        <v>42</v>
      </c>
      <c r="G20" s="7"/>
      <c r="H20" s="7" t="s">
        <v>69</v>
      </c>
      <c r="I20" s="11">
        <v>2.67</v>
      </c>
      <c r="J20" s="11">
        <v>3</v>
      </c>
      <c r="K20" s="11">
        <v>1.33</v>
      </c>
      <c r="L20" s="11">
        <v>8.949999999999998</v>
      </c>
      <c r="M20" s="11">
        <v>0.17</v>
      </c>
      <c r="N20" s="11">
        <v>0</v>
      </c>
      <c r="O20" s="11">
        <v>0</v>
      </c>
      <c r="P20" s="11">
        <v>0.83</v>
      </c>
      <c r="Q20" s="11">
        <v>11.28</v>
      </c>
      <c r="R20" s="11">
        <v>87.33999999999999</v>
      </c>
      <c r="S20" s="11">
        <v>98.61999999999999</v>
      </c>
      <c r="T20" s="11">
        <v>2.67</v>
      </c>
      <c r="U20" s="11">
        <v>3</v>
      </c>
      <c r="V20" s="11">
        <v>92.94999999999999</v>
      </c>
      <c r="W20" s="13">
        <v>21.36</v>
      </c>
      <c r="X20" s="13">
        <v>24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70</v>
      </c>
      <c r="C21" s="10" t="s">
        <v>71</v>
      </c>
      <c r="D21" s="7" t="s">
        <v>52</v>
      </c>
      <c r="E21" s="7" t="s">
        <v>64</v>
      </c>
      <c r="F21" s="7" t="s">
        <v>42</v>
      </c>
      <c r="G21" s="7"/>
      <c r="H21" s="7" t="s">
        <v>72</v>
      </c>
      <c r="I21" s="11">
        <v>2.67</v>
      </c>
      <c r="J21" s="11">
        <v>3</v>
      </c>
      <c r="K21" s="11">
        <v>1.67</v>
      </c>
      <c r="L21" s="11">
        <v>3.879999999999999</v>
      </c>
      <c r="M21" s="11">
        <v>0</v>
      </c>
      <c r="N21" s="11">
        <v>0</v>
      </c>
      <c r="O21" s="11">
        <v>0</v>
      </c>
      <c r="P21" s="11">
        <v>0</v>
      </c>
      <c r="Q21" s="11">
        <v>5.549999999999999</v>
      </c>
      <c r="R21" s="11">
        <v>52.76</v>
      </c>
      <c r="S21" s="11">
        <v>58.31</v>
      </c>
      <c r="T21" s="11">
        <v>2.67</v>
      </c>
      <c r="U21" s="11">
        <v>3</v>
      </c>
      <c r="V21" s="11">
        <v>52.63999999999999</v>
      </c>
      <c r="W21" s="13">
        <v>21.36</v>
      </c>
      <c r="X21" s="13">
        <v>24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73</v>
      </c>
      <c r="C22" s="10" t="s">
        <v>74</v>
      </c>
      <c r="D22" s="7" t="s">
        <v>52</v>
      </c>
      <c r="E22" s="7" t="s">
        <v>64</v>
      </c>
      <c r="F22" s="7" t="s">
        <v>42</v>
      </c>
      <c r="G22" s="7"/>
      <c r="H22" s="7" t="s">
        <v>75</v>
      </c>
      <c r="I22" s="11">
        <v>2.67</v>
      </c>
      <c r="J22" s="11">
        <v>3</v>
      </c>
      <c r="K22" s="11">
        <v>2</v>
      </c>
      <c r="L22" s="11">
        <v>2.35</v>
      </c>
      <c r="M22" s="11">
        <v>1.17</v>
      </c>
      <c r="N22" s="11">
        <v>0</v>
      </c>
      <c r="O22" s="11">
        <v>0.3</v>
      </c>
      <c r="P22" s="11">
        <v>0</v>
      </c>
      <c r="Q22" s="11">
        <v>5.819999999999999</v>
      </c>
      <c r="R22" s="11">
        <v>51.76</v>
      </c>
      <c r="S22" s="11">
        <v>57.58</v>
      </c>
      <c r="T22" s="11">
        <v>2.67</v>
      </c>
      <c r="U22" s="11">
        <v>3</v>
      </c>
      <c r="V22" s="11">
        <v>51.91</v>
      </c>
      <c r="W22" s="13">
        <v>21.36</v>
      </c>
      <c r="X22" s="13">
        <v>24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76</v>
      </c>
      <c r="C23" s="10" t="s">
        <v>77</v>
      </c>
      <c r="D23" s="7" t="s">
        <v>52</v>
      </c>
      <c r="E23" s="7" t="s">
        <v>41</v>
      </c>
      <c r="F23" s="7" t="s">
        <v>42</v>
      </c>
      <c r="G23" s="7"/>
      <c r="H23" s="7" t="s">
        <v>78</v>
      </c>
      <c r="I23" s="11">
        <v>2.67</v>
      </c>
      <c r="J23" s="11">
        <v>3</v>
      </c>
      <c r="K23" s="11">
        <v>1.67</v>
      </c>
      <c r="L23" s="11">
        <v>3.21</v>
      </c>
      <c r="M23" s="11">
        <v>1.67</v>
      </c>
      <c r="N23" s="11">
        <v>0</v>
      </c>
      <c r="O23" s="11">
        <v>0</v>
      </c>
      <c r="P23" s="11">
        <v>2.46</v>
      </c>
      <c r="Q23" s="11">
        <v>9.009999999999998</v>
      </c>
      <c r="R23" s="11">
        <v>80.35999999999999</v>
      </c>
      <c r="S23" s="11">
        <v>89.36999999999998</v>
      </c>
      <c r="T23" s="11">
        <v>2.67</v>
      </c>
      <c r="U23" s="11">
        <v>3</v>
      </c>
      <c r="V23" s="11">
        <v>83.69999999999997</v>
      </c>
      <c r="W23" s="13">
        <v>21.36</v>
      </c>
      <c r="X23" s="13">
        <v>24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79</v>
      </c>
      <c r="C24" s="10" t="s">
        <v>80</v>
      </c>
      <c r="D24" s="7" t="s">
        <v>52</v>
      </c>
      <c r="E24" s="7" t="s">
        <v>41</v>
      </c>
      <c r="F24" s="7" t="s">
        <v>42</v>
      </c>
      <c r="G24" s="7"/>
      <c r="H24" s="7" t="s">
        <v>81</v>
      </c>
      <c r="I24" s="11">
        <v>2.67</v>
      </c>
      <c r="J24" s="11">
        <v>3</v>
      </c>
      <c r="K24" s="11">
        <v>0.95</v>
      </c>
      <c r="L24" s="11">
        <v>1.59</v>
      </c>
      <c r="M24" s="11">
        <v>2.67</v>
      </c>
      <c r="N24" s="11">
        <v>0</v>
      </c>
      <c r="O24" s="11">
        <v>0</v>
      </c>
      <c r="P24" s="11">
        <v>1.66</v>
      </c>
      <c r="Q24" s="11">
        <v>6.869999999999999</v>
      </c>
      <c r="R24" s="11">
        <v>58.16999999999999</v>
      </c>
      <c r="S24" s="11">
        <v>65.03999999999999</v>
      </c>
      <c r="T24" s="11">
        <v>2.67</v>
      </c>
      <c r="U24" s="11">
        <v>3</v>
      </c>
      <c r="V24" s="11">
        <v>59.36999999999999</v>
      </c>
      <c r="W24" s="13">
        <v>21.36</v>
      </c>
      <c r="X24" s="13">
        <v>24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82</v>
      </c>
      <c r="C25" s="10" t="s">
        <v>83</v>
      </c>
      <c r="D25" s="7" t="s">
        <v>52</v>
      </c>
      <c r="E25" s="7" t="s">
        <v>64</v>
      </c>
      <c r="F25" s="7" t="s">
        <v>42</v>
      </c>
      <c r="G25" s="7"/>
      <c r="H25" s="7" t="s">
        <v>43</v>
      </c>
      <c r="I25" s="11">
        <v>2.67</v>
      </c>
      <c r="J25" s="11">
        <v>3</v>
      </c>
      <c r="K25" s="11">
        <v>0</v>
      </c>
      <c r="L25" s="11">
        <v>8.869999999999999</v>
      </c>
      <c r="M25" s="11">
        <v>0</v>
      </c>
      <c r="N25" s="11">
        <v>0</v>
      </c>
      <c r="O25" s="11">
        <v>0</v>
      </c>
      <c r="P25" s="11">
        <v>0.83</v>
      </c>
      <c r="Q25" s="11">
        <v>9.699999999999998</v>
      </c>
      <c r="R25" s="11">
        <v>67.53999999999998</v>
      </c>
      <c r="S25" s="11">
        <v>77.23999999999998</v>
      </c>
      <c r="T25" s="11">
        <v>2.67</v>
      </c>
      <c r="U25" s="11">
        <v>3</v>
      </c>
      <c r="V25" s="11">
        <v>71.56999999999998</v>
      </c>
      <c r="W25" s="13">
        <v>21.36</v>
      </c>
      <c r="X25" s="13">
        <v>24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84</v>
      </c>
      <c r="C26" s="10" t="s">
        <v>85</v>
      </c>
      <c r="D26" s="7" t="s">
        <v>40</v>
      </c>
      <c r="E26" s="7" t="s">
        <v>64</v>
      </c>
      <c r="F26" s="7" t="s">
        <v>42</v>
      </c>
      <c r="G26" s="7"/>
      <c r="H26" s="7" t="s">
        <v>43</v>
      </c>
      <c r="I26" s="11">
        <v>2.67</v>
      </c>
      <c r="J26" s="11">
        <v>3</v>
      </c>
      <c r="K26" s="11">
        <v>0</v>
      </c>
      <c r="L26" s="11">
        <v>3.24</v>
      </c>
      <c r="M26" s="11">
        <v>1.67</v>
      </c>
      <c r="N26" s="11">
        <v>0</v>
      </c>
      <c r="O26" s="11">
        <v>0.7000000000000001</v>
      </c>
      <c r="P26" s="11">
        <v>0.8</v>
      </c>
      <c r="Q26" s="11">
        <v>6.41</v>
      </c>
      <c r="R26" s="11">
        <v>47.16999999999999</v>
      </c>
      <c r="S26" s="11">
        <v>53.58</v>
      </c>
      <c r="T26" s="11">
        <v>2.67</v>
      </c>
      <c r="U26" s="11">
        <v>3</v>
      </c>
      <c r="V26" s="11">
        <v>47.91</v>
      </c>
      <c r="W26" s="13">
        <v>21.36</v>
      </c>
      <c r="X26" s="13">
        <v>24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86</v>
      </c>
      <c r="C27" s="10" t="s">
        <v>87</v>
      </c>
      <c r="D27" s="7" t="s">
        <v>57</v>
      </c>
      <c r="E27" s="7" t="s">
        <v>49</v>
      </c>
      <c r="F27" s="7" t="s">
        <v>88</v>
      </c>
      <c r="G27" s="7"/>
      <c r="H27" s="7" t="s">
        <v>89</v>
      </c>
      <c r="I27" s="11">
        <v>2</v>
      </c>
      <c r="J27" s="11">
        <v>3</v>
      </c>
      <c r="K27" s="11">
        <v>0.95</v>
      </c>
      <c r="L27" s="11">
        <v>3.969999999999999</v>
      </c>
      <c r="M27" s="11">
        <v>0.65</v>
      </c>
      <c r="N27" s="11">
        <v>0</v>
      </c>
      <c r="O27" s="11">
        <v>0</v>
      </c>
      <c r="P27" s="11">
        <v>0.83</v>
      </c>
      <c r="Q27" s="11">
        <v>6.399999999999999</v>
      </c>
      <c r="R27" s="11">
        <v>77.16999999999996</v>
      </c>
      <c r="S27" s="11">
        <v>83.56999999999996</v>
      </c>
      <c r="T27" s="11">
        <v>2</v>
      </c>
      <c r="U27" s="11">
        <v>3</v>
      </c>
      <c r="V27" s="11">
        <v>78.56999999999996</v>
      </c>
      <c r="W27" s="13">
        <v>16</v>
      </c>
      <c r="X27" s="13">
        <v>24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90</v>
      </c>
      <c r="C28" s="10" t="s">
        <v>91</v>
      </c>
      <c r="D28" s="7" t="s">
        <v>40</v>
      </c>
      <c r="E28" s="7" t="s">
        <v>92</v>
      </c>
      <c r="F28" s="7" t="s">
        <v>88</v>
      </c>
      <c r="G28" s="7"/>
      <c r="H28" s="7" t="s">
        <v>43</v>
      </c>
      <c r="I28" s="11">
        <v>2</v>
      </c>
      <c r="J28" s="11">
        <v>3</v>
      </c>
      <c r="K28" s="11">
        <v>0</v>
      </c>
      <c r="L28" s="11">
        <v>2.73</v>
      </c>
      <c r="M28" s="11">
        <v>0.4</v>
      </c>
      <c r="N28" s="11">
        <v>0</v>
      </c>
      <c r="O28" s="11">
        <v>0.7000000000000001</v>
      </c>
      <c r="P28" s="11">
        <v>0.8</v>
      </c>
      <c r="Q28" s="11">
        <v>4.63</v>
      </c>
      <c r="R28" s="11">
        <v>37.41</v>
      </c>
      <c r="S28" s="11">
        <v>42.04</v>
      </c>
      <c r="T28" s="11">
        <v>2</v>
      </c>
      <c r="U28" s="11">
        <v>3</v>
      </c>
      <c r="V28" s="11">
        <v>37.04</v>
      </c>
      <c r="W28" s="13">
        <v>16</v>
      </c>
      <c r="X28" s="13">
        <v>24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93</v>
      </c>
      <c r="C29" s="10" t="s">
        <v>94</v>
      </c>
      <c r="D29" s="7" t="s">
        <v>52</v>
      </c>
      <c r="E29" s="7" t="s">
        <v>92</v>
      </c>
      <c r="F29" s="7" t="s">
        <v>88</v>
      </c>
      <c r="G29" s="7"/>
      <c r="H29" s="7" t="s">
        <v>43</v>
      </c>
      <c r="I29" s="11">
        <v>2</v>
      </c>
      <c r="J29" s="11">
        <v>3</v>
      </c>
      <c r="K29" s="11">
        <v>0</v>
      </c>
      <c r="L29" s="11">
        <v>2.36</v>
      </c>
      <c r="M29" s="11">
        <v>0.8400000000000001</v>
      </c>
      <c r="N29" s="11">
        <v>0</v>
      </c>
      <c r="O29" s="11">
        <v>0</v>
      </c>
      <c r="P29" s="11">
        <v>3.43</v>
      </c>
      <c r="Q29" s="11">
        <v>6.629999999999998</v>
      </c>
      <c r="R29" s="11">
        <v>78.28999999999999</v>
      </c>
      <c r="S29" s="11">
        <v>84.91999999999999</v>
      </c>
      <c r="T29" s="11">
        <v>2</v>
      </c>
      <c r="U29" s="11">
        <v>3</v>
      </c>
      <c r="V29" s="11">
        <v>79.91999999999999</v>
      </c>
      <c r="W29" s="13">
        <v>16</v>
      </c>
      <c r="X29" s="13">
        <v>24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95</v>
      </c>
      <c r="C30" s="10" t="s">
        <v>96</v>
      </c>
      <c r="D30" s="7" t="s">
        <v>48</v>
      </c>
      <c r="E30" s="7" t="s">
        <v>97</v>
      </c>
      <c r="F30" s="7" t="s">
        <v>88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2.33</v>
      </c>
      <c r="M30" s="11">
        <v>1.33</v>
      </c>
      <c r="N30" s="11">
        <v>0</v>
      </c>
      <c r="O30" s="11">
        <v>0</v>
      </c>
      <c r="P30" s="11">
        <v>0.83</v>
      </c>
      <c r="Q30" s="11">
        <v>4.489999999999998</v>
      </c>
      <c r="R30" s="11">
        <v>46.52999999999999</v>
      </c>
      <c r="S30" s="11">
        <v>51.01999999999998</v>
      </c>
      <c r="T30" s="11">
        <v>2</v>
      </c>
      <c r="U30" s="11">
        <v>3</v>
      </c>
      <c r="V30" s="11">
        <v>46.01999999999998</v>
      </c>
      <c r="W30" s="13">
        <v>16</v>
      </c>
      <c r="X30" s="13">
        <v>24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98</v>
      </c>
      <c r="C31" s="10" t="s">
        <v>99</v>
      </c>
      <c r="D31" s="7" t="s">
        <v>57</v>
      </c>
      <c r="E31" s="7" t="s">
        <v>49</v>
      </c>
      <c r="F31" s="7" t="s">
        <v>88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2.879999999999999</v>
      </c>
      <c r="M31" s="11">
        <v>0.99</v>
      </c>
      <c r="N31" s="11">
        <v>0</v>
      </c>
      <c r="O31" s="11">
        <v>0</v>
      </c>
      <c r="P31" s="11">
        <v>0</v>
      </c>
      <c r="Q31" s="11">
        <v>3.87</v>
      </c>
      <c r="R31" s="11">
        <v>60.81999999999998</v>
      </c>
      <c r="S31" s="11">
        <v>64.68999999999998</v>
      </c>
      <c r="T31" s="11">
        <v>2</v>
      </c>
      <c r="U31" s="11">
        <v>3</v>
      </c>
      <c r="V31" s="11">
        <v>59.68999999999998</v>
      </c>
      <c r="W31" s="13">
        <v>16</v>
      </c>
      <c r="X31" s="13">
        <v>24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100</v>
      </c>
      <c r="C32" s="10" t="s">
        <v>101</v>
      </c>
      <c r="D32" s="7" t="s">
        <v>57</v>
      </c>
      <c r="E32" s="7" t="s">
        <v>49</v>
      </c>
      <c r="F32" s="7" t="s">
        <v>88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1.7</v>
      </c>
      <c r="M32" s="11">
        <v>1.32</v>
      </c>
      <c r="N32" s="11">
        <v>0</v>
      </c>
      <c r="O32" s="11">
        <v>0</v>
      </c>
      <c r="P32" s="11">
        <v>0.17</v>
      </c>
      <c r="Q32" s="11">
        <v>3.19</v>
      </c>
      <c r="R32" s="11">
        <v>62.57999999999997</v>
      </c>
      <c r="S32" s="11">
        <v>65.76999999999997</v>
      </c>
      <c r="T32" s="11">
        <v>2</v>
      </c>
      <c r="U32" s="11">
        <v>3</v>
      </c>
      <c r="V32" s="11">
        <v>60.76999999999997</v>
      </c>
      <c r="W32" s="13">
        <v>16</v>
      </c>
      <c r="X32" s="13">
        <v>24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102</v>
      </c>
      <c r="C33" s="10" t="s">
        <v>103</v>
      </c>
      <c r="D33" s="7" t="s">
        <v>48</v>
      </c>
      <c r="E33" s="7" t="s">
        <v>92</v>
      </c>
      <c r="F33" s="7" t="s">
        <v>88</v>
      </c>
      <c r="G33" s="7"/>
      <c r="H33" s="7" t="s">
        <v>81</v>
      </c>
      <c r="I33" s="11">
        <v>2</v>
      </c>
      <c r="J33" s="11">
        <v>3</v>
      </c>
      <c r="K33" s="11">
        <v>0.95</v>
      </c>
      <c r="L33" s="11">
        <v>4.209999999999999</v>
      </c>
      <c r="M33" s="11">
        <v>0</v>
      </c>
      <c r="N33" s="11">
        <v>0</v>
      </c>
      <c r="O33" s="11">
        <v>0</v>
      </c>
      <c r="P33" s="11">
        <v>0</v>
      </c>
      <c r="Q33" s="11">
        <v>5.159999999999999</v>
      </c>
      <c r="R33" s="11">
        <v>45.35</v>
      </c>
      <c r="S33" s="11">
        <v>50.51</v>
      </c>
      <c r="T33" s="11">
        <v>2</v>
      </c>
      <c r="U33" s="11">
        <v>3</v>
      </c>
      <c r="V33" s="11">
        <v>45.51</v>
      </c>
      <c r="W33" s="13">
        <v>16</v>
      </c>
      <c r="X33" s="13">
        <v>24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104</v>
      </c>
      <c r="C34" s="10" t="s">
        <v>105</v>
      </c>
      <c r="D34" s="7" t="s">
        <v>40</v>
      </c>
      <c r="E34" s="7" t="s">
        <v>92</v>
      </c>
      <c r="F34" s="7" t="s">
        <v>88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2.34</v>
      </c>
      <c r="M34" s="11">
        <v>0.67</v>
      </c>
      <c r="N34" s="11">
        <v>0</v>
      </c>
      <c r="O34" s="11">
        <v>0.7000000000000001</v>
      </c>
      <c r="P34" s="11">
        <v>0.83</v>
      </c>
      <c r="Q34" s="11">
        <v>4.54</v>
      </c>
      <c r="R34" s="11">
        <v>38.41</v>
      </c>
      <c r="S34" s="11">
        <v>42.95</v>
      </c>
      <c r="T34" s="11">
        <v>2</v>
      </c>
      <c r="U34" s="11">
        <v>3</v>
      </c>
      <c r="V34" s="11">
        <v>37.95</v>
      </c>
      <c r="W34" s="13">
        <v>16</v>
      </c>
      <c r="X34" s="13">
        <v>24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106</v>
      </c>
      <c r="C35" s="10" t="s">
        <v>107</v>
      </c>
      <c r="D35" s="7" t="s">
        <v>57</v>
      </c>
      <c r="E35" s="7" t="s">
        <v>92</v>
      </c>
      <c r="F35" s="7" t="s">
        <v>88</v>
      </c>
      <c r="G35" s="7"/>
      <c r="H35" s="7" t="s">
        <v>108</v>
      </c>
      <c r="I35" s="11">
        <v>2</v>
      </c>
      <c r="J35" s="11">
        <v>3</v>
      </c>
      <c r="K35" s="11">
        <v>0.95</v>
      </c>
      <c r="L35" s="11">
        <v>8.799999999999999</v>
      </c>
      <c r="M35" s="11">
        <v>0.33</v>
      </c>
      <c r="N35" s="11">
        <v>0</v>
      </c>
      <c r="O35" s="11">
        <v>0</v>
      </c>
      <c r="P35" s="11">
        <v>0</v>
      </c>
      <c r="Q35" s="11">
        <v>10.08</v>
      </c>
      <c r="R35" s="11">
        <v>109.56</v>
      </c>
      <c r="S35" s="11">
        <v>119.64</v>
      </c>
      <c r="T35" s="11">
        <v>2</v>
      </c>
      <c r="U35" s="11">
        <v>3</v>
      </c>
      <c r="V35" s="11">
        <v>114.64</v>
      </c>
      <c r="W35" s="13">
        <v>16</v>
      </c>
      <c r="X35" s="13">
        <v>24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109</v>
      </c>
      <c r="C36" s="10" t="s">
        <v>110</v>
      </c>
      <c r="D36" s="7" t="s">
        <v>48</v>
      </c>
      <c r="E36" s="7" t="s">
        <v>92</v>
      </c>
      <c r="F36" s="7" t="s">
        <v>88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3.359999999999999</v>
      </c>
      <c r="M36" s="11">
        <v>0</v>
      </c>
      <c r="N36" s="11">
        <v>0</v>
      </c>
      <c r="O36" s="11">
        <v>0</v>
      </c>
      <c r="P36" s="11">
        <v>0.83</v>
      </c>
      <c r="Q36" s="11">
        <v>4.19</v>
      </c>
      <c r="R36" s="11">
        <v>43.12999999999999</v>
      </c>
      <c r="S36" s="11">
        <v>47.31999999999999</v>
      </c>
      <c r="T36" s="11">
        <v>2</v>
      </c>
      <c r="U36" s="11">
        <v>3</v>
      </c>
      <c r="V36" s="11">
        <v>42.31999999999999</v>
      </c>
      <c r="W36" s="13">
        <v>16</v>
      </c>
      <c r="X36" s="13">
        <v>24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111</v>
      </c>
      <c r="C37" s="10" t="s">
        <v>112</v>
      </c>
      <c r="D37" s="7" t="s">
        <v>57</v>
      </c>
      <c r="E37" s="7" t="s">
        <v>49</v>
      </c>
      <c r="F37" s="7" t="s">
        <v>88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1.76</v>
      </c>
      <c r="M37" s="11">
        <v>0</v>
      </c>
      <c r="N37" s="11">
        <v>0</v>
      </c>
      <c r="O37" s="11">
        <v>0</v>
      </c>
      <c r="P37" s="11">
        <v>0</v>
      </c>
      <c r="Q37" s="11">
        <v>1.76</v>
      </c>
      <c r="R37" s="11">
        <v>35.19999999999999</v>
      </c>
      <c r="S37" s="11">
        <v>36.95999999999999</v>
      </c>
      <c r="T37" s="11">
        <v>2</v>
      </c>
      <c r="U37" s="11">
        <v>3</v>
      </c>
      <c r="V37" s="11">
        <v>31.95999999999999</v>
      </c>
      <c r="W37" s="13">
        <v>16</v>
      </c>
      <c r="X37" s="13">
        <v>24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113</v>
      </c>
      <c r="C38" s="10" t="s">
        <v>114</v>
      </c>
      <c r="D38" s="7" t="s">
        <v>52</v>
      </c>
      <c r="E38" s="7" t="s">
        <v>49</v>
      </c>
      <c r="F38" s="7" t="s">
        <v>88</v>
      </c>
      <c r="G38" s="7"/>
      <c r="H38" s="7" t="s">
        <v>115</v>
      </c>
      <c r="I38" s="11">
        <v>2</v>
      </c>
      <c r="J38" s="11">
        <v>3</v>
      </c>
      <c r="K38" s="11">
        <v>1.33</v>
      </c>
      <c r="L38" s="11">
        <v>3.279999999999999</v>
      </c>
      <c r="M38" s="11">
        <v>1</v>
      </c>
      <c r="N38" s="11">
        <v>0</v>
      </c>
      <c r="O38" s="11">
        <v>0</v>
      </c>
      <c r="P38" s="11">
        <v>0.83</v>
      </c>
      <c r="Q38" s="11">
        <v>6.439999999999999</v>
      </c>
      <c r="R38" s="11">
        <v>67.98999999999999</v>
      </c>
      <c r="S38" s="11">
        <v>74.42999999999999</v>
      </c>
      <c r="T38" s="11">
        <v>2</v>
      </c>
      <c r="U38" s="11">
        <v>3</v>
      </c>
      <c r="V38" s="11">
        <v>69.42999999999999</v>
      </c>
      <c r="W38" s="13">
        <v>16</v>
      </c>
      <c r="X38" s="13">
        <v>24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116</v>
      </c>
      <c r="C39" s="10" t="s">
        <v>117</v>
      </c>
      <c r="D39" s="7" t="s">
        <v>52</v>
      </c>
      <c r="E39" s="7" t="s">
        <v>97</v>
      </c>
      <c r="F39" s="7" t="s">
        <v>88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2.03</v>
      </c>
      <c r="M39" s="11">
        <v>0.67</v>
      </c>
      <c r="N39" s="11">
        <v>0</v>
      </c>
      <c r="O39" s="11">
        <v>0</v>
      </c>
      <c r="P39" s="11">
        <v>0.83</v>
      </c>
      <c r="Q39" s="11">
        <v>3.529999999999999</v>
      </c>
      <c r="R39" s="11">
        <v>54.71999999999996</v>
      </c>
      <c r="S39" s="11">
        <v>58.24999999999996</v>
      </c>
      <c r="T39" s="11">
        <v>2</v>
      </c>
      <c r="U39" s="11">
        <v>3</v>
      </c>
      <c r="V39" s="11">
        <v>53.24999999999996</v>
      </c>
      <c r="W39" s="13">
        <v>16</v>
      </c>
      <c r="X39" s="13">
        <v>24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118</v>
      </c>
      <c r="C40" s="10" t="s">
        <v>119</v>
      </c>
      <c r="D40" s="7" t="s">
        <v>63</v>
      </c>
      <c r="E40" s="7" t="s">
        <v>92</v>
      </c>
      <c r="F40" s="7" t="s">
        <v>88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0.9400000000000001</v>
      </c>
      <c r="M40" s="11">
        <v>0</v>
      </c>
      <c r="N40" s="11">
        <v>0</v>
      </c>
      <c r="O40" s="11">
        <v>0</v>
      </c>
      <c r="P40" s="11">
        <v>0</v>
      </c>
      <c r="Q40" s="11">
        <v>0.9400000000000001</v>
      </c>
      <c r="R40" s="11">
        <v>24.79</v>
      </c>
      <c r="S40" s="11">
        <v>25.73</v>
      </c>
      <c r="T40" s="11">
        <v>2</v>
      </c>
      <c r="U40" s="11">
        <v>3</v>
      </c>
      <c r="V40" s="11">
        <v>20.73</v>
      </c>
      <c r="W40" s="13">
        <v>16</v>
      </c>
      <c r="X40" s="13">
        <v>24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120</v>
      </c>
      <c r="C41" s="10" t="s">
        <v>121</v>
      </c>
      <c r="D41" s="7" t="s">
        <v>57</v>
      </c>
      <c r="E41" s="7" t="s">
        <v>49</v>
      </c>
      <c r="F41" s="7" t="s">
        <v>88</v>
      </c>
      <c r="G41" s="7"/>
      <c r="H41" s="7" t="s">
        <v>43</v>
      </c>
      <c r="I41" s="11">
        <v>2</v>
      </c>
      <c r="J41" s="11">
        <v>3</v>
      </c>
      <c r="K41" s="11">
        <v>0</v>
      </c>
      <c r="L41" s="11">
        <v>2.46</v>
      </c>
      <c r="M41" s="11">
        <v>1.16</v>
      </c>
      <c r="N41" s="11">
        <v>0</v>
      </c>
      <c r="O41" s="11">
        <v>0</v>
      </c>
      <c r="P41" s="11">
        <v>0.17</v>
      </c>
      <c r="Q41" s="11">
        <v>3.79</v>
      </c>
      <c r="R41" s="11">
        <v>70.65999999999997</v>
      </c>
      <c r="S41" s="11">
        <v>74.44999999999997</v>
      </c>
      <c r="T41" s="11">
        <v>2</v>
      </c>
      <c r="U41" s="11">
        <v>3</v>
      </c>
      <c r="V41" s="11">
        <v>69.44999999999997</v>
      </c>
      <c r="W41" s="13">
        <v>16</v>
      </c>
      <c r="X41" s="13">
        <v>24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122</v>
      </c>
      <c r="C42" s="10" t="s">
        <v>123</v>
      </c>
      <c r="D42" s="7" t="s">
        <v>52</v>
      </c>
      <c r="E42" s="7" t="s">
        <v>49</v>
      </c>
      <c r="F42" s="7" t="s">
        <v>88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1.56</v>
      </c>
      <c r="M42" s="11">
        <v>0.8400000000000001</v>
      </c>
      <c r="N42" s="11">
        <v>0</v>
      </c>
      <c r="O42" s="11">
        <v>0</v>
      </c>
      <c r="P42" s="11">
        <v>0</v>
      </c>
      <c r="Q42" s="11">
        <v>2.399999999999999</v>
      </c>
      <c r="R42" s="11">
        <v>32.26</v>
      </c>
      <c r="S42" s="11">
        <v>34.66</v>
      </c>
      <c r="T42" s="11">
        <v>2</v>
      </c>
      <c r="U42" s="11">
        <v>3</v>
      </c>
      <c r="V42" s="11">
        <v>29.66</v>
      </c>
      <c r="W42" s="13">
        <v>16</v>
      </c>
      <c r="X42" s="13">
        <v>24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124</v>
      </c>
      <c r="C43" s="10" t="s">
        <v>125</v>
      </c>
      <c r="D43" s="7" t="s">
        <v>126</v>
      </c>
      <c r="E43" s="7" t="s">
        <v>92</v>
      </c>
      <c r="F43" s="7" t="s">
        <v>88</v>
      </c>
      <c r="G43" s="7"/>
      <c r="H43" s="7" t="s">
        <v>43</v>
      </c>
      <c r="I43" s="11">
        <v>2</v>
      </c>
      <c r="J43" s="11">
        <v>3</v>
      </c>
      <c r="K43" s="11">
        <v>0</v>
      </c>
      <c r="L43" s="11">
        <v>0.68</v>
      </c>
      <c r="M43" s="11">
        <v>0</v>
      </c>
      <c r="N43" s="11">
        <v>0</v>
      </c>
      <c r="O43" s="11">
        <v>0</v>
      </c>
      <c r="P43" s="11">
        <v>0</v>
      </c>
      <c r="Q43" s="11">
        <v>0.68</v>
      </c>
      <c r="R43" s="11">
        <v>36.6</v>
      </c>
      <c r="S43" s="11">
        <v>37.28</v>
      </c>
      <c r="T43" s="11">
        <v>2</v>
      </c>
      <c r="U43" s="11">
        <v>3</v>
      </c>
      <c r="V43" s="11">
        <v>32.28</v>
      </c>
      <c r="W43" s="13">
        <v>16</v>
      </c>
      <c r="X43" s="13">
        <v>24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127</v>
      </c>
      <c r="C44" s="10" t="s">
        <v>128</v>
      </c>
      <c r="D44" s="7" t="s">
        <v>63</v>
      </c>
      <c r="E44" s="7" t="s">
        <v>49</v>
      </c>
      <c r="F44" s="7" t="s">
        <v>88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0.4</v>
      </c>
      <c r="M44" s="11">
        <v>0</v>
      </c>
      <c r="N44" s="11">
        <v>0</v>
      </c>
      <c r="O44" s="11">
        <v>0</v>
      </c>
      <c r="P44" s="11">
        <v>0</v>
      </c>
      <c r="Q44" s="11">
        <v>0.4</v>
      </c>
      <c r="R44" s="11">
        <v>5.500000000000001</v>
      </c>
      <c r="S44" s="11">
        <v>5.900000000000001</v>
      </c>
      <c r="T44" s="11">
        <v>2</v>
      </c>
      <c r="U44" s="11">
        <v>3</v>
      </c>
      <c r="V44" s="11">
        <v>0.9000000000000012</v>
      </c>
      <c r="W44" s="13">
        <v>16</v>
      </c>
      <c r="X44" s="13">
        <v>24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129</v>
      </c>
      <c r="C45" s="10" t="s">
        <v>130</v>
      </c>
      <c r="D45" s="7" t="s">
        <v>63</v>
      </c>
      <c r="E45" s="7" t="s">
        <v>49</v>
      </c>
      <c r="F45" s="7" t="s">
        <v>88</v>
      </c>
      <c r="G45" s="7"/>
      <c r="H45" s="7" t="s">
        <v>131</v>
      </c>
      <c r="I45" s="11">
        <v>2</v>
      </c>
      <c r="J45" s="11">
        <v>3</v>
      </c>
      <c r="K45" s="11">
        <v>1</v>
      </c>
      <c r="L45" s="11">
        <v>2.72</v>
      </c>
      <c r="M45" s="11">
        <v>0.5</v>
      </c>
      <c r="N45" s="11">
        <v>0</v>
      </c>
      <c r="O45" s="11">
        <v>0.3</v>
      </c>
      <c r="P45" s="11">
        <v>0.17</v>
      </c>
      <c r="Q45" s="11">
        <v>4.69</v>
      </c>
      <c r="R45" s="11">
        <v>58.61999999999998</v>
      </c>
      <c r="S45" s="11">
        <v>63.30999999999997</v>
      </c>
      <c r="T45" s="11">
        <v>2</v>
      </c>
      <c r="U45" s="11">
        <v>3</v>
      </c>
      <c r="V45" s="11">
        <v>58.30999999999997</v>
      </c>
      <c r="W45" s="13">
        <v>16</v>
      </c>
      <c r="X45" s="13">
        <v>24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132</v>
      </c>
      <c r="C46" s="10" t="s">
        <v>133</v>
      </c>
      <c r="D46" s="7" t="s">
        <v>57</v>
      </c>
      <c r="E46" s="7" t="s">
        <v>92</v>
      </c>
      <c r="F46" s="7" t="s">
        <v>88</v>
      </c>
      <c r="G46" s="7"/>
      <c r="H46" s="7" t="s">
        <v>43</v>
      </c>
      <c r="I46" s="11">
        <v>2</v>
      </c>
      <c r="J46" s="11">
        <v>3</v>
      </c>
      <c r="K46" s="11">
        <v>0</v>
      </c>
      <c r="L46" s="11">
        <v>2.889999999999999</v>
      </c>
      <c r="M46" s="11">
        <v>0.33</v>
      </c>
      <c r="N46" s="11">
        <v>0</v>
      </c>
      <c r="O46" s="11">
        <v>0</v>
      </c>
      <c r="P46" s="11">
        <v>0</v>
      </c>
      <c r="Q46" s="11">
        <v>3.219999999999999</v>
      </c>
      <c r="R46" s="11">
        <v>41.93999999999999</v>
      </c>
      <c r="S46" s="11">
        <v>45.15999999999999</v>
      </c>
      <c r="T46" s="11">
        <v>2</v>
      </c>
      <c r="U46" s="11">
        <v>3</v>
      </c>
      <c r="V46" s="11">
        <v>40.15999999999999</v>
      </c>
      <c r="W46" s="13">
        <v>16</v>
      </c>
      <c r="X46" s="13">
        <v>24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134</v>
      </c>
      <c r="C47" s="10" t="s">
        <v>135</v>
      </c>
      <c r="D47" s="7" t="s">
        <v>52</v>
      </c>
      <c r="E47" s="7" t="s">
        <v>97</v>
      </c>
      <c r="F47" s="7" t="s">
        <v>88</v>
      </c>
      <c r="G47" s="7"/>
      <c r="H47" s="7" t="s">
        <v>89</v>
      </c>
      <c r="I47" s="11">
        <v>2</v>
      </c>
      <c r="J47" s="11">
        <v>3</v>
      </c>
      <c r="K47" s="11">
        <v>0.95</v>
      </c>
      <c r="L47" s="11">
        <v>2.15</v>
      </c>
      <c r="M47" s="11">
        <v>1.99</v>
      </c>
      <c r="N47" s="11">
        <v>0</v>
      </c>
      <c r="O47" s="11">
        <v>0.27</v>
      </c>
      <c r="P47" s="11">
        <v>1.8</v>
      </c>
      <c r="Q47" s="11">
        <v>7.159999999999999</v>
      </c>
      <c r="R47" s="11">
        <v>69.20999999999998</v>
      </c>
      <c r="S47" s="11">
        <v>76.36999999999998</v>
      </c>
      <c r="T47" s="11">
        <v>2</v>
      </c>
      <c r="U47" s="11">
        <v>3</v>
      </c>
      <c r="V47" s="11">
        <v>71.36999999999998</v>
      </c>
      <c r="W47" s="13">
        <v>16</v>
      </c>
      <c r="X47" s="13">
        <v>24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136</v>
      </c>
      <c r="C48" s="10" t="s">
        <v>137</v>
      </c>
      <c r="D48" s="7" t="s">
        <v>57</v>
      </c>
      <c r="E48" s="7" t="s">
        <v>49</v>
      </c>
      <c r="F48" s="7" t="s">
        <v>88</v>
      </c>
      <c r="G48" s="7"/>
      <c r="H48" s="7" t="s">
        <v>43</v>
      </c>
      <c r="I48" s="11">
        <v>2</v>
      </c>
      <c r="J48" s="11">
        <v>3</v>
      </c>
      <c r="K48" s="11">
        <v>0</v>
      </c>
      <c r="L48" s="11">
        <v>3.059999999999999</v>
      </c>
      <c r="M48" s="11">
        <v>0.67</v>
      </c>
      <c r="N48" s="11">
        <v>0</v>
      </c>
      <c r="O48" s="11">
        <v>0</v>
      </c>
      <c r="P48" s="11">
        <v>0</v>
      </c>
      <c r="Q48" s="11">
        <v>3.729999999999999</v>
      </c>
      <c r="R48" s="11">
        <v>57.50999999999998</v>
      </c>
      <c r="S48" s="11">
        <v>61.23999999999997</v>
      </c>
      <c r="T48" s="11">
        <v>2</v>
      </c>
      <c r="U48" s="11">
        <v>3</v>
      </c>
      <c r="V48" s="11">
        <v>56.23999999999997</v>
      </c>
      <c r="W48" s="13">
        <v>16</v>
      </c>
      <c r="X48" s="13">
        <v>24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138</v>
      </c>
      <c r="C49" s="10" t="s">
        <v>139</v>
      </c>
      <c r="D49" s="7" t="s">
        <v>63</v>
      </c>
      <c r="E49" s="7" t="s">
        <v>49</v>
      </c>
      <c r="F49" s="7" t="s">
        <v>88</v>
      </c>
      <c r="G49" s="7"/>
      <c r="H49" s="7" t="s">
        <v>43</v>
      </c>
      <c r="I49" s="11">
        <v>2</v>
      </c>
      <c r="J49" s="11">
        <v>3</v>
      </c>
      <c r="K49" s="11">
        <v>0</v>
      </c>
      <c r="L49" s="11">
        <v>2.12</v>
      </c>
      <c r="M49" s="11">
        <v>0</v>
      </c>
      <c r="N49" s="11">
        <v>0</v>
      </c>
      <c r="O49" s="11">
        <v>0</v>
      </c>
      <c r="P49" s="11">
        <v>0</v>
      </c>
      <c r="Q49" s="11">
        <v>2.12</v>
      </c>
      <c r="R49" s="11">
        <v>32.13</v>
      </c>
      <c r="S49" s="11">
        <v>34.24999999999999</v>
      </c>
      <c r="T49" s="11">
        <v>2</v>
      </c>
      <c r="U49" s="11">
        <v>3</v>
      </c>
      <c r="V49" s="11">
        <v>29.24999999999999</v>
      </c>
      <c r="W49" s="13">
        <v>16</v>
      </c>
      <c r="X49" s="13">
        <v>24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140</v>
      </c>
      <c r="C50" s="10" t="s">
        <v>141</v>
      </c>
      <c r="D50" s="7" t="s">
        <v>48</v>
      </c>
      <c r="E50" s="7" t="s">
        <v>49</v>
      </c>
      <c r="F50" s="7" t="s">
        <v>88</v>
      </c>
      <c r="G50" s="7"/>
      <c r="H50" s="7" t="s">
        <v>43</v>
      </c>
      <c r="I50" s="11">
        <v>2</v>
      </c>
      <c r="J50" s="11">
        <v>3</v>
      </c>
      <c r="K50" s="11">
        <v>0</v>
      </c>
      <c r="L50" s="11">
        <v>2.389999999999999</v>
      </c>
      <c r="M50" s="11">
        <v>1.16</v>
      </c>
      <c r="N50" s="11">
        <v>0</v>
      </c>
      <c r="O50" s="11">
        <v>0</v>
      </c>
      <c r="P50" s="11">
        <v>0</v>
      </c>
      <c r="Q50" s="11">
        <v>3.549999999999999</v>
      </c>
      <c r="R50" s="11">
        <v>39.07999999999999</v>
      </c>
      <c r="S50" s="11">
        <v>42.62999999999999</v>
      </c>
      <c r="T50" s="11">
        <v>2</v>
      </c>
      <c r="U50" s="11">
        <v>3</v>
      </c>
      <c r="V50" s="11">
        <v>37.62999999999999</v>
      </c>
      <c r="W50" s="13">
        <v>16</v>
      </c>
      <c r="X50" s="13">
        <v>24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142</v>
      </c>
      <c r="C51" s="10" t="s">
        <v>143</v>
      </c>
      <c r="D51" s="7" t="s">
        <v>52</v>
      </c>
      <c r="E51" s="7" t="s">
        <v>92</v>
      </c>
      <c r="F51" s="7" t="s">
        <v>88</v>
      </c>
      <c r="G51" s="7"/>
      <c r="H51" s="7" t="s">
        <v>131</v>
      </c>
      <c r="I51" s="11">
        <v>2</v>
      </c>
      <c r="J51" s="11">
        <v>3</v>
      </c>
      <c r="K51" s="11">
        <v>1</v>
      </c>
      <c r="L51" s="11">
        <v>1.14</v>
      </c>
      <c r="M51" s="11">
        <v>2.17</v>
      </c>
      <c r="N51" s="11">
        <v>0</v>
      </c>
      <c r="O51" s="11">
        <v>0.3</v>
      </c>
      <c r="P51" s="11">
        <v>1.77</v>
      </c>
      <c r="Q51" s="11">
        <v>6.38</v>
      </c>
      <c r="R51" s="11">
        <v>55.00000000000001</v>
      </c>
      <c r="S51" s="11">
        <v>61.38000000000001</v>
      </c>
      <c r="T51" s="11">
        <v>2</v>
      </c>
      <c r="U51" s="11">
        <v>3</v>
      </c>
      <c r="V51" s="11">
        <v>56.38000000000001</v>
      </c>
      <c r="W51" s="13">
        <v>16</v>
      </c>
      <c r="X51" s="13">
        <v>24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144</v>
      </c>
      <c r="C52" s="10" t="s">
        <v>145</v>
      </c>
      <c r="D52" s="7" t="s">
        <v>40</v>
      </c>
      <c r="E52" s="7" t="s">
        <v>92</v>
      </c>
      <c r="F52" s="7" t="s">
        <v>88</v>
      </c>
      <c r="G52" s="7"/>
      <c r="H52" s="7" t="s">
        <v>43</v>
      </c>
      <c r="I52" s="11">
        <v>2</v>
      </c>
      <c r="J52" s="11">
        <v>3</v>
      </c>
      <c r="K52" s="11">
        <v>0</v>
      </c>
      <c r="L52" s="11">
        <v>3.52</v>
      </c>
      <c r="M52" s="11">
        <v>0.67</v>
      </c>
      <c r="N52" s="11">
        <v>0</v>
      </c>
      <c r="O52" s="11">
        <v>0.7000000000000001</v>
      </c>
      <c r="P52" s="11">
        <v>0.17</v>
      </c>
      <c r="Q52" s="11">
        <v>5.06</v>
      </c>
      <c r="R52" s="11">
        <v>43.72999999999998</v>
      </c>
      <c r="S52" s="11">
        <v>48.78999999999998</v>
      </c>
      <c r="T52" s="11">
        <v>2</v>
      </c>
      <c r="U52" s="11">
        <v>3</v>
      </c>
      <c r="V52" s="11">
        <v>43.78999999999998</v>
      </c>
      <c r="W52" s="13">
        <v>16</v>
      </c>
      <c r="X52" s="13">
        <v>24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146</v>
      </c>
      <c r="C53" s="10" t="s">
        <v>147</v>
      </c>
      <c r="D53" s="7" t="s">
        <v>40</v>
      </c>
      <c r="E53" s="7" t="s">
        <v>92</v>
      </c>
      <c r="F53" s="7" t="s">
        <v>88</v>
      </c>
      <c r="G53" s="7"/>
      <c r="H53" s="7" t="s">
        <v>43</v>
      </c>
      <c r="I53" s="11">
        <v>2</v>
      </c>
      <c r="J53" s="11">
        <v>3</v>
      </c>
      <c r="K53" s="11">
        <v>0</v>
      </c>
      <c r="L53" s="11">
        <v>2.42</v>
      </c>
      <c r="M53" s="11">
        <v>0</v>
      </c>
      <c r="N53" s="11">
        <v>0</v>
      </c>
      <c r="O53" s="11">
        <v>0.7000000000000001</v>
      </c>
      <c r="P53" s="11">
        <v>0</v>
      </c>
      <c r="Q53" s="11">
        <v>3.120000000000001</v>
      </c>
      <c r="R53" s="11">
        <v>31.56</v>
      </c>
      <c r="S53" s="11">
        <v>34.68</v>
      </c>
      <c r="T53" s="11">
        <v>2</v>
      </c>
      <c r="U53" s="11">
        <v>3</v>
      </c>
      <c r="V53" s="11">
        <v>29.68</v>
      </c>
      <c r="W53" s="13">
        <v>16</v>
      </c>
      <c r="X53" s="13">
        <v>24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148</v>
      </c>
      <c r="C54" s="10" t="s">
        <v>149</v>
      </c>
      <c r="D54" s="7" t="s">
        <v>57</v>
      </c>
      <c r="E54" s="7" t="s">
        <v>49</v>
      </c>
      <c r="F54" s="7" t="s">
        <v>88</v>
      </c>
      <c r="G54" s="7"/>
      <c r="H54" s="7" t="s">
        <v>43</v>
      </c>
      <c r="I54" s="11">
        <v>2</v>
      </c>
      <c r="J54" s="11">
        <v>3</v>
      </c>
      <c r="K54" s="11">
        <v>0</v>
      </c>
      <c r="L54" s="11">
        <v>2.44</v>
      </c>
      <c r="M54" s="11">
        <v>0.5</v>
      </c>
      <c r="N54" s="11">
        <v>0</v>
      </c>
      <c r="O54" s="11">
        <v>0</v>
      </c>
      <c r="P54" s="11">
        <v>0</v>
      </c>
      <c r="Q54" s="11">
        <v>2.94</v>
      </c>
      <c r="R54" s="11">
        <v>37.44</v>
      </c>
      <c r="S54" s="11">
        <v>40.38</v>
      </c>
      <c r="T54" s="11">
        <v>2</v>
      </c>
      <c r="U54" s="11">
        <v>3</v>
      </c>
      <c r="V54" s="11">
        <v>35.38</v>
      </c>
      <c r="W54" s="13">
        <v>16</v>
      </c>
      <c r="X54" s="13">
        <v>24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150</v>
      </c>
      <c r="C55" s="10" t="s">
        <v>151</v>
      </c>
      <c r="D55" s="7" t="s">
        <v>48</v>
      </c>
      <c r="E55" s="7" t="s">
        <v>49</v>
      </c>
      <c r="F55" s="7" t="s">
        <v>88</v>
      </c>
      <c r="G55" s="7"/>
      <c r="H55" s="7" t="s">
        <v>89</v>
      </c>
      <c r="I55" s="11">
        <v>2</v>
      </c>
      <c r="J55" s="11">
        <v>3</v>
      </c>
      <c r="K55" s="11">
        <v>0.95</v>
      </c>
      <c r="L55" s="11">
        <v>3.77</v>
      </c>
      <c r="M55" s="11">
        <v>1</v>
      </c>
      <c r="N55" s="11">
        <v>0</v>
      </c>
      <c r="O55" s="11">
        <v>0.54</v>
      </c>
      <c r="P55" s="11">
        <v>0.83</v>
      </c>
      <c r="Q55" s="11">
        <v>7.089999999999999</v>
      </c>
      <c r="R55" s="11">
        <v>60.15999999999998</v>
      </c>
      <c r="S55" s="11">
        <v>67.24999999999999</v>
      </c>
      <c r="T55" s="11">
        <v>2</v>
      </c>
      <c r="U55" s="11">
        <v>3</v>
      </c>
      <c r="V55" s="11">
        <v>62.24999999999999</v>
      </c>
      <c r="W55" s="13">
        <v>16</v>
      </c>
      <c r="X55" s="13">
        <v>24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152</v>
      </c>
      <c r="C56" s="10" t="s">
        <v>153</v>
      </c>
      <c r="D56" s="7" t="s">
        <v>57</v>
      </c>
      <c r="E56" s="7" t="s">
        <v>49</v>
      </c>
      <c r="F56" s="7" t="s">
        <v>88</v>
      </c>
      <c r="G56" s="7"/>
      <c r="H56" s="7" t="s">
        <v>131</v>
      </c>
      <c r="I56" s="11">
        <v>2</v>
      </c>
      <c r="J56" s="11">
        <v>3</v>
      </c>
      <c r="K56" s="11">
        <v>1</v>
      </c>
      <c r="L56" s="11">
        <v>4.579999999999998</v>
      </c>
      <c r="M56" s="11">
        <v>1.67</v>
      </c>
      <c r="N56" s="11">
        <v>0</v>
      </c>
      <c r="O56" s="11">
        <v>0</v>
      </c>
      <c r="P56" s="11">
        <v>0</v>
      </c>
      <c r="Q56" s="11">
        <v>7.249999999999998</v>
      </c>
      <c r="R56" s="11">
        <v>82.99999999999997</v>
      </c>
      <c r="S56" s="11">
        <v>90.24999999999997</v>
      </c>
      <c r="T56" s="11">
        <v>2</v>
      </c>
      <c r="U56" s="11">
        <v>3</v>
      </c>
      <c r="V56" s="11">
        <v>85.24999999999997</v>
      </c>
      <c r="W56" s="13">
        <v>16</v>
      </c>
      <c r="X56" s="13">
        <v>24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154</v>
      </c>
      <c r="C57" s="10" t="s">
        <v>155</v>
      </c>
      <c r="D57" s="7" t="s">
        <v>126</v>
      </c>
      <c r="E57" s="7" t="s">
        <v>92</v>
      </c>
      <c r="F57" s="7" t="s">
        <v>88</v>
      </c>
      <c r="G57" s="7"/>
      <c r="H57" s="7" t="s">
        <v>108</v>
      </c>
      <c r="I57" s="11">
        <v>2</v>
      </c>
      <c r="J57" s="11">
        <v>3</v>
      </c>
      <c r="K57" s="11">
        <v>0.95</v>
      </c>
      <c r="L57" s="11">
        <v>4.06</v>
      </c>
      <c r="M57" s="11">
        <v>0</v>
      </c>
      <c r="N57" s="11">
        <v>0</v>
      </c>
      <c r="O57" s="11">
        <v>0</v>
      </c>
      <c r="P57" s="11">
        <v>0.83</v>
      </c>
      <c r="Q57" s="11">
        <v>5.839999999999999</v>
      </c>
      <c r="R57" s="11">
        <v>81.10999999999996</v>
      </c>
      <c r="S57" s="11">
        <v>86.94999999999996</v>
      </c>
      <c r="T57" s="11">
        <v>2</v>
      </c>
      <c r="U57" s="11">
        <v>3</v>
      </c>
      <c r="V57" s="11">
        <v>81.94999999999996</v>
      </c>
      <c r="W57" s="13">
        <v>16</v>
      </c>
      <c r="X57" s="13">
        <v>24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156</v>
      </c>
      <c r="C58" s="10" t="s">
        <v>157</v>
      </c>
      <c r="D58" s="7" t="s">
        <v>40</v>
      </c>
      <c r="E58" s="7" t="s">
        <v>92</v>
      </c>
      <c r="F58" s="7" t="s">
        <v>88</v>
      </c>
      <c r="G58" s="7"/>
      <c r="H58" s="7" t="s">
        <v>158</v>
      </c>
      <c r="I58" s="11">
        <v>2</v>
      </c>
      <c r="J58" s="11">
        <v>3</v>
      </c>
      <c r="K58" s="11">
        <v>1.33</v>
      </c>
      <c r="L58" s="11">
        <v>4.339999999999999</v>
      </c>
      <c r="M58" s="11">
        <v>1.17</v>
      </c>
      <c r="N58" s="11">
        <v>0</v>
      </c>
      <c r="O58" s="11">
        <v>0.7000000000000001</v>
      </c>
      <c r="P58" s="11">
        <v>1.3</v>
      </c>
      <c r="Q58" s="11">
        <v>8.839999999999998</v>
      </c>
      <c r="R58" s="11">
        <v>67.76999999999998</v>
      </c>
      <c r="S58" s="11">
        <v>76.60999999999999</v>
      </c>
      <c r="T58" s="11">
        <v>2</v>
      </c>
      <c r="U58" s="11">
        <v>3</v>
      </c>
      <c r="V58" s="11">
        <v>71.60999999999999</v>
      </c>
      <c r="W58" s="13">
        <v>16</v>
      </c>
      <c r="X58" s="13">
        <v>24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159</v>
      </c>
      <c r="C59" s="10" t="s">
        <v>160</v>
      </c>
      <c r="D59" s="7" t="s">
        <v>52</v>
      </c>
      <c r="E59" s="7" t="s">
        <v>92</v>
      </c>
      <c r="F59" s="7" t="s">
        <v>88</v>
      </c>
      <c r="G59" s="7"/>
      <c r="H59" s="7" t="s">
        <v>43</v>
      </c>
      <c r="I59" s="11">
        <v>2</v>
      </c>
      <c r="J59" s="11">
        <v>3</v>
      </c>
      <c r="K59" s="11">
        <v>0</v>
      </c>
      <c r="L59" s="11">
        <v>1.37</v>
      </c>
      <c r="M59" s="11">
        <v>0.5</v>
      </c>
      <c r="N59" s="11">
        <v>0</v>
      </c>
      <c r="O59" s="11">
        <v>0</v>
      </c>
      <c r="P59" s="11">
        <v>0</v>
      </c>
      <c r="Q59" s="11">
        <v>1.87</v>
      </c>
      <c r="R59" s="11">
        <v>28.3</v>
      </c>
      <c r="S59" s="11">
        <v>30.17000000000001</v>
      </c>
      <c r="T59" s="11">
        <v>2</v>
      </c>
      <c r="U59" s="11">
        <v>3</v>
      </c>
      <c r="V59" s="11">
        <v>25.17000000000001</v>
      </c>
      <c r="W59" s="13">
        <v>16</v>
      </c>
      <c r="X59" s="13">
        <v>24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161</v>
      </c>
      <c r="C60" s="10" t="s">
        <v>162</v>
      </c>
      <c r="D60" s="7" t="s">
        <v>48</v>
      </c>
      <c r="E60" s="7" t="s">
        <v>97</v>
      </c>
      <c r="F60" s="7" t="s">
        <v>88</v>
      </c>
      <c r="G60" s="7"/>
      <c r="H60" s="7" t="s">
        <v>43</v>
      </c>
      <c r="I60" s="11">
        <v>2</v>
      </c>
      <c r="J60" s="11">
        <v>3</v>
      </c>
      <c r="K60" s="11">
        <v>0</v>
      </c>
      <c r="L60" s="11">
        <v>3.83</v>
      </c>
      <c r="M60" s="11">
        <v>1.5</v>
      </c>
      <c r="N60" s="11">
        <v>0</v>
      </c>
      <c r="O60" s="11">
        <v>0.48</v>
      </c>
      <c r="P60" s="11">
        <v>0</v>
      </c>
      <c r="Q60" s="11">
        <v>5.809999999999997</v>
      </c>
      <c r="R60" s="11">
        <v>53.10999999999997</v>
      </c>
      <c r="S60" s="11">
        <v>58.91999999999997</v>
      </c>
      <c r="T60" s="11">
        <v>2</v>
      </c>
      <c r="U60" s="11">
        <v>3</v>
      </c>
      <c r="V60" s="11">
        <v>53.91999999999997</v>
      </c>
      <c r="W60" s="13">
        <v>16</v>
      </c>
      <c r="X60" s="13">
        <v>24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163</v>
      </c>
      <c r="C61" s="10" t="s">
        <v>164</v>
      </c>
      <c r="D61" s="7" t="s">
        <v>126</v>
      </c>
      <c r="E61" s="7" t="s">
        <v>49</v>
      </c>
      <c r="F61" s="7" t="s">
        <v>88</v>
      </c>
      <c r="G61" s="7"/>
      <c r="H61" s="7" t="s">
        <v>43</v>
      </c>
      <c r="I61" s="11">
        <v>2</v>
      </c>
      <c r="J61" s="11">
        <v>3</v>
      </c>
      <c r="K61" s="11">
        <v>0</v>
      </c>
      <c r="L61" s="11">
        <v>0.51</v>
      </c>
      <c r="M61" s="11">
        <v>0</v>
      </c>
      <c r="N61" s="11">
        <v>0</v>
      </c>
      <c r="O61" s="11">
        <v>0</v>
      </c>
      <c r="P61" s="11">
        <v>0</v>
      </c>
      <c r="Q61" s="11">
        <v>0.51</v>
      </c>
      <c r="R61" s="11">
        <v>30.8</v>
      </c>
      <c r="S61" s="11">
        <v>31.31000000000001</v>
      </c>
      <c r="T61" s="11">
        <v>2</v>
      </c>
      <c r="U61" s="11">
        <v>3</v>
      </c>
      <c r="V61" s="11">
        <v>26.31000000000001</v>
      </c>
      <c r="W61" s="13">
        <v>16</v>
      </c>
      <c r="X61" s="13">
        <v>24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165</v>
      </c>
      <c r="C62" s="10" t="s">
        <v>166</v>
      </c>
      <c r="D62" s="7" t="s">
        <v>126</v>
      </c>
      <c r="E62" s="7" t="s">
        <v>92</v>
      </c>
      <c r="F62" s="7" t="s">
        <v>88</v>
      </c>
      <c r="G62" s="7"/>
      <c r="H62" s="7" t="s">
        <v>43</v>
      </c>
      <c r="I62" s="11">
        <v>2</v>
      </c>
      <c r="J62" s="11">
        <v>3</v>
      </c>
      <c r="K62" s="11">
        <v>0</v>
      </c>
      <c r="L62" s="11">
        <v>0.68</v>
      </c>
      <c r="M62" s="11">
        <v>0</v>
      </c>
      <c r="N62" s="11">
        <v>0</v>
      </c>
      <c r="O62" s="11">
        <v>0</v>
      </c>
      <c r="P62" s="11">
        <v>0.83</v>
      </c>
      <c r="Q62" s="11">
        <v>1.51</v>
      </c>
      <c r="R62" s="11">
        <v>38.83999999999999</v>
      </c>
      <c r="S62" s="11">
        <v>40.34999999999999</v>
      </c>
      <c r="T62" s="11">
        <v>2</v>
      </c>
      <c r="U62" s="11">
        <v>3</v>
      </c>
      <c r="V62" s="11">
        <v>35.34999999999999</v>
      </c>
      <c r="W62" s="13">
        <v>16</v>
      </c>
      <c r="X62" s="13">
        <v>24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167</v>
      </c>
      <c r="C63" s="10" t="s">
        <v>168</v>
      </c>
      <c r="D63" s="7" t="s">
        <v>126</v>
      </c>
      <c r="E63" s="7" t="s">
        <v>49</v>
      </c>
      <c r="F63" s="7" t="s">
        <v>88</v>
      </c>
      <c r="G63" s="7"/>
      <c r="H63" s="7" t="s">
        <v>43</v>
      </c>
      <c r="I63" s="11">
        <v>2</v>
      </c>
      <c r="J63" s="11">
        <v>3</v>
      </c>
      <c r="K63" s="11">
        <v>0</v>
      </c>
      <c r="L63" s="11">
        <v>1.76</v>
      </c>
      <c r="M63" s="11">
        <v>0</v>
      </c>
      <c r="N63" s="11">
        <v>0</v>
      </c>
      <c r="O63" s="11">
        <v>0</v>
      </c>
      <c r="P63" s="11">
        <v>0</v>
      </c>
      <c r="Q63" s="11">
        <v>1.76</v>
      </c>
      <c r="R63" s="11">
        <v>38.43</v>
      </c>
      <c r="S63" s="11">
        <v>40.19</v>
      </c>
      <c r="T63" s="11">
        <v>2</v>
      </c>
      <c r="U63" s="11">
        <v>3</v>
      </c>
      <c r="V63" s="11">
        <v>35.19</v>
      </c>
      <c r="W63" s="13">
        <v>16</v>
      </c>
      <c r="X63" s="13">
        <v>24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169</v>
      </c>
      <c r="C64" s="10" t="s">
        <v>170</v>
      </c>
      <c r="D64" s="7" t="s">
        <v>40</v>
      </c>
      <c r="E64" s="7" t="s">
        <v>49</v>
      </c>
      <c r="F64" s="7" t="s">
        <v>88</v>
      </c>
      <c r="G64" s="7"/>
      <c r="H64" s="7"/>
      <c r="I64" s="11">
        <v>2</v>
      </c>
      <c r="J64" s="11">
        <v>3</v>
      </c>
      <c r="K64" s="11">
        <v>0</v>
      </c>
      <c r="L64" s="11">
        <v>1.630000000000001</v>
      </c>
      <c r="M64" s="11">
        <v>0.4</v>
      </c>
      <c r="N64" s="11">
        <v>0</v>
      </c>
      <c r="O64" s="11">
        <v>0.7000000000000001</v>
      </c>
      <c r="P64" s="11">
        <v>0</v>
      </c>
      <c r="Q64" s="11">
        <v>2.730000000000001</v>
      </c>
      <c r="R64" s="11">
        <v>28.52</v>
      </c>
      <c r="S64" s="11">
        <v>31.25</v>
      </c>
      <c r="T64" s="11">
        <v>2</v>
      </c>
      <c r="U64" s="11">
        <v>3</v>
      </c>
      <c r="V64" s="11">
        <v>26.25</v>
      </c>
      <c r="W64" s="13">
        <v>16</v>
      </c>
      <c r="X64" s="13">
        <v>24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171</v>
      </c>
      <c r="C65" s="10" t="s">
        <v>172</v>
      </c>
      <c r="D65" s="7" t="s">
        <v>63</v>
      </c>
      <c r="E65" s="7" t="s">
        <v>92</v>
      </c>
      <c r="F65" s="7" t="s">
        <v>88</v>
      </c>
      <c r="G65" s="7"/>
      <c r="H65" s="7" t="s">
        <v>43</v>
      </c>
      <c r="I65" s="11">
        <v>2</v>
      </c>
      <c r="J65" s="11">
        <v>3</v>
      </c>
      <c r="K65" s="11">
        <v>0</v>
      </c>
      <c r="L65" s="11">
        <v>1.65</v>
      </c>
      <c r="M65" s="11">
        <v>0.5</v>
      </c>
      <c r="N65" s="11">
        <v>0</v>
      </c>
      <c r="O65" s="11">
        <v>0</v>
      </c>
      <c r="P65" s="11">
        <v>0.8</v>
      </c>
      <c r="Q65" s="11">
        <v>2.95</v>
      </c>
      <c r="R65" s="11">
        <v>40.12999999999999</v>
      </c>
      <c r="S65" s="11">
        <v>43.07999999999999</v>
      </c>
      <c r="T65" s="11">
        <v>2</v>
      </c>
      <c r="U65" s="11">
        <v>3</v>
      </c>
      <c r="V65" s="11">
        <v>38.07999999999999</v>
      </c>
      <c r="W65" s="13">
        <v>16</v>
      </c>
      <c r="X65" s="13">
        <v>24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173</v>
      </c>
      <c r="C66" s="10" t="s">
        <v>174</v>
      </c>
      <c r="D66" s="7" t="s">
        <v>63</v>
      </c>
      <c r="E66" s="7" t="s">
        <v>92</v>
      </c>
      <c r="F66" s="7" t="s">
        <v>88</v>
      </c>
      <c r="G66" s="7"/>
      <c r="H66" s="7" t="s">
        <v>43</v>
      </c>
      <c r="I66" s="11">
        <v>2</v>
      </c>
      <c r="J66" s="11">
        <v>3</v>
      </c>
      <c r="K66" s="11">
        <v>0</v>
      </c>
      <c r="L66" s="11">
        <v>1.59</v>
      </c>
      <c r="M66" s="11">
        <v>0.5</v>
      </c>
      <c r="N66" s="11">
        <v>0</v>
      </c>
      <c r="O66" s="11">
        <v>0</v>
      </c>
      <c r="P66" s="11">
        <v>0</v>
      </c>
      <c r="Q66" s="11">
        <v>2.09</v>
      </c>
      <c r="R66" s="11">
        <v>51.26999999999997</v>
      </c>
      <c r="S66" s="11">
        <v>53.35999999999997</v>
      </c>
      <c r="T66" s="11">
        <v>2</v>
      </c>
      <c r="U66" s="11">
        <v>3</v>
      </c>
      <c r="V66" s="11">
        <v>48.35999999999997</v>
      </c>
      <c r="W66" s="13">
        <v>16</v>
      </c>
      <c r="X66" s="13">
        <v>24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175</v>
      </c>
      <c r="C67" s="10" t="s">
        <v>176</v>
      </c>
      <c r="D67" s="7" t="s">
        <v>52</v>
      </c>
      <c r="E67" s="7" t="s">
        <v>92</v>
      </c>
      <c r="F67" s="7" t="s">
        <v>88</v>
      </c>
      <c r="G67" s="7"/>
      <c r="H67" s="7" t="s">
        <v>43</v>
      </c>
      <c r="I67" s="11">
        <v>2</v>
      </c>
      <c r="J67" s="11">
        <v>3</v>
      </c>
      <c r="K67" s="11">
        <v>0</v>
      </c>
      <c r="L67" s="11">
        <v>1.37</v>
      </c>
      <c r="M67" s="11">
        <v>1.66</v>
      </c>
      <c r="N67" s="11">
        <v>0</v>
      </c>
      <c r="O67" s="11">
        <v>0</v>
      </c>
      <c r="P67" s="11">
        <v>0.17</v>
      </c>
      <c r="Q67" s="11">
        <v>3.2</v>
      </c>
      <c r="R67" s="11">
        <v>44.01999999999999</v>
      </c>
      <c r="S67" s="11">
        <v>47.21999999999999</v>
      </c>
      <c r="T67" s="11">
        <v>2</v>
      </c>
      <c r="U67" s="11">
        <v>3</v>
      </c>
      <c r="V67" s="11">
        <v>42.21999999999999</v>
      </c>
      <c r="W67" s="13">
        <v>16</v>
      </c>
      <c r="X67" s="13">
        <v>24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177</v>
      </c>
      <c r="C68" s="10" t="s">
        <v>178</v>
      </c>
      <c r="D68" s="7" t="s">
        <v>63</v>
      </c>
      <c r="E68" s="7" t="s">
        <v>92</v>
      </c>
      <c r="F68" s="7" t="s">
        <v>88</v>
      </c>
      <c r="G68" s="7"/>
      <c r="H68" s="7" t="s">
        <v>43</v>
      </c>
      <c r="I68" s="11">
        <v>2</v>
      </c>
      <c r="J68" s="11">
        <v>3</v>
      </c>
      <c r="K68" s="11">
        <v>0</v>
      </c>
      <c r="L68" s="11">
        <v>2.899999999999999</v>
      </c>
      <c r="M68" s="11">
        <v>0.5</v>
      </c>
      <c r="N68" s="11">
        <v>0</v>
      </c>
      <c r="O68" s="11">
        <v>0</v>
      </c>
      <c r="P68" s="11">
        <v>0</v>
      </c>
      <c r="Q68" s="11">
        <v>3.399999999999999</v>
      </c>
      <c r="R68" s="11">
        <v>50.56999999999996</v>
      </c>
      <c r="S68" s="11">
        <v>53.96999999999996</v>
      </c>
      <c r="T68" s="11">
        <v>2</v>
      </c>
      <c r="U68" s="11">
        <v>3</v>
      </c>
      <c r="V68" s="11">
        <v>48.96999999999996</v>
      </c>
      <c r="W68" s="13">
        <v>16</v>
      </c>
      <c r="X68" s="13">
        <v>24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179</v>
      </c>
      <c r="C69" s="10" t="s">
        <v>180</v>
      </c>
      <c r="D69" s="7" t="s">
        <v>48</v>
      </c>
      <c r="E69" s="7" t="s">
        <v>92</v>
      </c>
      <c r="F69" s="7" t="s">
        <v>88</v>
      </c>
      <c r="G69" s="7"/>
      <c r="H69" s="7" t="s">
        <v>181</v>
      </c>
      <c r="I69" s="11">
        <v>2</v>
      </c>
      <c r="J69" s="11">
        <v>3</v>
      </c>
      <c r="K69" s="11">
        <v>1.33</v>
      </c>
      <c r="L69" s="11">
        <v>1.59</v>
      </c>
      <c r="M69" s="11">
        <v>1.49</v>
      </c>
      <c r="N69" s="11">
        <v>0</v>
      </c>
      <c r="O69" s="11">
        <v>0</v>
      </c>
      <c r="P69" s="11">
        <v>0</v>
      </c>
      <c r="Q69" s="11">
        <v>4.41</v>
      </c>
      <c r="R69" s="11">
        <v>38.54</v>
      </c>
      <c r="S69" s="11">
        <v>42.95</v>
      </c>
      <c r="T69" s="11">
        <v>2</v>
      </c>
      <c r="U69" s="11">
        <v>3</v>
      </c>
      <c r="V69" s="11">
        <v>37.95</v>
      </c>
      <c r="W69" s="13">
        <v>16</v>
      </c>
      <c r="X69" s="13">
        <v>24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182</v>
      </c>
      <c r="C70" s="10" t="s">
        <v>183</v>
      </c>
      <c r="D70" s="7" t="s">
        <v>52</v>
      </c>
      <c r="E70" s="7" t="s">
        <v>49</v>
      </c>
      <c r="F70" s="7" t="s">
        <v>88</v>
      </c>
      <c r="G70" s="7"/>
      <c r="H70" s="7" t="s">
        <v>43</v>
      </c>
      <c r="I70" s="11">
        <v>2</v>
      </c>
      <c r="J70" s="11">
        <v>3</v>
      </c>
      <c r="K70" s="11">
        <v>0</v>
      </c>
      <c r="L70" s="11">
        <v>1.75</v>
      </c>
      <c r="M70" s="11">
        <v>0.67</v>
      </c>
      <c r="N70" s="11">
        <v>0</v>
      </c>
      <c r="O70" s="11">
        <v>0</v>
      </c>
      <c r="P70" s="11">
        <v>2.66</v>
      </c>
      <c r="Q70" s="11">
        <v>5.079999999999999</v>
      </c>
      <c r="R70" s="11">
        <v>57.55999999999999</v>
      </c>
      <c r="S70" s="11">
        <v>62.63999999999999</v>
      </c>
      <c r="T70" s="11">
        <v>2</v>
      </c>
      <c r="U70" s="11">
        <v>3</v>
      </c>
      <c r="V70" s="11">
        <v>57.63999999999999</v>
      </c>
      <c r="W70" s="13">
        <v>16</v>
      </c>
      <c r="X70" s="13">
        <v>24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184</v>
      </c>
      <c r="C71" s="10" t="s">
        <v>185</v>
      </c>
      <c r="D71" s="7" t="s">
        <v>40</v>
      </c>
      <c r="E71" s="7" t="s">
        <v>92</v>
      </c>
      <c r="F71" s="7" t="s">
        <v>88</v>
      </c>
      <c r="G71" s="7"/>
      <c r="H71" s="7" t="s">
        <v>89</v>
      </c>
      <c r="I71" s="11">
        <v>2</v>
      </c>
      <c r="J71" s="11">
        <v>3</v>
      </c>
      <c r="K71" s="11">
        <v>0.95</v>
      </c>
      <c r="L71" s="11">
        <v>4.809999999999998</v>
      </c>
      <c r="M71" s="11">
        <v>1.33</v>
      </c>
      <c r="N71" s="11">
        <v>0</v>
      </c>
      <c r="O71" s="11">
        <v>1.18</v>
      </c>
      <c r="P71" s="11">
        <v>0.34</v>
      </c>
      <c r="Q71" s="11">
        <v>8.609999999999999</v>
      </c>
      <c r="R71" s="11">
        <v>59.73999999999999</v>
      </c>
      <c r="S71" s="11">
        <v>68.34999999999999</v>
      </c>
      <c r="T71" s="11">
        <v>2</v>
      </c>
      <c r="U71" s="11">
        <v>3</v>
      </c>
      <c r="V71" s="11">
        <v>63.34999999999999</v>
      </c>
      <c r="W71" s="13">
        <v>16</v>
      </c>
      <c r="X71" s="13">
        <v>24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186</v>
      </c>
      <c r="C72" s="10" t="s">
        <v>187</v>
      </c>
      <c r="D72" s="7" t="s">
        <v>48</v>
      </c>
      <c r="E72" s="7" t="s">
        <v>97</v>
      </c>
      <c r="F72" s="7" t="s">
        <v>88</v>
      </c>
      <c r="G72" s="7"/>
      <c r="H72" s="7" t="s">
        <v>43</v>
      </c>
      <c r="I72" s="11">
        <v>2</v>
      </c>
      <c r="J72" s="11">
        <v>3</v>
      </c>
      <c r="K72" s="11">
        <v>0</v>
      </c>
      <c r="L72" s="11">
        <v>2.839999999999999</v>
      </c>
      <c r="M72" s="11">
        <v>0</v>
      </c>
      <c r="N72" s="11">
        <v>0</v>
      </c>
      <c r="O72" s="11">
        <v>0</v>
      </c>
      <c r="P72" s="11">
        <v>0</v>
      </c>
      <c r="Q72" s="11">
        <v>2.839999999999999</v>
      </c>
      <c r="R72" s="11">
        <v>34.77</v>
      </c>
      <c r="S72" s="11">
        <v>37.61</v>
      </c>
      <c r="T72" s="11">
        <v>2</v>
      </c>
      <c r="U72" s="11">
        <v>3</v>
      </c>
      <c r="V72" s="11">
        <v>32.61</v>
      </c>
      <c r="W72" s="13">
        <v>16</v>
      </c>
      <c r="X72" s="13">
        <v>24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188</v>
      </c>
      <c r="C73" s="10" t="s">
        <v>189</v>
      </c>
      <c r="D73" s="7" t="s">
        <v>48</v>
      </c>
      <c r="E73" s="7" t="s">
        <v>97</v>
      </c>
      <c r="F73" s="7" t="s">
        <v>88</v>
      </c>
      <c r="G73" s="7"/>
      <c r="H73" s="7" t="s">
        <v>43</v>
      </c>
      <c r="I73" s="11">
        <v>2</v>
      </c>
      <c r="J73" s="11">
        <v>3</v>
      </c>
      <c r="K73" s="11">
        <v>0</v>
      </c>
      <c r="L73" s="11">
        <v>2.45</v>
      </c>
      <c r="M73" s="11">
        <v>0.67</v>
      </c>
      <c r="N73" s="11">
        <v>0</v>
      </c>
      <c r="O73" s="11">
        <v>0</v>
      </c>
      <c r="P73" s="11">
        <v>1.63</v>
      </c>
      <c r="Q73" s="11">
        <v>4.749999999999999</v>
      </c>
      <c r="R73" s="11">
        <v>45.48999999999999</v>
      </c>
      <c r="S73" s="11">
        <v>50.23999999999999</v>
      </c>
      <c r="T73" s="11">
        <v>2</v>
      </c>
      <c r="U73" s="11">
        <v>3</v>
      </c>
      <c r="V73" s="11">
        <v>45.23999999999999</v>
      </c>
      <c r="W73" s="13">
        <v>16</v>
      </c>
      <c r="X73" s="13">
        <v>24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190</v>
      </c>
      <c r="C74" s="10" t="s">
        <v>191</v>
      </c>
      <c r="D74" s="7" t="s">
        <v>40</v>
      </c>
      <c r="E74" s="7" t="s">
        <v>97</v>
      </c>
      <c r="F74" s="7" t="s">
        <v>88</v>
      </c>
      <c r="G74" s="7"/>
      <c r="H74" s="7" t="s">
        <v>43</v>
      </c>
      <c r="I74" s="11">
        <v>2</v>
      </c>
      <c r="J74" s="11">
        <v>3</v>
      </c>
      <c r="K74" s="11">
        <v>0</v>
      </c>
      <c r="L74" s="11">
        <v>3</v>
      </c>
      <c r="M74" s="11">
        <v>1.5</v>
      </c>
      <c r="N74" s="11">
        <v>0</v>
      </c>
      <c r="O74" s="11">
        <v>0.7000000000000001</v>
      </c>
      <c r="P74" s="11">
        <v>1.63</v>
      </c>
      <c r="Q74" s="11">
        <v>6.829999999999999</v>
      </c>
      <c r="R74" s="11">
        <v>55.60999999999999</v>
      </c>
      <c r="S74" s="11">
        <v>62.43999999999999</v>
      </c>
      <c r="T74" s="11">
        <v>2</v>
      </c>
      <c r="U74" s="11">
        <v>3</v>
      </c>
      <c r="V74" s="11">
        <v>57.43999999999999</v>
      </c>
      <c r="W74" s="13">
        <v>16</v>
      </c>
      <c r="X74" s="13">
        <v>24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192</v>
      </c>
      <c r="C75" s="10" t="s">
        <v>193</v>
      </c>
      <c r="D75" s="7" t="s">
        <v>40</v>
      </c>
      <c r="E75" s="7" t="s">
        <v>97</v>
      </c>
      <c r="F75" s="7" t="s">
        <v>88</v>
      </c>
      <c r="G75" s="7"/>
      <c r="H75" s="7" t="s">
        <v>43</v>
      </c>
      <c r="I75" s="11">
        <v>2</v>
      </c>
      <c r="J75" s="11">
        <v>3</v>
      </c>
      <c r="K75" s="11">
        <v>0</v>
      </c>
      <c r="L75" s="11">
        <v>2.79</v>
      </c>
      <c r="M75" s="11">
        <v>0.83</v>
      </c>
      <c r="N75" s="11">
        <v>0</v>
      </c>
      <c r="O75" s="11">
        <v>1.06</v>
      </c>
      <c r="P75" s="11">
        <v>0.83</v>
      </c>
      <c r="Q75" s="11">
        <v>5.509999999999998</v>
      </c>
      <c r="R75" s="11">
        <v>45.24999999999999</v>
      </c>
      <c r="S75" s="11">
        <v>50.75999999999999</v>
      </c>
      <c r="T75" s="11">
        <v>2</v>
      </c>
      <c r="U75" s="11">
        <v>3</v>
      </c>
      <c r="V75" s="11">
        <v>45.75999999999999</v>
      </c>
      <c r="W75" s="13">
        <v>16</v>
      </c>
      <c r="X75" s="13">
        <v>24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194</v>
      </c>
      <c r="C76" s="10" t="s">
        <v>195</v>
      </c>
      <c r="D76" s="7" t="s">
        <v>126</v>
      </c>
      <c r="E76" s="7" t="s">
        <v>97</v>
      </c>
      <c r="F76" s="7" t="s">
        <v>88</v>
      </c>
      <c r="G76" s="7"/>
      <c r="H76" s="7" t="s">
        <v>43</v>
      </c>
      <c r="I76" s="11">
        <v>2</v>
      </c>
      <c r="J76" s="11">
        <v>3</v>
      </c>
      <c r="K76" s="11">
        <v>0</v>
      </c>
      <c r="L76" s="11">
        <v>0.68</v>
      </c>
      <c r="M76" s="11">
        <v>0</v>
      </c>
      <c r="N76" s="11">
        <v>0</v>
      </c>
      <c r="O76" s="11">
        <v>0</v>
      </c>
      <c r="P76" s="11">
        <v>0.83</v>
      </c>
      <c r="Q76" s="11">
        <v>1.51</v>
      </c>
      <c r="R76" s="11">
        <v>39.73999999999999</v>
      </c>
      <c r="S76" s="11">
        <v>41.24999999999999</v>
      </c>
      <c r="T76" s="11">
        <v>2</v>
      </c>
      <c r="U76" s="11">
        <v>3</v>
      </c>
      <c r="V76" s="11">
        <v>36.24999999999999</v>
      </c>
      <c r="W76" s="13">
        <v>16</v>
      </c>
      <c r="X76" s="13">
        <v>24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196</v>
      </c>
      <c r="C77" s="10" t="s">
        <v>197</v>
      </c>
      <c r="D77" s="7" t="s">
        <v>48</v>
      </c>
      <c r="E77" s="7" t="s">
        <v>97</v>
      </c>
      <c r="F77" s="7" t="s">
        <v>88</v>
      </c>
      <c r="G77" s="7"/>
      <c r="H77" s="7" t="s">
        <v>43</v>
      </c>
      <c r="I77" s="11">
        <v>2</v>
      </c>
      <c r="J77" s="11">
        <v>3</v>
      </c>
      <c r="K77" s="11">
        <v>0</v>
      </c>
      <c r="L77" s="11">
        <v>3.009999999999999</v>
      </c>
      <c r="M77" s="11">
        <v>1.41</v>
      </c>
      <c r="N77" s="11">
        <v>0</v>
      </c>
      <c r="O77" s="11">
        <v>0.48</v>
      </c>
      <c r="P77" s="11">
        <v>0</v>
      </c>
      <c r="Q77" s="11">
        <v>4.9</v>
      </c>
      <c r="R77" s="11">
        <v>58.73999999999997</v>
      </c>
      <c r="S77" s="11">
        <v>63.63999999999997</v>
      </c>
      <c r="T77" s="11">
        <v>2</v>
      </c>
      <c r="U77" s="11">
        <v>3</v>
      </c>
      <c r="V77" s="11">
        <v>58.63999999999997</v>
      </c>
      <c r="W77" s="13">
        <v>16</v>
      </c>
      <c r="X77" s="13">
        <v>24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198</v>
      </c>
      <c r="C78" s="10" t="s">
        <v>199</v>
      </c>
      <c r="D78" s="7" t="s">
        <v>57</v>
      </c>
      <c r="E78" s="7" t="s">
        <v>49</v>
      </c>
      <c r="F78" s="7" t="s">
        <v>88</v>
      </c>
      <c r="G78" s="7"/>
      <c r="H78" s="7" t="s">
        <v>43</v>
      </c>
      <c r="I78" s="11">
        <v>2</v>
      </c>
      <c r="J78" s="11">
        <v>3</v>
      </c>
      <c r="K78" s="11">
        <v>0</v>
      </c>
      <c r="L78" s="11">
        <v>2.04</v>
      </c>
      <c r="M78" s="11">
        <v>0.8400000000000001</v>
      </c>
      <c r="N78" s="11">
        <v>0</v>
      </c>
      <c r="O78" s="11">
        <v>0</v>
      </c>
      <c r="P78" s="11">
        <v>0.83</v>
      </c>
      <c r="Q78" s="11">
        <v>3.71</v>
      </c>
      <c r="R78" s="11">
        <v>46.58999999999999</v>
      </c>
      <c r="S78" s="11">
        <v>50.29999999999999</v>
      </c>
      <c r="T78" s="11">
        <v>2</v>
      </c>
      <c r="U78" s="11">
        <v>3</v>
      </c>
      <c r="V78" s="11">
        <v>45.29999999999999</v>
      </c>
      <c r="W78" s="13">
        <v>16</v>
      </c>
      <c r="X78" s="13">
        <v>24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200</v>
      </c>
      <c r="C79" s="10" t="s">
        <v>201</v>
      </c>
      <c r="D79" s="7" t="s">
        <v>40</v>
      </c>
      <c r="E79" s="7" t="s">
        <v>202</v>
      </c>
      <c r="F79" s="7" t="s">
        <v>203</v>
      </c>
      <c r="G79" s="7"/>
      <c r="H79" s="7" t="s">
        <v>43</v>
      </c>
      <c r="I79" s="11">
        <v>2</v>
      </c>
      <c r="J79" s="11">
        <v>3</v>
      </c>
      <c r="K79" s="11">
        <v>0</v>
      </c>
      <c r="L79" s="11">
        <v>3.180000000000001</v>
      </c>
      <c r="M79" s="11">
        <v>1.33</v>
      </c>
      <c r="N79" s="11">
        <v>0</v>
      </c>
      <c r="O79" s="11">
        <v>0.7400000000000001</v>
      </c>
      <c r="P79" s="11">
        <v>0</v>
      </c>
      <c r="Q79" s="11">
        <v>5.25</v>
      </c>
      <c r="R79" s="11">
        <v>42.31</v>
      </c>
      <c r="S79" s="11">
        <v>47.56</v>
      </c>
      <c r="T79" s="11">
        <v>2</v>
      </c>
      <c r="U79" s="11">
        <v>3</v>
      </c>
      <c r="V79" s="11">
        <v>42.56</v>
      </c>
      <c r="W79" s="13">
        <v>16</v>
      </c>
      <c r="X79" s="13">
        <v>24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204</v>
      </c>
      <c r="C80" s="10" t="s">
        <v>205</v>
      </c>
      <c r="D80" s="7" t="s">
        <v>52</v>
      </c>
      <c r="E80" s="7" t="s">
        <v>206</v>
      </c>
      <c r="F80" s="7" t="s">
        <v>203</v>
      </c>
      <c r="G80" s="7"/>
      <c r="H80" s="7" t="s">
        <v>43</v>
      </c>
      <c r="I80" s="11">
        <v>2</v>
      </c>
      <c r="J80" s="11">
        <v>3</v>
      </c>
      <c r="K80" s="11">
        <v>0</v>
      </c>
      <c r="L80" s="11">
        <v>1.42</v>
      </c>
      <c r="M80" s="11">
        <v>0</v>
      </c>
      <c r="N80" s="11">
        <v>0</v>
      </c>
      <c r="O80" s="11">
        <v>0</v>
      </c>
      <c r="P80" s="11">
        <v>0</v>
      </c>
      <c r="Q80" s="11">
        <v>1.42</v>
      </c>
      <c r="R80" s="11">
        <v>36.48999999999999</v>
      </c>
      <c r="S80" s="11">
        <v>37.90999999999999</v>
      </c>
      <c r="T80" s="11">
        <v>2</v>
      </c>
      <c r="U80" s="11">
        <v>3</v>
      </c>
      <c r="V80" s="11">
        <v>32.90999999999999</v>
      </c>
      <c r="W80" s="13">
        <v>16</v>
      </c>
      <c r="X80" s="13">
        <v>24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207</v>
      </c>
      <c r="C81" s="10" t="s">
        <v>208</v>
      </c>
      <c r="D81" s="7" t="s">
        <v>57</v>
      </c>
      <c r="E81" s="7" t="s">
        <v>202</v>
      </c>
      <c r="F81" s="7" t="s">
        <v>203</v>
      </c>
      <c r="G81" s="7"/>
      <c r="H81" s="7" t="s">
        <v>43</v>
      </c>
      <c r="I81" s="11">
        <v>2</v>
      </c>
      <c r="J81" s="11">
        <v>3</v>
      </c>
      <c r="K81" s="11">
        <v>0</v>
      </c>
      <c r="L81" s="11">
        <v>4.089999999999999</v>
      </c>
      <c r="M81" s="11">
        <v>0</v>
      </c>
      <c r="N81" s="11">
        <v>0</v>
      </c>
      <c r="O81" s="11">
        <v>0</v>
      </c>
      <c r="P81" s="11">
        <v>0.83</v>
      </c>
      <c r="Q81" s="11">
        <v>4.919999999999999</v>
      </c>
      <c r="R81" s="11">
        <v>59.84999999999998</v>
      </c>
      <c r="S81" s="11">
        <v>64.76999999999998</v>
      </c>
      <c r="T81" s="11">
        <v>2</v>
      </c>
      <c r="U81" s="11">
        <v>3</v>
      </c>
      <c r="V81" s="11">
        <v>59.76999999999998</v>
      </c>
      <c r="W81" s="13">
        <v>16</v>
      </c>
      <c r="X81" s="13">
        <v>24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209</v>
      </c>
      <c r="C82" s="10" t="s">
        <v>210</v>
      </c>
      <c r="D82" s="7" t="s">
        <v>52</v>
      </c>
      <c r="E82" s="7" t="s">
        <v>202</v>
      </c>
      <c r="F82" s="7" t="s">
        <v>203</v>
      </c>
      <c r="G82" s="7"/>
      <c r="H82" s="7" t="s">
        <v>43</v>
      </c>
      <c r="I82" s="11">
        <v>2</v>
      </c>
      <c r="J82" s="11">
        <v>3</v>
      </c>
      <c r="K82" s="11">
        <v>0</v>
      </c>
      <c r="L82" s="11">
        <v>0.34</v>
      </c>
      <c r="M82" s="11">
        <v>0.8300000000000001</v>
      </c>
      <c r="N82" s="11">
        <v>0</v>
      </c>
      <c r="O82" s="11">
        <v>0</v>
      </c>
      <c r="P82" s="11">
        <v>0.83</v>
      </c>
      <c r="Q82" s="11">
        <v>2</v>
      </c>
      <c r="R82" s="11">
        <v>31.42</v>
      </c>
      <c r="S82" s="11">
        <v>33.42</v>
      </c>
      <c r="T82" s="11">
        <v>2</v>
      </c>
      <c r="U82" s="11">
        <v>3</v>
      </c>
      <c r="V82" s="11">
        <v>28.42</v>
      </c>
      <c r="W82" s="13">
        <v>16</v>
      </c>
      <c r="X82" s="13">
        <v>24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211</v>
      </c>
      <c r="C83" s="10" t="s">
        <v>212</v>
      </c>
      <c r="D83" s="7" t="s">
        <v>126</v>
      </c>
      <c r="E83" s="7" t="s">
        <v>206</v>
      </c>
      <c r="F83" s="7" t="s">
        <v>203</v>
      </c>
      <c r="G83" s="7"/>
      <c r="H83" s="7" t="s">
        <v>43</v>
      </c>
      <c r="I83" s="11">
        <v>2</v>
      </c>
      <c r="J83" s="11">
        <v>3</v>
      </c>
      <c r="K83" s="11">
        <v>0</v>
      </c>
      <c r="L83" s="11">
        <v>1.19</v>
      </c>
      <c r="M83" s="11">
        <v>0</v>
      </c>
      <c r="N83" s="11">
        <v>0</v>
      </c>
      <c r="O83" s="11">
        <v>0</v>
      </c>
      <c r="P83" s="11">
        <v>0.83</v>
      </c>
      <c r="Q83" s="11">
        <v>2.02</v>
      </c>
      <c r="R83" s="11">
        <v>45.71999999999999</v>
      </c>
      <c r="S83" s="11">
        <v>47.73999999999999</v>
      </c>
      <c r="T83" s="11">
        <v>2</v>
      </c>
      <c r="U83" s="11">
        <v>3</v>
      </c>
      <c r="V83" s="11">
        <v>42.73999999999999</v>
      </c>
      <c r="W83" s="13">
        <v>16</v>
      </c>
      <c r="X83" s="13">
        <v>24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213</v>
      </c>
      <c r="C84" s="10" t="s">
        <v>214</v>
      </c>
      <c r="D84" s="7" t="s">
        <v>63</v>
      </c>
      <c r="E84" s="7" t="s">
        <v>202</v>
      </c>
      <c r="F84" s="7" t="s">
        <v>203</v>
      </c>
      <c r="G84" s="7"/>
      <c r="H84" s="7" t="s">
        <v>43</v>
      </c>
      <c r="I84" s="11">
        <v>2</v>
      </c>
      <c r="J84" s="11">
        <v>3</v>
      </c>
      <c r="K84" s="11">
        <v>0</v>
      </c>
      <c r="L84" s="11">
        <v>2.969999999999999</v>
      </c>
      <c r="M84" s="11">
        <v>1.16</v>
      </c>
      <c r="N84" s="11">
        <v>0</v>
      </c>
      <c r="O84" s="11">
        <v>0</v>
      </c>
      <c r="P84" s="11">
        <v>0.1</v>
      </c>
      <c r="Q84" s="11">
        <v>4.23</v>
      </c>
      <c r="R84" s="11">
        <v>56.41999999999999</v>
      </c>
      <c r="S84" s="11">
        <v>60.64999999999998</v>
      </c>
      <c r="T84" s="11">
        <v>2</v>
      </c>
      <c r="U84" s="11">
        <v>3</v>
      </c>
      <c r="V84" s="11">
        <v>55.64999999999998</v>
      </c>
      <c r="W84" s="13">
        <v>16</v>
      </c>
      <c r="X84" s="13">
        <v>24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215</v>
      </c>
      <c r="C85" s="10" t="s">
        <v>216</v>
      </c>
      <c r="D85" s="7" t="s">
        <v>63</v>
      </c>
      <c r="E85" s="7" t="s">
        <v>202</v>
      </c>
      <c r="F85" s="7" t="s">
        <v>203</v>
      </c>
      <c r="G85" s="7"/>
      <c r="H85" s="7" t="s">
        <v>43</v>
      </c>
      <c r="I85" s="11">
        <v>2</v>
      </c>
      <c r="J85" s="11">
        <v>3</v>
      </c>
      <c r="K85" s="11">
        <v>0</v>
      </c>
      <c r="L85" s="11">
        <v>2.399999999999999</v>
      </c>
      <c r="M85" s="11">
        <v>0.66</v>
      </c>
      <c r="N85" s="11">
        <v>0</v>
      </c>
      <c r="O85" s="11">
        <v>0</v>
      </c>
      <c r="P85" s="11">
        <v>1.66</v>
      </c>
      <c r="Q85" s="11">
        <v>4.719999999999999</v>
      </c>
      <c r="R85" s="11">
        <v>58.55999999999997</v>
      </c>
      <c r="S85" s="11">
        <v>63.27999999999997</v>
      </c>
      <c r="T85" s="11">
        <v>2</v>
      </c>
      <c r="U85" s="11">
        <v>3</v>
      </c>
      <c r="V85" s="11">
        <v>58.27999999999997</v>
      </c>
      <c r="W85" s="13">
        <v>16</v>
      </c>
      <c r="X85" s="13">
        <v>24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217</v>
      </c>
      <c r="C86" s="10" t="s">
        <v>218</v>
      </c>
      <c r="D86" s="7" t="s">
        <v>52</v>
      </c>
      <c r="E86" s="7" t="s">
        <v>206</v>
      </c>
      <c r="F86" s="7" t="s">
        <v>203</v>
      </c>
      <c r="G86" s="7"/>
      <c r="H86" s="7" t="s">
        <v>43</v>
      </c>
      <c r="I86" s="11">
        <v>2</v>
      </c>
      <c r="J86" s="11">
        <v>3</v>
      </c>
      <c r="K86" s="11">
        <v>0</v>
      </c>
      <c r="L86" s="11">
        <v>1.44</v>
      </c>
      <c r="M86" s="11">
        <v>1.5</v>
      </c>
      <c r="N86" s="11">
        <v>0</v>
      </c>
      <c r="O86" s="11">
        <v>0</v>
      </c>
      <c r="P86" s="11">
        <v>0</v>
      </c>
      <c r="Q86" s="11">
        <v>2.94</v>
      </c>
      <c r="R86" s="11">
        <v>28.53</v>
      </c>
      <c r="S86" s="11">
        <v>31.47</v>
      </c>
      <c r="T86" s="11">
        <v>2</v>
      </c>
      <c r="U86" s="11">
        <v>3</v>
      </c>
      <c r="V86" s="11">
        <v>26.47</v>
      </c>
      <c r="W86" s="13">
        <v>16</v>
      </c>
      <c r="X86" s="13">
        <v>24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219</v>
      </c>
      <c r="C87" s="10" t="s">
        <v>220</v>
      </c>
      <c r="D87" s="7" t="s">
        <v>63</v>
      </c>
      <c r="E87" s="7" t="s">
        <v>221</v>
      </c>
      <c r="F87" s="7" t="s">
        <v>203</v>
      </c>
      <c r="G87" s="7"/>
      <c r="H87" s="7" t="s">
        <v>89</v>
      </c>
      <c r="I87" s="11">
        <v>2</v>
      </c>
      <c r="J87" s="11">
        <v>3</v>
      </c>
      <c r="K87" s="11">
        <v>0.95</v>
      </c>
      <c r="L87" s="11">
        <v>1.19</v>
      </c>
      <c r="M87" s="11">
        <v>0.41</v>
      </c>
      <c r="N87" s="11">
        <v>0</v>
      </c>
      <c r="O87" s="11">
        <v>0.27</v>
      </c>
      <c r="P87" s="11">
        <v>0.17</v>
      </c>
      <c r="Q87" s="11">
        <v>2.99</v>
      </c>
      <c r="R87" s="11">
        <v>34.78</v>
      </c>
      <c r="S87" s="11">
        <v>37.77</v>
      </c>
      <c r="T87" s="11">
        <v>2</v>
      </c>
      <c r="U87" s="11">
        <v>3</v>
      </c>
      <c r="V87" s="11">
        <v>32.77</v>
      </c>
      <c r="W87" s="13">
        <v>16</v>
      </c>
      <c r="X87" s="13">
        <v>24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222</v>
      </c>
      <c r="C88" s="10" t="s">
        <v>223</v>
      </c>
      <c r="D88" s="7" t="s">
        <v>57</v>
      </c>
      <c r="E88" s="7" t="s">
        <v>206</v>
      </c>
      <c r="F88" s="7" t="s">
        <v>203</v>
      </c>
      <c r="G88" s="7"/>
      <c r="H88" s="7" t="s">
        <v>43</v>
      </c>
      <c r="I88" s="11">
        <v>2</v>
      </c>
      <c r="J88" s="11">
        <v>3</v>
      </c>
      <c r="K88" s="11">
        <v>0</v>
      </c>
      <c r="L88" s="11">
        <v>2.21</v>
      </c>
      <c r="M88" s="11">
        <v>0.33</v>
      </c>
      <c r="N88" s="11">
        <v>0</v>
      </c>
      <c r="O88" s="11">
        <v>0</v>
      </c>
      <c r="P88" s="11">
        <v>0.83</v>
      </c>
      <c r="Q88" s="11">
        <v>3.37</v>
      </c>
      <c r="R88" s="11">
        <v>49.54999999999998</v>
      </c>
      <c r="S88" s="11">
        <v>52.91999999999998</v>
      </c>
      <c r="T88" s="11">
        <v>2</v>
      </c>
      <c r="U88" s="11">
        <v>3</v>
      </c>
      <c r="V88" s="11">
        <v>47.91999999999998</v>
      </c>
      <c r="W88" s="13">
        <v>16</v>
      </c>
      <c r="X88" s="13">
        <v>24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224</v>
      </c>
      <c r="C89" s="10" t="s">
        <v>225</v>
      </c>
      <c r="D89" s="7" t="s">
        <v>57</v>
      </c>
      <c r="E89" s="7" t="s">
        <v>202</v>
      </c>
      <c r="F89" s="7" t="s">
        <v>203</v>
      </c>
      <c r="G89" s="7"/>
      <c r="H89" s="7" t="s">
        <v>43</v>
      </c>
      <c r="I89" s="11">
        <v>2</v>
      </c>
      <c r="J89" s="11">
        <v>3</v>
      </c>
      <c r="K89" s="11">
        <v>0</v>
      </c>
      <c r="L89" s="11">
        <v>1.76</v>
      </c>
      <c r="M89" s="11">
        <v>0.17</v>
      </c>
      <c r="N89" s="11">
        <v>0</v>
      </c>
      <c r="O89" s="11">
        <v>0</v>
      </c>
      <c r="P89" s="11">
        <v>0</v>
      </c>
      <c r="Q89" s="11">
        <v>1.93</v>
      </c>
      <c r="R89" s="11">
        <v>38.55</v>
      </c>
      <c r="S89" s="11">
        <v>40.48</v>
      </c>
      <c r="T89" s="11">
        <v>2</v>
      </c>
      <c r="U89" s="11">
        <v>3</v>
      </c>
      <c r="V89" s="11">
        <v>35.48</v>
      </c>
      <c r="W89" s="13">
        <v>16</v>
      </c>
      <c r="X89" s="13">
        <v>24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226</v>
      </c>
      <c r="C90" s="10" t="s">
        <v>227</v>
      </c>
      <c r="D90" s="7" t="s">
        <v>52</v>
      </c>
      <c r="E90" s="7" t="s">
        <v>202</v>
      </c>
      <c r="F90" s="7" t="s">
        <v>203</v>
      </c>
      <c r="G90" s="7"/>
      <c r="H90" s="7" t="s">
        <v>43</v>
      </c>
      <c r="I90" s="11">
        <v>2</v>
      </c>
      <c r="J90" s="11">
        <v>3</v>
      </c>
      <c r="K90" s="11">
        <v>0</v>
      </c>
      <c r="L90" s="11">
        <v>1.37</v>
      </c>
      <c r="M90" s="11">
        <v>1</v>
      </c>
      <c r="N90" s="11">
        <v>0</v>
      </c>
      <c r="O90" s="11">
        <v>0</v>
      </c>
      <c r="P90" s="11">
        <v>0</v>
      </c>
      <c r="Q90" s="11">
        <v>2.37</v>
      </c>
      <c r="R90" s="11">
        <v>33.72</v>
      </c>
      <c r="S90" s="11">
        <v>36.09</v>
      </c>
      <c r="T90" s="11">
        <v>2</v>
      </c>
      <c r="U90" s="11">
        <v>3</v>
      </c>
      <c r="V90" s="11">
        <v>31.09</v>
      </c>
      <c r="W90" s="13">
        <v>16</v>
      </c>
      <c r="X90" s="13">
        <v>24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228</v>
      </c>
      <c r="C91" s="10" t="s">
        <v>229</v>
      </c>
      <c r="D91" s="7" t="s">
        <v>48</v>
      </c>
      <c r="E91" s="7" t="s">
        <v>97</v>
      </c>
      <c r="F91" s="7" t="s">
        <v>230</v>
      </c>
      <c r="G91" s="7"/>
      <c r="H91" s="7" t="s">
        <v>43</v>
      </c>
      <c r="I91" s="11">
        <v>2</v>
      </c>
      <c r="J91" s="11">
        <v>3</v>
      </c>
      <c r="K91" s="11">
        <v>0</v>
      </c>
      <c r="L91" s="11">
        <v>2.33</v>
      </c>
      <c r="M91" s="11">
        <v>0.17</v>
      </c>
      <c r="N91" s="11">
        <v>0</v>
      </c>
      <c r="O91" s="11">
        <v>0</v>
      </c>
      <c r="P91" s="11">
        <v>0</v>
      </c>
      <c r="Q91" s="11">
        <v>2.5</v>
      </c>
      <c r="R91" s="11">
        <v>29.32</v>
      </c>
      <c r="S91" s="11">
        <v>31.82</v>
      </c>
      <c r="T91" s="11">
        <v>2</v>
      </c>
      <c r="U91" s="11">
        <v>3</v>
      </c>
      <c r="V91" s="11">
        <v>26.82</v>
      </c>
      <c r="W91" s="13">
        <v>16</v>
      </c>
      <c r="X91" s="13">
        <v>24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231</v>
      </c>
      <c r="C92" s="10" t="s">
        <v>232</v>
      </c>
      <c r="D92" s="7" t="s">
        <v>126</v>
      </c>
      <c r="E92" s="7" t="s">
        <v>206</v>
      </c>
      <c r="F92" s="7" t="s">
        <v>203</v>
      </c>
      <c r="G92" s="7"/>
      <c r="H92" s="7" t="s">
        <v>233</v>
      </c>
      <c r="I92" s="11">
        <v>2</v>
      </c>
      <c r="J92" s="11">
        <v>3</v>
      </c>
      <c r="K92" s="11">
        <v>1</v>
      </c>
      <c r="L92" s="11">
        <v>0.34</v>
      </c>
      <c r="M92" s="11">
        <v>0</v>
      </c>
      <c r="N92" s="11">
        <v>0</v>
      </c>
      <c r="O92" s="11">
        <v>0</v>
      </c>
      <c r="P92" s="11">
        <v>0</v>
      </c>
      <c r="Q92" s="11">
        <v>1.34</v>
      </c>
      <c r="R92" s="11">
        <v>49.41999999999999</v>
      </c>
      <c r="S92" s="11">
        <v>50.76</v>
      </c>
      <c r="T92" s="11">
        <v>2</v>
      </c>
      <c r="U92" s="11">
        <v>3</v>
      </c>
      <c r="V92" s="11">
        <v>45.76</v>
      </c>
      <c r="W92" s="13">
        <v>16</v>
      </c>
      <c r="X92" s="13">
        <v>24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234</v>
      </c>
      <c r="C93" s="10" t="s">
        <v>235</v>
      </c>
      <c r="D93" s="7" t="s">
        <v>126</v>
      </c>
      <c r="E93" s="7" t="s">
        <v>206</v>
      </c>
      <c r="F93" s="7" t="s">
        <v>203</v>
      </c>
      <c r="G93" s="7"/>
      <c r="H93" s="7" t="s">
        <v>43</v>
      </c>
      <c r="I93" s="11">
        <v>2</v>
      </c>
      <c r="J93" s="11">
        <v>3</v>
      </c>
      <c r="K93" s="11">
        <v>0</v>
      </c>
      <c r="L93" s="11">
        <v>0.34</v>
      </c>
      <c r="M93" s="11">
        <v>0</v>
      </c>
      <c r="N93" s="11">
        <v>0</v>
      </c>
      <c r="O93" s="11">
        <v>0</v>
      </c>
      <c r="P93" s="11">
        <v>0</v>
      </c>
      <c r="Q93" s="11">
        <v>0.34</v>
      </c>
      <c r="R93" s="11">
        <v>32.68</v>
      </c>
      <c r="S93" s="11">
        <v>33.02</v>
      </c>
      <c r="T93" s="11">
        <v>2</v>
      </c>
      <c r="U93" s="11">
        <v>3</v>
      </c>
      <c r="V93" s="11">
        <v>28.02</v>
      </c>
      <c r="W93" s="13">
        <v>16</v>
      </c>
      <c r="X93" s="13">
        <v>24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236</v>
      </c>
      <c r="C94" s="10" t="s">
        <v>237</v>
      </c>
      <c r="D94" s="7" t="s">
        <v>48</v>
      </c>
      <c r="E94" s="7" t="s">
        <v>206</v>
      </c>
      <c r="F94" s="7" t="s">
        <v>203</v>
      </c>
      <c r="G94" s="7"/>
      <c r="H94" s="7" t="s">
        <v>233</v>
      </c>
      <c r="I94" s="11">
        <v>2</v>
      </c>
      <c r="J94" s="11">
        <v>3</v>
      </c>
      <c r="K94" s="11">
        <v>1</v>
      </c>
      <c r="L94" s="11">
        <v>2.16</v>
      </c>
      <c r="M94" s="11">
        <v>0.33</v>
      </c>
      <c r="N94" s="11">
        <v>0</v>
      </c>
      <c r="O94" s="11">
        <v>0.6</v>
      </c>
      <c r="P94" s="11">
        <v>0</v>
      </c>
      <c r="Q94" s="11">
        <v>4.09</v>
      </c>
      <c r="R94" s="11">
        <v>43.41</v>
      </c>
      <c r="S94" s="11">
        <v>47.5</v>
      </c>
      <c r="T94" s="11">
        <v>2</v>
      </c>
      <c r="U94" s="11">
        <v>3</v>
      </c>
      <c r="V94" s="11">
        <v>42.5</v>
      </c>
      <c r="W94" s="13">
        <v>16</v>
      </c>
      <c r="X94" s="13">
        <v>24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238</v>
      </c>
      <c r="C95" s="10" t="s">
        <v>239</v>
      </c>
      <c r="D95" s="7" t="s">
        <v>63</v>
      </c>
      <c r="E95" s="7" t="s">
        <v>206</v>
      </c>
      <c r="F95" s="7" t="s">
        <v>203</v>
      </c>
      <c r="G95" s="7"/>
      <c r="H95" s="7" t="s">
        <v>43</v>
      </c>
      <c r="I95" s="11">
        <v>2</v>
      </c>
      <c r="J95" s="11">
        <v>3</v>
      </c>
      <c r="K95" s="11">
        <v>0</v>
      </c>
      <c r="L95" s="11">
        <v>1.08</v>
      </c>
      <c r="M95" s="11">
        <v>0.33</v>
      </c>
      <c r="N95" s="11">
        <v>0</v>
      </c>
      <c r="O95" s="11">
        <v>0.27</v>
      </c>
      <c r="P95" s="11">
        <v>0</v>
      </c>
      <c r="Q95" s="11">
        <v>1.68</v>
      </c>
      <c r="R95" s="11">
        <v>37.57000000000001</v>
      </c>
      <c r="S95" s="11">
        <v>39.25000000000001</v>
      </c>
      <c r="T95" s="11">
        <v>2</v>
      </c>
      <c r="U95" s="11">
        <v>3</v>
      </c>
      <c r="V95" s="11">
        <v>34.25000000000001</v>
      </c>
      <c r="W95" s="13">
        <v>16</v>
      </c>
      <c r="X95" s="13">
        <v>24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240</v>
      </c>
      <c r="C96" s="10" t="s">
        <v>241</v>
      </c>
      <c r="D96" s="7" t="s">
        <v>63</v>
      </c>
      <c r="E96" s="7" t="s">
        <v>206</v>
      </c>
      <c r="F96" s="7" t="s">
        <v>203</v>
      </c>
      <c r="G96" s="7"/>
      <c r="H96" s="7" t="s">
        <v>43</v>
      </c>
      <c r="I96" s="11">
        <v>2</v>
      </c>
      <c r="J96" s="11">
        <v>3</v>
      </c>
      <c r="K96" s="11">
        <v>0</v>
      </c>
      <c r="L96" s="11">
        <v>2.45</v>
      </c>
      <c r="M96" s="11">
        <v>0.5</v>
      </c>
      <c r="N96" s="11">
        <v>0</v>
      </c>
      <c r="O96" s="11">
        <v>0</v>
      </c>
      <c r="P96" s="11">
        <v>0.8</v>
      </c>
      <c r="Q96" s="11">
        <v>3.75</v>
      </c>
      <c r="R96" s="11">
        <v>47.50999999999998</v>
      </c>
      <c r="S96" s="11">
        <v>51.25999999999998</v>
      </c>
      <c r="T96" s="11">
        <v>2</v>
      </c>
      <c r="U96" s="11">
        <v>3</v>
      </c>
      <c r="V96" s="11">
        <v>46.25999999999998</v>
      </c>
      <c r="W96" s="13">
        <v>16</v>
      </c>
      <c r="X96" s="13">
        <v>24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242</v>
      </c>
      <c r="C97" s="10" t="s">
        <v>243</v>
      </c>
      <c r="D97" s="7" t="s">
        <v>126</v>
      </c>
      <c r="E97" s="7" t="s">
        <v>221</v>
      </c>
      <c r="F97" s="7" t="s">
        <v>203</v>
      </c>
      <c r="G97" s="7"/>
      <c r="H97" s="7" t="s">
        <v>89</v>
      </c>
      <c r="I97" s="11">
        <v>2</v>
      </c>
      <c r="J97" s="11">
        <v>3</v>
      </c>
      <c r="K97" s="11">
        <v>0.95</v>
      </c>
      <c r="L97" s="11">
        <v>0.8500000000000001</v>
      </c>
      <c r="M97" s="11">
        <v>0</v>
      </c>
      <c r="N97" s="11">
        <v>0</v>
      </c>
      <c r="O97" s="11">
        <v>0</v>
      </c>
      <c r="P97" s="11">
        <v>0</v>
      </c>
      <c r="Q97" s="11">
        <v>1.8</v>
      </c>
      <c r="R97" s="11">
        <v>43.82</v>
      </c>
      <c r="S97" s="11">
        <v>45.62</v>
      </c>
      <c r="T97" s="11">
        <v>2</v>
      </c>
      <c r="U97" s="11">
        <v>3</v>
      </c>
      <c r="V97" s="11">
        <v>40.62</v>
      </c>
      <c r="W97" s="13">
        <v>16</v>
      </c>
      <c r="X97" s="13">
        <v>24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244</v>
      </c>
      <c r="C98" s="10" t="s">
        <v>245</v>
      </c>
      <c r="D98" s="7" t="s">
        <v>126</v>
      </c>
      <c r="E98" s="7" t="s">
        <v>202</v>
      </c>
      <c r="F98" s="7" t="s">
        <v>203</v>
      </c>
      <c r="G98" s="7"/>
      <c r="H98" s="7" t="s">
        <v>43</v>
      </c>
      <c r="I98" s="11">
        <v>2</v>
      </c>
      <c r="J98" s="11">
        <v>3</v>
      </c>
      <c r="K98" s="11">
        <v>0</v>
      </c>
      <c r="L98" s="11">
        <v>2.21</v>
      </c>
      <c r="M98" s="11">
        <v>0</v>
      </c>
      <c r="N98" s="11">
        <v>0</v>
      </c>
      <c r="O98" s="11">
        <v>0</v>
      </c>
      <c r="P98" s="11">
        <v>0</v>
      </c>
      <c r="Q98" s="11">
        <v>2.21</v>
      </c>
      <c r="R98" s="11">
        <v>40.70999999999999</v>
      </c>
      <c r="S98" s="11">
        <v>42.91999999999999</v>
      </c>
      <c r="T98" s="11">
        <v>2</v>
      </c>
      <c r="U98" s="11">
        <v>3</v>
      </c>
      <c r="V98" s="11">
        <v>37.91999999999999</v>
      </c>
      <c r="W98" s="13">
        <v>16</v>
      </c>
      <c r="X98" s="13">
        <v>24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246</v>
      </c>
      <c r="C99" s="10" t="s">
        <v>247</v>
      </c>
      <c r="D99" s="7" t="s">
        <v>40</v>
      </c>
      <c r="E99" s="7" t="s">
        <v>202</v>
      </c>
      <c r="F99" s="7" t="s">
        <v>203</v>
      </c>
      <c r="G99" s="7"/>
      <c r="H99" s="7" t="s">
        <v>233</v>
      </c>
      <c r="I99" s="11">
        <v>2</v>
      </c>
      <c r="J99" s="11">
        <v>3</v>
      </c>
      <c r="K99" s="11">
        <v>1</v>
      </c>
      <c r="L99" s="11">
        <v>3.53</v>
      </c>
      <c r="M99" s="11">
        <v>1.58</v>
      </c>
      <c r="N99" s="11">
        <v>0</v>
      </c>
      <c r="O99" s="11">
        <v>1.3</v>
      </c>
      <c r="P99" s="11">
        <v>1.14</v>
      </c>
      <c r="Q99" s="11">
        <v>8.550000000000001</v>
      </c>
      <c r="R99" s="11">
        <v>60.69999999999999</v>
      </c>
      <c r="S99" s="11">
        <v>69.24999999999999</v>
      </c>
      <c r="T99" s="11">
        <v>2</v>
      </c>
      <c r="U99" s="11">
        <v>3</v>
      </c>
      <c r="V99" s="11">
        <v>64.24999999999999</v>
      </c>
      <c r="W99" s="13">
        <v>16</v>
      </c>
      <c r="X99" s="13">
        <v>24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248</v>
      </c>
      <c r="C100" s="10" t="s">
        <v>249</v>
      </c>
      <c r="D100" s="7" t="s">
        <v>57</v>
      </c>
      <c r="E100" s="7" t="s">
        <v>202</v>
      </c>
      <c r="F100" s="7" t="s">
        <v>203</v>
      </c>
      <c r="G100" s="7"/>
      <c r="H100" s="7" t="s">
        <v>43</v>
      </c>
      <c r="I100" s="11">
        <v>2</v>
      </c>
      <c r="J100" s="11">
        <v>3</v>
      </c>
      <c r="K100" s="11">
        <v>0</v>
      </c>
      <c r="L100" s="11">
        <v>2.04</v>
      </c>
      <c r="M100" s="11">
        <v>0</v>
      </c>
      <c r="N100" s="11">
        <v>0</v>
      </c>
      <c r="O100" s="11">
        <v>0</v>
      </c>
      <c r="P100" s="11">
        <v>0</v>
      </c>
      <c r="Q100" s="11">
        <v>2.04</v>
      </c>
      <c r="R100" s="11">
        <v>34.94999999999999</v>
      </c>
      <c r="S100" s="11">
        <v>36.98999999999999</v>
      </c>
      <c r="T100" s="11">
        <v>2</v>
      </c>
      <c r="U100" s="11">
        <v>3</v>
      </c>
      <c r="V100" s="11">
        <v>31.98999999999999</v>
      </c>
      <c r="W100" s="13">
        <v>16</v>
      </c>
      <c r="X100" s="13">
        <v>24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250</v>
      </c>
      <c r="C101" s="10" t="s">
        <v>251</v>
      </c>
      <c r="D101" s="7" t="s">
        <v>57</v>
      </c>
      <c r="E101" s="7" t="s">
        <v>221</v>
      </c>
      <c r="F101" s="7" t="s">
        <v>252</v>
      </c>
      <c r="G101" s="7"/>
      <c r="H101" s="7"/>
      <c r="I101" s="11">
        <v>2</v>
      </c>
      <c r="J101" s="11">
        <v>3</v>
      </c>
      <c r="K101" s="11">
        <v>0</v>
      </c>
      <c r="L101" s="11">
        <v>0</v>
      </c>
      <c r="M101" s="11">
        <v>0.4</v>
      </c>
      <c r="N101" s="11">
        <v>0</v>
      </c>
      <c r="O101" s="11">
        <v>0</v>
      </c>
      <c r="P101" s="11">
        <v>0</v>
      </c>
      <c r="Q101" s="11">
        <v>0.4</v>
      </c>
      <c r="R101" s="11">
        <v>8.369999999999999</v>
      </c>
      <c r="S101" s="11">
        <v>8.77</v>
      </c>
      <c r="T101" s="11">
        <v>2</v>
      </c>
      <c r="U101" s="11">
        <v>3</v>
      </c>
      <c r="V101" s="11">
        <v>3.77</v>
      </c>
      <c r="W101" s="13">
        <v>16</v>
      </c>
      <c r="X101" s="13">
        <v>24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253</v>
      </c>
      <c r="C102" s="10" t="s">
        <v>254</v>
      </c>
      <c r="D102" s="7" t="s">
        <v>48</v>
      </c>
      <c r="E102" s="7" t="s">
        <v>221</v>
      </c>
      <c r="F102" s="7" t="s">
        <v>255</v>
      </c>
      <c r="G102" s="7"/>
      <c r="H102" s="7" t="s">
        <v>43</v>
      </c>
      <c r="I102" s="11">
        <v>2</v>
      </c>
      <c r="J102" s="11">
        <v>3</v>
      </c>
      <c r="K102" s="11">
        <v>0</v>
      </c>
      <c r="L102" s="11">
        <v>0</v>
      </c>
      <c r="M102" s="11">
        <v>0</v>
      </c>
      <c r="N102" s="11">
        <v>0</v>
      </c>
      <c r="O102" s="11">
        <v>0</v>
      </c>
      <c r="P102" s="11">
        <v>0</v>
      </c>
      <c r="Q102" s="11">
        <v>0</v>
      </c>
      <c r="R102" s="11">
        <v>0.18</v>
      </c>
      <c r="S102" s="11">
        <v>0.18</v>
      </c>
      <c r="T102" s="11">
        <v>0.18</v>
      </c>
      <c r="U102" s="11">
        <v>0</v>
      </c>
      <c r="V102" s="11">
        <v>0</v>
      </c>
      <c r="W102" s="13">
        <v>16</v>
      </c>
      <c r="X102" s="13">
        <v>24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256</v>
      </c>
      <c r="C103" s="10" t="s">
        <v>257</v>
      </c>
      <c r="D103" s="7" t="s">
        <v>63</v>
      </c>
      <c r="E103" s="7" t="s">
        <v>221</v>
      </c>
      <c r="F103" s="7" t="s">
        <v>252</v>
      </c>
      <c r="G103" s="7"/>
      <c r="H103" s="7"/>
      <c r="I103" s="11">
        <v>2</v>
      </c>
      <c r="J103" s="11">
        <v>3</v>
      </c>
      <c r="K103" s="11">
        <v>0</v>
      </c>
      <c r="L103" s="11">
        <v>0</v>
      </c>
      <c r="M103" s="11">
        <v>1.24</v>
      </c>
      <c r="N103" s="11">
        <v>0</v>
      </c>
      <c r="O103" s="11">
        <v>0.27</v>
      </c>
      <c r="P103" s="11">
        <v>0</v>
      </c>
      <c r="Q103" s="11">
        <v>1.51</v>
      </c>
      <c r="R103" s="11">
        <v>10.38</v>
      </c>
      <c r="S103" s="11">
        <v>11.89</v>
      </c>
      <c r="T103" s="11">
        <v>2</v>
      </c>
      <c r="U103" s="11">
        <v>3</v>
      </c>
      <c r="V103" s="11">
        <v>6.890000000000001</v>
      </c>
      <c r="W103" s="13">
        <v>16</v>
      </c>
      <c r="X103" s="13">
        <v>24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258</v>
      </c>
      <c r="C104" s="10" t="s">
        <v>259</v>
      </c>
      <c r="D104" s="7" t="s">
        <v>40</v>
      </c>
      <c r="E104" s="7" t="s">
        <v>221</v>
      </c>
      <c r="F104" s="7" t="s">
        <v>260</v>
      </c>
      <c r="G104" s="7"/>
      <c r="H104" s="7" t="s">
        <v>43</v>
      </c>
      <c r="I104" s="11">
        <v>2</v>
      </c>
      <c r="J104" s="11">
        <v>3</v>
      </c>
      <c r="K104" s="11">
        <v>0</v>
      </c>
      <c r="L104" s="11">
        <v>2.73</v>
      </c>
      <c r="M104" s="11">
        <v>0.91</v>
      </c>
      <c r="N104" s="11">
        <v>0</v>
      </c>
      <c r="O104" s="11">
        <v>0.7000000000000001</v>
      </c>
      <c r="P104" s="11">
        <v>0.17</v>
      </c>
      <c r="Q104" s="11">
        <v>4.51</v>
      </c>
      <c r="R104" s="11">
        <v>39.95</v>
      </c>
      <c r="S104" s="11">
        <v>44.45999999999999</v>
      </c>
      <c r="T104" s="11">
        <v>2</v>
      </c>
      <c r="U104" s="11">
        <v>3</v>
      </c>
      <c r="V104" s="11">
        <v>39.45999999999999</v>
      </c>
      <c r="W104" s="13">
        <v>16</v>
      </c>
      <c r="X104" s="13">
        <v>24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261</v>
      </c>
      <c r="C105" s="10" t="s">
        <v>262</v>
      </c>
      <c r="D105" s="7" t="s">
        <v>126</v>
      </c>
      <c r="E105" s="7" t="s">
        <v>221</v>
      </c>
      <c r="F105" s="7" t="s">
        <v>255</v>
      </c>
      <c r="G105" s="7"/>
      <c r="H105" s="7" t="s">
        <v>43</v>
      </c>
      <c r="I105" s="11">
        <v>2</v>
      </c>
      <c r="J105" s="11">
        <v>3</v>
      </c>
      <c r="K105" s="11">
        <v>0</v>
      </c>
      <c r="L105" s="11">
        <v>1.11</v>
      </c>
      <c r="M105" s="11">
        <v>0</v>
      </c>
      <c r="N105" s="11">
        <v>0</v>
      </c>
      <c r="O105" s="11">
        <v>0</v>
      </c>
      <c r="P105" s="11">
        <v>0</v>
      </c>
      <c r="Q105" s="11">
        <v>1.11</v>
      </c>
      <c r="R105" s="11">
        <v>19.39</v>
      </c>
      <c r="S105" s="11">
        <v>20.5</v>
      </c>
      <c r="T105" s="11">
        <v>2</v>
      </c>
      <c r="U105" s="11">
        <v>3</v>
      </c>
      <c r="V105" s="11">
        <v>15.5</v>
      </c>
      <c r="W105" s="13">
        <v>16</v>
      </c>
      <c r="X105" s="13">
        <v>24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263</v>
      </c>
      <c r="C106" s="10" t="s">
        <v>264</v>
      </c>
      <c r="D106" s="7" t="s">
        <v>57</v>
      </c>
      <c r="E106" s="7" t="s">
        <v>97</v>
      </c>
      <c r="F106" s="7" t="s">
        <v>265</v>
      </c>
      <c r="G106" s="7"/>
      <c r="H106" s="7"/>
      <c r="I106" s="11">
        <v>2</v>
      </c>
      <c r="J106" s="11">
        <v>3</v>
      </c>
      <c r="K106" s="11">
        <v>0</v>
      </c>
      <c r="L106" s="11">
        <v>0</v>
      </c>
      <c r="M106" s="11">
        <v>0.67</v>
      </c>
      <c r="N106" s="11">
        <v>0</v>
      </c>
      <c r="O106" s="11">
        <v>0</v>
      </c>
      <c r="P106" s="11">
        <v>0</v>
      </c>
      <c r="Q106" s="11">
        <v>0.67</v>
      </c>
      <c r="R106" s="11">
        <v>12.89</v>
      </c>
      <c r="S106" s="11">
        <v>13.56</v>
      </c>
      <c r="T106" s="11">
        <v>2</v>
      </c>
      <c r="U106" s="11">
        <v>3</v>
      </c>
      <c r="V106" s="11">
        <v>8.56</v>
      </c>
      <c r="W106" s="13">
        <v>16</v>
      </c>
      <c r="X106" s="13">
        <v>24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266</v>
      </c>
      <c r="C107" s="10" t="s">
        <v>267</v>
      </c>
      <c r="D107" s="7" t="s">
        <v>48</v>
      </c>
      <c r="E107" s="7" t="s">
        <v>221</v>
      </c>
      <c r="F107" s="7" t="s">
        <v>252</v>
      </c>
      <c r="G107" s="7"/>
      <c r="H107" s="7"/>
      <c r="I107" s="11">
        <v>2</v>
      </c>
      <c r="J107" s="11">
        <v>3</v>
      </c>
      <c r="K107" s="11">
        <v>0</v>
      </c>
      <c r="L107" s="11">
        <v>0</v>
      </c>
      <c r="M107" s="11">
        <v>0.17</v>
      </c>
      <c r="N107" s="11">
        <v>0</v>
      </c>
      <c r="O107" s="11">
        <v>0.54</v>
      </c>
      <c r="P107" s="11">
        <v>0</v>
      </c>
      <c r="Q107" s="11">
        <v>0.7100000000000001</v>
      </c>
      <c r="R107" s="11">
        <v>7.16</v>
      </c>
      <c r="S107" s="11">
        <v>7.87</v>
      </c>
      <c r="T107" s="11">
        <v>2</v>
      </c>
      <c r="U107" s="11">
        <v>3</v>
      </c>
      <c r="V107" s="11">
        <v>2.87</v>
      </c>
      <c r="W107" s="13">
        <v>16</v>
      </c>
      <c r="X107" s="13">
        <v>24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268</v>
      </c>
      <c r="C108" s="10" t="s">
        <v>269</v>
      </c>
      <c r="D108" s="7" t="s">
        <v>57</v>
      </c>
      <c r="E108" s="7" t="s">
        <v>221</v>
      </c>
      <c r="F108" s="7" t="s">
        <v>260</v>
      </c>
      <c r="G108" s="7"/>
      <c r="H108" s="7"/>
      <c r="I108" s="11">
        <v>2</v>
      </c>
      <c r="J108" s="11">
        <v>3</v>
      </c>
      <c r="K108" s="11">
        <v>0</v>
      </c>
      <c r="L108" s="11">
        <v>0</v>
      </c>
      <c r="M108" s="11">
        <v>1.41</v>
      </c>
      <c r="N108" s="11">
        <v>0</v>
      </c>
      <c r="O108" s="11">
        <v>0</v>
      </c>
      <c r="P108" s="11">
        <v>0</v>
      </c>
      <c r="Q108" s="11">
        <v>1.41</v>
      </c>
      <c r="R108" s="11">
        <v>33.21</v>
      </c>
      <c r="S108" s="11">
        <v>34.62</v>
      </c>
      <c r="T108" s="11">
        <v>2</v>
      </c>
      <c r="U108" s="11">
        <v>3</v>
      </c>
      <c r="V108" s="11">
        <v>29.62</v>
      </c>
      <c r="W108" s="13">
        <v>16</v>
      </c>
      <c r="X108" s="13">
        <v>24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270</v>
      </c>
      <c r="C109" s="10" t="s">
        <v>271</v>
      </c>
      <c r="D109" s="7" t="s">
        <v>126</v>
      </c>
      <c r="E109" s="7" t="s">
        <v>272</v>
      </c>
      <c r="F109" s="7" t="s">
        <v>255</v>
      </c>
      <c r="G109" s="7"/>
      <c r="H109" s="7" t="s">
        <v>43</v>
      </c>
      <c r="I109" s="11">
        <v>2</v>
      </c>
      <c r="J109" s="11">
        <v>3</v>
      </c>
      <c r="K109" s="11">
        <v>0</v>
      </c>
      <c r="L109" s="11">
        <v>0.51</v>
      </c>
      <c r="M109" s="11">
        <v>0</v>
      </c>
      <c r="N109" s="11">
        <v>0</v>
      </c>
      <c r="O109" s="11">
        <v>0</v>
      </c>
      <c r="P109" s="11">
        <v>0</v>
      </c>
      <c r="Q109" s="11">
        <v>0.51</v>
      </c>
      <c r="R109" s="11">
        <v>36.69</v>
      </c>
      <c r="S109" s="11">
        <v>37.2</v>
      </c>
      <c r="T109" s="11">
        <v>2</v>
      </c>
      <c r="U109" s="11">
        <v>3</v>
      </c>
      <c r="V109" s="11">
        <v>32.2</v>
      </c>
      <c r="W109" s="13">
        <v>16</v>
      </c>
      <c r="X109" s="13">
        <v>24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273</v>
      </c>
      <c r="C110" s="10" t="s">
        <v>274</v>
      </c>
      <c r="D110" s="7" t="s">
        <v>52</v>
      </c>
      <c r="E110" s="7" t="s">
        <v>221</v>
      </c>
      <c r="F110" s="7" t="s">
        <v>252</v>
      </c>
      <c r="G110" s="7"/>
      <c r="H110" s="7"/>
      <c r="I110" s="11">
        <v>2</v>
      </c>
      <c r="J110" s="11">
        <v>3</v>
      </c>
      <c r="K110" s="11">
        <v>0</v>
      </c>
      <c r="L110" s="11">
        <v>0</v>
      </c>
      <c r="M110" s="11">
        <v>1.32</v>
      </c>
      <c r="N110" s="11">
        <v>0</v>
      </c>
      <c r="O110" s="11">
        <v>0.24</v>
      </c>
      <c r="P110" s="11">
        <v>0.83</v>
      </c>
      <c r="Q110" s="11">
        <v>2.39</v>
      </c>
      <c r="R110" s="11">
        <v>16.4</v>
      </c>
      <c r="S110" s="11">
        <v>18.79</v>
      </c>
      <c r="T110" s="11">
        <v>2</v>
      </c>
      <c r="U110" s="11">
        <v>3</v>
      </c>
      <c r="V110" s="11">
        <v>13.79</v>
      </c>
      <c r="W110" s="13">
        <v>16</v>
      </c>
      <c r="X110" s="13">
        <v>24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275</v>
      </c>
      <c r="C111" s="10" t="s">
        <v>276</v>
      </c>
      <c r="D111" s="7" t="s">
        <v>52</v>
      </c>
      <c r="E111" s="7" t="s">
        <v>221</v>
      </c>
      <c r="F111" s="7" t="s">
        <v>252</v>
      </c>
      <c r="G111" s="7"/>
      <c r="H111" s="7"/>
      <c r="I111" s="11">
        <v>2</v>
      </c>
      <c r="J111" s="11">
        <v>3</v>
      </c>
      <c r="K111" s="11">
        <v>0</v>
      </c>
      <c r="L111" s="11">
        <v>0</v>
      </c>
      <c r="M111" s="11">
        <v>0.48</v>
      </c>
      <c r="N111" s="11">
        <v>0</v>
      </c>
      <c r="O111" s="11">
        <v>0.27</v>
      </c>
      <c r="P111" s="11">
        <v>0</v>
      </c>
      <c r="Q111" s="11">
        <v>0.75</v>
      </c>
      <c r="R111" s="11">
        <v>17.98</v>
      </c>
      <c r="S111" s="11">
        <v>18.73</v>
      </c>
      <c r="T111" s="11">
        <v>2</v>
      </c>
      <c r="U111" s="11">
        <v>3</v>
      </c>
      <c r="V111" s="11">
        <v>13.73</v>
      </c>
      <c r="W111" s="13">
        <v>16</v>
      </c>
      <c r="X111" s="13">
        <v>24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/>
      <c r="AC111" s="15"/>
      <c r="AD111" s="1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277</v>
      </c>
      <c r="C112" s="10" t="s">
        <v>278</v>
      </c>
      <c r="D112" s="7" t="s">
        <v>48</v>
      </c>
      <c r="E112" s="7" t="s">
        <v>221</v>
      </c>
      <c r="F112" s="7" t="s">
        <v>252</v>
      </c>
      <c r="G112" s="7"/>
      <c r="H112" s="7"/>
      <c r="I112" s="11">
        <v>2</v>
      </c>
      <c r="J112" s="11">
        <v>3</v>
      </c>
      <c r="K112" s="11">
        <v>0</v>
      </c>
      <c r="L112" s="11">
        <v>0</v>
      </c>
      <c r="M112" s="11">
        <v>0.08</v>
      </c>
      <c r="N112" s="11">
        <v>0</v>
      </c>
      <c r="O112" s="11">
        <v>0</v>
      </c>
      <c r="P112" s="11">
        <v>0</v>
      </c>
      <c r="Q112" s="11">
        <v>0.08</v>
      </c>
      <c r="R112" s="11">
        <v>0.6499999999999999</v>
      </c>
      <c r="S112" s="11">
        <v>0.7299999999999999</v>
      </c>
      <c r="T112" s="11">
        <v>0.7299999999999999</v>
      </c>
      <c r="U112" s="11">
        <v>0</v>
      </c>
      <c r="V112" s="11">
        <v>0</v>
      </c>
      <c r="W112" s="13">
        <v>16</v>
      </c>
      <c r="X112" s="13">
        <v>24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/>
      <c r="AC112" s="15"/>
      <c r="AD112" s="1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3" spans="1:676">
      <c r="A113" s="7">
        <v>103</v>
      </c>
      <c r="B113" s="7" t="s">
        <v>279</v>
      </c>
      <c r="C113" s="10" t="s">
        <v>280</v>
      </c>
      <c r="D113" s="7" t="s">
        <v>48</v>
      </c>
      <c r="E113" s="7" t="s">
        <v>221</v>
      </c>
      <c r="F113" s="7" t="s">
        <v>255</v>
      </c>
      <c r="G113" s="7"/>
      <c r="H113" s="7" t="s">
        <v>43</v>
      </c>
      <c r="I113" s="11">
        <v>2</v>
      </c>
      <c r="J113" s="11">
        <v>3</v>
      </c>
      <c r="K113" s="11">
        <v>0</v>
      </c>
      <c r="L113" s="11">
        <v>0</v>
      </c>
      <c r="M113" s="11">
        <v>0.49</v>
      </c>
      <c r="N113" s="11">
        <v>0</v>
      </c>
      <c r="O113" s="11">
        <v>0</v>
      </c>
      <c r="P113" s="11">
        <v>0</v>
      </c>
      <c r="Q113" s="11">
        <v>0.49</v>
      </c>
      <c r="R113" s="11">
        <v>16.12</v>
      </c>
      <c r="S113" s="11">
        <v>16.61</v>
      </c>
      <c r="T113" s="11">
        <v>2</v>
      </c>
      <c r="U113" s="11">
        <v>3</v>
      </c>
      <c r="V113" s="11">
        <v>11.61</v>
      </c>
      <c r="W113" s="13">
        <v>16</v>
      </c>
      <c r="X113" s="13">
        <v>24</v>
      </c>
      <c r="Y113" s="13" t="str">
        <f>MIN(W113,S113)</f>
        <v>0</v>
      </c>
      <c r="Z113" s="13" t="str">
        <f>MIN(X113,(S113-Y113))</f>
        <v>0</v>
      </c>
      <c r="AA113" s="13" t="str">
        <f>S113-SUM(Y113,Z113)</f>
        <v>0</v>
      </c>
      <c r="AB113" s="15"/>
      <c r="AC113" s="15"/>
      <c r="AD113" s="1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  <c r="PX113" s="5"/>
      <c r="PY113" s="5"/>
      <c r="PZ113" s="5"/>
      <c r="QA113" s="5"/>
      <c r="QB113" s="5"/>
      <c r="QC113" s="5"/>
      <c r="QD113" s="5"/>
      <c r="QE113" s="5"/>
      <c r="QF113" s="5"/>
      <c r="QG113" s="5"/>
      <c r="QH113" s="5"/>
      <c r="QI113" s="5"/>
      <c r="QJ113" s="5"/>
      <c r="QK113" s="5"/>
      <c r="QL113" s="5"/>
      <c r="QM113" s="5"/>
      <c r="QN113" s="5"/>
      <c r="QO113" s="5"/>
      <c r="QP113" s="5"/>
      <c r="QQ113" s="5"/>
      <c r="QR113" s="5"/>
      <c r="QS113" s="5"/>
      <c r="QT113" s="5"/>
      <c r="QU113" s="5"/>
      <c r="QV113" s="5"/>
      <c r="QW113" s="5"/>
      <c r="QX113" s="5"/>
      <c r="QY113" s="5"/>
      <c r="QZ113" s="5"/>
      <c r="RA113" s="5"/>
      <c r="RB113" s="5"/>
      <c r="RC113" s="5"/>
      <c r="RD113" s="5"/>
      <c r="RE113" s="5"/>
      <c r="RF113" s="5"/>
      <c r="RG113" s="5"/>
      <c r="RH113" s="5"/>
      <c r="RI113" s="5"/>
      <c r="RJ113" s="5"/>
      <c r="RK113" s="5"/>
      <c r="RL113" s="5"/>
      <c r="RM113" s="5"/>
      <c r="RN113" s="5"/>
      <c r="RO113" s="5"/>
      <c r="RP113" s="5"/>
      <c r="RQ113" s="5"/>
      <c r="RR113" s="5"/>
      <c r="RS113" s="5"/>
      <c r="RT113" s="5"/>
      <c r="RU113" s="5"/>
      <c r="RV113" s="5"/>
      <c r="RW113" s="5"/>
      <c r="RX113" s="5"/>
      <c r="RY113" s="5"/>
      <c r="RZ113" s="5"/>
      <c r="SA113" s="5"/>
      <c r="SB113" s="5"/>
      <c r="SC113" s="5"/>
      <c r="SD113" s="5"/>
      <c r="SE113" s="5"/>
      <c r="SF113" s="5"/>
      <c r="SG113" s="5"/>
      <c r="SH113" s="5"/>
      <c r="SI113" s="5"/>
      <c r="SJ113" s="5"/>
      <c r="SK113" s="5"/>
      <c r="SL113" s="5"/>
      <c r="SM113" s="5"/>
      <c r="SN113" s="5"/>
      <c r="SO113" s="5"/>
      <c r="SP113" s="5"/>
      <c r="SQ113" s="5"/>
      <c r="SR113" s="5"/>
      <c r="SS113" s="5"/>
      <c r="ST113" s="5"/>
      <c r="SU113" s="5"/>
      <c r="SV113" s="5"/>
      <c r="SW113" s="5"/>
      <c r="SX113" s="5"/>
      <c r="SY113" s="5"/>
      <c r="SZ113" s="5"/>
      <c r="TA113" s="5"/>
      <c r="TB113" s="5"/>
      <c r="TC113" s="5"/>
      <c r="TD113" s="5"/>
      <c r="TE113" s="5"/>
      <c r="TF113" s="5"/>
      <c r="TG113" s="5"/>
      <c r="TH113" s="5"/>
      <c r="TI113" s="5"/>
      <c r="TJ113" s="5"/>
      <c r="TK113" s="5"/>
      <c r="TL113" s="5"/>
      <c r="TM113" s="5"/>
      <c r="TN113" s="5"/>
      <c r="TO113" s="5"/>
      <c r="TP113" s="5"/>
      <c r="TQ113" s="5"/>
      <c r="TR113" s="5"/>
      <c r="TS113" s="5"/>
      <c r="TT113" s="5"/>
      <c r="TU113" s="5"/>
      <c r="TV113" s="5"/>
      <c r="TW113" s="5"/>
      <c r="TX113" s="5"/>
      <c r="TY113" s="5"/>
      <c r="TZ113" s="5"/>
      <c r="UA113" s="5"/>
      <c r="UB113" s="5"/>
      <c r="UC113" s="5"/>
      <c r="UD113" s="5"/>
      <c r="UE113" s="5"/>
      <c r="UF113" s="5"/>
      <c r="UG113" s="5"/>
      <c r="UH113" s="5"/>
      <c r="UI113" s="5"/>
      <c r="UJ113" s="5"/>
      <c r="UK113" s="5"/>
      <c r="UL113" s="5"/>
      <c r="UM113" s="5"/>
      <c r="UN113" s="5"/>
      <c r="UO113" s="5"/>
      <c r="UP113" s="5"/>
      <c r="UQ113" s="5"/>
      <c r="UR113" s="5"/>
      <c r="US113" s="5"/>
      <c r="UT113" s="5"/>
      <c r="UU113" s="5"/>
      <c r="UV113" s="5"/>
      <c r="UW113" s="5"/>
      <c r="UX113" s="5"/>
      <c r="UY113" s="5"/>
      <c r="UZ113" s="5"/>
      <c r="VA113" s="5"/>
      <c r="VB113" s="5"/>
      <c r="VC113" s="5"/>
      <c r="VD113" s="5"/>
      <c r="VE113" s="5"/>
      <c r="VF113" s="5"/>
      <c r="VG113" s="5"/>
      <c r="VH113" s="5"/>
      <c r="VI113" s="5"/>
      <c r="VJ113" s="5"/>
      <c r="VK113" s="5"/>
      <c r="VL113" s="5"/>
      <c r="VM113" s="5"/>
      <c r="VN113" s="5"/>
      <c r="VO113" s="5"/>
      <c r="VP113" s="5"/>
      <c r="VQ113" s="5"/>
      <c r="VR113" s="5"/>
      <c r="VS113" s="5"/>
      <c r="VT113" s="5"/>
      <c r="VU113" s="5"/>
      <c r="VV113" s="5"/>
      <c r="VW113" s="5"/>
      <c r="VX113" s="5"/>
      <c r="VY113" s="5"/>
      <c r="VZ113" s="5"/>
      <c r="WA113" s="5"/>
      <c r="WB113" s="5"/>
      <c r="WC113" s="5"/>
      <c r="WD113" s="5"/>
      <c r="WE113" s="5"/>
      <c r="WF113" s="5"/>
      <c r="WG113" s="5"/>
      <c r="WH113" s="5"/>
      <c r="WI113" s="5"/>
      <c r="WJ113" s="5"/>
      <c r="WK113" s="5"/>
      <c r="WL113" s="5"/>
      <c r="WM113" s="5"/>
      <c r="WN113" s="5"/>
      <c r="WO113" s="5"/>
      <c r="WP113" s="5"/>
      <c r="WQ113" s="5"/>
      <c r="WR113" s="5"/>
      <c r="WS113" s="5"/>
      <c r="WT113" s="5"/>
      <c r="WU113" s="5"/>
      <c r="WV113" s="5"/>
      <c r="WW113" s="5"/>
      <c r="WX113" s="5"/>
      <c r="WY113" s="5"/>
      <c r="WZ113" s="5"/>
      <c r="XA113" s="5"/>
      <c r="XB113" s="5"/>
      <c r="XC113" s="5"/>
      <c r="XD113" s="5"/>
      <c r="XE113" s="5"/>
      <c r="XF113" s="5"/>
      <c r="XG113" s="5"/>
      <c r="XH113" s="5"/>
      <c r="XI113" s="5"/>
      <c r="XJ113" s="5"/>
      <c r="XK113" s="5"/>
      <c r="XL113" s="5"/>
      <c r="XM113" s="5"/>
      <c r="XN113" s="5"/>
      <c r="XO113" s="5"/>
      <c r="XP113" s="5"/>
      <c r="XQ113" s="5"/>
      <c r="XR113" s="5"/>
      <c r="XS113" s="5"/>
      <c r="XT113" s="5"/>
      <c r="XU113" s="5"/>
      <c r="XV113" s="5"/>
      <c r="XW113" s="5"/>
      <c r="XX113" s="5"/>
      <c r="XY113" s="5"/>
      <c r="XZ113" s="5"/>
      <c r="YA113" s="5"/>
      <c r="YB113" s="5"/>
      <c r="YC113" s="5"/>
      <c r="YD113" s="5"/>
      <c r="YE113" s="5"/>
      <c r="YF113" s="5"/>
      <c r="YG113" s="5"/>
      <c r="YH113" s="5"/>
      <c r="YI113" s="5"/>
      <c r="YJ113" s="5"/>
      <c r="YK113" s="5"/>
      <c r="YL113" s="5"/>
      <c r="YM113" s="5"/>
      <c r="YN113" s="5"/>
      <c r="YO113" s="5"/>
      <c r="YP113" s="5"/>
      <c r="YQ113" s="5"/>
      <c r="YR113" s="5"/>
      <c r="YS113" s="5"/>
      <c r="YT113" s="5"/>
      <c r="YU113" s="5"/>
      <c r="YV113" s="5"/>
      <c r="YW113" s="5"/>
      <c r="YX113" s="5"/>
      <c r="YY113" s="5"/>
      <c r="YZ113" s="5"/>
    </row>
    <row r="114" spans="1:676">
      <c r="A114" s="7">
        <v>104</v>
      </c>
      <c r="B114" s="7" t="s">
        <v>281</v>
      </c>
      <c r="C114" s="10" t="s">
        <v>282</v>
      </c>
      <c r="D114" s="7" t="s">
        <v>57</v>
      </c>
      <c r="E114" s="7" t="s">
        <v>221</v>
      </c>
      <c r="F114" s="7" t="s">
        <v>252</v>
      </c>
      <c r="G114" s="7"/>
      <c r="H114" s="7"/>
      <c r="I114" s="11">
        <v>2</v>
      </c>
      <c r="J114" s="11">
        <v>3</v>
      </c>
      <c r="K114" s="11">
        <v>0</v>
      </c>
      <c r="L114" s="11">
        <v>0</v>
      </c>
      <c r="M114" s="11">
        <v>0.73</v>
      </c>
      <c r="N114" s="11">
        <v>0</v>
      </c>
      <c r="O114" s="11">
        <v>0</v>
      </c>
      <c r="P114" s="11">
        <v>0</v>
      </c>
      <c r="Q114" s="11">
        <v>0.73</v>
      </c>
      <c r="R114" s="11">
        <v>15.26</v>
      </c>
      <c r="S114" s="11">
        <v>15.99</v>
      </c>
      <c r="T114" s="11">
        <v>2</v>
      </c>
      <c r="U114" s="11">
        <v>3</v>
      </c>
      <c r="V114" s="11">
        <v>10.99</v>
      </c>
      <c r="W114" s="13">
        <v>16</v>
      </c>
      <c r="X114" s="13">
        <v>24</v>
      </c>
      <c r="Y114" s="13" t="str">
        <f>MIN(W114,S114)</f>
        <v>0</v>
      </c>
      <c r="Z114" s="13" t="str">
        <f>MIN(X114,(S114-Y114))</f>
        <v>0</v>
      </c>
      <c r="AA114" s="13" t="str">
        <f>S114-SUM(Y114,Z114)</f>
        <v>0</v>
      </c>
      <c r="AB114" s="15"/>
      <c r="AC114" s="15"/>
      <c r="AD114" s="1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  <c r="PX114" s="5"/>
      <c r="PY114" s="5"/>
      <c r="PZ114" s="5"/>
      <c r="QA114" s="5"/>
      <c r="QB114" s="5"/>
      <c r="QC114" s="5"/>
      <c r="QD114" s="5"/>
      <c r="QE114" s="5"/>
      <c r="QF114" s="5"/>
      <c r="QG114" s="5"/>
      <c r="QH114" s="5"/>
      <c r="QI114" s="5"/>
      <c r="QJ114" s="5"/>
      <c r="QK114" s="5"/>
      <c r="QL114" s="5"/>
      <c r="QM114" s="5"/>
      <c r="QN114" s="5"/>
      <c r="QO114" s="5"/>
      <c r="QP114" s="5"/>
      <c r="QQ114" s="5"/>
      <c r="QR114" s="5"/>
      <c r="QS114" s="5"/>
      <c r="QT114" s="5"/>
      <c r="QU114" s="5"/>
      <c r="QV114" s="5"/>
      <c r="QW114" s="5"/>
      <c r="QX114" s="5"/>
      <c r="QY114" s="5"/>
      <c r="QZ114" s="5"/>
      <c r="RA114" s="5"/>
      <c r="RB114" s="5"/>
      <c r="RC114" s="5"/>
      <c r="RD114" s="5"/>
      <c r="RE114" s="5"/>
      <c r="RF114" s="5"/>
      <c r="RG114" s="5"/>
      <c r="RH114" s="5"/>
      <c r="RI114" s="5"/>
      <c r="RJ114" s="5"/>
      <c r="RK114" s="5"/>
      <c r="RL114" s="5"/>
      <c r="RM114" s="5"/>
      <c r="RN114" s="5"/>
      <c r="RO114" s="5"/>
      <c r="RP114" s="5"/>
      <c r="RQ114" s="5"/>
      <c r="RR114" s="5"/>
      <c r="RS114" s="5"/>
      <c r="RT114" s="5"/>
      <c r="RU114" s="5"/>
      <c r="RV114" s="5"/>
      <c r="RW114" s="5"/>
      <c r="RX114" s="5"/>
      <c r="RY114" s="5"/>
      <c r="RZ114" s="5"/>
      <c r="SA114" s="5"/>
      <c r="SB114" s="5"/>
      <c r="SC114" s="5"/>
      <c r="SD114" s="5"/>
      <c r="SE114" s="5"/>
      <c r="SF114" s="5"/>
      <c r="SG114" s="5"/>
      <c r="SH114" s="5"/>
      <c r="SI114" s="5"/>
      <c r="SJ114" s="5"/>
      <c r="SK114" s="5"/>
      <c r="SL114" s="5"/>
      <c r="SM114" s="5"/>
      <c r="SN114" s="5"/>
      <c r="SO114" s="5"/>
      <c r="SP114" s="5"/>
      <c r="SQ114" s="5"/>
      <c r="SR114" s="5"/>
      <c r="SS114" s="5"/>
      <c r="ST114" s="5"/>
      <c r="SU114" s="5"/>
      <c r="SV114" s="5"/>
      <c r="SW114" s="5"/>
      <c r="SX114" s="5"/>
      <c r="SY114" s="5"/>
      <c r="SZ114" s="5"/>
      <c r="TA114" s="5"/>
      <c r="TB114" s="5"/>
      <c r="TC114" s="5"/>
      <c r="TD114" s="5"/>
      <c r="TE114" s="5"/>
      <c r="TF114" s="5"/>
      <c r="TG114" s="5"/>
      <c r="TH114" s="5"/>
      <c r="TI114" s="5"/>
      <c r="TJ114" s="5"/>
      <c r="TK114" s="5"/>
      <c r="TL114" s="5"/>
      <c r="TM114" s="5"/>
      <c r="TN114" s="5"/>
      <c r="TO114" s="5"/>
      <c r="TP114" s="5"/>
      <c r="TQ114" s="5"/>
      <c r="TR114" s="5"/>
      <c r="TS114" s="5"/>
      <c r="TT114" s="5"/>
      <c r="TU114" s="5"/>
      <c r="TV114" s="5"/>
      <c r="TW114" s="5"/>
      <c r="TX114" s="5"/>
      <c r="TY114" s="5"/>
      <c r="TZ114" s="5"/>
      <c r="UA114" s="5"/>
      <c r="UB114" s="5"/>
      <c r="UC114" s="5"/>
      <c r="UD114" s="5"/>
      <c r="UE114" s="5"/>
      <c r="UF114" s="5"/>
      <c r="UG114" s="5"/>
      <c r="UH114" s="5"/>
      <c r="UI114" s="5"/>
      <c r="UJ114" s="5"/>
      <c r="UK114" s="5"/>
      <c r="UL114" s="5"/>
      <c r="UM114" s="5"/>
      <c r="UN114" s="5"/>
      <c r="UO114" s="5"/>
      <c r="UP114" s="5"/>
      <c r="UQ114" s="5"/>
      <c r="UR114" s="5"/>
      <c r="US114" s="5"/>
      <c r="UT114" s="5"/>
      <c r="UU114" s="5"/>
      <c r="UV114" s="5"/>
      <c r="UW114" s="5"/>
      <c r="UX114" s="5"/>
      <c r="UY114" s="5"/>
      <c r="UZ114" s="5"/>
      <c r="VA114" s="5"/>
      <c r="VB114" s="5"/>
      <c r="VC114" s="5"/>
      <c r="VD114" s="5"/>
      <c r="VE114" s="5"/>
      <c r="VF114" s="5"/>
      <c r="VG114" s="5"/>
      <c r="VH114" s="5"/>
      <c r="VI114" s="5"/>
      <c r="VJ114" s="5"/>
      <c r="VK114" s="5"/>
      <c r="VL114" s="5"/>
      <c r="VM114" s="5"/>
      <c r="VN114" s="5"/>
      <c r="VO114" s="5"/>
      <c r="VP114" s="5"/>
      <c r="VQ114" s="5"/>
      <c r="VR114" s="5"/>
      <c r="VS114" s="5"/>
      <c r="VT114" s="5"/>
      <c r="VU114" s="5"/>
      <c r="VV114" s="5"/>
      <c r="VW114" s="5"/>
      <c r="VX114" s="5"/>
      <c r="VY114" s="5"/>
      <c r="VZ114" s="5"/>
      <c r="WA114" s="5"/>
      <c r="WB114" s="5"/>
      <c r="WC114" s="5"/>
      <c r="WD114" s="5"/>
      <c r="WE114" s="5"/>
      <c r="WF114" s="5"/>
      <c r="WG114" s="5"/>
      <c r="WH114" s="5"/>
      <c r="WI114" s="5"/>
      <c r="WJ114" s="5"/>
      <c r="WK114" s="5"/>
      <c r="WL114" s="5"/>
      <c r="WM114" s="5"/>
      <c r="WN114" s="5"/>
      <c r="WO114" s="5"/>
      <c r="WP114" s="5"/>
      <c r="WQ114" s="5"/>
      <c r="WR114" s="5"/>
      <c r="WS114" s="5"/>
      <c r="WT114" s="5"/>
      <c r="WU114" s="5"/>
      <c r="WV114" s="5"/>
      <c r="WW114" s="5"/>
      <c r="WX114" s="5"/>
      <c r="WY114" s="5"/>
      <c r="WZ114" s="5"/>
      <c r="XA114" s="5"/>
      <c r="XB114" s="5"/>
      <c r="XC114" s="5"/>
      <c r="XD114" s="5"/>
      <c r="XE114" s="5"/>
      <c r="XF114" s="5"/>
      <c r="XG114" s="5"/>
      <c r="XH114" s="5"/>
      <c r="XI114" s="5"/>
      <c r="XJ114" s="5"/>
      <c r="XK114" s="5"/>
      <c r="XL114" s="5"/>
      <c r="XM114" s="5"/>
      <c r="XN114" s="5"/>
      <c r="XO114" s="5"/>
      <c r="XP114" s="5"/>
      <c r="XQ114" s="5"/>
      <c r="XR114" s="5"/>
      <c r="XS114" s="5"/>
      <c r="XT114" s="5"/>
      <c r="XU114" s="5"/>
      <c r="XV114" s="5"/>
      <c r="XW114" s="5"/>
      <c r="XX114" s="5"/>
      <c r="XY114" s="5"/>
      <c r="XZ114" s="5"/>
      <c r="YA114" s="5"/>
      <c r="YB114" s="5"/>
      <c r="YC114" s="5"/>
      <c r="YD114" s="5"/>
      <c r="YE114" s="5"/>
      <c r="YF114" s="5"/>
      <c r="YG114" s="5"/>
      <c r="YH114" s="5"/>
      <c r="YI114" s="5"/>
      <c r="YJ114" s="5"/>
      <c r="YK114" s="5"/>
      <c r="YL114" s="5"/>
      <c r="YM114" s="5"/>
      <c r="YN114" s="5"/>
      <c r="YO114" s="5"/>
      <c r="YP114" s="5"/>
      <c r="YQ114" s="5"/>
      <c r="YR114" s="5"/>
      <c r="YS114" s="5"/>
      <c r="YT114" s="5"/>
      <c r="YU114" s="5"/>
      <c r="YV114" s="5"/>
      <c r="YW114" s="5"/>
      <c r="YX114" s="5"/>
      <c r="YY114" s="5"/>
      <c r="YZ114" s="5"/>
    </row>
    <row r="115" spans="1:676">
      <c r="A115" s="7">
        <v>105</v>
      </c>
      <c r="B115" s="7" t="s">
        <v>283</v>
      </c>
      <c r="C115" s="10" t="s">
        <v>284</v>
      </c>
      <c r="D115" s="7" t="s">
        <v>63</v>
      </c>
      <c r="E115" s="7" t="s">
        <v>221</v>
      </c>
      <c r="F115" s="7" t="s">
        <v>252</v>
      </c>
      <c r="G115" s="7"/>
      <c r="H115" s="7"/>
      <c r="I115" s="11">
        <v>2</v>
      </c>
      <c r="J115" s="11">
        <v>3</v>
      </c>
      <c r="K115" s="11">
        <v>0</v>
      </c>
      <c r="L115" s="11">
        <v>0</v>
      </c>
      <c r="M115" s="11">
        <v>1.07</v>
      </c>
      <c r="N115" s="11">
        <v>0</v>
      </c>
      <c r="O115" s="11">
        <v>0.27</v>
      </c>
      <c r="P115" s="11">
        <v>0</v>
      </c>
      <c r="Q115" s="11">
        <v>1.34</v>
      </c>
      <c r="R115" s="11">
        <v>13.25</v>
      </c>
      <c r="S115" s="11">
        <v>14.59</v>
      </c>
      <c r="T115" s="11">
        <v>2</v>
      </c>
      <c r="U115" s="11">
        <v>3</v>
      </c>
      <c r="V115" s="11">
        <v>9.59</v>
      </c>
      <c r="W115" s="13">
        <v>16</v>
      </c>
      <c r="X115" s="13">
        <v>24</v>
      </c>
      <c r="Y115" s="13" t="str">
        <f>MIN(W115,S115)</f>
        <v>0</v>
      </c>
      <c r="Z115" s="13" t="str">
        <f>MIN(X115,(S115-Y115))</f>
        <v>0</v>
      </c>
      <c r="AA115" s="13" t="str">
        <f>S115-SUM(Y115,Z115)</f>
        <v>0</v>
      </c>
      <c r="AB115" s="15"/>
      <c r="AC115" s="15"/>
      <c r="AD115" s="1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5"/>
      <c r="PD115" s="5"/>
      <c r="PE115" s="5"/>
      <c r="PF115" s="5"/>
      <c r="PG115" s="5"/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/>
      <c r="PT115" s="5"/>
      <c r="PU115" s="5"/>
      <c r="PV115" s="5"/>
      <c r="PW115" s="5"/>
      <c r="PX115" s="5"/>
      <c r="PY115" s="5"/>
      <c r="PZ115" s="5"/>
      <c r="QA115" s="5"/>
      <c r="QB115" s="5"/>
      <c r="QC115" s="5"/>
      <c r="QD115" s="5"/>
      <c r="QE115" s="5"/>
      <c r="QF115" s="5"/>
      <c r="QG115" s="5"/>
      <c r="QH115" s="5"/>
      <c r="QI115" s="5"/>
      <c r="QJ115" s="5"/>
      <c r="QK115" s="5"/>
      <c r="QL115" s="5"/>
      <c r="QM115" s="5"/>
      <c r="QN115" s="5"/>
      <c r="QO115" s="5"/>
      <c r="QP115" s="5"/>
      <c r="QQ115" s="5"/>
      <c r="QR115" s="5"/>
      <c r="QS115" s="5"/>
      <c r="QT115" s="5"/>
      <c r="QU115" s="5"/>
      <c r="QV115" s="5"/>
      <c r="QW115" s="5"/>
      <c r="QX115" s="5"/>
      <c r="QY115" s="5"/>
      <c r="QZ115" s="5"/>
      <c r="RA115" s="5"/>
      <c r="RB115" s="5"/>
      <c r="RC115" s="5"/>
      <c r="RD115" s="5"/>
      <c r="RE115" s="5"/>
      <c r="RF115" s="5"/>
      <c r="RG115" s="5"/>
      <c r="RH115" s="5"/>
      <c r="RI115" s="5"/>
      <c r="RJ115" s="5"/>
      <c r="RK115" s="5"/>
      <c r="RL115" s="5"/>
      <c r="RM115" s="5"/>
      <c r="RN115" s="5"/>
      <c r="RO115" s="5"/>
      <c r="RP115" s="5"/>
      <c r="RQ115" s="5"/>
      <c r="RR115" s="5"/>
      <c r="RS115" s="5"/>
      <c r="RT115" s="5"/>
      <c r="RU115" s="5"/>
      <c r="RV115" s="5"/>
      <c r="RW115" s="5"/>
      <c r="RX115" s="5"/>
      <c r="RY115" s="5"/>
      <c r="RZ115" s="5"/>
      <c r="SA115" s="5"/>
      <c r="SB115" s="5"/>
      <c r="SC115" s="5"/>
      <c r="SD115" s="5"/>
      <c r="SE115" s="5"/>
      <c r="SF115" s="5"/>
      <c r="SG115" s="5"/>
      <c r="SH115" s="5"/>
      <c r="SI115" s="5"/>
      <c r="SJ115" s="5"/>
      <c r="SK115" s="5"/>
      <c r="SL115" s="5"/>
      <c r="SM115" s="5"/>
      <c r="SN115" s="5"/>
      <c r="SO115" s="5"/>
      <c r="SP115" s="5"/>
      <c r="SQ115" s="5"/>
      <c r="SR115" s="5"/>
      <c r="SS115" s="5"/>
      <c r="ST115" s="5"/>
      <c r="SU115" s="5"/>
      <c r="SV115" s="5"/>
      <c r="SW115" s="5"/>
      <c r="SX115" s="5"/>
      <c r="SY115" s="5"/>
      <c r="SZ115" s="5"/>
      <c r="TA115" s="5"/>
      <c r="TB115" s="5"/>
      <c r="TC115" s="5"/>
      <c r="TD115" s="5"/>
      <c r="TE115" s="5"/>
      <c r="TF115" s="5"/>
      <c r="TG115" s="5"/>
      <c r="TH115" s="5"/>
      <c r="TI115" s="5"/>
      <c r="TJ115" s="5"/>
      <c r="TK115" s="5"/>
      <c r="TL115" s="5"/>
      <c r="TM115" s="5"/>
      <c r="TN115" s="5"/>
      <c r="TO115" s="5"/>
      <c r="TP115" s="5"/>
      <c r="TQ115" s="5"/>
      <c r="TR115" s="5"/>
      <c r="TS115" s="5"/>
      <c r="TT115" s="5"/>
      <c r="TU115" s="5"/>
      <c r="TV115" s="5"/>
      <c r="TW115" s="5"/>
      <c r="TX115" s="5"/>
      <c r="TY115" s="5"/>
      <c r="TZ115" s="5"/>
      <c r="UA115" s="5"/>
      <c r="UB115" s="5"/>
      <c r="UC115" s="5"/>
      <c r="UD115" s="5"/>
      <c r="UE115" s="5"/>
      <c r="UF115" s="5"/>
      <c r="UG115" s="5"/>
      <c r="UH115" s="5"/>
      <c r="UI115" s="5"/>
      <c r="UJ115" s="5"/>
      <c r="UK115" s="5"/>
      <c r="UL115" s="5"/>
      <c r="UM115" s="5"/>
      <c r="UN115" s="5"/>
      <c r="UO115" s="5"/>
      <c r="UP115" s="5"/>
      <c r="UQ115" s="5"/>
      <c r="UR115" s="5"/>
      <c r="US115" s="5"/>
      <c r="UT115" s="5"/>
      <c r="UU115" s="5"/>
      <c r="UV115" s="5"/>
      <c r="UW115" s="5"/>
      <c r="UX115" s="5"/>
      <c r="UY115" s="5"/>
      <c r="UZ115" s="5"/>
      <c r="VA115" s="5"/>
      <c r="VB115" s="5"/>
      <c r="VC115" s="5"/>
      <c r="VD115" s="5"/>
      <c r="VE115" s="5"/>
      <c r="VF115" s="5"/>
      <c r="VG115" s="5"/>
      <c r="VH115" s="5"/>
      <c r="VI115" s="5"/>
      <c r="VJ115" s="5"/>
      <c r="VK115" s="5"/>
      <c r="VL115" s="5"/>
      <c r="VM115" s="5"/>
      <c r="VN115" s="5"/>
      <c r="VO115" s="5"/>
      <c r="VP115" s="5"/>
      <c r="VQ115" s="5"/>
      <c r="VR115" s="5"/>
      <c r="VS115" s="5"/>
      <c r="VT115" s="5"/>
      <c r="VU115" s="5"/>
      <c r="VV115" s="5"/>
      <c r="VW115" s="5"/>
      <c r="VX115" s="5"/>
      <c r="VY115" s="5"/>
      <c r="VZ115" s="5"/>
      <c r="WA115" s="5"/>
      <c r="WB115" s="5"/>
      <c r="WC115" s="5"/>
      <c r="WD115" s="5"/>
      <c r="WE115" s="5"/>
      <c r="WF115" s="5"/>
      <c r="WG115" s="5"/>
      <c r="WH115" s="5"/>
      <c r="WI115" s="5"/>
      <c r="WJ115" s="5"/>
      <c r="WK115" s="5"/>
      <c r="WL115" s="5"/>
      <c r="WM115" s="5"/>
      <c r="WN115" s="5"/>
      <c r="WO115" s="5"/>
      <c r="WP115" s="5"/>
      <c r="WQ115" s="5"/>
      <c r="WR115" s="5"/>
      <c r="WS115" s="5"/>
      <c r="WT115" s="5"/>
      <c r="WU115" s="5"/>
      <c r="WV115" s="5"/>
      <c r="WW115" s="5"/>
      <c r="WX115" s="5"/>
      <c r="WY115" s="5"/>
      <c r="WZ115" s="5"/>
      <c r="XA115" s="5"/>
      <c r="XB115" s="5"/>
      <c r="XC115" s="5"/>
      <c r="XD115" s="5"/>
      <c r="XE115" s="5"/>
      <c r="XF115" s="5"/>
      <c r="XG115" s="5"/>
      <c r="XH115" s="5"/>
      <c r="XI115" s="5"/>
      <c r="XJ115" s="5"/>
      <c r="XK115" s="5"/>
      <c r="XL115" s="5"/>
      <c r="XM115" s="5"/>
      <c r="XN115" s="5"/>
      <c r="XO115" s="5"/>
      <c r="XP115" s="5"/>
      <c r="XQ115" s="5"/>
      <c r="XR115" s="5"/>
      <c r="XS115" s="5"/>
      <c r="XT115" s="5"/>
      <c r="XU115" s="5"/>
      <c r="XV115" s="5"/>
      <c r="XW115" s="5"/>
      <c r="XX115" s="5"/>
      <c r="XY115" s="5"/>
      <c r="XZ115" s="5"/>
      <c r="YA115" s="5"/>
      <c r="YB115" s="5"/>
      <c r="YC115" s="5"/>
      <c r="YD115" s="5"/>
      <c r="YE115" s="5"/>
      <c r="YF115" s="5"/>
      <c r="YG115" s="5"/>
      <c r="YH115" s="5"/>
      <c r="YI115" s="5"/>
      <c r="YJ115" s="5"/>
      <c r="YK115" s="5"/>
      <c r="YL115" s="5"/>
      <c r="YM115" s="5"/>
      <c r="YN115" s="5"/>
      <c r="YO115" s="5"/>
      <c r="YP115" s="5"/>
      <c r="YQ115" s="5"/>
      <c r="YR115" s="5"/>
      <c r="YS115" s="5"/>
      <c r="YT115" s="5"/>
      <c r="YU115" s="5"/>
      <c r="YV115" s="5"/>
      <c r="YW115" s="5"/>
      <c r="YX115" s="5"/>
      <c r="YY115" s="5"/>
      <c r="YZ115" s="5"/>
    </row>
    <row r="116" spans="1:676">
      <c r="A116" s="7">
        <v>106</v>
      </c>
      <c r="B116" s="7" t="s">
        <v>285</v>
      </c>
      <c r="C116" s="10" t="s">
        <v>286</v>
      </c>
      <c r="D116" s="7" t="s">
        <v>40</v>
      </c>
      <c r="E116" s="7" t="s">
        <v>221</v>
      </c>
      <c r="F116" s="7" t="s">
        <v>252</v>
      </c>
      <c r="G116" s="7"/>
      <c r="H116" s="7"/>
      <c r="I116" s="11">
        <v>2</v>
      </c>
      <c r="J116" s="11">
        <v>3</v>
      </c>
      <c r="K116" s="11">
        <v>0</v>
      </c>
      <c r="L116" s="11">
        <v>0.11</v>
      </c>
      <c r="M116" s="11">
        <v>0.8300000000000001</v>
      </c>
      <c r="N116" s="11">
        <v>0</v>
      </c>
      <c r="O116" s="11">
        <v>0.45</v>
      </c>
      <c r="P116" s="11">
        <v>1.14</v>
      </c>
      <c r="Q116" s="11">
        <v>2.53</v>
      </c>
      <c r="R116" s="11">
        <v>31.95</v>
      </c>
      <c r="S116" s="11">
        <v>34.48</v>
      </c>
      <c r="T116" s="11">
        <v>2</v>
      </c>
      <c r="U116" s="11">
        <v>3</v>
      </c>
      <c r="V116" s="11">
        <v>29.48</v>
      </c>
      <c r="W116" s="13">
        <v>16</v>
      </c>
      <c r="X116" s="13">
        <v>24</v>
      </c>
      <c r="Y116" s="13" t="str">
        <f>MIN(W116,S116)</f>
        <v>0</v>
      </c>
      <c r="Z116" s="13" t="str">
        <f>MIN(X116,(S116-Y116))</f>
        <v>0</v>
      </c>
      <c r="AA116" s="13" t="str">
        <f>S116-SUM(Y116,Z116)</f>
        <v>0</v>
      </c>
      <c r="AB116" s="15"/>
      <c r="AC116" s="15"/>
      <c r="AD116" s="1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/>
      <c r="MY116" s="5"/>
      <c r="MZ116" s="5"/>
      <c r="NA116" s="5"/>
      <c r="NB116" s="5"/>
      <c r="NC116" s="5"/>
      <c r="ND116" s="5"/>
      <c r="NE116" s="5"/>
      <c r="NF116" s="5"/>
      <c r="NG116" s="5"/>
      <c r="NH116" s="5"/>
      <c r="NI116" s="5"/>
      <c r="NJ116" s="5"/>
      <c r="NK116" s="5"/>
      <c r="NL116" s="5"/>
      <c r="NM116" s="5"/>
      <c r="NN116" s="5"/>
      <c r="NO116" s="5"/>
      <c r="NP116" s="5"/>
      <c r="NQ116" s="5"/>
      <c r="NR116" s="5"/>
      <c r="NS116" s="5"/>
      <c r="NT116" s="5"/>
      <c r="NU116" s="5"/>
      <c r="NV116" s="5"/>
      <c r="NW116" s="5"/>
      <c r="NX116" s="5"/>
      <c r="NY116" s="5"/>
      <c r="NZ116" s="5"/>
      <c r="OA116" s="5"/>
      <c r="OB116" s="5"/>
      <c r="OC116" s="5"/>
      <c r="OD116" s="5"/>
      <c r="OE116" s="5"/>
      <c r="OF116" s="5"/>
      <c r="OG116" s="5"/>
      <c r="OH116" s="5"/>
      <c r="OI116" s="5"/>
      <c r="OJ116" s="5"/>
      <c r="OK116" s="5"/>
      <c r="OL116" s="5"/>
      <c r="OM116" s="5"/>
      <c r="ON116" s="5"/>
      <c r="OO116" s="5"/>
      <c r="OP116" s="5"/>
      <c r="OQ116" s="5"/>
      <c r="OR116" s="5"/>
      <c r="OS116" s="5"/>
      <c r="OT116" s="5"/>
      <c r="OU116" s="5"/>
      <c r="OV116" s="5"/>
      <c r="OW116" s="5"/>
      <c r="OX116" s="5"/>
      <c r="OY116" s="5"/>
      <c r="OZ116" s="5"/>
      <c r="PA116" s="5"/>
      <c r="PB116" s="5"/>
      <c r="PC116" s="5"/>
      <c r="PD116" s="5"/>
      <c r="PE116" s="5"/>
      <c r="PF116" s="5"/>
      <c r="PG116" s="5"/>
      <c r="PH116" s="5"/>
      <c r="PI116" s="5"/>
      <c r="PJ116" s="5"/>
      <c r="PK116" s="5"/>
      <c r="PL116" s="5"/>
      <c r="PM116" s="5"/>
      <c r="PN116" s="5"/>
      <c r="PO116" s="5"/>
      <c r="PP116" s="5"/>
      <c r="PQ116" s="5"/>
      <c r="PR116" s="5"/>
      <c r="PS116" s="5"/>
      <c r="PT116" s="5"/>
      <c r="PU116" s="5"/>
      <c r="PV116" s="5"/>
      <c r="PW116" s="5"/>
      <c r="PX116" s="5"/>
      <c r="PY116" s="5"/>
      <c r="PZ116" s="5"/>
      <c r="QA116" s="5"/>
      <c r="QB116" s="5"/>
      <c r="QC116" s="5"/>
      <c r="QD116" s="5"/>
      <c r="QE116" s="5"/>
      <c r="QF116" s="5"/>
      <c r="QG116" s="5"/>
      <c r="QH116" s="5"/>
      <c r="QI116" s="5"/>
      <c r="QJ116" s="5"/>
      <c r="QK116" s="5"/>
      <c r="QL116" s="5"/>
      <c r="QM116" s="5"/>
      <c r="QN116" s="5"/>
      <c r="QO116" s="5"/>
      <c r="QP116" s="5"/>
      <c r="QQ116" s="5"/>
      <c r="QR116" s="5"/>
      <c r="QS116" s="5"/>
      <c r="QT116" s="5"/>
      <c r="QU116" s="5"/>
      <c r="QV116" s="5"/>
      <c r="QW116" s="5"/>
      <c r="QX116" s="5"/>
      <c r="QY116" s="5"/>
      <c r="QZ116" s="5"/>
      <c r="RA116" s="5"/>
      <c r="RB116" s="5"/>
      <c r="RC116" s="5"/>
      <c r="RD116" s="5"/>
      <c r="RE116" s="5"/>
      <c r="RF116" s="5"/>
      <c r="RG116" s="5"/>
      <c r="RH116" s="5"/>
      <c r="RI116" s="5"/>
      <c r="RJ116" s="5"/>
      <c r="RK116" s="5"/>
      <c r="RL116" s="5"/>
      <c r="RM116" s="5"/>
      <c r="RN116" s="5"/>
      <c r="RO116" s="5"/>
      <c r="RP116" s="5"/>
      <c r="RQ116" s="5"/>
      <c r="RR116" s="5"/>
      <c r="RS116" s="5"/>
      <c r="RT116" s="5"/>
      <c r="RU116" s="5"/>
      <c r="RV116" s="5"/>
      <c r="RW116" s="5"/>
      <c r="RX116" s="5"/>
      <c r="RY116" s="5"/>
      <c r="RZ116" s="5"/>
      <c r="SA116" s="5"/>
      <c r="SB116" s="5"/>
      <c r="SC116" s="5"/>
      <c r="SD116" s="5"/>
      <c r="SE116" s="5"/>
      <c r="SF116" s="5"/>
      <c r="SG116" s="5"/>
      <c r="SH116" s="5"/>
      <c r="SI116" s="5"/>
      <c r="SJ116" s="5"/>
      <c r="SK116" s="5"/>
      <c r="SL116" s="5"/>
      <c r="SM116" s="5"/>
      <c r="SN116" s="5"/>
      <c r="SO116" s="5"/>
      <c r="SP116" s="5"/>
      <c r="SQ116" s="5"/>
      <c r="SR116" s="5"/>
      <c r="SS116" s="5"/>
      <c r="ST116" s="5"/>
      <c r="SU116" s="5"/>
      <c r="SV116" s="5"/>
      <c r="SW116" s="5"/>
      <c r="SX116" s="5"/>
      <c r="SY116" s="5"/>
      <c r="SZ116" s="5"/>
      <c r="TA116" s="5"/>
      <c r="TB116" s="5"/>
      <c r="TC116" s="5"/>
      <c r="TD116" s="5"/>
      <c r="TE116" s="5"/>
      <c r="TF116" s="5"/>
      <c r="TG116" s="5"/>
      <c r="TH116" s="5"/>
      <c r="TI116" s="5"/>
      <c r="TJ116" s="5"/>
      <c r="TK116" s="5"/>
      <c r="TL116" s="5"/>
      <c r="TM116" s="5"/>
      <c r="TN116" s="5"/>
      <c r="TO116" s="5"/>
      <c r="TP116" s="5"/>
      <c r="TQ116" s="5"/>
      <c r="TR116" s="5"/>
      <c r="TS116" s="5"/>
      <c r="TT116" s="5"/>
      <c r="TU116" s="5"/>
      <c r="TV116" s="5"/>
      <c r="TW116" s="5"/>
      <c r="TX116" s="5"/>
      <c r="TY116" s="5"/>
      <c r="TZ116" s="5"/>
      <c r="UA116" s="5"/>
      <c r="UB116" s="5"/>
      <c r="UC116" s="5"/>
      <c r="UD116" s="5"/>
      <c r="UE116" s="5"/>
      <c r="UF116" s="5"/>
      <c r="UG116" s="5"/>
      <c r="UH116" s="5"/>
      <c r="UI116" s="5"/>
      <c r="UJ116" s="5"/>
      <c r="UK116" s="5"/>
      <c r="UL116" s="5"/>
      <c r="UM116" s="5"/>
      <c r="UN116" s="5"/>
      <c r="UO116" s="5"/>
      <c r="UP116" s="5"/>
      <c r="UQ116" s="5"/>
      <c r="UR116" s="5"/>
      <c r="US116" s="5"/>
      <c r="UT116" s="5"/>
      <c r="UU116" s="5"/>
      <c r="UV116" s="5"/>
      <c r="UW116" s="5"/>
      <c r="UX116" s="5"/>
      <c r="UY116" s="5"/>
      <c r="UZ116" s="5"/>
      <c r="VA116" s="5"/>
      <c r="VB116" s="5"/>
      <c r="VC116" s="5"/>
      <c r="VD116" s="5"/>
      <c r="VE116" s="5"/>
      <c r="VF116" s="5"/>
      <c r="VG116" s="5"/>
      <c r="VH116" s="5"/>
      <c r="VI116" s="5"/>
      <c r="VJ116" s="5"/>
      <c r="VK116" s="5"/>
      <c r="VL116" s="5"/>
      <c r="VM116" s="5"/>
      <c r="VN116" s="5"/>
      <c r="VO116" s="5"/>
      <c r="VP116" s="5"/>
      <c r="VQ116" s="5"/>
      <c r="VR116" s="5"/>
      <c r="VS116" s="5"/>
      <c r="VT116" s="5"/>
      <c r="VU116" s="5"/>
      <c r="VV116" s="5"/>
      <c r="VW116" s="5"/>
      <c r="VX116" s="5"/>
      <c r="VY116" s="5"/>
      <c r="VZ116" s="5"/>
      <c r="WA116" s="5"/>
      <c r="WB116" s="5"/>
      <c r="WC116" s="5"/>
      <c r="WD116" s="5"/>
      <c r="WE116" s="5"/>
      <c r="WF116" s="5"/>
      <c r="WG116" s="5"/>
      <c r="WH116" s="5"/>
      <c r="WI116" s="5"/>
      <c r="WJ116" s="5"/>
      <c r="WK116" s="5"/>
      <c r="WL116" s="5"/>
      <c r="WM116" s="5"/>
      <c r="WN116" s="5"/>
      <c r="WO116" s="5"/>
      <c r="WP116" s="5"/>
      <c r="WQ116" s="5"/>
      <c r="WR116" s="5"/>
      <c r="WS116" s="5"/>
      <c r="WT116" s="5"/>
      <c r="WU116" s="5"/>
      <c r="WV116" s="5"/>
      <c r="WW116" s="5"/>
      <c r="WX116" s="5"/>
      <c r="WY116" s="5"/>
      <c r="WZ116" s="5"/>
      <c r="XA116" s="5"/>
      <c r="XB116" s="5"/>
      <c r="XC116" s="5"/>
      <c r="XD116" s="5"/>
      <c r="XE116" s="5"/>
      <c r="XF116" s="5"/>
      <c r="XG116" s="5"/>
      <c r="XH116" s="5"/>
      <c r="XI116" s="5"/>
      <c r="XJ116" s="5"/>
      <c r="XK116" s="5"/>
      <c r="XL116" s="5"/>
      <c r="XM116" s="5"/>
      <c r="XN116" s="5"/>
      <c r="XO116" s="5"/>
      <c r="XP116" s="5"/>
      <c r="XQ116" s="5"/>
      <c r="XR116" s="5"/>
      <c r="XS116" s="5"/>
      <c r="XT116" s="5"/>
      <c r="XU116" s="5"/>
      <c r="XV116" s="5"/>
      <c r="XW116" s="5"/>
      <c r="XX116" s="5"/>
      <c r="XY116" s="5"/>
      <c r="XZ116" s="5"/>
      <c r="YA116" s="5"/>
      <c r="YB116" s="5"/>
      <c r="YC116" s="5"/>
      <c r="YD116" s="5"/>
      <c r="YE116" s="5"/>
      <c r="YF116" s="5"/>
      <c r="YG116" s="5"/>
      <c r="YH116" s="5"/>
      <c r="YI116" s="5"/>
      <c r="YJ116" s="5"/>
      <c r="YK116" s="5"/>
      <c r="YL116" s="5"/>
      <c r="YM116" s="5"/>
      <c r="YN116" s="5"/>
      <c r="YO116" s="5"/>
      <c r="YP116" s="5"/>
      <c r="YQ116" s="5"/>
      <c r="YR116" s="5"/>
      <c r="YS116" s="5"/>
      <c r="YT116" s="5"/>
      <c r="YU116" s="5"/>
      <c r="YV116" s="5"/>
      <c r="YW116" s="5"/>
      <c r="YX116" s="5"/>
      <c r="YY116" s="5"/>
      <c r="YZ116" s="5"/>
    </row>
    <row r="117" spans="1:676">
      <c r="A117" s="7">
        <v>107</v>
      </c>
      <c r="B117" s="7" t="s">
        <v>287</v>
      </c>
      <c r="C117" s="10" t="s">
        <v>288</v>
      </c>
      <c r="D117" s="7" t="s">
        <v>63</v>
      </c>
      <c r="E117" s="7" t="s">
        <v>221</v>
      </c>
      <c r="F117" s="7" t="s">
        <v>252</v>
      </c>
      <c r="G117" s="7"/>
      <c r="H117" s="7"/>
      <c r="I117" s="11">
        <v>2</v>
      </c>
      <c r="J117" s="11">
        <v>3</v>
      </c>
      <c r="K117" s="11">
        <v>0</v>
      </c>
      <c r="L117" s="11">
        <v>0</v>
      </c>
      <c r="M117" s="11">
        <v>1.74</v>
      </c>
      <c r="N117" s="11">
        <v>0</v>
      </c>
      <c r="O117" s="11">
        <v>0.63</v>
      </c>
      <c r="P117" s="11">
        <v>0</v>
      </c>
      <c r="Q117" s="11">
        <v>2.37</v>
      </c>
      <c r="R117" s="11">
        <v>22.69</v>
      </c>
      <c r="S117" s="11">
        <v>25.06</v>
      </c>
      <c r="T117" s="11">
        <v>2</v>
      </c>
      <c r="U117" s="11">
        <v>3</v>
      </c>
      <c r="V117" s="11">
        <v>20.06</v>
      </c>
      <c r="W117" s="13">
        <v>16</v>
      </c>
      <c r="X117" s="13">
        <v>24</v>
      </c>
      <c r="Y117" s="13" t="str">
        <f>MIN(W117,S117)</f>
        <v>0</v>
      </c>
      <c r="Z117" s="13" t="str">
        <f>MIN(X117,(S117-Y117))</f>
        <v>0</v>
      </c>
      <c r="AA117" s="13" t="str">
        <f>S117-SUM(Y117,Z117)</f>
        <v>0</v>
      </c>
      <c r="AB117" s="15"/>
      <c r="AC117" s="15"/>
      <c r="AD117" s="1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  <c r="PX117" s="5"/>
      <c r="PY117" s="5"/>
      <c r="PZ117" s="5"/>
      <c r="QA117" s="5"/>
      <c r="QB117" s="5"/>
      <c r="QC117" s="5"/>
      <c r="QD117" s="5"/>
      <c r="QE117" s="5"/>
      <c r="QF117" s="5"/>
      <c r="QG117" s="5"/>
      <c r="QH117" s="5"/>
      <c r="QI117" s="5"/>
      <c r="QJ117" s="5"/>
      <c r="QK117" s="5"/>
      <c r="QL117" s="5"/>
      <c r="QM117" s="5"/>
      <c r="QN117" s="5"/>
      <c r="QO117" s="5"/>
      <c r="QP117" s="5"/>
      <c r="QQ117" s="5"/>
      <c r="QR117" s="5"/>
      <c r="QS117" s="5"/>
      <c r="QT117" s="5"/>
      <c r="QU117" s="5"/>
      <c r="QV117" s="5"/>
      <c r="QW117" s="5"/>
      <c r="QX117" s="5"/>
      <c r="QY117" s="5"/>
      <c r="QZ117" s="5"/>
      <c r="RA117" s="5"/>
      <c r="RB117" s="5"/>
      <c r="RC117" s="5"/>
      <c r="RD117" s="5"/>
      <c r="RE117" s="5"/>
      <c r="RF117" s="5"/>
      <c r="RG117" s="5"/>
      <c r="RH117" s="5"/>
      <c r="RI117" s="5"/>
      <c r="RJ117" s="5"/>
      <c r="RK117" s="5"/>
      <c r="RL117" s="5"/>
      <c r="RM117" s="5"/>
      <c r="RN117" s="5"/>
      <c r="RO117" s="5"/>
      <c r="RP117" s="5"/>
      <c r="RQ117" s="5"/>
      <c r="RR117" s="5"/>
      <c r="RS117" s="5"/>
      <c r="RT117" s="5"/>
      <c r="RU117" s="5"/>
      <c r="RV117" s="5"/>
      <c r="RW117" s="5"/>
      <c r="RX117" s="5"/>
      <c r="RY117" s="5"/>
      <c r="RZ117" s="5"/>
      <c r="SA117" s="5"/>
      <c r="SB117" s="5"/>
      <c r="SC117" s="5"/>
      <c r="SD117" s="5"/>
      <c r="SE117" s="5"/>
      <c r="SF117" s="5"/>
      <c r="SG117" s="5"/>
      <c r="SH117" s="5"/>
      <c r="SI117" s="5"/>
      <c r="SJ117" s="5"/>
      <c r="SK117" s="5"/>
      <c r="SL117" s="5"/>
      <c r="SM117" s="5"/>
      <c r="SN117" s="5"/>
      <c r="SO117" s="5"/>
      <c r="SP117" s="5"/>
      <c r="SQ117" s="5"/>
      <c r="SR117" s="5"/>
      <c r="SS117" s="5"/>
      <c r="ST117" s="5"/>
      <c r="SU117" s="5"/>
      <c r="SV117" s="5"/>
      <c r="SW117" s="5"/>
      <c r="SX117" s="5"/>
      <c r="SY117" s="5"/>
      <c r="SZ117" s="5"/>
      <c r="TA117" s="5"/>
      <c r="TB117" s="5"/>
      <c r="TC117" s="5"/>
      <c r="TD117" s="5"/>
      <c r="TE117" s="5"/>
      <c r="TF117" s="5"/>
      <c r="TG117" s="5"/>
      <c r="TH117" s="5"/>
      <c r="TI117" s="5"/>
      <c r="TJ117" s="5"/>
      <c r="TK117" s="5"/>
      <c r="TL117" s="5"/>
      <c r="TM117" s="5"/>
      <c r="TN117" s="5"/>
      <c r="TO117" s="5"/>
      <c r="TP117" s="5"/>
      <c r="TQ117" s="5"/>
      <c r="TR117" s="5"/>
      <c r="TS117" s="5"/>
      <c r="TT117" s="5"/>
      <c r="TU117" s="5"/>
      <c r="TV117" s="5"/>
      <c r="TW117" s="5"/>
      <c r="TX117" s="5"/>
      <c r="TY117" s="5"/>
      <c r="TZ117" s="5"/>
      <c r="UA117" s="5"/>
      <c r="UB117" s="5"/>
      <c r="UC117" s="5"/>
      <c r="UD117" s="5"/>
      <c r="UE117" s="5"/>
      <c r="UF117" s="5"/>
      <c r="UG117" s="5"/>
      <c r="UH117" s="5"/>
      <c r="UI117" s="5"/>
      <c r="UJ117" s="5"/>
      <c r="UK117" s="5"/>
      <c r="UL117" s="5"/>
      <c r="UM117" s="5"/>
      <c r="UN117" s="5"/>
      <c r="UO117" s="5"/>
      <c r="UP117" s="5"/>
      <c r="UQ117" s="5"/>
      <c r="UR117" s="5"/>
      <c r="US117" s="5"/>
      <c r="UT117" s="5"/>
      <c r="UU117" s="5"/>
      <c r="UV117" s="5"/>
      <c r="UW117" s="5"/>
      <c r="UX117" s="5"/>
      <c r="UY117" s="5"/>
      <c r="UZ117" s="5"/>
      <c r="VA117" s="5"/>
      <c r="VB117" s="5"/>
      <c r="VC117" s="5"/>
      <c r="VD117" s="5"/>
      <c r="VE117" s="5"/>
      <c r="VF117" s="5"/>
      <c r="VG117" s="5"/>
      <c r="VH117" s="5"/>
      <c r="VI117" s="5"/>
      <c r="VJ117" s="5"/>
      <c r="VK117" s="5"/>
      <c r="VL117" s="5"/>
      <c r="VM117" s="5"/>
      <c r="VN117" s="5"/>
      <c r="VO117" s="5"/>
      <c r="VP117" s="5"/>
      <c r="VQ117" s="5"/>
      <c r="VR117" s="5"/>
      <c r="VS117" s="5"/>
      <c r="VT117" s="5"/>
      <c r="VU117" s="5"/>
      <c r="VV117" s="5"/>
      <c r="VW117" s="5"/>
      <c r="VX117" s="5"/>
      <c r="VY117" s="5"/>
      <c r="VZ117" s="5"/>
      <c r="WA117" s="5"/>
      <c r="WB117" s="5"/>
      <c r="WC117" s="5"/>
      <c r="WD117" s="5"/>
      <c r="WE117" s="5"/>
      <c r="WF117" s="5"/>
      <c r="WG117" s="5"/>
      <c r="WH117" s="5"/>
      <c r="WI117" s="5"/>
      <c r="WJ117" s="5"/>
      <c r="WK117" s="5"/>
      <c r="WL117" s="5"/>
      <c r="WM117" s="5"/>
      <c r="WN117" s="5"/>
      <c r="WO117" s="5"/>
      <c r="WP117" s="5"/>
      <c r="WQ117" s="5"/>
      <c r="WR117" s="5"/>
      <c r="WS117" s="5"/>
      <c r="WT117" s="5"/>
      <c r="WU117" s="5"/>
      <c r="WV117" s="5"/>
      <c r="WW117" s="5"/>
      <c r="WX117" s="5"/>
      <c r="WY117" s="5"/>
      <c r="WZ117" s="5"/>
      <c r="XA117" s="5"/>
      <c r="XB117" s="5"/>
      <c r="XC117" s="5"/>
      <c r="XD117" s="5"/>
      <c r="XE117" s="5"/>
      <c r="XF117" s="5"/>
      <c r="XG117" s="5"/>
      <c r="XH117" s="5"/>
      <c r="XI117" s="5"/>
      <c r="XJ117" s="5"/>
      <c r="XK117" s="5"/>
      <c r="XL117" s="5"/>
      <c r="XM117" s="5"/>
      <c r="XN117" s="5"/>
      <c r="XO117" s="5"/>
      <c r="XP117" s="5"/>
      <c r="XQ117" s="5"/>
      <c r="XR117" s="5"/>
      <c r="XS117" s="5"/>
      <c r="XT117" s="5"/>
      <c r="XU117" s="5"/>
      <c r="XV117" s="5"/>
      <c r="XW117" s="5"/>
      <c r="XX117" s="5"/>
      <c r="XY117" s="5"/>
      <c r="XZ117" s="5"/>
      <c r="YA117" s="5"/>
      <c r="YB117" s="5"/>
      <c r="YC117" s="5"/>
      <c r="YD117" s="5"/>
      <c r="YE117" s="5"/>
      <c r="YF117" s="5"/>
      <c r="YG117" s="5"/>
      <c r="YH117" s="5"/>
      <c r="YI117" s="5"/>
      <c r="YJ117" s="5"/>
      <c r="YK117" s="5"/>
      <c r="YL117" s="5"/>
      <c r="YM117" s="5"/>
      <c r="YN117" s="5"/>
      <c r="YO117" s="5"/>
      <c r="YP117" s="5"/>
      <c r="YQ117" s="5"/>
      <c r="YR117" s="5"/>
      <c r="YS117" s="5"/>
      <c r="YT117" s="5"/>
      <c r="YU117" s="5"/>
      <c r="YV117" s="5"/>
      <c r="YW117" s="5"/>
      <c r="YX117" s="5"/>
      <c r="YY117" s="5"/>
      <c r="YZ117" s="5"/>
    </row>
    <row r="118" spans="1:676">
      <c r="A118" s="7">
        <v>108</v>
      </c>
      <c r="B118" s="7" t="s">
        <v>289</v>
      </c>
      <c r="C118" s="10" t="s">
        <v>290</v>
      </c>
      <c r="D118" s="7" t="s">
        <v>52</v>
      </c>
      <c r="E118" s="7" t="s">
        <v>221</v>
      </c>
      <c r="F118" s="7" t="s">
        <v>252</v>
      </c>
      <c r="G118" s="7"/>
      <c r="H118" s="7"/>
      <c r="I118" s="11">
        <v>2</v>
      </c>
      <c r="J118" s="11">
        <v>3</v>
      </c>
      <c r="K118" s="11">
        <v>0</v>
      </c>
      <c r="L118" s="11">
        <v>0</v>
      </c>
      <c r="M118" s="11">
        <v>0.49</v>
      </c>
      <c r="N118" s="11">
        <v>0</v>
      </c>
      <c r="O118" s="11">
        <v>0.24</v>
      </c>
      <c r="P118" s="11">
        <v>0.83</v>
      </c>
      <c r="Q118" s="11">
        <v>1.56</v>
      </c>
      <c r="R118" s="11">
        <v>17.23</v>
      </c>
      <c r="S118" s="11">
        <v>18.79</v>
      </c>
      <c r="T118" s="11">
        <v>2</v>
      </c>
      <c r="U118" s="11">
        <v>3</v>
      </c>
      <c r="V118" s="11">
        <v>13.79</v>
      </c>
      <c r="W118" s="13">
        <v>16</v>
      </c>
      <c r="X118" s="13">
        <v>24</v>
      </c>
      <c r="Y118" s="13" t="str">
        <f>MIN(W118,S118)</f>
        <v>0</v>
      </c>
      <c r="Z118" s="13" t="str">
        <f>MIN(X118,(S118-Y118))</f>
        <v>0</v>
      </c>
      <c r="AA118" s="13" t="str">
        <f>S118-SUM(Y118,Z118)</f>
        <v>0</v>
      </c>
      <c r="AB118" s="15"/>
      <c r="AC118" s="15"/>
      <c r="AD118" s="1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  <c r="MN118" s="5"/>
      <c r="MO118" s="5"/>
      <c r="MP118" s="5"/>
      <c r="MQ118" s="5"/>
      <c r="MR118" s="5"/>
      <c r="MS118" s="5"/>
      <c r="MT118" s="5"/>
      <c r="MU118" s="5"/>
      <c r="MV118" s="5"/>
      <c r="MW118" s="5"/>
      <c r="MX118" s="5"/>
      <c r="MY118" s="5"/>
      <c r="MZ118" s="5"/>
      <c r="NA118" s="5"/>
      <c r="NB118" s="5"/>
      <c r="NC118" s="5"/>
      <c r="ND118" s="5"/>
      <c r="NE118" s="5"/>
      <c r="NF118" s="5"/>
      <c r="NG118" s="5"/>
      <c r="NH118" s="5"/>
      <c r="NI118" s="5"/>
      <c r="NJ118" s="5"/>
      <c r="NK118" s="5"/>
      <c r="NL118" s="5"/>
      <c r="NM118" s="5"/>
      <c r="NN118" s="5"/>
      <c r="NO118" s="5"/>
      <c r="NP118" s="5"/>
      <c r="NQ118" s="5"/>
      <c r="NR118" s="5"/>
      <c r="NS118" s="5"/>
      <c r="NT118" s="5"/>
      <c r="NU118" s="5"/>
      <c r="NV118" s="5"/>
      <c r="NW118" s="5"/>
      <c r="NX118" s="5"/>
      <c r="NY118" s="5"/>
      <c r="NZ118" s="5"/>
      <c r="OA118" s="5"/>
      <c r="OB118" s="5"/>
      <c r="OC118" s="5"/>
      <c r="OD118" s="5"/>
      <c r="OE118" s="5"/>
      <c r="OF118" s="5"/>
      <c r="OG118" s="5"/>
      <c r="OH118" s="5"/>
      <c r="OI118" s="5"/>
      <c r="OJ118" s="5"/>
      <c r="OK118" s="5"/>
      <c r="OL118" s="5"/>
      <c r="OM118" s="5"/>
      <c r="ON118" s="5"/>
      <c r="OO118" s="5"/>
      <c r="OP118" s="5"/>
      <c r="OQ118" s="5"/>
      <c r="OR118" s="5"/>
      <c r="OS118" s="5"/>
      <c r="OT118" s="5"/>
      <c r="OU118" s="5"/>
      <c r="OV118" s="5"/>
      <c r="OW118" s="5"/>
      <c r="OX118" s="5"/>
      <c r="OY118" s="5"/>
      <c r="OZ118" s="5"/>
      <c r="PA118" s="5"/>
      <c r="PB118" s="5"/>
      <c r="PC118" s="5"/>
      <c r="PD118" s="5"/>
      <c r="PE118" s="5"/>
      <c r="PF118" s="5"/>
      <c r="PG118" s="5"/>
      <c r="PH118" s="5"/>
      <c r="PI118" s="5"/>
      <c r="PJ118" s="5"/>
      <c r="PK118" s="5"/>
      <c r="PL118" s="5"/>
      <c r="PM118" s="5"/>
      <c r="PN118" s="5"/>
      <c r="PO118" s="5"/>
      <c r="PP118" s="5"/>
      <c r="PQ118" s="5"/>
      <c r="PR118" s="5"/>
      <c r="PS118" s="5"/>
      <c r="PT118" s="5"/>
      <c r="PU118" s="5"/>
      <c r="PV118" s="5"/>
      <c r="PW118" s="5"/>
      <c r="PX118" s="5"/>
      <c r="PY118" s="5"/>
      <c r="PZ118" s="5"/>
      <c r="QA118" s="5"/>
      <c r="QB118" s="5"/>
      <c r="QC118" s="5"/>
      <c r="QD118" s="5"/>
      <c r="QE118" s="5"/>
      <c r="QF118" s="5"/>
      <c r="QG118" s="5"/>
      <c r="QH118" s="5"/>
      <c r="QI118" s="5"/>
      <c r="QJ118" s="5"/>
      <c r="QK118" s="5"/>
      <c r="QL118" s="5"/>
      <c r="QM118" s="5"/>
      <c r="QN118" s="5"/>
      <c r="QO118" s="5"/>
      <c r="QP118" s="5"/>
      <c r="QQ118" s="5"/>
      <c r="QR118" s="5"/>
      <c r="QS118" s="5"/>
      <c r="QT118" s="5"/>
      <c r="QU118" s="5"/>
      <c r="QV118" s="5"/>
      <c r="QW118" s="5"/>
      <c r="QX118" s="5"/>
      <c r="QY118" s="5"/>
      <c r="QZ118" s="5"/>
      <c r="RA118" s="5"/>
      <c r="RB118" s="5"/>
      <c r="RC118" s="5"/>
      <c r="RD118" s="5"/>
      <c r="RE118" s="5"/>
      <c r="RF118" s="5"/>
      <c r="RG118" s="5"/>
      <c r="RH118" s="5"/>
      <c r="RI118" s="5"/>
      <c r="RJ118" s="5"/>
      <c r="RK118" s="5"/>
      <c r="RL118" s="5"/>
      <c r="RM118" s="5"/>
      <c r="RN118" s="5"/>
      <c r="RO118" s="5"/>
      <c r="RP118" s="5"/>
      <c r="RQ118" s="5"/>
      <c r="RR118" s="5"/>
      <c r="RS118" s="5"/>
      <c r="RT118" s="5"/>
      <c r="RU118" s="5"/>
      <c r="RV118" s="5"/>
      <c r="RW118" s="5"/>
      <c r="RX118" s="5"/>
      <c r="RY118" s="5"/>
      <c r="RZ118" s="5"/>
      <c r="SA118" s="5"/>
      <c r="SB118" s="5"/>
      <c r="SC118" s="5"/>
      <c r="SD118" s="5"/>
      <c r="SE118" s="5"/>
      <c r="SF118" s="5"/>
      <c r="SG118" s="5"/>
      <c r="SH118" s="5"/>
      <c r="SI118" s="5"/>
      <c r="SJ118" s="5"/>
      <c r="SK118" s="5"/>
      <c r="SL118" s="5"/>
      <c r="SM118" s="5"/>
      <c r="SN118" s="5"/>
      <c r="SO118" s="5"/>
      <c r="SP118" s="5"/>
      <c r="SQ118" s="5"/>
      <c r="SR118" s="5"/>
      <c r="SS118" s="5"/>
      <c r="ST118" s="5"/>
      <c r="SU118" s="5"/>
      <c r="SV118" s="5"/>
      <c r="SW118" s="5"/>
      <c r="SX118" s="5"/>
      <c r="SY118" s="5"/>
      <c r="SZ118" s="5"/>
      <c r="TA118" s="5"/>
      <c r="TB118" s="5"/>
      <c r="TC118" s="5"/>
      <c r="TD118" s="5"/>
      <c r="TE118" s="5"/>
      <c r="TF118" s="5"/>
      <c r="TG118" s="5"/>
      <c r="TH118" s="5"/>
      <c r="TI118" s="5"/>
      <c r="TJ118" s="5"/>
      <c r="TK118" s="5"/>
      <c r="TL118" s="5"/>
      <c r="TM118" s="5"/>
      <c r="TN118" s="5"/>
      <c r="TO118" s="5"/>
      <c r="TP118" s="5"/>
      <c r="TQ118" s="5"/>
      <c r="TR118" s="5"/>
      <c r="TS118" s="5"/>
      <c r="TT118" s="5"/>
      <c r="TU118" s="5"/>
      <c r="TV118" s="5"/>
      <c r="TW118" s="5"/>
      <c r="TX118" s="5"/>
      <c r="TY118" s="5"/>
      <c r="TZ118" s="5"/>
      <c r="UA118" s="5"/>
      <c r="UB118" s="5"/>
      <c r="UC118" s="5"/>
      <c r="UD118" s="5"/>
      <c r="UE118" s="5"/>
      <c r="UF118" s="5"/>
      <c r="UG118" s="5"/>
      <c r="UH118" s="5"/>
      <c r="UI118" s="5"/>
      <c r="UJ118" s="5"/>
      <c r="UK118" s="5"/>
      <c r="UL118" s="5"/>
      <c r="UM118" s="5"/>
      <c r="UN118" s="5"/>
      <c r="UO118" s="5"/>
      <c r="UP118" s="5"/>
      <c r="UQ118" s="5"/>
      <c r="UR118" s="5"/>
      <c r="US118" s="5"/>
      <c r="UT118" s="5"/>
      <c r="UU118" s="5"/>
      <c r="UV118" s="5"/>
      <c r="UW118" s="5"/>
      <c r="UX118" s="5"/>
      <c r="UY118" s="5"/>
      <c r="UZ118" s="5"/>
      <c r="VA118" s="5"/>
      <c r="VB118" s="5"/>
      <c r="VC118" s="5"/>
      <c r="VD118" s="5"/>
      <c r="VE118" s="5"/>
      <c r="VF118" s="5"/>
      <c r="VG118" s="5"/>
      <c r="VH118" s="5"/>
      <c r="VI118" s="5"/>
      <c r="VJ118" s="5"/>
      <c r="VK118" s="5"/>
      <c r="VL118" s="5"/>
      <c r="VM118" s="5"/>
      <c r="VN118" s="5"/>
      <c r="VO118" s="5"/>
      <c r="VP118" s="5"/>
      <c r="VQ118" s="5"/>
      <c r="VR118" s="5"/>
      <c r="VS118" s="5"/>
      <c r="VT118" s="5"/>
      <c r="VU118" s="5"/>
      <c r="VV118" s="5"/>
      <c r="VW118" s="5"/>
      <c r="VX118" s="5"/>
      <c r="VY118" s="5"/>
      <c r="VZ118" s="5"/>
      <c r="WA118" s="5"/>
      <c r="WB118" s="5"/>
      <c r="WC118" s="5"/>
      <c r="WD118" s="5"/>
      <c r="WE118" s="5"/>
      <c r="WF118" s="5"/>
      <c r="WG118" s="5"/>
      <c r="WH118" s="5"/>
      <c r="WI118" s="5"/>
      <c r="WJ118" s="5"/>
      <c r="WK118" s="5"/>
      <c r="WL118" s="5"/>
      <c r="WM118" s="5"/>
      <c r="WN118" s="5"/>
      <c r="WO118" s="5"/>
      <c r="WP118" s="5"/>
      <c r="WQ118" s="5"/>
      <c r="WR118" s="5"/>
      <c r="WS118" s="5"/>
      <c r="WT118" s="5"/>
      <c r="WU118" s="5"/>
      <c r="WV118" s="5"/>
      <c r="WW118" s="5"/>
      <c r="WX118" s="5"/>
      <c r="WY118" s="5"/>
      <c r="WZ118" s="5"/>
      <c r="XA118" s="5"/>
      <c r="XB118" s="5"/>
      <c r="XC118" s="5"/>
      <c r="XD118" s="5"/>
      <c r="XE118" s="5"/>
      <c r="XF118" s="5"/>
      <c r="XG118" s="5"/>
      <c r="XH118" s="5"/>
      <c r="XI118" s="5"/>
      <c r="XJ118" s="5"/>
      <c r="XK118" s="5"/>
      <c r="XL118" s="5"/>
      <c r="XM118" s="5"/>
      <c r="XN118" s="5"/>
      <c r="XO118" s="5"/>
      <c r="XP118" s="5"/>
      <c r="XQ118" s="5"/>
      <c r="XR118" s="5"/>
      <c r="XS118" s="5"/>
      <c r="XT118" s="5"/>
      <c r="XU118" s="5"/>
      <c r="XV118" s="5"/>
      <c r="XW118" s="5"/>
      <c r="XX118" s="5"/>
      <c r="XY118" s="5"/>
      <c r="XZ118" s="5"/>
      <c r="YA118" s="5"/>
      <c r="YB118" s="5"/>
      <c r="YC118" s="5"/>
      <c r="YD118" s="5"/>
      <c r="YE118" s="5"/>
      <c r="YF118" s="5"/>
      <c r="YG118" s="5"/>
      <c r="YH118" s="5"/>
      <c r="YI118" s="5"/>
      <c r="YJ118" s="5"/>
      <c r="YK118" s="5"/>
      <c r="YL118" s="5"/>
      <c r="YM118" s="5"/>
      <c r="YN118" s="5"/>
      <c r="YO118" s="5"/>
      <c r="YP118" s="5"/>
      <c r="YQ118" s="5"/>
      <c r="YR118" s="5"/>
      <c r="YS118" s="5"/>
      <c r="YT118" s="5"/>
      <c r="YU118" s="5"/>
      <c r="YV118" s="5"/>
      <c r="YW118" s="5"/>
      <c r="YX118" s="5"/>
      <c r="YY118" s="5"/>
      <c r="YZ118" s="5"/>
    </row>
    <row r="119" spans="1:676">
      <c r="A119" s="7">
        <v>109</v>
      </c>
      <c r="B119" s="7" t="s">
        <v>291</v>
      </c>
      <c r="C119" s="10" t="s">
        <v>292</v>
      </c>
      <c r="D119" s="7" t="s">
        <v>57</v>
      </c>
      <c r="E119" s="7" t="s">
        <v>221</v>
      </c>
      <c r="F119" s="7" t="s">
        <v>252</v>
      </c>
      <c r="G119" s="7"/>
      <c r="H119" s="7"/>
      <c r="I119" s="11">
        <v>2</v>
      </c>
      <c r="J119" s="11">
        <v>3</v>
      </c>
      <c r="K119" s="11">
        <v>0</v>
      </c>
      <c r="L119" s="11">
        <v>0</v>
      </c>
      <c r="M119" s="11">
        <v>0.64</v>
      </c>
      <c r="N119" s="11">
        <v>0</v>
      </c>
      <c r="O119" s="11">
        <v>0</v>
      </c>
      <c r="P119" s="11">
        <v>0</v>
      </c>
      <c r="Q119" s="11">
        <v>0.64</v>
      </c>
      <c r="R119" s="11">
        <v>9.77</v>
      </c>
      <c r="S119" s="11">
        <v>10.41</v>
      </c>
      <c r="T119" s="11">
        <v>2</v>
      </c>
      <c r="U119" s="11">
        <v>3</v>
      </c>
      <c r="V119" s="11">
        <v>5.41</v>
      </c>
      <c r="W119" s="13">
        <v>16</v>
      </c>
      <c r="X119" s="13">
        <v>24</v>
      </c>
      <c r="Y119" s="13" t="str">
        <f>MIN(W119,S119)</f>
        <v>0</v>
      </c>
      <c r="Z119" s="13" t="str">
        <f>MIN(X119,(S119-Y119))</f>
        <v>0</v>
      </c>
      <c r="AA119" s="13" t="str">
        <f>S119-SUM(Y119,Z119)</f>
        <v>0</v>
      </c>
      <c r="AB119" s="15"/>
      <c r="AC119" s="15"/>
      <c r="AD119" s="1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5"/>
      <c r="LB119" s="5"/>
      <c r="LC119" s="5"/>
      <c r="LD119" s="5"/>
      <c r="LE119" s="5"/>
      <c r="LF119" s="5"/>
      <c r="LG119" s="5"/>
      <c r="LH119" s="5"/>
      <c r="LI119" s="5"/>
      <c r="LJ119" s="5"/>
      <c r="LK119" s="5"/>
      <c r="LL119" s="5"/>
      <c r="LM119" s="5"/>
      <c r="LN119" s="5"/>
      <c r="LO119" s="5"/>
      <c r="LP119" s="5"/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  <c r="ML119" s="5"/>
      <c r="MM119" s="5"/>
      <c r="MN119" s="5"/>
      <c r="MO119" s="5"/>
      <c r="MP119" s="5"/>
      <c r="MQ119" s="5"/>
      <c r="MR119" s="5"/>
      <c r="MS119" s="5"/>
      <c r="MT119" s="5"/>
      <c r="MU119" s="5"/>
      <c r="MV119" s="5"/>
      <c r="MW119" s="5"/>
      <c r="MX119" s="5"/>
      <c r="MY119" s="5"/>
      <c r="MZ119" s="5"/>
      <c r="NA119" s="5"/>
      <c r="NB119" s="5"/>
      <c r="NC119" s="5"/>
      <c r="ND119" s="5"/>
      <c r="NE119" s="5"/>
      <c r="NF119" s="5"/>
      <c r="NG119" s="5"/>
      <c r="NH119" s="5"/>
      <c r="NI119" s="5"/>
      <c r="NJ119" s="5"/>
      <c r="NK119" s="5"/>
      <c r="NL119" s="5"/>
      <c r="NM119" s="5"/>
      <c r="NN119" s="5"/>
      <c r="NO119" s="5"/>
      <c r="NP119" s="5"/>
      <c r="NQ119" s="5"/>
      <c r="NR119" s="5"/>
      <c r="NS119" s="5"/>
      <c r="NT119" s="5"/>
      <c r="NU119" s="5"/>
      <c r="NV119" s="5"/>
      <c r="NW119" s="5"/>
      <c r="NX119" s="5"/>
      <c r="NY119" s="5"/>
      <c r="NZ119" s="5"/>
      <c r="OA119" s="5"/>
      <c r="OB119" s="5"/>
      <c r="OC119" s="5"/>
      <c r="OD119" s="5"/>
      <c r="OE119" s="5"/>
      <c r="OF119" s="5"/>
      <c r="OG119" s="5"/>
      <c r="OH119" s="5"/>
      <c r="OI119" s="5"/>
      <c r="OJ119" s="5"/>
      <c r="OK119" s="5"/>
      <c r="OL119" s="5"/>
      <c r="OM119" s="5"/>
      <c r="ON119" s="5"/>
      <c r="OO119" s="5"/>
      <c r="OP119" s="5"/>
      <c r="OQ119" s="5"/>
      <c r="OR119" s="5"/>
      <c r="OS119" s="5"/>
      <c r="OT119" s="5"/>
      <c r="OU119" s="5"/>
      <c r="OV119" s="5"/>
      <c r="OW119" s="5"/>
      <c r="OX119" s="5"/>
      <c r="OY119" s="5"/>
      <c r="OZ119" s="5"/>
      <c r="PA119" s="5"/>
      <c r="PB119" s="5"/>
      <c r="PC119" s="5"/>
      <c r="PD119" s="5"/>
      <c r="PE119" s="5"/>
      <c r="PF119" s="5"/>
      <c r="PG119" s="5"/>
      <c r="PH119" s="5"/>
      <c r="PI119" s="5"/>
      <c r="PJ119" s="5"/>
      <c r="PK119" s="5"/>
      <c r="PL119" s="5"/>
      <c r="PM119" s="5"/>
      <c r="PN119" s="5"/>
      <c r="PO119" s="5"/>
      <c r="PP119" s="5"/>
      <c r="PQ119" s="5"/>
      <c r="PR119" s="5"/>
      <c r="PS119" s="5"/>
      <c r="PT119" s="5"/>
      <c r="PU119" s="5"/>
      <c r="PV119" s="5"/>
      <c r="PW119" s="5"/>
      <c r="PX119" s="5"/>
      <c r="PY119" s="5"/>
      <c r="PZ119" s="5"/>
      <c r="QA119" s="5"/>
      <c r="QB119" s="5"/>
      <c r="QC119" s="5"/>
      <c r="QD119" s="5"/>
      <c r="QE119" s="5"/>
      <c r="QF119" s="5"/>
      <c r="QG119" s="5"/>
      <c r="QH119" s="5"/>
      <c r="QI119" s="5"/>
      <c r="QJ119" s="5"/>
      <c r="QK119" s="5"/>
      <c r="QL119" s="5"/>
      <c r="QM119" s="5"/>
      <c r="QN119" s="5"/>
      <c r="QO119" s="5"/>
      <c r="QP119" s="5"/>
      <c r="QQ119" s="5"/>
      <c r="QR119" s="5"/>
      <c r="QS119" s="5"/>
      <c r="QT119" s="5"/>
      <c r="QU119" s="5"/>
      <c r="QV119" s="5"/>
      <c r="QW119" s="5"/>
      <c r="QX119" s="5"/>
      <c r="QY119" s="5"/>
      <c r="QZ119" s="5"/>
      <c r="RA119" s="5"/>
      <c r="RB119" s="5"/>
      <c r="RC119" s="5"/>
      <c r="RD119" s="5"/>
      <c r="RE119" s="5"/>
      <c r="RF119" s="5"/>
      <c r="RG119" s="5"/>
      <c r="RH119" s="5"/>
      <c r="RI119" s="5"/>
      <c r="RJ119" s="5"/>
      <c r="RK119" s="5"/>
      <c r="RL119" s="5"/>
      <c r="RM119" s="5"/>
      <c r="RN119" s="5"/>
      <c r="RO119" s="5"/>
      <c r="RP119" s="5"/>
      <c r="RQ119" s="5"/>
      <c r="RR119" s="5"/>
      <c r="RS119" s="5"/>
      <c r="RT119" s="5"/>
      <c r="RU119" s="5"/>
      <c r="RV119" s="5"/>
      <c r="RW119" s="5"/>
      <c r="RX119" s="5"/>
      <c r="RY119" s="5"/>
      <c r="RZ119" s="5"/>
      <c r="SA119" s="5"/>
      <c r="SB119" s="5"/>
      <c r="SC119" s="5"/>
      <c r="SD119" s="5"/>
      <c r="SE119" s="5"/>
      <c r="SF119" s="5"/>
      <c r="SG119" s="5"/>
      <c r="SH119" s="5"/>
      <c r="SI119" s="5"/>
      <c r="SJ119" s="5"/>
      <c r="SK119" s="5"/>
      <c r="SL119" s="5"/>
      <c r="SM119" s="5"/>
      <c r="SN119" s="5"/>
      <c r="SO119" s="5"/>
      <c r="SP119" s="5"/>
      <c r="SQ119" s="5"/>
      <c r="SR119" s="5"/>
      <c r="SS119" s="5"/>
      <c r="ST119" s="5"/>
      <c r="SU119" s="5"/>
      <c r="SV119" s="5"/>
      <c r="SW119" s="5"/>
      <c r="SX119" s="5"/>
      <c r="SY119" s="5"/>
      <c r="SZ119" s="5"/>
      <c r="TA119" s="5"/>
      <c r="TB119" s="5"/>
      <c r="TC119" s="5"/>
      <c r="TD119" s="5"/>
      <c r="TE119" s="5"/>
      <c r="TF119" s="5"/>
      <c r="TG119" s="5"/>
      <c r="TH119" s="5"/>
      <c r="TI119" s="5"/>
      <c r="TJ119" s="5"/>
      <c r="TK119" s="5"/>
      <c r="TL119" s="5"/>
      <c r="TM119" s="5"/>
      <c r="TN119" s="5"/>
      <c r="TO119" s="5"/>
      <c r="TP119" s="5"/>
      <c r="TQ119" s="5"/>
      <c r="TR119" s="5"/>
      <c r="TS119" s="5"/>
      <c r="TT119" s="5"/>
      <c r="TU119" s="5"/>
      <c r="TV119" s="5"/>
      <c r="TW119" s="5"/>
      <c r="TX119" s="5"/>
      <c r="TY119" s="5"/>
      <c r="TZ119" s="5"/>
      <c r="UA119" s="5"/>
      <c r="UB119" s="5"/>
      <c r="UC119" s="5"/>
      <c r="UD119" s="5"/>
      <c r="UE119" s="5"/>
      <c r="UF119" s="5"/>
      <c r="UG119" s="5"/>
      <c r="UH119" s="5"/>
      <c r="UI119" s="5"/>
      <c r="UJ119" s="5"/>
      <c r="UK119" s="5"/>
      <c r="UL119" s="5"/>
      <c r="UM119" s="5"/>
      <c r="UN119" s="5"/>
      <c r="UO119" s="5"/>
      <c r="UP119" s="5"/>
      <c r="UQ119" s="5"/>
      <c r="UR119" s="5"/>
      <c r="US119" s="5"/>
      <c r="UT119" s="5"/>
      <c r="UU119" s="5"/>
      <c r="UV119" s="5"/>
      <c r="UW119" s="5"/>
      <c r="UX119" s="5"/>
      <c r="UY119" s="5"/>
      <c r="UZ119" s="5"/>
      <c r="VA119" s="5"/>
      <c r="VB119" s="5"/>
      <c r="VC119" s="5"/>
      <c r="VD119" s="5"/>
      <c r="VE119" s="5"/>
      <c r="VF119" s="5"/>
      <c r="VG119" s="5"/>
      <c r="VH119" s="5"/>
      <c r="VI119" s="5"/>
      <c r="VJ119" s="5"/>
      <c r="VK119" s="5"/>
      <c r="VL119" s="5"/>
      <c r="VM119" s="5"/>
      <c r="VN119" s="5"/>
      <c r="VO119" s="5"/>
      <c r="VP119" s="5"/>
      <c r="VQ119" s="5"/>
      <c r="VR119" s="5"/>
      <c r="VS119" s="5"/>
      <c r="VT119" s="5"/>
      <c r="VU119" s="5"/>
      <c r="VV119" s="5"/>
      <c r="VW119" s="5"/>
      <c r="VX119" s="5"/>
      <c r="VY119" s="5"/>
      <c r="VZ119" s="5"/>
      <c r="WA119" s="5"/>
      <c r="WB119" s="5"/>
      <c r="WC119" s="5"/>
      <c r="WD119" s="5"/>
      <c r="WE119" s="5"/>
      <c r="WF119" s="5"/>
      <c r="WG119" s="5"/>
      <c r="WH119" s="5"/>
      <c r="WI119" s="5"/>
      <c r="WJ119" s="5"/>
      <c r="WK119" s="5"/>
      <c r="WL119" s="5"/>
      <c r="WM119" s="5"/>
      <c r="WN119" s="5"/>
      <c r="WO119" s="5"/>
      <c r="WP119" s="5"/>
      <c r="WQ119" s="5"/>
      <c r="WR119" s="5"/>
      <c r="WS119" s="5"/>
      <c r="WT119" s="5"/>
      <c r="WU119" s="5"/>
      <c r="WV119" s="5"/>
      <c r="WW119" s="5"/>
      <c r="WX119" s="5"/>
      <c r="WY119" s="5"/>
      <c r="WZ119" s="5"/>
      <c r="XA119" s="5"/>
      <c r="XB119" s="5"/>
      <c r="XC119" s="5"/>
      <c r="XD119" s="5"/>
      <c r="XE119" s="5"/>
      <c r="XF119" s="5"/>
      <c r="XG119" s="5"/>
      <c r="XH119" s="5"/>
      <c r="XI119" s="5"/>
      <c r="XJ119" s="5"/>
      <c r="XK119" s="5"/>
      <c r="XL119" s="5"/>
      <c r="XM119" s="5"/>
      <c r="XN119" s="5"/>
      <c r="XO119" s="5"/>
      <c r="XP119" s="5"/>
      <c r="XQ119" s="5"/>
      <c r="XR119" s="5"/>
      <c r="XS119" s="5"/>
      <c r="XT119" s="5"/>
      <c r="XU119" s="5"/>
      <c r="XV119" s="5"/>
      <c r="XW119" s="5"/>
      <c r="XX119" s="5"/>
      <c r="XY119" s="5"/>
      <c r="XZ119" s="5"/>
      <c r="YA119" s="5"/>
      <c r="YB119" s="5"/>
      <c r="YC119" s="5"/>
      <c r="YD119" s="5"/>
      <c r="YE119" s="5"/>
      <c r="YF119" s="5"/>
      <c r="YG119" s="5"/>
      <c r="YH119" s="5"/>
      <c r="YI119" s="5"/>
      <c r="YJ119" s="5"/>
      <c r="YK119" s="5"/>
      <c r="YL119" s="5"/>
      <c r="YM119" s="5"/>
      <c r="YN119" s="5"/>
      <c r="YO119" s="5"/>
      <c r="YP119" s="5"/>
      <c r="YQ119" s="5"/>
      <c r="YR119" s="5"/>
      <c r="YS119" s="5"/>
      <c r="YT119" s="5"/>
      <c r="YU119" s="5"/>
      <c r="YV119" s="5"/>
      <c r="YW119" s="5"/>
      <c r="YX119" s="5"/>
      <c r="YY119" s="5"/>
      <c r="YZ119" s="5"/>
    </row>
    <row r="123" spans="1:676">
      <c r="A123" s="16"/>
      <c r="B123" s="16" t="s">
        <v>293</v>
      </c>
      <c r="C123" s="16"/>
      <c r="D123" s="16"/>
      <c r="E123" s="16"/>
      <c r="F123" s="16"/>
      <c r="G123" s="16"/>
      <c r="H123" s="16"/>
      <c r="I123" s="16" t="s">
        <v>294</v>
      </c>
      <c r="J123" s="16"/>
      <c r="K123" s="16"/>
      <c r="L123" s="16"/>
      <c r="M123" s="16"/>
      <c r="N123" s="16"/>
      <c r="O123" s="16"/>
      <c r="P123" s="16"/>
      <c r="Q123" s="16"/>
    </row>
    <row r="124" spans="1:676">
      <c r="A124" s="16"/>
      <c r="B124" s="16" t="s">
        <v>295</v>
      </c>
      <c r="C124" s="16"/>
      <c r="D124" s="16"/>
      <c r="E124" s="16"/>
      <c r="F124" s="16"/>
      <c r="G124" s="16"/>
      <c r="H124" s="16"/>
      <c r="I124" s="16" t="s">
        <v>296</v>
      </c>
      <c r="J124" s="16"/>
      <c r="K124" s="16"/>
      <c r="L124" s="16"/>
      <c r="M124" s="16"/>
      <c r="N124" s="16"/>
      <c r="O124" s="16"/>
      <c r="P124" s="16"/>
      <c r="Q124" s="16"/>
    </row>
    <row r="125" spans="1:676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</row>
    <row r="126" spans="1:676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</row>
    <row r="127" spans="1:676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</row>
    <row r="128" spans="1:676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</row>
    <row r="129" spans="1:676">
      <c r="A129" s="16"/>
      <c r="B129" s="16" t="s">
        <v>297</v>
      </c>
      <c r="C129" s="16"/>
      <c r="D129" s="16"/>
      <c r="E129" s="16"/>
      <c r="F129" s="16"/>
      <c r="G129" s="16"/>
      <c r="H129" s="16"/>
      <c r="I129" s="16" t="s">
        <v>298</v>
      </c>
      <c r="J129" s="16"/>
      <c r="K129" s="16"/>
      <c r="L129" s="16"/>
      <c r="M129" s="16"/>
      <c r="N129" s="16"/>
      <c r="O129" s="16"/>
      <c r="P129" s="16"/>
      <c r="Q129" s="16"/>
    </row>
    <row r="130" spans="1:676">
      <c r="A130" s="16"/>
      <c r="B130" s="16" t="s">
        <v>299</v>
      </c>
      <c r="C130" s="16"/>
      <c r="D130" s="16"/>
      <c r="E130" s="16"/>
      <c r="F130" s="16"/>
      <c r="G130" s="16"/>
      <c r="H130" s="16"/>
      <c r="I130" s="16" t="s">
        <v>299</v>
      </c>
      <c r="J130" s="16"/>
      <c r="K130" s="16"/>
      <c r="L130" s="16"/>
      <c r="M130" s="16"/>
      <c r="N130" s="16"/>
      <c r="O130" s="16"/>
      <c r="P130" s="16"/>
      <c r="Q130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Agustus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2020-09-07T17:26:10+07:00</dcterms:created>
  <dcterms:modified xsi:type="dcterms:W3CDTF">2020-09-07T17:26:10+07:00</dcterms:modified>
  <dc:title>Untitled Spreadsheet</dc:title>
  <dc:description/>
  <dc:subject/>
  <cp:keywords/>
  <cp:category/>
</cp:coreProperties>
</file>