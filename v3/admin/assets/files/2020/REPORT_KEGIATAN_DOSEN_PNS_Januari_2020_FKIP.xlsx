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<sst xmlns="http://schemas.openxmlformats.org/spreadsheetml/2006/main" uniqueCount="521">
  <si>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</si>
  <si>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</si>
  <si>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</si>
  <si>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</si>
  <si>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</si>
  <si>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</si>
  <si>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</si>
  <si>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</si>
  <si>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</si>
  <si>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</si>
  <si>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</si>
  <si>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</si>
  <si>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</si>
  <si>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</si>
  <si>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</si>
  <si>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</si>
  <si>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</si>
  <si>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</si>
  <si>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</si>
  <si>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</si>
  <si>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</si>
  <si>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</si>
  <si>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</si>
  <si>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</si>
  <si>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</si>
  <si>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</si>
  <si>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</si>
  <si>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</si>
  <si>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</si>
  <si>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</si>
  <si>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</si>
  <si>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</si>
  <si>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</si>
  <si>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</si>
  <si>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</si>
  <si>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</si>
  <si>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</si>
  <si>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</si>
  <si>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</si>
  <si>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</si>
  <si>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</si>
  <si>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</si>
  <si>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</si>
  <si>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</si>
  <si>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</si>
  <si>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</si>
  <si>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</si>
  <si>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</si>
  <si>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Tidak ada jabatan struktural</t>
  </si>
  <si>
    <t>196405211989031003</t>
  </si>
  <si>
    <t>PROF. DR. FIRDAUS (LIONG A HENG), M.SI</t>
  </si>
  <si>
    <t>Pendidikan Biologi</t>
  </si>
  <si>
    <t>197606182006042003</t>
  </si>
  <si>
    <t>PROF. DR. HENNY INDRAWATI, SP, MM</t>
  </si>
  <si>
    <t>IV/a</t>
  </si>
  <si>
    <t>196010131986031002</t>
  </si>
  <si>
    <t>PROF. DR. M. NUR MUSTAFA, M.Pd</t>
  </si>
  <si>
    <t>Wakil Rektor 1 Gol. IV</t>
  </si>
  <si>
    <t>196011121987031004</t>
  </si>
  <si>
    <t>PROF. DR. MAHDUM, M. Pd</t>
  </si>
  <si>
    <t>Pendidikan Bahasa Inggris</t>
  </si>
  <si>
    <t>IV/b</t>
  </si>
  <si>
    <t>Dekan A Gol. IV</t>
  </si>
  <si>
    <t>196101091993122001</t>
  </si>
  <si>
    <t>PROF. DR. YUSTINA, M.SI</t>
  </si>
  <si>
    <t>IV/c</t>
  </si>
  <si>
    <t>195206271979031002</t>
  </si>
  <si>
    <t>PROF. DR. ZULFAN SAAM, SU</t>
  </si>
  <si>
    <t>Bimbingan Konseling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</si>
  <si>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</si>
  <si>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</si>
  <si>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</si>
  <si>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</si>
  <si>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</si>
  <si>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</si>
  <si>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</si>
  <si>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</si>
  <si>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</si>
  <si>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</si>
  <si>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</si>
  <si>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</si>
  <si>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</si>
  <si>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Wakil Dekan I A Gol. IV</t>
  </si>
  <si>
    <t>195708181983031003</t>
  </si>
  <si>
    <t>Prof. Dr. FADLY AZHAR, Dipl., M.Ed</t>
  </si>
  <si>
    <t>195911061990031003</t>
  </si>
  <si>
    <t>DR. ASMADI MUHAMMAD NOER, M.Sc</t>
  </si>
  <si>
    <t>Lektor Kepala Gol. IV</t>
  </si>
  <si>
    <t>196210041986032002</t>
  </si>
  <si>
    <t>DR. ATMA MURNI, M.PD</t>
  </si>
  <si>
    <t>Pendidikan Matematika</t>
  </si>
  <si>
    <t>196801011994021006</t>
  </si>
  <si>
    <t>DR. AZHAR, S.PD, MT</t>
  </si>
  <si>
    <t>Pendidikan Fisika</t>
  </si>
  <si>
    <t>196810111993032001</t>
  </si>
  <si>
    <t>DR. CHARLINA, M.HUM</t>
  </si>
  <si>
    <t>Sekretaris Jurusan A</t>
  </si>
  <si>
    <t>196103171986011003</t>
  </si>
  <si>
    <t>DR. DAENG AYUB, M. Pd</t>
  </si>
  <si>
    <t>Pendidikan Luar Sekolah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</si>
  <si>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</si>
  <si>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</si>
  <si>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</si>
  <si>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</si>
  <si>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</si>
  <si>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</si>
  <si>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195510051981031009</t>
  </si>
  <si>
    <t>DR. FAKHRI RAS, M.ED</t>
  </si>
  <si>
    <t>Kepala UPT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</si>
  <si>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</si>
  <si>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</si>
  <si>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</si>
  <si>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</si>
  <si>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</si>
  <si>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</si>
  <si>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Ketua Jurusan A Gol. IV</t>
  </si>
  <si>
    <t>196606221991031005</t>
  </si>
  <si>
    <t>DR. HAMBALI, M.SI</t>
  </si>
  <si>
    <t>Pendidikan Pancasila Dan Kewarganegaraan</t>
  </si>
  <si>
    <t>196302151988112001</t>
  </si>
  <si>
    <t>DR. INDAH TRI PURWANTI, M.App.Ling</t>
  </si>
  <si>
    <t>196712011998021001</t>
  </si>
  <si>
    <t>DR. JISMULATIF, M.HUM</t>
  </si>
  <si>
    <t>196806141997021001</t>
  </si>
  <si>
    <t>DR. M. RAHMAD, M.SI</t>
  </si>
  <si>
    <t>196110171987021001</t>
  </si>
  <si>
    <t>DR. NAHOR M. HUTAPEA, M. PD</t>
  </si>
  <si>
    <t>196310261986022001</t>
  </si>
  <si>
    <t>DR. PUTRI YUANITA, MEd</t>
  </si>
  <si>
    <t>196704252014092001</t>
  </si>
  <si>
    <t>DR. RITA KURNIA, M. Ed</t>
  </si>
  <si>
    <t>Pendidikan Guru Pendidikan Anak Usia Dini</t>
  </si>
  <si>
    <t>III/c</t>
  </si>
  <si>
    <t>Lektor Kepala Gol. III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</si>
  <si>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</si>
  <si>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</si>
  <si>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</si>
  <si>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</si>
  <si>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</si>
  <si>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</si>
  <si>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196512201991032003</t>
  </si>
  <si>
    <t>DR. SRI WULANDARI, M.SI</t>
  </si>
  <si>
    <t>195703091985031001</t>
  </si>
  <si>
    <t>DR. SUMARDI, M.SI</t>
  </si>
  <si>
    <t>196202091998031001</t>
  </si>
  <si>
    <t>DR. SUMARNO, M.PD</t>
  </si>
  <si>
    <t>Wakil Dekan II A Gol. IV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</si>
  <si>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</si>
  <si>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</si>
  <si>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</si>
  <si>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</si>
  <si>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</si>
  <si>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</si>
  <si>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</si>
  <si>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</si>
  <si>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</si>
  <si>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Koordinator Program Studi B</t>
  </si>
  <si>
    <t>196506261990021001</t>
  </si>
  <si>
    <t>DR. ZULKARNAIN, M.PD</t>
  </si>
  <si>
    <t>Wakil Direktur Pascasarjana Gol. IV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</si>
  <si>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</si>
  <si>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</si>
  <si>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</si>
  <si>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</si>
  <si>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</si>
  <si>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</si>
  <si>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</si>
  <si>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</si>
  <si>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</si>
  <si>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</si>
  <si>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</si>
  <si>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</si>
  <si>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</si>
  <si>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</si>
  <si>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</si>
  <si>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</si>
  <si>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</si>
  <si>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</si>
  <si>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</si>
  <si>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</si>
  <si>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</si>
  <si>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</si>
  <si>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</si>
  <si>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</si>
  <si>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</si>
  <si>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</si>
  <si>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</si>
  <si>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</si>
  <si>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</si>
  <si>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</si>
  <si>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</si>
  <si>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</si>
  <si>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195706201983032001</t>
  </si>
  <si>
    <t>DRA. TITI MAIMUNATY, M.SI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</si>
  <si>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</si>
  <si>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</si>
  <si>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</si>
  <si>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</si>
  <si>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</si>
  <si>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</si>
  <si>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</si>
  <si>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</si>
  <si>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</si>
  <si>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</si>
  <si>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</si>
  <si>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</si>
  <si>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</si>
  <si>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</si>
  <si>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</si>
  <si>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</si>
  <si>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</si>
  <si>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</si>
  <si>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</si>
  <si>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</si>
  <si>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195811061986011002</t>
  </si>
  <si>
    <t>DRS. SAID SUHIL ACHMAD, M.PD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</si>
  <si>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</si>
  <si>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</si>
  <si>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</si>
  <si>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</si>
  <si>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</si>
  <si>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</si>
  <si>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197312111998022001</t>
  </si>
  <si>
    <t>Dr. AZIZAHWATI, S.SI,M.SI</t>
  </si>
  <si>
    <t>196612311994032003</t>
  </si>
  <si>
    <t>Dr. ERNI, S.PD, M.HUM</t>
  </si>
  <si>
    <t>197005151999031001</t>
  </si>
  <si>
    <t>Dr. FAKHRUDDIN, S.Si, MT</t>
  </si>
  <si>
    <t>195912081986021002</t>
  </si>
  <si>
    <t>Dr. H. SUARMAN, M.Pd</t>
  </si>
  <si>
    <t>197712232008011010</t>
  </si>
  <si>
    <t>Dr. HERMANDRA, S.PD, MA</t>
  </si>
  <si>
    <t>III/d</t>
  </si>
  <si>
    <t>Wakil Dekan III A Gol. III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</si>
  <si>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</si>
  <si>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</si>
  <si>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</si>
  <si>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</si>
  <si>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</si>
  <si>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</si>
  <si>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</si>
  <si>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</si>
  <si>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</si>
  <si>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</si>
  <si>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</si>
  <si>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</si>
  <si>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</si>
  <si>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</si>
  <si>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</si>
  <si>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</si>
  <si>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196203191986032001</t>
  </si>
  <si>
    <t>Dra. Hj. ELNI YAKUB, M.S</t>
  </si>
  <si>
    <t>195712051983031001</t>
  </si>
  <si>
    <t>Drs. H. ASWANDI BAHAR, M. Lib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</si>
  <si>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</si>
  <si>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</si>
  <si>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</si>
  <si>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</si>
  <si>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</si>
  <si>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</si>
  <si>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197007301999032002</t>
  </si>
  <si>
    <t>Sri Erlinda, S.IP, M.Si</t>
  </si>
  <si>
    <t>197006131998021002</t>
  </si>
  <si>
    <t>ABDULLAH, S.Si, M.Si</t>
  </si>
  <si>
    <t>Lektor Gol. III</t>
  </si>
  <si>
    <t>198510222015041001</t>
  </si>
  <si>
    <t>AGUS SULASTIO, S.Pd, M.Pd</t>
  </si>
  <si>
    <t>Pendidikan Kepelatihan Olahraga</t>
  </si>
  <si>
    <t>III/b</t>
  </si>
  <si>
    <t>197910162008122002</t>
  </si>
  <si>
    <t>ARDIAH JUITA, M.PD</t>
  </si>
  <si>
    <t>Pendidikan Jasmani, Kesehatan Dan Rekreas</t>
  </si>
  <si>
    <t>198501042015041001</t>
  </si>
  <si>
    <t>AREF VAI, S.Pd, M.Pd</t>
  </si>
  <si>
    <t>197506202008121002</t>
  </si>
  <si>
    <t>DR. AFRIANTO, M.ED</t>
  </si>
  <si>
    <t>198109132008011011</t>
  </si>
  <si>
    <t>DR. AHMAL, S.PD, M. Hum</t>
  </si>
  <si>
    <t>197607052009121002</t>
  </si>
  <si>
    <t>DR. DAVIQ CHAIRILSYAH, S.PI, M.PSI</t>
  </si>
  <si>
    <t>196504161990031005</t>
  </si>
  <si>
    <t>DR. DUDUNG BURHANUDDIN, M.PD</t>
  </si>
  <si>
    <t>196211091992032001</t>
  </si>
  <si>
    <t>DR. HJ. NOVITRI, M.App.L</t>
  </si>
  <si>
    <t>197206031999032003</t>
  </si>
  <si>
    <t>DR. LENNY ANWAR S, S.Si, M.Si</t>
  </si>
  <si>
    <t>196201151987022001</t>
  </si>
  <si>
    <t>DR. MAIMUNAH, M.SI</t>
  </si>
  <si>
    <t>196309131989031002</t>
  </si>
  <si>
    <t>DR. MOCHAMAD YUSUF, MPD</t>
  </si>
  <si>
    <t>196207191986032002</t>
  </si>
  <si>
    <t>DR. RASMIWETTI, MS</t>
  </si>
  <si>
    <t>197401162000122001</t>
  </si>
  <si>
    <t>DR. ROZA LINDA, S.SI, M.SI</t>
  </si>
  <si>
    <t>197704042005011004</t>
  </si>
  <si>
    <t>DR. SYAHRIL, S.SI, MT</t>
  </si>
  <si>
    <t>196006251986012003</t>
  </si>
  <si>
    <t>DRA. GUSTIMAL W GAZALI, M.PD</t>
  </si>
  <si>
    <t>Pendidikan Guru Sekolah Dasar</t>
  </si>
  <si>
    <t>196207121988022001</t>
  </si>
  <si>
    <t>DRA. MUNJIATUN, M.PD</t>
  </si>
  <si>
    <t>196504211993031001</t>
  </si>
  <si>
    <t>DRS. AHMAD EDDISON, M.SI</t>
  </si>
  <si>
    <t>Lektor Gol. IV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</si>
  <si>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</si>
  <si>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</si>
  <si>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</si>
  <si>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</si>
  <si>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</si>
  <si>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</si>
  <si>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195512191980121001</t>
  </si>
  <si>
    <t>DRS. LAZIM. N, M.PD</t>
  </si>
  <si>
    <t>196107211988111002</t>
  </si>
  <si>
    <t>DRS. M. SYARFI, MA.DILP. IT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</si>
  <si>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</si>
  <si>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</si>
  <si>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</si>
  <si>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</si>
  <si>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</si>
  <si>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</si>
  <si>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Ketua Jurusan A Gol. III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</si>
  <si>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</si>
  <si>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</si>
  <si>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</si>
  <si>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</si>
  <si>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</si>
  <si>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</si>
  <si>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</si>
  <si>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</si>
  <si>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</si>
  <si>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</si>
  <si>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196506211991031004</t>
  </si>
  <si>
    <t>DRS. ZARIUL ANTOSA, M.SN</t>
  </si>
  <si>
    <t>196711241998021001</t>
  </si>
  <si>
    <t>Dr. DAHNIL SYAH, SS, M, A</t>
  </si>
  <si>
    <t>III/a</t>
  </si>
  <si>
    <t>197304022000032002</t>
  </si>
  <si>
    <t>Dr. FITRA SUZANTI, S.SI, M.SI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</si>
  <si>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</si>
  <si>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</si>
  <si>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</si>
  <si>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</si>
  <si>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</si>
  <si>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</si>
  <si>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</si>
  <si>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</si>
  <si>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</si>
  <si>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</si>
  <si>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195902081987032002</t>
  </si>
  <si>
    <t>Dra. Hj. Elya Pebrita, M.Si</t>
  </si>
  <si>
    <t>195611161986012001</t>
  </si>
  <si>
    <t>Dra. ROSMAWATI. SS, M. Pd. Kons</t>
  </si>
  <si>
    <t>195603111983031001</t>
  </si>
  <si>
    <t>Drs. Slamet, M.Kes. Aifo</t>
  </si>
  <si>
    <t>198211202009121004</t>
  </si>
  <si>
    <t>EDDY NOVIANA, S.PD, M.PD</t>
  </si>
  <si>
    <t>198402242010122005</t>
  </si>
  <si>
    <t>ENDA PUSPITASARI, S.PD, M.PD</t>
  </si>
  <si>
    <t>198302032010122004</t>
  </si>
  <si>
    <t>ERLISNAWATI, S.PD, M.PD</t>
  </si>
  <si>
    <t>198302072012121002</t>
  </si>
  <si>
    <t>FEBRIALISMANTO, S.Pd. M.Pd</t>
  </si>
  <si>
    <t>197404302014092001</t>
  </si>
  <si>
    <t>GUSLINDA, SPd, M. Pd</t>
  </si>
  <si>
    <t>198408292008121001</t>
  </si>
  <si>
    <t>HADI RUMADI, S.PD, M. Pd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</si>
  <si>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</si>
  <si>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</si>
  <si>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</si>
  <si>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</si>
  <si>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</si>
  <si>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</si>
  <si>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197910132008121002</t>
  </si>
  <si>
    <t>MAHMUD ALPUSARI, M.PD</t>
  </si>
  <si>
    <t>198102052009041004</t>
  </si>
  <si>
    <t>MUHAMMAD SYAFI'I, S.Pd, M.P.d</t>
  </si>
  <si>
    <t>197604022012121004</t>
  </si>
  <si>
    <t>MUJIONO, S.Pd., M.M</t>
  </si>
  <si>
    <t>197907122008122003</t>
  </si>
  <si>
    <t>NANA RAHAYU, B. Com, M. Si</t>
  </si>
  <si>
    <t>Pendidikan Bahasa Jepang</t>
  </si>
  <si>
    <t>198710112012122004</t>
  </si>
  <si>
    <t>NI PUTU NITAWIJAYANTI, S. Pd, M. Pd</t>
  </si>
  <si>
    <t>197106212010122001</t>
  </si>
  <si>
    <t>NURLITA, S.PD,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</si>
  <si>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</si>
  <si>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</si>
  <si>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</si>
  <si>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</si>
  <si>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</si>
  <si>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</si>
  <si>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</si>
  <si>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</si>
  <si>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</si>
  <si>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</si>
  <si>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197905142006042001</t>
  </si>
  <si>
    <t>SYARIFAH NUR SIREGAR, S.SI, M. Si</t>
  </si>
  <si>
    <t>198106112014042001</t>
  </si>
  <si>
    <t>YENI SOLFIAH, S.Pd , M.Pd</t>
  </si>
  <si>
    <t>197801012014091005</t>
  </si>
  <si>
    <t>ZUFRIADY, S.Sn, M. Pd</t>
  </si>
  <si>
    <t>198603232019032014</t>
  </si>
  <si>
    <t>ADISTHI MARTHA YOHANI, S.Pd., M.Pd</t>
  </si>
  <si>
    <t>Dosen CPNS</t>
  </si>
  <si>
    <t>197801012008121003</t>
  </si>
  <si>
    <t>ALIMANDAN, S.PD, M. Pd</t>
  </si>
  <si>
    <t>Asisten Ahli Gol. III</t>
  </si>
  <si>
    <t>198908182019031012</t>
  </si>
  <si>
    <t>ANDREW RINALDI SINULINGGA, S.Pd., M.Pd</t>
  </si>
  <si>
    <t>198011012006041004</t>
  </si>
  <si>
    <t>Asril,  S.Pd, M. Pd</t>
  </si>
  <si>
    <t>199105112018031001</t>
  </si>
  <si>
    <t>Asyrul Fikri, S.Pd., M.Pd</t>
  </si>
  <si>
    <t>197506122008121003</t>
  </si>
  <si>
    <t>BUNARI, M.SI</t>
  </si>
  <si>
    <t>Dosen Tugas Belajar Gol. III</t>
  </si>
  <si>
    <t>197409012006041002</t>
  </si>
  <si>
    <t>DARMADI, S.PD, M.SI</t>
  </si>
  <si>
    <t>199201242019031011</t>
  </si>
  <si>
    <t>DENY PRADANA SAPUTRO, S.Pd., M.Pd</t>
  </si>
  <si>
    <t>197904162008122001</t>
  </si>
  <si>
    <t>DEVI RISMA, M.Si, Psi</t>
  </si>
  <si>
    <t>198503282015042001</t>
  </si>
  <si>
    <t>DINI BUDIANI, B.Eng, M.Ed</t>
  </si>
  <si>
    <t>198503172019031007</t>
  </si>
  <si>
    <t>DR. DEDI IRAWAN, S.Si., M.Sc</t>
  </si>
  <si>
    <t>197810232010121002</t>
  </si>
  <si>
    <t>DR. M. JAYA ADI PUTRA, S,SI, M.PD</t>
  </si>
  <si>
    <t>196006051986112001</t>
  </si>
  <si>
    <t>DRA. RUMIRI ROTUA ARUAN, M.HUM</t>
  </si>
  <si>
    <t>Dosen belum punya Jabatan Gol. III</t>
  </si>
  <si>
    <t>199210242018032001</t>
  </si>
  <si>
    <t>Dina Syaflita, S.Pd., M.Pd</t>
  </si>
  <si>
    <t>196905182008011006</t>
  </si>
  <si>
    <t>Dr. ARZA AIBONOTIKA, SS, M.SI</t>
  </si>
  <si>
    <t>198402272009122002</t>
  </si>
  <si>
    <t>Dr. NENI HERMITA, S.PD, M.PD</t>
  </si>
  <si>
    <t>196505022000122001</t>
  </si>
  <si>
    <t>Dra. DAFETTA FITRILINDA, M.Pd</t>
  </si>
  <si>
    <t>Dosen belum punya Jabatan Gol. IV</t>
  </si>
  <si>
    <t>198901292014042001</t>
  </si>
  <si>
    <t>ELVRIN SEPTYANTI , S.Pd , M.Pd</t>
  </si>
  <si>
    <t>196709171994032001</t>
  </si>
  <si>
    <t>FANGIANA SAFITRIDIAH, S.S, M.Ed</t>
  </si>
  <si>
    <t>199202082019032025</t>
  </si>
  <si>
    <t>FEBBLINA DARYANES, S.Pd., M.Pd</t>
  </si>
  <si>
    <t>198702162019031007</t>
  </si>
  <si>
    <t>FEKIE ADILA, S.Pd., M.Pd</t>
  </si>
  <si>
    <t>198104252005012004</t>
  </si>
  <si>
    <t>FENNY TRISNAWATI, M. Si,.SE.AK</t>
  </si>
  <si>
    <t>199402192019032022</t>
  </si>
  <si>
    <t>FILMA ALIA SARI, S.Pd., M.Pd.E</t>
  </si>
  <si>
    <t>199303112019032023</t>
  </si>
  <si>
    <t>FITRI ALDRESTI, S.Pd., M.Pd</t>
  </si>
  <si>
    <t>197602022005012002</t>
  </si>
  <si>
    <t>HANA NIMASHITA, SS, M. Si</t>
  </si>
  <si>
    <t>197112152006041001</t>
  </si>
  <si>
    <t>HARDISEM SYABRUS, S.PD, MM</t>
  </si>
  <si>
    <t>199307072019032029</t>
  </si>
  <si>
    <t>HARIYANTI, S.Pd., M.Pd</t>
  </si>
  <si>
    <t>198003152008121001</t>
  </si>
  <si>
    <t>HENDRI MARHADI, M. Pd</t>
  </si>
  <si>
    <t>199012222019032017</t>
  </si>
  <si>
    <t>HESTY MARWANI SIREGAR, S.Pd., M.Pd</t>
  </si>
  <si>
    <t>199206162019032039</t>
  </si>
  <si>
    <t>ILGA MARIA, S.Pd., M.Pd</t>
  </si>
  <si>
    <t>199204242019032026</t>
  </si>
  <si>
    <t>INTAN KARTIKA SARI, S.Pd., M.Pd</t>
  </si>
  <si>
    <t>197709112008011006</t>
  </si>
  <si>
    <t>JUMILI ARIANTO, S.PD, M.H</t>
  </si>
  <si>
    <t>198812202019032009</t>
  </si>
  <si>
    <t>KHAIRIYAH KHADIJAH, S.Pd.I., M.Pd</t>
  </si>
  <si>
    <t>198708172014041001</t>
  </si>
  <si>
    <t>KRISTI AGUST , M.Pd</t>
  </si>
  <si>
    <t>198912142019031014</t>
  </si>
  <si>
    <t>M. ARLI RUSANDI, S.Pd., M.Pd</t>
  </si>
  <si>
    <t>197303252014092002</t>
  </si>
  <si>
    <t>MARIA SAFRIYANTI, S.S, M. Pd</t>
  </si>
  <si>
    <t>197901102005012002</t>
  </si>
  <si>
    <t>MERRI SILVIA BASRI, S.S, M. Pd</t>
  </si>
  <si>
    <t>198903292019032015</t>
  </si>
  <si>
    <t>MIFTA RIZKA, S.Pd., M.Pd.E</t>
  </si>
  <si>
    <t>199101282019031017</t>
  </si>
  <si>
    <t>MIRZA HARDIAN. S.Pd., M.Pd</t>
  </si>
  <si>
    <t>198806132015041001</t>
  </si>
  <si>
    <t>MUHAMMAD FENDRIK, S.Pd, M.Pd</t>
  </si>
  <si>
    <t>196902012001121001</t>
  </si>
  <si>
    <t>MUHAMMAD SAHAL, S.SI, M.SI</t>
  </si>
  <si>
    <t>199101052019031018</t>
  </si>
  <si>
    <t>OCA FERNANDES AF, S.PD., M.PD</t>
  </si>
  <si>
    <t>199109292019031018</t>
  </si>
  <si>
    <t>PIKI SETRI PERNANTAH, S.Pd., M.Pd</t>
  </si>
  <si>
    <t>199012072019032021</t>
  </si>
  <si>
    <t>RIA RIZKIA ALVI, S.Pd., M.Pd</t>
  </si>
  <si>
    <t>199010292019031018</t>
  </si>
  <si>
    <t>ROLA ANGGA LARDIKA, S.Pd., M.Pd</t>
  </si>
  <si>
    <t>198908032019032016</t>
  </si>
  <si>
    <t>SILVIA PERMATASARI, S.Pd., M.Pd</t>
  </si>
  <si>
    <t>198011122008122001</t>
  </si>
  <si>
    <t>SRI WAHYU WIDIATI, SS, M. Pd</t>
  </si>
  <si>
    <t>199412262019032016</t>
  </si>
  <si>
    <t>TRIA PUTRI MUSTIKA, S.Pd., M.Pd</t>
  </si>
  <si>
    <t>199001252019031014</t>
  </si>
  <si>
    <t>WEDI S, S.Si., M.Pd</t>
  </si>
  <si>
    <t>199401282019031006</t>
  </si>
  <si>
    <t>YANUAR AL FIQRI, S.Pd., M.Pd</t>
  </si>
  <si>
    <t>199203182019032018</t>
  </si>
  <si>
    <t>YUKA MARTLISDA ANWIKA, S.Pd., M.Pd</t>
  </si>
  <si>
    <t>198911102019031025</t>
  </si>
  <si>
    <t>ZALDI HARFAL, S.Pd., M.A</t>
  </si>
  <si>
    <t>198506222012121001</t>
  </si>
  <si>
    <t>ZETRA HAINUL PUTRA, S.Si, M.Sc., Ph.D</t>
  </si>
  <si>
    <t>197907022008122003</t>
  </si>
  <si>
    <t>ZULI LAILI ISNAINI, S.S, M.A</t>
  </si>
  <si>
    <t>Menyetujui,</t>
  </si>
  <si>
    <t>Pekanbaru, 12 Maret 2020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</si>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</sst>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da079a79a084ebb06a5159d05854f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34"/>
  <sheetViews>
    <sheetView tabSelected="1" workbookViewId="0" showGridLines="true" showRowColHeaders="1">
      <selection activeCell="A227" sqref="A2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2.490000000000001</v>
      </c>
      <c r="M11" s="11">
        <v>0.32</v>
      </c>
      <c r="N11" s="11">
        <v>0</v>
      </c>
      <c r="O11" s="11">
        <v>0</v>
      </c>
      <c r="P11" s="11">
        <v>1.6</v>
      </c>
      <c r="Q11" s="11">
        <v>5.910000000000001</v>
      </c>
      <c r="R11" s="11">
        <v>0</v>
      </c>
      <c r="S11" s="11">
        <v>5.910000000000001</v>
      </c>
      <c r="T11" s="11">
        <v>2.67</v>
      </c>
      <c r="U11" s="11">
        <v>3</v>
      </c>
      <c r="V11" s="11">
        <v>0.2400000000000011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3.299999999999999</v>
      </c>
      <c r="M12" s="11">
        <v>0</v>
      </c>
      <c r="N12" s="11">
        <v>0</v>
      </c>
      <c r="O12" s="11">
        <v>0</v>
      </c>
      <c r="P12" s="11">
        <v>0</v>
      </c>
      <c r="Q12" s="11">
        <v>3.299999999999999</v>
      </c>
      <c r="R12" s="11">
        <v>0</v>
      </c>
      <c r="S12" s="11">
        <v>3.299999999999999</v>
      </c>
      <c r="T12" s="11">
        <v>2.67</v>
      </c>
      <c r="U12" s="11">
        <v>0.6299999999999994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0.9400000000000001</v>
      </c>
      <c r="M13" s="11">
        <v>0</v>
      </c>
      <c r="N13" s="11">
        <v>0</v>
      </c>
      <c r="O13" s="11">
        <v>2.660000000000001</v>
      </c>
      <c r="P13" s="11">
        <v>1.6</v>
      </c>
      <c r="Q13" s="11">
        <v>5.200000000000001</v>
      </c>
      <c r="R13" s="11">
        <v>0</v>
      </c>
      <c r="S13" s="11">
        <v>5.200000000000001</v>
      </c>
      <c r="T13" s="11">
        <v>2.67</v>
      </c>
      <c r="U13" s="11">
        <v>2.530000000000001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54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5.03</v>
      </c>
      <c r="M14" s="11">
        <v>0.24</v>
      </c>
      <c r="N14" s="11">
        <v>0</v>
      </c>
      <c r="O14" s="11">
        <v>0.46</v>
      </c>
      <c r="P14" s="11">
        <v>0</v>
      </c>
      <c r="Q14" s="11">
        <v>5.73</v>
      </c>
      <c r="R14" s="11">
        <v>0</v>
      </c>
      <c r="S14" s="11">
        <v>5.73</v>
      </c>
      <c r="T14" s="11">
        <v>2.67</v>
      </c>
      <c r="U14" s="11">
        <v>3</v>
      </c>
      <c r="V14" s="11">
        <v>0.0600000000000005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47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1.01</v>
      </c>
      <c r="M15" s="11">
        <v>0.16</v>
      </c>
      <c r="N15" s="11">
        <v>0</v>
      </c>
      <c r="O15" s="11">
        <v>0</v>
      </c>
      <c r="P15" s="11">
        <v>0</v>
      </c>
      <c r="Q15" s="11">
        <v>2.84</v>
      </c>
      <c r="R15" s="11">
        <v>0</v>
      </c>
      <c r="S15" s="11">
        <v>2.84</v>
      </c>
      <c r="T15" s="11">
        <v>2.67</v>
      </c>
      <c r="U15" s="11">
        <v>0.1699999999999999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61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3.659999999999999</v>
      </c>
      <c r="M16" s="11">
        <v>0</v>
      </c>
      <c r="N16" s="11">
        <v>0</v>
      </c>
      <c r="O16" s="11">
        <v>0.78</v>
      </c>
      <c r="P16" s="11">
        <v>0.8</v>
      </c>
      <c r="Q16" s="11">
        <v>6.909999999999999</v>
      </c>
      <c r="R16" s="11">
        <v>0</v>
      </c>
      <c r="S16" s="11">
        <v>6.909999999999999</v>
      </c>
      <c r="T16" s="11">
        <v>2.67</v>
      </c>
      <c r="U16" s="11">
        <v>3</v>
      </c>
      <c r="V16" s="11">
        <v>1.239999999999999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51</v>
      </c>
      <c r="E17" s="7" t="s">
        <v>65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4.06</v>
      </c>
      <c r="M17" s="11">
        <v>0.8</v>
      </c>
      <c r="N17" s="11">
        <v>0</v>
      </c>
      <c r="O17" s="11">
        <v>0.06</v>
      </c>
      <c r="P17" s="11">
        <v>1.6</v>
      </c>
      <c r="Q17" s="11">
        <v>6.52</v>
      </c>
      <c r="R17" s="11">
        <v>0</v>
      </c>
      <c r="S17" s="11">
        <v>6.52</v>
      </c>
      <c r="T17" s="11">
        <v>2.67</v>
      </c>
      <c r="U17" s="11">
        <v>3</v>
      </c>
      <c r="V17" s="11">
        <v>0.8499999999999996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8.099999999999994</v>
      </c>
      <c r="M18" s="11">
        <v>0.08</v>
      </c>
      <c r="N18" s="11">
        <v>0</v>
      </c>
      <c r="O18" s="11">
        <v>0</v>
      </c>
      <c r="P18" s="11">
        <v>1.63</v>
      </c>
      <c r="Q18" s="11">
        <v>9.810000000000002</v>
      </c>
      <c r="R18" s="11">
        <v>0</v>
      </c>
      <c r="S18" s="11">
        <v>9.810000000000002</v>
      </c>
      <c r="T18" s="11">
        <v>2.67</v>
      </c>
      <c r="U18" s="11">
        <v>3</v>
      </c>
      <c r="V18" s="11">
        <v>4.140000000000002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41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0.95</v>
      </c>
      <c r="L19" s="11">
        <v>14.26</v>
      </c>
      <c r="M19" s="11">
        <v>0.16</v>
      </c>
      <c r="N19" s="11">
        <v>0</v>
      </c>
      <c r="O19" s="11">
        <v>0</v>
      </c>
      <c r="P19" s="11">
        <v>0</v>
      </c>
      <c r="Q19" s="11">
        <v>15.37</v>
      </c>
      <c r="R19" s="11">
        <v>0</v>
      </c>
      <c r="S19" s="11">
        <v>15.37</v>
      </c>
      <c r="T19" s="11">
        <v>2.67</v>
      </c>
      <c r="U19" s="11">
        <v>3</v>
      </c>
      <c r="V19" s="11">
        <v>9.699999999999996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40</v>
      </c>
      <c r="E20" s="7" t="s">
        <v>47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3.89</v>
      </c>
      <c r="M20" s="11">
        <v>0.24</v>
      </c>
      <c r="N20" s="11">
        <v>0</v>
      </c>
      <c r="O20" s="11">
        <v>0</v>
      </c>
      <c r="P20" s="11">
        <v>0</v>
      </c>
      <c r="Q20" s="11">
        <v>4.13</v>
      </c>
      <c r="R20" s="11">
        <v>0</v>
      </c>
      <c r="S20" s="11">
        <v>4.13</v>
      </c>
      <c r="T20" s="11">
        <v>2.67</v>
      </c>
      <c r="U20" s="11">
        <v>1.46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41</v>
      </c>
      <c r="F21" s="7" t="s">
        <v>42</v>
      </c>
      <c r="G21" s="7"/>
      <c r="H21" s="7"/>
      <c r="I21" s="11">
        <v>2.67</v>
      </c>
      <c r="J21" s="11">
        <v>3</v>
      </c>
      <c r="K21" s="11">
        <v>0</v>
      </c>
      <c r="L21" s="11">
        <v>5.21</v>
      </c>
      <c r="M21" s="11">
        <v>0.16</v>
      </c>
      <c r="N21" s="11">
        <v>0</v>
      </c>
      <c r="O21" s="11">
        <v>0</v>
      </c>
      <c r="P21" s="11">
        <v>2.55</v>
      </c>
      <c r="Q21" s="11">
        <v>7.919999999999998</v>
      </c>
      <c r="R21" s="11">
        <v>0</v>
      </c>
      <c r="S21" s="11">
        <v>7.919999999999998</v>
      </c>
      <c r="T21" s="11">
        <v>2.67</v>
      </c>
      <c r="U21" s="11">
        <v>3</v>
      </c>
      <c r="V21" s="11">
        <v>2.249999999999998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65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6.169999999999997</v>
      </c>
      <c r="M22" s="11">
        <v>0.16</v>
      </c>
      <c r="N22" s="11">
        <v>0</v>
      </c>
      <c r="O22" s="11">
        <v>0</v>
      </c>
      <c r="P22" s="11">
        <v>1.6</v>
      </c>
      <c r="Q22" s="11">
        <v>7.929999999999997</v>
      </c>
      <c r="R22" s="11">
        <v>0</v>
      </c>
      <c r="S22" s="11">
        <v>7.929999999999997</v>
      </c>
      <c r="T22" s="11">
        <v>2.67</v>
      </c>
      <c r="U22" s="11">
        <v>3</v>
      </c>
      <c r="V22" s="11">
        <v>2.259999999999997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81</v>
      </c>
      <c r="E23" s="7" t="s">
        <v>47</v>
      </c>
      <c r="F23" s="7" t="s">
        <v>42</v>
      </c>
      <c r="G23" s="7"/>
      <c r="H23" s="7" t="s">
        <v>82</v>
      </c>
      <c r="I23" s="11">
        <v>2.67</v>
      </c>
      <c r="J23" s="11">
        <v>3</v>
      </c>
      <c r="K23" s="11">
        <v>1.33</v>
      </c>
      <c r="L23" s="11">
        <v>6.919999999999997</v>
      </c>
      <c r="M23" s="11">
        <v>0.32</v>
      </c>
      <c r="N23" s="11">
        <v>0</v>
      </c>
      <c r="O23" s="11">
        <v>2.920000000000001</v>
      </c>
      <c r="P23" s="11">
        <v>0.8</v>
      </c>
      <c r="Q23" s="11">
        <v>12.29</v>
      </c>
      <c r="R23" s="11">
        <v>0</v>
      </c>
      <c r="S23" s="11">
        <v>12.29</v>
      </c>
      <c r="T23" s="11">
        <v>2.67</v>
      </c>
      <c r="U23" s="11">
        <v>3</v>
      </c>
      <c r="V23" s="11">
        <v>6.619999999999999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60</v>
      </c>
      <c r="E24" s="7" t="s">
        <v>65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2.55</v>
      </c>
      <c r="M24" s="11">
        <v>0</v>
      </c>
      <c r="N24" s="11">
        <v>0</v>
      </c>
      <c r="O24" s="11">
        <v>0</v>
      </c>
      <c r="P24" s="11">
        <v>1.6</v>
      </c>
      <c r="Q24" s="11">
        <v>4.15</v>
      </c>
      <c r="R24" s="11">
        <v>0</v>
      </c>
      <c r="S24" s="11">
        <v>4.15</v>
      </c>
      <c r="T24" s="11">
        <v>2.67</v>
      </c>
      <c r="U24" s="11">
        <v>1.48</v>
      </c>
      <c r="V24" s="11">
        <v>0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81</v>
      </c>
      <c r="E25" s="7" t="s">
        <v>54</v>
      </c>
      <c r="F25" s="7" t="s">
        <v>87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3.53</v>
      </c>
      <c r="M25" s="11">
        <v>0.24</v>
      </c>
      <c r="N25" s="11">
        <v>0</v>
      </c>
      <c r="O25" s="11">
        <v>0.32</v>
      </c>
      <c r="P25" s="11">
        <v>0</v>
      </c>
      <c r="Q25" s="11">
        <v>4.090000000000001</v>
      </c>
      <c r="R25" s="11">
        <v>0</v>
      </c>
      <c r="S25" s="11">
        <v>4.090000000000001</v>
      </c>
      <c r="T25" s="11">
        <v>2</v>
      </c>
      <c r="U25" s="11">
        <v>2.090000000000001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90</v>
      </c>
      <c r="E26" s="7" t="s">
        <v>61</v>
      </c>
      <c r="F26" s="7" t="s">
        <v>87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7.249999999999998</v>
      </c>
      <c r="M26" s="11">
        <v>0</v>
      </c>
      <c r="N26" s="11">
        <v>0</v>
      </c>
      <c r="O26" s="11">
        <v>0.06</v>
      </c>
      <c r="P26" s="11">
        <v>0</v>
      </c>
      <c r="Q26" s="11">
        <v>7.309999999999998</v>
      </c>
      <c r="R26" s="11">
        <v>0</v>
      </c>
      <c r="S26" s="11">
        <v>7.309999999999998</v>
      </c>
      <c r="T26" s="11">
        <v>2</v>
      </c>
      <c r="U26" s="11">
        <v>3</v>
      </c>
      <c r="V26" s="11">
        <v>2.309999999999998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93</v>
      </c>
      <c r="E27" s="7" t="s">
        <v>54</v>
      </c>
      <c r="F27" s="7" t="s">
        <v>87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12.2</v>
      </c>
      <c r="M27" s="11">
        <v>0</v>
      </c>
      <c r="N27" s="11">
        <v>0</v>
      </c>
      <c r="O27" s="11">
        <v>0.1</v>
      </c>
      <c r="P27" s="11">
        <v>0</v>
      </c>
      <c r="Q27" s="11">
        <v>12.3</v>
      </c>
      <c r="R27" s="11">
        <v>0</v>
      </c>
      <c r="S27" s="11">
        <v>12.3</v>
      </c>
      <c r="T27" s="11">
        <v>2</v>
      </c>
      <c r="U27" s="11">
        <v>3</v>
      </c>
      <c r="V27" s="11">
        <v>7.299999999999997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54</v>
      </c>
      <c r="F28" s="7" t="s">
        <v>87</v>
      </c>
      <c r="G28" s="7"/>
      <c r="H28" s="7" t="s">
        <v>96</v>
      </c>
      <c r="I28" s="11">
        <v>2</v>
      </c>
      <c r="J28" s="11">
        <v>3</v>
      </c>
      <c r="K28" s="11">
        <v>0.95</v>
      </c>
      <c r="L28" s="11">
        <v>9.019999999999994</v>
      </c>
      <c r="M28" s="11">
        <v>0.16</v>
      </c>
      <c r="N28" s="11">
        <v>0</v>
      </c>
      <c r="O28" s="11">
        <v>0</v>
      </c>
      <c r="P28" s="11">
        <v>0.8</v>
      </c>
      <c r="Q28" s="11">
        <v>10.92999999999999</v>
      </c>
      <c r="R28" s="11">
        <v>0</v>
      </c>
      <c r="S28" s="11">
        <v>10.92999999999999</v>
      </c>
      <c r="T28" s="11">
        <v>2</v>
      </c>
      <c r="U28" s="11">
        <v>3</v>
      </c>
      <c r="V28" s="11">
        <v>5.929999999999994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99</v>
      </c>
      <c r="E29" s="7" t="s">
        <v>54</v>
      </c>
      <c r="F29" s="7" t="s">
        <v>87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9.569999999999999</v>
      </c>
      <c r="M29" s="11">
        <v>0.32</v>
      </c>
      <c r="N29" s="11">
        <v>0</v>
      </c>
      <c r="O29" s="11">
        <v>0</v>
      </c>
      <c r="P29" s="11">
        <v>0</v>
      </c>
      <c r="Q29" s="11">
        <v>10.84</v>
      </c>
      <c r="R29" s="11">
        <v>0</v>
      </c>
      <c r="S29" s="11">
        <v>10.84</v>
      </c>
      <c r="T29" s="11">
        <v>2</v>
      </c>
      <c r="U29" s="11">
        <v>3</v>
      </c>
      <c r="V29" s="11">
        <v>5.839999999999998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60</v>
      </c>
      <c r="E30" s="7" t="s">
        <v>65</v>
      </c>
      <c r="F30" s="7" t="s">
        <v>87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3.37</v>
      </c>
      <c r="M30" s="11">
        <v>0</v>
      </c>
      <c r="N30" s="11">
        <v>0</v>
      </c>
      <c r="O30" s="11">
        <v>0</v>
      </c>
      <c r="P30" s="11">
        <v>0</v>
      </c>
      <c r="Q30" s="11">
        <v>3.37</v>
      </c>
      <c r="R30" s="11">
        <v>0</v>
      </c>
      <c r="S30" s="11">
        <v>3.37</v>
      </c>
      <c r="T30" s="11">
        <v>2</v>
      </c>
      <c r="U30" s="11">
        <v>1.37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46</v>
      </c>
      <c r="E31" s="7" t="s">
        <v>65</v>
      </c>
      <c r="F31" s="7" t="s">
        <v>87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4.449999999999998</v>
      </c>
      <c r="M31" s="11">
        <v>0</v>
      </c>
      <c r="N31" s="11">
        <v>0</v>
      </c>
      <c r="O31" s="11">
        <v>0</v>
      </c>
      <c r="P31" s="11">
        <v>0.17</v>
      </c>
      <c r="Q31" s="11">
        <v>4.619999999999998</v>
      </c>
      <c r="R31" s="11">
        <v>0</v>
      </c>
      <c r="S31" s="11">
        <v>4.619999999999998</v>
      </c>
      <c r="T31" s="11">
        <v>2</v>
      </c>
      <c r="U31" s="11">
        <v>2.619999999999998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51</v>
      </c>
      <c r="E32" s="7" t="s">
        <v>54</v>
      </c>
      <c r="F32" s="7" t="s">
        <v>87</v>
      </c>
      <c r="G32" s="7"/>
      <c r="H32" s="7" t="s">
        <v>72</v>
      </c>
      <c r="I32" s="11">
        <v>2</v>
      </c>
      <c r="J32" s="11">
        <v>3</v>
      </c>
      <c r="K32" s="11">
        <v>0.95</v>
      </c>
      <c r="L32" s="11">
        <v>5.480000000000002</v>
      </c>
      <c r="M32" s="11">
        <v>0</v>
      </c>
      <c r="N32" s="11">
        <v>0</v>
      </c>
      <c r="O32" s="11">
        <v>0.04</v>
      </c>
      <c r="P32" s="11">
        <v>0</v>
      </c>
      <c r="Q32" s="11">
        <v>6.470000000000002</v>
      </c>
      <c r="R32" s="11">
        <v>0</v>
      </c>
      <c r="S32" s="11">
        <v>6.470000000000002</v>
      </c>
      <c r="T32" s="11">
        <v>2</v>
      </c>
      <c r="U32" s="11">
        <v>3</v>
      </c>
      <c r="V32" s="11">
        <v>1.470000000000002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60</v>
      </c>
      <c r="E33" s="7" t="s">
        <v>65</v>
      </c>
      <c r="F33" s="7" t="s">
        <v>87</v>
      </c>
      <c r="G33" s="7"/>
      <c r="H33" s="7" t="s">
        <v>108</v>
      </c>
      <c r="I33" s="11">
        <v>2</v>
      </c>
      <c r="J33" s="11">
        <v>3</v>
      </c>
      <c r="K33" s="11">
        <v>1</v>
      </c>
      <c r="L33" s="11">
        <v>4.089999999999999</v>
      </c>
      <c r="M33" s="11">
        <v>0</v>
      </c>
      <c r="N33" s="11">
        <v>0</v>
      </c>
      <c r="O33" s="11">
        <v>0</v>
      </c>
      <c r="P33" s="11">
        <v>0</v>
      </c>
      <c r="Q33" s="11">
        <v>5.089999999999999</v>
      </c>
      <c r="R33" s="11">
        <v>0</v>
      </c>
      <c r="S33" s="11">
        <v>5.089999999999999</v>
      </c>
      <c r="T33" s="11">
        <v>2</v>
      </c>
      <c r="U33" s="11">
        <v>3</v>
      </c>
      <c r="V33" s="11">
        <v>0.08999999999999897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61</v>
      </c>
      <c r="F34" s="7" t="s">
        <v>87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13.76</v>
      </c>
      <c r="M34" s="11">
        <v>0.32</v>
      </c>
      <c r="N34" s="11">
        <v>0</v>
      </c>
      <c r="O34" s="11">
        <v>0</v>
      </c>
      <c r="P34" s="11">
        <v>0.8</v>
      </c>
      <c r="Q34" s="11">
        <v>14.88</v>
      </c>
      <c r="R34" s="11">
        <v>0</v>
      </c>
      <c r="S34" s="11">
        <v>14.88</v>
      </c>
      <c r="T34" s="11">
        <v>2</v>
      </c>
      <c r="U34" s="11">
        <v>3</v>
      </c>
      <c r="V34" s="11">
        <v>9.879999999999997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40</v>
      </c>
      <c r="E35" s="7" t="s">
        <v>61</v>
      </c>
      <c r="F35" s="7" t="s">
        <v>87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5.149999999999999</v>
      </c>
      <c r="M35" s="11">
        <v>0.32</v>
      </c>
      <c r="N35" s="11">
        <v>0</v>
      </c>
      <c r="O35" s="11">
        <v>0</v>
      </c>
      <c r="P35" s="11">
        <v>0</v>
      </c>
      <c r="Q35" s="11">
        <v>5.469999999999999</v>
      </c>
      <c r="R35" s="11">
        <v>0</v>
      </c>
      <c r="S35" s="11">
        <v>5.469999999999999</v>
      </c>
      <c r="T35" s="11">
        <v>2</v>
      </c>
      <c r="U35" s="11">
        <v>3</v>
      </c>
      <c r="V35" s="11">
        <v>0.4699999999999989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60</v>
      </c>
      <c r="E36" s="7" t="s">
        <v>54</v>
      </c>
      <c r="F36" s="7" t="s">
        <v>87</v>
      </c>
      <c r="G36" s="7"/>
      <c r="H36" s="7" t="s">
        <v>115</v>
      </c>
      <c r="I36" s="11">
        <v>2</v>
      </c>
      <c r="J36" s="11">
        <v>3</v>
      </c>
      <c r="K36" s="11">
        <v>1</v>
      </c>
      <c r="L36" s="11">
        <v>4.700000000000001</v>
      </c>
      <c r="M36" s="11">
        <v>0</v>
      </c>
      <c r="N36" s="11">
        <v>0</v>
      </c>
      <c r="O36" s="11">
        <v>0</v>
      </c>
      <c r="P36" s="11">
        <v>0.8</v>
      </c>
      <c r="Q36" s="11">
        <v>6.500000000000001</v>
      </c>
      <c r="R36" s="11">
        <v>0</v>
      </c>
      <c r="S36" s="11">
        <v>6.500000000000001</v>
      </c>
      <c r="T36" s="11">
        <v>2</v>
      </c>
      <c r="U36" s="11">
        <v>3</v>
      </c>
      <c r="V36" s="11">
        <v>1.500000000000001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118</v>
      </c>
      <c r="E37" s="7" t="s">
        <v>54</v>
      </c>
      <c r="F37" s="7" t="s">
        <v>87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8.019999999999998</v>
      </c>
      <c r="M37" s="11">
        <v>0</v>
      </c>
      <c r="N37" s="11">
        <v>0</v>
      </c>
      <c r="O37" s="11">
        <v>0</v>
      </c>
      <c r="P37" s="11">
        <v>0</v>
      </c>
      <c r="Q37" s="11">
        <v>8.019999999999998</v>
      </c>
      <c r="R37" s="11">
        <v>0</v>
      </c>
      <c r="S37" s="11">
        <v>8.019999999999998</v>
      </c>
      <c r="T37" s="11">
        <v>2</v>
      </c>
      <c r="U37" s="11">
        <v>3</v>
      </c>
      <c r="V37" s="11">
        <v>3.019999999999998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60</v>
      </c>
      <c r="E38" s="7" t="s">
        <v>61</v>
      </c>
      <c r="F38" s="7" t="s">
        <v>87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1.44</v>
      </c>
      <c r="M38" s="11">
        <v>0</v>
      </c>
      <c r="N38" s="11">
        <v>0</v>
      </c>
      <c r="O38" s="11">
        <v>0</v>
      </c>
      <c r="P38" s="11">
        <v>0.8</v>
      </c>
      <c r="Q38" s="11">
        <v>2.24</v>
      </c>
      <c r="R38" s="11">
        <v>0</v>
      </c>
      <c r="S38" s="11">
        <v>2.24</v>
      </c>
      <c r="T38" s="11">
        <v>2</v>
      </c>
      <c r="U38" s="11">
        <v>0.2400000000000002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60</v>
      </c>
      <c r="E39" s="7" t="s">
        <v>54</v>
      </c>
      <c r="F39" s="7" t="s">
        <v>87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2.31</v>
      </c>
      <c r="M39" s="11">
        <v>0.08</v>
      </c>
      <c r="N39" s="11">
        <v>0</v>
      </c>
      <c r="O39" s="11">
        <v>1.38</v>
      </c>
      <c r="P39" s="11">
        <v>0</v>
      </c>
      <c r="Q39" s="11">
        <v>3.77</v>
      </c>
      <c r="R39" s="11">
        <v>0</v>
      </c>
      <c r="S39" s="11">
        <v>3.77</v>
      </c>
      <c r="T39" s="11">
        <v>2</v>
      </c>
      <c r="U39" s="11">
        <v>1.77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93</v>
      </c>
      <c r="E40" s="7" t="s">
        <v>54</v>
      </c>
      <c r="F40" s="7" t="s">
        <v>87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3.7</v>
      </c>
      <c r="M40" s="11">
        <v>0.08</v>
      </c>
      <c r="N40" s="11">
        <v>0</v>
      </c>
      <c r="O40" s="11">
        <v>1.78</v>
      </c>
      <c r="P40" s="11">
        <v>0</v>
      </c>
      <c r="Q40" s="11">
        <v>5.56</v>
      </c>
      <c r="R40" s="11">
        <v>0</v>
      </c>
      <c r="S40" s="11">
        <v>5.56</v>
      </c>
      <c r="T40" s="11">
        <v>2</v>
      </c>
      <c r="U40" s="11">
        <v>3</v>
      </c>
      <c r="V40" s="11">
        <v>0.5600000000000005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90</v>
      </c>
      <c r="E41" s="7" t="s">
        <v>54</v>
      </c>
      <c r="F41" s="7" t="s">
        <v>87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4.75</v>
      </c>
      <c r="M41" s="11">
        <v>0</v>
      </c>
      <c r="N41" s="11">
        <v>0</v>
      </c>
      <c r="O41" s="11">
        <v>0.7599999999999998</v>
      </c>
      <c r="P41" s="11">
        <v>0</v>
      </c>
      <c r="Q41" s="11">
        <v>5.51</v>
      </c>
      <c r="R41" s="11">
        <v>0</v>
      </c>
      <c r="S41" s="11">
        <v>5.51</v>
      </c>
      <c r="T41" s="11">
        <v>2</v>
      </c>
      <c r="U41" s="11">
        <v>3</v>
      </c>
      <c r="V41" s="11">
        <v>0.5099999999999998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90</v>
      </c>
      <c r="E42" s="7" t="s">
        <v>65</v>
      </c>
      <c r="F42" s="7" t="s">
        <v>87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5.259999999999999</v>
      </c>
      <c r="M42" s="11">
        <v>0</v>
      </c>
      <c r="N42" s="11">
        <v>0</v>
      </c>
      <c r="O42" s="11">
        <v>0.8599999999999999</v>
      </c>
      <c r="P42" s="11">
        <v>0</v>
      </c>
      <c r="Q42" s="11">
        <v>6.119999999999999</v>
      </c>
      <c r="R42" s="11">
        <v>0</v>
      </c>
      <c r="S42" s="11">
        <v>6.119999999999999</v>
      </c>
      <c r="T42" s="11">
        <v>2</v>
      </c>
      <c r="U42" s="11">
        <v>3</v>
      </c>
      <c r="V42" s="11">
        <v>1.119999999999999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131</v>
      </c>
      <c r="E43" s="7" t="s">
        <v>132</v>
      </c>
      <c r="F43" s="7" t="s">
        <v>133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4.369999999999997</v>
      </c>
      <c r="M43" s="11">
        <v>0.48</v>
      </c>
      <c r="N43" s="11">
        <v>0</v>
      </c>
      <c r="O43" s="11">
        <v>0.3</v>
      </c>
      <c r="P43" s="11">
        <v>0</v>
      </c>
      <c r="Q43" s="11">
        <v>5.149999999999997</v>
      </c>
      <c r="R43" s="11">
        <v>0</v>
      </c>
      <c r="S43" s="11">
        <v>5.149999999999997</v>
      </c>
      <c r="T43" s="11">
        <v>2</v>
      </c>
      <c r="U43" s="11">
        <v>3</v>
      </c>
      <c r="V43" s="11">
        <v>0.1499999999999968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134</v>
      </c>
      <c r="C44" s="10" t="s">
        <v>135</v>
      </c>
      <c r="D44" s="7" t="s">
        <v>40</v>
      </c>
      <c r="E44" s="7" t="s">
        <v>54</v>
      </c>
      <c r="F44" s="7" t="s">
        <v>87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6.97</v>
      </c>
      <c r="M44" s="11">
        <v>0.24</v>
      </c>
      <c r="N44" s="11">
        <v>0</v>
      </c>
      <c r="O44" s="11">
        <v>1.34</v>
      </c>
      <c r="P44" s="11">
        <v>1.6</v>
      </c>
      <c r="Q44" s="11">
        <v>10.15</v>
      </c>
      <c r="R44" s="11">
        <v>0</v>
      </c>
      <c r="S44" s="11">
        <v>10.15</v>
      </c>
      <c r="T44" s="11">
        <v>2</v>
      </c>
      <c r="U44" s="11">
        <v>3</v>
      </c>
      <c r="V44" s="11">
        <v>5.15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136</v>
      </c>
      <c r="C45" s="10" t="s">
        <v>137</v>
      </c>
      <c r="D45" s="7" t="s">
        <v>40</v>
      </c>
      <c r="E45" s="7" t="s">
        <v>54</v>
      </c>
      <c r="F45" s="7" t="s">
        <v>87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3.63</v>
      </c>
      <c r="M45" s="11">
        <v>0.08</v>
      </c>
      <c r="N45" s="11">
        <v>0</v>
      </c>
      <c r="O45" s="11">
        <v>0</v>
      </c>
      <c r="P45" s="11">
        <v>0</v>
      </c>
      <c r="Q45" s="11">
        <v>3.71</v>
      </c>
      <c r="R45" s="11">
        <v>0</v>
      </c>
      <c r="S45" s="11">
        <v>3.71</v>
      </c>
      <c r="T45" s="11">
        <v>2</v>
      </c>
      <c r="U45" s="11">
        <v>1.71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138</v>
      </c>
      <c r="C46" s="10" t="s">
        <v>139</v>
      </c>
      <c r="D46" s="7" t="s">
        <v>90</v>
      </c>
      <c r="E46" s="7" t="s">
        <v>65</v>
      </c>
      <c r="F46" s="7" t="s">
        <v>87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5.749999999999999</v>
      </c>
      <c r="M46" s="11">
        <v>0</v>
      </c>
      <c r="N46" s="11">
        <v>0</v>
      </c>
      <c r="O46" s="11">
        <v>0.06</v>
      </c>
      <c r="P46" s="11">
        <v>0</v>
      </c>
      <c r="Q46" s="11">
        <v>5.809999999999999</v>
      </c>
      <c r="R46" s="11">
        <v>0</v>
      </c>
      <c r="S46" s="11">
        <v>5.809999999999999</v>
      </c>
      <c r="T46" s="11">
        <v>2</v>
      </c>
      <c r="U46" s="11">
        <v>3</v>
      </c>
      <c r="V46" s="11">
        <v>0.8099999999999987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51</v>
      </c>
      <c r="E47" s="7" t="s">
        <v>54</v>
      </c>
      <c r="F47" s="7" t="s">
        <v>87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6.699999999999998</v>
      </c>
      <c r="M47" s="11">
        <v>0.16</v>
      </c>
      <c r="N47" s="11">
        <v>0</v>
      </c>
      <c r="O47" s="11">
        <v>1.44</v>
      </c>
      <c r="P47" s="11">
        <v>0</v>
      </c>
      <c r="Q47" s="11">
        <v>8.299999999999997</v>
      </c>
      <c r="R47" s="11">
        <v>0</v>
      </c>
      <c r="S47" s="11">
        <v>8.299999999999997</v>
      </c>
      <c r="T47" s="11">
        <v>2</v>
      </c>
      <c r="U47" s="11">
        <v>3</v>
      </c>
      <c r="V47" s="11">
        <v>3.299999999999997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142</v>
      </c>
      <c r="C48" s="10" t="s">
        <v>143</v>
      </c>
      <c r="D48" s="7" t="s">
        <v>99</v>
      </c>
      <c r="E48" s="7" t="s">
        <v>54</v>
      </c>
      <c r="F48" s="7" t="s">
        <v>87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5.13</v>
      </c>
      <c r="M48" s="11">
        <v>0</v>
      </c>
      <c r="N48" s="11">
        <v>0</v>
      </c>
      <c r="O48" s="11">
        <v>0</v>
      </c>
      <c r="P48" s="11">
        <v>0</v>
      </c>
      <c r="Q48" s="11">
        <v>5.13</v>
      </c>
      <c r="R48" s="11">
        <v>0</v>
      </c>
      <c r="S48" s="11">
        <v>5.13</v>
      </c>
      <c r="T48" s="11">
        <v>2</v>
      </c>
      <c r="U48" s="11">
        <v>3</v>
      </c>
      <c r="V48" s="11">
        <v>0.1299999999999999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40</v>
      </c>
      <c r="E49" s="7" t="s">
        <v>61</v>
      </c>
      <c r="F49" s="7" t="s">
        <v>87</v>
      </c>
      <c r="G49" s="7"/>
      <c r="H49" s="7" t="s">
        <v>146</v>
      </c>
      <c r="I49" s="11">
        <v>2</v>
      </c>
      <c r="J49" s="11">
        <v>3</v>
      </c>
      <c r="K49" s="11">
        <v>1.33</v>
      </c>
      <c r="L49" s="11">
        <v>7.749999999999999</v>
      </c>
      <c r="M49" s="11">
        <v>0.08</v>
      </c>
      <c r="N49" s="11">
        <v>0</v>
      </c>
      <c r="O49" s="11">
        <v>0.78</v>
      </c>
      <c r="P49" s="11">
        <v>0.8</v>
      </c>
      <c r="Q49" s="11">
        <v>10.74</v>
      </c>
      <c r="R49" s="11">
        <v>0</v>
      </c>
      <c r="S49" s="11">
        <v>10.74</v>
      </c>
      <c r="T49" s="11">
        <v>2</v>
      </c>
      <c r="U49" s="11">
        <v>3</v>
      </c>
      <c r="V49" s="11">
        <v>5.739999999999998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51</v>
      </c>
      <c r="E50" s="7" t="s">
        <v>61</v>
      </c>
      <c r="F50" s="7" t="s">
        <v>87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8.42</v>
      </c>
      <c r="M50" s="11">
        <v>0</v>
      </c>
      <c r="N50" s="11">
        <v>0</v>
      </c>
      <c r="O50" s="11">
        <v>1.04</v>
      </c>
      <c r="P50" s="11">
        <v>0.8</v>
      </c>
      <c r="Q50" s="11">
        <v>10.26</v>
      </c>
      <c r="R50" s="11">
        <v>0</v>
      </c>
      <c r="S50" s="11">
        <v>10.26</v>
      </c>
      <c r="T50" s="11">
        <v>2</v>
      </c>
      <c r="U50" s="11">
        <v>3</v>
      </c>
      <c r="V50" s="11">
        <v>5.260000000000002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46</v>
      </c>
      <c r="E51" s="7" t="s">
        <v>54</v>
      </c>
      <c r="F51" s="7" t="s">
        <v>87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5.279999999999998</v>
      </c>
      <c r="M51" s="11">
        <v>0</v>
      </c>
      <c r="N51" s="11">
        <v>0</v>
      </c>
      <c r="O51" s="11">
        <v>0</v>
      </c>
      <c r="P51" s="11">
        <v>0</v>
      </c>
      <c r="Q51" s="11">
        <v>5.279999999999998</v>
      </c>
      <c r="R51" s="11">
        <v>0</v>
      </c>
      <c r="S51" s="11">
        <v>5.279999999999998</v>
      </c>
      <c r="T51" s="11">
        <v>2</v>
      </c>
      <c r="U51" s="11">
        <v>3</v>
      </c>
      <c r="V51" s="11">
        <v>0.2799999999999976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51</v>
      </c>
      <c r="E52" s="7" t="s">
        <v>54</v>
      </c>
      <c r="F52" s="7" t="s">
        <v>87</v>
      </c>
      <c r="G52" s="7"/>
      <c r="H52" s="7" t="s">
        <v>153</v>
      </c>
      <c r="I52" s="11">
        <v>2</v>
      </c>
      <c r="J52" s="11">
        <v>3</v>
      </c>
      <c r="K52" s="11">
        <v>0.95</v>
      </c>
      <c r="L52" s="11">
        <v>6.589999999999999</v>
      </c>
      <c r="M52" s="11">
        <v>0.16</v>
      </c>
      <c r="N52" s="11">
        <v>0</v>
      </c>
      <c r="O52" s="11">
        <v>0.06</v>
      </c>
      <c r="P52" s="11">
        <v>0</v>
      </c>
      <c r="Q52" s="11">
        <v>7.759999999999999</v>
      </c>
      <c r="R52" s="11">
        <v>0</v>
      </c>
      <c r="S52" s="11">
        <v>7.759999999999999</v>
      </c>
      <c r="T52" s="11">
        <v>2</v>
      </c>
      <c r="U52" s="11">
        <v>3</v>
      </c>
      <c r="V52" s="11">
        <v>2.759999999999999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154</v>
      </c>
      <c r="C53" s="10" t="s">
        <v>155</v>
      </c>
      <c r="D53" s="7" t="s">
        <v>90</v>
      </c>
      <c r="E53" s="7" t="s">
        <v>54</v>
      </c>
      <c r="F53" s="7" t="s">
        <v>87</v>
      </c>
      <c r="G53" s="7"/>
      <c r="H53" s="7" t="s">
        <v>156</v>
      </c>
      <c r="I53" s="11">
        <v>2</v>
      </c>
      <c r="J53" s="11">
        <v>3</v>
      </c>
      <c r="K53" s="11">
        <v>0.95</v>
      </c>
      <c r="L53" s="11">
        <v>6.349999999999997</v>
      </c>
      <c r="M53" s="11">
        <v>0</v>
      </c>
      <c r="N53" s="11">
        <v>0</v>
      </c>
      <c r="O53" s="11">
        <v>1.04</v>
      </c>
      <c r="P53" s="11">
        <v>0.8</v>
      </c>
      <c r="Q53" s="11">
        <v>9.139999999999997</v>
      </c>
      <c r="R53" s="11">
        <v>0</v>
      </c>
      <c r="S53" s="11">
        <v>9.139999999999997</v>
      </c>
      <c r="T53" s="11">
        <v>2</v>
      </c>
      <c r="U53" s="11">
        <v>3</v>
      </c>
      <c r="V53" s="11">
        <v>4.139999999999997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157</v>
      </c>
      <c r="C54" s="10" t="s">
        <v>158</v>
      </c>
      <c r="D54" s="7" t="s">
        <v>90</v>
      </c>
      <c r="E54" s="7" t="s">
        <v>61</v>
      </c>
      <c r="F54" s="7" t="s">
        <v>87</v>
      </c>
      <c r="G54" s="7"/>
      <c r="H54" s="7" t="s">
        <v>159</v>
      </c>
      <c r="I54" s="11">
        <v>2</v>
      </c>
      <c r="J54" s="11">
        <v>3</v>
      </c>
      <c r="K54" s="11">
        <v>1.33</v>
      </c>
      <c r="L54" s="11">
        <v>7.609999999999999</v>
      </c>
      <c r="M54" s="11">
        <v>0</v>
      </c>
      <c r="N54" s="11">
        <v>0</v>
      </c>
      <c r="O54" s="11">
        <v>0.06</v>
      </c>
      <c r="P54" s="11">
        <v>0</v>
      </c>
      <c r="Q54" s="11">
        <v>8.999999999999998</v>
      </c>
      <c r="R54" s="11">
        <v>0</v>
      </c>
      <c r="S54" s="11">
        <v>8.999999999999998</v>
      </c>
      <c r="T54" s="11">
        <v>2</v>
      </c>
      <c r="U54" s="11">
        <v>3</v>
      </c>
      <c r="V54" s="11">
        <v>3.999999999999998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160</v>
      </c>
      <c r="C55" s="10" t="s">
        <v>161</v>
      </c>
      <c r="D55" s="7" t="s">
        <v>90</v>
      </c>
      <c r="E55" s="7" t="s">
        <v>65</v>
      </c>
      <c r="F55" s="7" t="s">
        <v>87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4.669999999999998</v>
      </c>
      <c r="M55" s="11">
        <v>0.08</v>
      </c>
      <c r="N55" s="11">
        <v>0</v>
      </c>
      <c r="O55" s="11">
        <v>0.36</v>
      </c>
      <c r="P55" s="11">
        <v>0</v>
      </c>
      <c r="Q55" s="11">
        <v>5.109999999999999</v>
      </c>
      <c r="R55" s="11">
        <v>0</v>
      </c>
      <c r="S55" s="11">
        <v>5.109999999999999</v>
      </c>
      <c r="T55" s="11">
        <v>2</v>
      </c>
      <c r="U55" s="11">
        <v>3</v>
      </c>
      <c r="V55" s="11">
        <v>0.1099999999999985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162</v>
      </c>
      <c r="C56" s="10" t="s">
        <v>163</v>
      </c>
      <c r="D56" s="7" t="s">
        <v>51</v>
      </c>
      <c r="E56" s="7" t="s">
        <v>61</v>
      </c>
      <c r="F56" s="7" t="s">
        <v>87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3.830000000000001</v>
      </c>
      <c r="M56" s="11">
        <v>0</v>
      </c>
      <c r="N56" s="11">
        <v>0</v>
      </c>
      <c r="O56" s="11">
        <v>0.1</v>
      </c>
      <c r="P56" s="11">
        <v>0</v>
      </c>
      <c r="Q56" s="11">
        <v>3.930000000000001</v>
      </c>
      <c r="R56" s="11">
        <v>0</v>
      </c>
      <c r="S56" s="11">
        <v>3.930000000000001</v>
      </c>
      <c r="T56" s="11">
        <v>2</v>
      </c>
      <c r="U56" s="11">
        <v>1.930000000000001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164</v>
      </c>
      <c r="C57" s="10" t="s">
        <v>165</v>
      </c>
      <c r="D57" s="7" t="s">
        <v>60</v>
      </c>
      <c r="E57" s="7" t="s">
        <v>61</v>
      </c>
      <c r="F57" s="7" t="s">
        <v>87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1.46</v>
      </c>
      <c r="M57" s="11">
        <v>0</v>
      </c>
      <c r="N57" s="11">
        <v>0</v>
      </c>
      <c r="O57" s="11">
        <v>0.2</v>
      </c>
      <c r="P57" s="11">
        <v>0</v>
      </c>
      <c r="Q57" s="11">
        <v>1.66</v>
      </c>
      <c r="R57" s="11">
        <v>0</v>
      </c>
      <c r="S57" s="11">
        <v>1.66</v>
      </c>
      <c r="T57" s="11">
        <v>1.66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166</v>
      </c>
      <c r="C58" s="10" t="s">
        <v>167</v>
      </c>
      <c r="D58" s="7" t="s">
        <v>71</v>
      </c>
      <c r="E58" s="7" t="s">
        <v>65</v>
      </c>
      <c r="F58" s="7" t="s">
        <v>87</v>
      </c>
      <c r="G58" s="7"/>
      <c r="H58" s="7" t="s">
        <v>156</v>
      </c>
      <c r="I58" s="11">
        <v>2</v>
      </c>
      <c r="J58" s="11">
        <v>3</v>
      </c>
      <c r="K58" s="11">
        <v>0.95</v>
      </c>
      <c r="L58" s="11">
        <v>3.799999999999999</v>
      </c>
      <c r="M58" s="11">
        <v>0.32</v>
      </c>
      <c r="N58" s="11">
        <v>0</v>
      </c>
      <c r="O58" s="11">
        <v>0.6</v>
      </c>
      <c r="P58" s="11">
        <v>0</v>
      </c>
      <c r="Q58" s="11">
        <v>5.669999999999999</v>
      </c>
      <c r="R58" s="11">
        <v>0</v>
      </c>
      <c r="S58" s="11">
        <v>5.669999999999999</v>
      </c>
      <c r="T58" s="11">
        <v>2</v>
      </c>
      <c r="U58" s="11">
        <v>3</v>
      </c>
      <c r="V58" s="11">
        <v>0.669999999999999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168</v>
      </c>
      <c r="C59" s="10" t="s">
        <v>169</v>
      </c>
      <c r="D59" s="7" t="s">
        <v>81</v>
      </c>
      <c r="E59" s="7" t="s">
        <v>61</v>
      </c>
      <c r="F59" s="7" t="s">
        <v>87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3.230000000000001</v>
      </c>
      <c r="M59" s="11">
        <v>0.24</v>
      </c>
      <c r="N59" s="11">
        <v>0</v>
      </c>
      <c r="O59" s="11">
        <v>1.920000000000001</v>
      </c>
      <c r="P59" s="11">
        <v>0</v>
      </c>
      <c r="Q59" s="11">
        <v>5.390000000000002</v>
      </c>
      <c r="R59" s="11">
        <v>0</v>
      </c>
      <c r="S59" s="11">
        <v>5.390000000000002</v>
      </c>
      <c r="T59" s="11">
        <v>2</v>
      </c>
      <c r="U59" s="11">
        <v>3</v>
      </c>
      <c r="V59" s="11">
        <v>0.3900000000000023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170</v>
      </c>
      <c r="C60" s="10" t="s">
        <v>171</v>
      </c>
      <c r="D60" s="7" t="s">
        <v>51</v>
      </c>
      <c r="E60" s="7" t="s">
        <v>54</v>
      </c>
      <c r="F60" s="7" t="s">
        <v>87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4.350000000000001</v>
      </c>
      <c r="M60" s="11">
        <v>0.16</v>
      </c>
      <c r="N60" s="11">
        <v>0</v>
      </c>
      <c r="O60" s="11">
        <v>1.08</v>
      </c>
      <c r="P60" s="11">
        <v>0</v>
      </c>
      <c r="Q60" s="11">
        <v>5.590000000000001</v>
      </c>
      <c r="R60" s="11">
        <v>0</v>
      </c>
      <c r="S60" s="11">
        <v>5.590000000000001</v>
      </c>
      <c r="T60" s="11">
        <v>2</v>
      </c>
      <c r="U60" s="11">
        <v>3</v>
      </c>
      <c r="V60" s="11">
        <v>0.5900000000000007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172</v>
      </c>
      <c r="C61" s="10" t="s">
        <v>173</v>
      </c>
      <c r="D61" s="7" t="s">
        <v>81</v>
      </c>
      <c r="E61" s="7" t="s">
        <v>54</v>
      </c>
      <c r="F61" s="7" t="s">
        <v>87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3.850000000000001</v>
      </c>
      <c r="M61" s="11">
        <v>0.24</v>
      </c>
      <c r="N61" s="11">
        <v>0</v>
      </c>
      <c r="O61" s="11">
        <v>1.48</v>
      </c>
      <c r="P61" s="11">
        <v>0.8</v>
      </c>
      <c r="Q61" s="11">
        <v>6.369999999999999</v>
      </c>
      <c r="R61" s="11">
        <v>0</v>
      </c>
      <c r="S61" s="11">
        <v>6.369999999999999</v>
      </c>
      <c r="T61" s="11">
        <v>2</v>
      </c>
      <c r="U61" s="11">
        <v>3</v>
      </c>
      <c r="V61" s="11">
        <v>1.369999999999999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81</v>
      </c>
      <c r="E62" s="7" t="s">
        <v>54</v>
      </c>
      <c r="F62" s="7" t="s">
        <v>87</v>
      </c>
      <c r="G62" s="7"/>
      <c r="H62" s="7" t="s">
        <v>48</v>
      </c>
      <c r="I62" s="11">
        <v>2</v>
      </c>
      <c r="J62" s="11">
        <v>3</v>
      </c>
      <c r="K62" s="11">
        <v>0</v>
      </c>
      <c r="L62" s="11">
        <v>5.099999999999997</v>
      </c>
      <c r="M62" s="11">
        <v>0.24</v>
      </c>
      <c r="N62" s="11">
        <v>0</v>
      </c>
      <c r="O62" s="11">
        <v>2.84</v>
      </c>
      <c r="P62" s="11">
        <v>0</v>
      </c>
      <c r="Q62" s="11">
        <v>8.179999999999998</v>
      </c>
      <c r="R62" s="11">
        <v>0</v>
      </c>
      <c r="S62" s="11">
        <v>8.179999999999998</v>
      </c>
      <c r="T62" s="11">
        <v>2</v>
      </c>
      <c r="U62" s="11">
        <v>3</v>
      </c>
      <c r="V62" s="11">
        <v>3.179999999999998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51</v>
      </c>
      <c r="E63" s="7" t="s">
        <v>54</v>
      </c>
      <c r="F63" s="7" t="s">
        <v>87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1.540000000000001</v>
      </c>
      <c r="M63" s="11">
        <v>0.32</v>
      </c>
      <c r="N63" s="11">
        <v>0</v>
      </c>
      <c r="O63" s="11">
        <v>0.86</v>
      </c>
      <c r="P63" s="11">
        <v>0</v>
      </c>
      <c r="Q63" s="11">
        <v>2.720000000000001</v>
      </c>
      <c r="R63" s="11">
        <v>0</v>
      </c>
      <c r="S63" s="11">
        <v>2.720000000000001</v>
      </c>
      <c r="T63" s="11">
        <v>2</v>
      </c>
      <c r="U63" s="11">
        <v>0.7200000000000006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90</v>
      </c>
      <c r="E64" s="7" t="s">
        <v>54</v>
      </c>
      <c r="F64" s="7" t="s">
        <v>87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0.68</v>
      </c>
      <c r="M64" s="11">
        <v>0</v>
      </c>
      <c r="N64" s="11">
        <v>0</v>
      </c>
      <c r="O64" s="11">
        <v>0</v>
      </c>
      <c r="P64" s="11">
        <v>0</v>
      </c>
      <c r="Q64" s="11">
        <v>0.68</v>
      </c>
      <c r="R64" s="11">
        <v>0</v>
      </c>
      <c r="S64" s="11">
        <v>0.68</v>
      </c>
      <c r="T64" s="11">
        <v>0.68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51</v>
      </c>
      <c r="E65" s="7" t="s">
        <v>54</v>
      </c>
      <c r="F65" s="7" t="s">
        <v>87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4.52</v>
      </c>
      <c r="M65" s="11">
        <v>0</v>
      </c>
      <c r="N65" s="11">
        <v>0</v>
      </c>
      <c r="O65" s="11">
        <v>1.760000000000001</v>
      </c>
      <c r="P65" s="11">
        <v>0.8</v>
      </c>
      <c r="Q65" s="11">
        <v>7.079999999999999</v>
      </c>
      <c r="R65" s="11">
        <v>0</v>
      </c>
      <c r="S65" s="11">
        <v>7.079999999999999</v>
      </c>
      <c r="T65" s="11">
        <v>2</v>
      </c>
      <c r="U65" s="11">
        <v>3</v>
      </c>
      <c r="V65" s="11">
        <v>2.079999999999999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93</v>
      </c>
      <c r="E66" s="7" t="s">
        <v>65</v>
      </c>
      <c r="F66" s="7" t="s">
        <v>87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3.080000000000001</v>
      </c>
      <c r="M66" s="11">
        <v>0.16</v>
      </c>
      <c r="N66" s="11">
        <v>0</v>
      </c>
      <c r="O66" s="11">
        <v>0.5800000000000001</v>
      </c>
      <c r="P66" s="11">
        <v>0.17</v>
      </c>
      <c r="Q66" s="11">
        <v>3.990000000000001</v>
      </c>
      <c r="R66" s="11">
        <v>0</v>
      </c>
      <c r="S66" s="11">
        <v>3.990000000000001</v>
      </c>
      <c r="T66" s="11">
        <v>2</v>
      </c>
      <c r="U66" s="11">
        <v>1.990000000000001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90</v>
      </c>
      <c r="E67" s="7" t="s">
        <v>61</v>
      </c>
      <c r="F67" s="7" t="s">
        <v>87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2.91</v>
      </c>
      <c r="M67" s="11">
        <v>0</v>
      </c>
      <c r="N67" s="11">
        <v>0</v>
      </c>
      <c r="O67" s="11">
        <v>0.44</v>
      </c>
      <c r="P67" s="11">
        <v>0</v>
      </c>
      <c r="Q67" s="11">
        <v>3.35</v>
      </c>
      <c r="R67" s="11">
        <v>0</v>
      </c>
      <c r="S67" s="11">
        <v>3.35</v>
      </c>
      <c r="T67" s="11">
        <v>2</v>
      </c>
      <c r="U67" s="11">
        <v>1.35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186</v>
      </c>
      <c r="C68" s="10" t="s">
        <v>187</v>
      </c>
      <c r="D68" s="7" t="s">
        <v>90</v>
      </c>
      <c r="E68" s="7" t="s">
        <v>61</v>
      </c>
      <c r="F68" s="7" t="s">
        <v>87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3.22</v>
      </c>
      <c r="M68" s="11">
        <v>0</v>
      </c>
      <c r="N68" s="11">
        <v>0</v>
      </c>
      <c r="O68" s="11">
        <v>0.34</v>
      </c>
      <c r="P68" s="11">
        <v>0</v>
      </c>
      <c r="Q68" s="11">
        <v>3.56</v>
      </c>
      <c r="R68" s="11">
        <v>0</v>
      </c>
      <c r="S68" s="11">
        <v>3.56</v>
      </c>
      <c r="T68" s="11">
        <v>2</v>
      </c>
      <c r="U68" s="11">
        <v>1.56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188</v>
      </c>
      <c r="C69" s="10" t="s">
        <v>189</v>
      </c>
      <c r="D69" s="7" t="s">
        <v>60</v>
      </c>
      <c r="E69" s="7" t="s">
        <v>54</v>
      </c>
      <c r="F69" s="7" t="s">
        <v>87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1.67</v>
      </c>
      <c r="M69" s="11">
        <v>0</v>
      </c>
      <c r="N69" s="11">
        <v>0</v>
      </c>
      <c r="O69" s="11">
        <v>0.16</v>
      </c>
      <c r="P69" s="11">
        <v>0</v>
      </c>
      <c r="Q69" s="11">
        <v>1.83</v>
      </c>
      <c r="R69" s="11">
        <v>0</v>
      </c>
      <c r="S69" s="11">
        <v>1.83</v>
      </c>
      <c r="T69" s="11">
        <v>1.83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90</v>
      </c>
      <c r="E70" s="7" t="s">
        <v>61</v>
      </c>
      <c r="F70" s="7" t="s">
        <v>87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2.360000000000001</v>
      </c>
      <c r="M70" s="11">
        <v>0</v>
      </c>
      <c r="N70" s="11">
        <v>0</v>
      </c>
      <c r="O70" s="11">
        <v>0.32</v>
      </c>
      <c r="P70" s="11">
        <v>0</v>
      </c>
      <c r="Q70" s="11">
        <v>2.680000000000001</v>
      </c>
      <c r="R70" s="11">
        <v>0</v>
      </c>
      <c r="S70" s="11">
        <v>2.680000000000001</v>
      </c>
      <c r="T70" s="11">
        <v>2</v>
      </c>
      <c r="U70" s="11">
        <v>0.6800000000000006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99</v>
      </c>
      <c r="E71" s="7" t="s">
        <v>54</v>
      </c>
      <c r="F71" s="7" t="s">
        <v>87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1.56</v>
      </c>
      <c r="M71" s="11">
        <v>0</v>
      </c>
      <c r="N71" s="11">
        <v>0</v>
      </c>
      <c r="O71" s="11">
        <v>0</v>
      </c>
      <c r="P71" s="11">
        <v>0</v>
      </c>
      <c r="Q71" s="11">
        <v>1.56</v>
      </c>
      <c r="R71" s="11">
        <v>0</v>
      </c>
      <c r="S71" s="11">
        <v>1.56</v>
      </c>
      <c r="T71" s="11">
        <v>1.56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90</v>
      </c>
      <c r="E72" s="7" t="s">
        <v>61</v>
      </c>
      <c r="F72" s="7" t="s">
        <v>87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3.72</v>
      </c>
      <c r="M72" s="11">
        <v>0.16</v>
      </c>
      <c r="N72" s="11">
        <v>0</v>
      </c>
      <c r="O72" s="11">
        <v>0.7</v>
      </c>
      <c r="P72" s="11">
        <v>0</v>
      </c>
      <c r="Q72" s="11">
        <v>4.58</v>
      </c>
      <c r="R72" s="11">
        <v>0</v>
      </c>
      <c r="S72" s="11">
        <v>4.58</v>
      </c>
      <c r="T72" s="11">
        <v>2</v>
      </c>
      <c r="U72" s="11">
        <v>2.58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68</v>
      </c>
      <c r="E73" s="7" t="s">
        <v>54</v>
      </c>
      <c r="F73" s="7" t="s">
        <v>87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1.460000000000001</v>
      </c>
      <c r="M73" s="11">
        <v>0</v>
      </c>
      <c r="N73" s="11">
        <v>0</v>
      </c>
      <c r="O73" s="11">
        <v>0</v>
      </c>
      <c r="P73" s="11">
        <v>0</v>
      </c>
      <c r="Q73" s="11">
        <v>1.460000000000001</v>
      </c>
      <c r="R73" s="11">
        <v>0</v>
      </c>
      <c r="S73" s="11">
        <v>1.460000000000001</v>
      </c>
      <c r="T73" s="11">
        <v>1.460000000000001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51</v>
      </c>
      <c r="E74" s="7" t="s">
        <v>54</v>
      </c>
      <c r="F74" s="7" t="s">
        <v>87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2.31</v>
      </c>
      <c r="M74" s="11">
        <v>0</v>
      </c>
      <c r="N74" s="11">
        <v>0</v>
      </c>
      <c r="O74" s="11">
        <v>0.06</v>
      </c>
      <c r="P74" s="11">
        <v>0</v>
      </c>
      <c r="Q74" s="11">
        <v>2.370000000000001</v>
      </c>
      <c r="R74" s="11">
        <v>0</v>
      </c>
      <c r="S74" s="11">
        <v>2.370000000000001</v>
      </c>
      <c r="T74" s="11">
        <v>2</v>
      </c>
      <c r="U74" s="11">
        <v>0.3700000000000006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93</v>
      </c>
      <c r="E75" s="7" t="s">
        <v>61</v>
      </c>
      <c r="F75" s="7" t="s">
        <v>133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3.25</v>
      </c>
      <c r="M75" s="11">
        <v>0.24</v>
      </c>
      <c r="N75" s="11">
        <v>0</v>
      </c>
      <c r="O75" s="11">
        <v>0.08</v>
      </c>
      <c r="P75" s="11">
        <v>0</v>
      </c>
      <c r="Q75" s="11">
        <v>3.57</v>
      </c>
      <c r="R75" s="11">
        <v>0</v>
      </c>
      <c r="S75" s="11">
        <v>3.57</v>
      </c>
      <c r="T75" s="11">
        <v>2</v>
      </c>
      <c r="U75" s="11">
        <v>1.57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46</v>
      </c>
      <c r="E76" s="7" t="s">
        <v>54</v>
      </c>
      <c r="F76" s="7" t="s">
        <v>87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1.36</v>
      </c>
      <c r="M76" s="11">
        <v>0</v>
      </c>
      <c r="N76" s="11">
        <v>0</v>
      </c>
      <c r="O76" s="11">
        <v>0</v>
      </c>
      <c r="P76" s="11">
        <v>0</v>
      </c>
      <c r="Q76" s="11">
        <v>1.36</v>
      </c>
      <c r="R76" s="11">
        <v>0</v>
      </c>
      <c r="S76" s="11">
        <v>1.36</v>
      </c>
      <c r="T76" s="11">
        <v>1.36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90</v>
      </c>
      <c r="E77" s="7" t="s">
        <v>61</v>
      </c>
      <c r="F77" s="7" t="s">
        <v>87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2.77</v>
      </c>
      <c r="M77" s="11">
        <v>0.16</v>
      </c>
      <c r="N77" s="11">
        <v>0</v>
      </c>
      <c r="O77" s="11">
        <v>0.76</v>
      </c>
      <c r="P77" s="11">
        <v>0</v>
      </c>
      <c r="Q77" s="11">
        <v>3.69</v>
      </c>
      <c r="R77" s="11">
        <v>0</v>
      </c>
      <c r="S77" s="11">
        <v>3.69</v>
      </c>
      <c r="T77" s="11">
        <v>2</v>
      </c>
      <c r="U77" s="11">
        <v>1.69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81</v>
      </c>
      <c r="E78" s="7" t="s">
        <v>61</v>
      </c>
      <c r="F78" s="7" t="s">
        <v>87</v>
      </c>
      <c r="G78" s="7"/>
      <c r="H78" s="7"/>
      <c r="I78" s="11">
        <v>2</v>
      </c>
      <c r="J78" s="11">
        <v>3</v>
      </c>
      <c r="K78" s="11">
        <v>0</v>
      </c>
      <c r="L78" s="11">
        <v>2.890000000000001</v>
      </c>
      <c r="M78" s="11">
        <v>0.16</v>
      </c>
      <c r="N78" s="11">
        <v>0</v>
      </c>
      <c r="O78" s="11">
        <v>1.38</v>
      </c>
      <c r="P78" s="11">
        <v>0</v>
      </c>
      <c r="Q78" s="11">
        <v>4.430000000000001</v>
      </c>
      <c r="R78" s="11">
        <v>0</v>
      </c>
      <c r="S78" s="11">
        <v>4.430000000000001</v>
      </c>
      <c r="T78" s="11">
        <v>2</v>
      </c>
      <c r="U78" s="11">
        <v>2.430000000000001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46</v>
      </c>
      <c r="E79" s="7" t="s">
        <v>54</v>
      </c>
      <c r="F79" s="7" t="s">
        <v>87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2.73</v>
      </c>
      <c r="M79" s="11">
        <v>0</v>
      </c>
      <c r="N79" s="11">
        <v>0</v>
      </c>
      <c r="O79" s="11">
        <v>0</v>
      </c>
      <c r="P79" s="11">
        <v>0</v>
      </c>
      <c r="Q79" s="11">
        <v>2.73</v>
      </c>
      <c r="R79" s="11">
        <v>0</v>
      </c>
      <c r="S79" s="11">
        <v>2.73</v>
      </c>
      <c r="T79" s="11">
        <v>2</v>
      </c>
      <c r="U79" s="11">
        <v>0.7300000000000004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51</v>
      </c>
      <c r="E80" s="7" t="s">
        <v>54</v>
      </c>
      <c r="F80" s="7" t="s">
        <v>87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2.09</v>
      </c>
      <c r="M80" s="11">
        <v>0.08</v>
      </c>
      <c r="N80" s="11">
        <v>0</v>
      </c>
      <c r="O80" s="11">
        <v>0.1</v>
      </c>
      <c r="P80" s="11">
        <v>0</v>
      </c>
      <c r="Q80" s="11">
        <v>2.27</v>
      </c>
      <c r="R80" s="11">
        <v>0</v>
      </c>
      <c r="S80" s="11">
        <v>2.27</v>
      </c>
      <c r="T80" s="11">
        <v>2</v>
      </c>
      <c r="U80" s="11">
        <v>0.2700000000000005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68</v>
      </c>
      <c r="E81" s="7" t="s">
        <v>54</v>
      </c>
      <c r="F81" s="7" t="s">
        <v>87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0.72</v>
      </c>
      <c r="M81" s="11">
        <v>0</v>
      </c>
      <c r="N81" s="11">
        <v>0</v>
      </c>
      <c r="O81" s="11">
        <v>0</v>
      </c>
      <c r="P81" s="11">
        <v>0</v>
      </c>
      <c r="Q81" s="11">
        <v>0.72</v>
      </c>
      <c r="R81" s="11">
        <v>0</v>
      </c>
      <c r="S81" s="11">
        <v>0.72</v>
      </c>
      <c r="T81" s="11">
        <v>0.72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99</v>
      </c>
      <c r="E82" s="7" t="s">
        <v>54</v>
      </c>
      <c r="F82" s="7" t="s">
        <v>87</v>
      </c>
      <c r="G82" s="7"/>
      <c r="H82" s="7" t="s">
        <v>156</v>
      </c>
      <c r="I82" s="11">
        <v>2</v>
      </c>
      <c r="J82" s="11">
        <v>3</v>
      </c>
      <c r="K82" s="11">
        <v>0.95</v>
      </c>
      <c r="L82" s="11">
        <v>0.9999999999999999</v>
      </c>
      <c r="M82" s="11">
        <v>0</v>
      </c>
      <c r="N82" s="11">
        <v>0</v>
      </c>
      <c r="O82" s="11">
        <v>0</v>
      </c>
      <c r="P82" s="11">
        <v>0</v>
      </c>
      <c r="Q82" s="11">
        <v>1.95</v>
      </c>
      <c r="R82" s="11">
        <v>0</v>
      </c>
      <c r="S82" s="11">
        <v>1.95</v>
      </c>
      <c r="T82" s="11">
        <v>1.95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93</v>
      </c>
      <c r="E83" s="7" t="s">
        <v>54</v>
      </c>
      <c r="F83" s="7" t="s">
        <v>87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2.24</v>
      </c>
      <c r="M83" s="11">
        <v>0.08</v>
      </c>
      <c r="N83" s="11">
        <v>0</v>
      </c>
      <c r="O83" s="11">
        <v>0.16</v>
      </c>
      <c r="P83" s="11">
        <v>0</v>
      </c>
      <c r="Q83" s="11">
        <v>2.48</v>
      </c>
      <c r="R83" s="11">
        <v>0</v>
      </c>
      <c r="S83" s="11">
        <v>2.48</v>
      </c>
      <c r="T83" s="11">
        <v>2</v>
      </c>
      <c r="U83" s="11">
        <v>0.4800000000000004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90</v>
      </c>
      <c r="E84" s="7" t="s">
        <v>61</v>
      </c>
      <c r="F84" s="7" t="s">
        <v>87</v>
      </c>
      <c r="G84" s="7"/>
      <c r="H84" s="7" t="s">
        <v>115</v>
      </c>
      <c r="I84" s="11">
        <v>2</v>
      </c>
      <c r="J84" s="11">
        <v>3</v>
      </c>
      <c r="K84" s="11">
        <v>1</v>
      </c>
      <c r="L84" s="11">
        <v>4.32</v>
      </c>
      <c r="M84" s="11">
        <v>0</v>
      </c>
      <c r="N84" s="11">
        <v>0</v>
      </c>
      <c r="O84" s="11">
        <v>0.62</v>
      </c>
      <c r="P84" s="11">
        <v>0</v>
      </c>
      <c r="Q84" s="11">
        <v>5.94</v>
      </c>
      <c r="R84" s="11">
        <v>0</v>
      </c>
      <c r="S84" s="11">
        <v>5.94</v>
      </c>
      <c r="T84" s="11">
        <v>2</v>
      </c>
      <c r="U84" s="11">
        <v>3</v>
      </c>
      <c r="V84" s="11">
        <v>0.9400000000000004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131</v>
      </c>
      <c r="E85" s="7" t="s">
        <v>54</v>
      </c>
      <c r="F85" s="7" t="s">
        <v>87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2.69</v>
      </c>
      <c r="M85" s="11">
        <v>0</v>
      </c>
      <c r="N85" s="11">
        <v>0</v>
      </c>
      <c r="O85" s="11">
        <v>0</v>
      </c>
      <c r="P85" s="11">
        <v>0</v>
      </c>
      <c r="Q85" s="11">
        <v>2.69</v>
      </c>
      <c r="R85" s="11">
        <v>0</v>
      </c>
      <c r="S85" s="11">
        <v>2.69</v>
      </c>
      <c r="T85" s="11">
        <v>2</v>
      </c>
      <c r="U85" s="11">
        <v>0.6899999999999999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93</v>
      </c>
      <c r="E86" s="7" t="s">
        <v>54</v>
      </c>
      <c r="F86" s="7" t="s">
        <v>87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4.72</v>
      </c>
      <c r="M86" s="11">
        <v>0</v>
      </c>
      <c r="N86" s="11">
        <v>0</v>
      </c>
      <c r="O86" s="11">
        <v>1.12</v>
      </c>
      <c r="P86" s="11">
        <v>0</v>
      </c>
      <c r="Q86" s="11">
        <v>5.84</v>
      </c>
      <c r="R86" s="11">
        <v>0</v>
      </c>
      <c r="S86" s="11">
        <v>5.84</v>
      </c>
      <c r="T86" s="11">
        <v>2</v>
      </c>
      <c r="U86" s="11">
        <v>3</v>
      </c>
      <c r="V86" s="11">
        <v>0.8399999999999999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60</v>
      </c>
      <c r="E87" s="7" t="s">
        <v>54</v>
      </c>
      <c r="F87" s="7" t="s">
        <v>87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1.73</v>
      </c>
      <c r="M87" s="11">
        <v>0</v>
      </c>
      <c r="N87" s="11">
        <v>0</v>
      </c>
      <c r="O87" s="11">
        <v>0</v>
      </c>
      <c r="P87" s="11">
        <v>0</v>
      </c>
      <c r="Q87" s="11">
        <v>1.73</v>
      </c>
      <c r="R87" s="11">
        <v>0</v>
      </c>
      <c r="S87" s="11">
        <v>1.73</v>
      </c>
      <c r="T87" s="11">
        <v>1.73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93</v>
      </c>
      <c r="E88" s="7" t="s">
        <v>54</v>
      </c>
      <c r="F88" s="7" t="s">
        <v>87</v>
      </c>
      <c r="G88" s="7"/>
      <c r="H88" s="7"/>
      <c r="I88" s="11">
        <v>2</v>
      </c>
      <c r="J88" s="11">
        <v>3</v>
      </c>
      <c r="K88" s="11">
        <v>0</v>
      </c>
      <c r="L88" s="11">
        <v>4.65</v>
      </c>
      <c r="M88" s="11">
        <v>0.08</v>
      </c>
      <c r="N88" s="11">
        <v>0</v>
      </c>
      <c r="O88" s="11">
        <v>0.1</v>
      </c>
      <c r="P88" s="11">
        <v>0.17</v>
      </c>
      <c r="Q88" s="11">
        <v>5</v>
      </c>
      <c r="R88" s="11">
        <v>0</v>
      </c>
      <c r="S88" s="11">
        <v>5</v>
      </c>
      <c r="T88" s="11">
        <v>2</v>
      </c>
      <c r="U88" s="11">
        <v>3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61</v>
      </c>
      <c r="F89" s="7" t="s">
        <v>87</v>
      </c>
      <c r="G89" s="7"/>
      <c r="H89" s="7" t="s">
        <v>156</v>
      </c>
      <c r="I89" s="11">
        <v>2</v>
      </c>
      <c r="J89" s="11">
        <v>3</v>
      </c>
      <c r="K89" s="11">
        <v>0.95</v>
      </c>
      <c r="L89" s="11">
        <v>12.5</v>
      </c>
      <c r="M89" s="11">
        <v>0.16</v>
      </c>
      <c r="N89" s="11">
        <v>0</v>
      </c>
      <c r="O89" s="11">
        <v>0</v>
      </c>
      <c r="P89" s="11">
        <v>0.8</v>
      </c>
      <c r="Q89" s="11">
        <v>14.41</v>
      </c>
      <c r="R89" s="11">
        <v>0</v>
      </c>
      <c r="S89" s="11">
        <v>14.41</v>
      </c>
      <c r="T89" s="11">
        <v>2</v>
      </c>
      <c r="U89" s="11">
        <v>3</v>
      </c>
      <c r="V89" s="11">
        <v>9.409999999999998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46</v>
      </c>
      <c r="E90" s="7" t="s">
        <v>232</v>
      </c>
      <c r="F90" s="7" t="s">
        <v>133</v>
      </c>
      <c r="G90" s="7"/>
      <c r="H90" s="7" t="s">
        <v>233</v>
      </c>
      <c r="I90" s="11">
        <v>2</v>
      </c>
      <c r="J90" s="11">
        <v>3</v>
      </c>
      <c r="K90" s="11">
        <v>1.33</v>
      </c>
      <c r="L90" s="11">
        <v>8.329999999999995</v>
      </c>
      <c r="M90" s="11">
        <v>0.24</v>
      </c>
      <c r="N90" s="11">
        <v>0</v>
      </c>
      <c r="O90" s="11">
        <v>0.78</v>
      </c>
      <c r="P90" s="11">
        <v>0.8</v>
      </c>
      <c r="Q90" s="11">
        <v>11.48</v>
      </c>
      <c r="R90" s="11">
        <v>0</v>
      </c>
      <c r="S90" s="11">
        <v>11.48</v>
      </c>
      <c r="T90" s="11">
        <v>2</v>
      </c>
      <c r="U90" s="11">
        <v>3</v>
      </c>
      <c r="V90" s="11">
        <v>6.479999999999995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81</v>
      </c>
      <c r="E91" s="7" t="s">
        <v>61</v>
      </c>
      <c r="F91" s="7" t="s">
        <v>87</v>
      </c>
      <c r="G91" s="7"/>
      <c r="H91" s="7" t="s">
        <v>156</v>
      </c>
      <c r="I91" s="11">
        <v>2</v>
      </c>
      <c r="J91" s="11">
        <v>3</v>
      </c>
      <c r="K91" s="11">
        <v>0.95</v>
      </c>
      <c r="L91" s="11">
        <v>3.76</v>
      </c>
      <c r="M91" s="11">
        <v>0.4</v>
      </c>
      <c r="N91" s="11">
        <v>0</v>
      </c>
      <c r="O91" s="11">
        <v>0.06</v>
      </c>
      <c r="P91" s="11">
        <v>0</v>
      </c>
      <c r="Q91" s="11">
        <v>5.17</v>
      </c>
      <c r="R91" s="11">
        <v>0</v>
      </c>
      <c r="S91" s="11">
        <v>5.17</v>
      </c>
      <c r="T91" s="11">
        <v>2</v>
      </c>
      <c r="U91" s="11">
        <v>3</v>
      </c>
      <c r="V91" s="11">
        <v>0.1699999999999999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93</v>
      </c>
      <c r="E92" s="7" t="s">
        <v>65</v>
      </c>
      <c r="F92" s="7" t="s">
        <v>87</v>
      </c>
      <c r="G92" s="7"/>
      <c r="H92" s="7" t="s">
        <v>48</v>
      </c>
      <c r="I92" s="11">
        <v>2</v>
      </c>
      <c r="J92" s="11">
        <v>3</v>
      </c>
      <c r="K92" s="11">
        <v>0</v>
      </c>
      <c r="L92" s="11">
        <v>4.4</v>
      </c>
      <c r="M92" s="11">
        <v>0.16</v>
      </c>
      <c r="N92" s="11">
        <v>0</v>
      </c>
      <c r="O92" s="11">
        <v>0.1</v>
      </c>
      <c r="P92" s="11">
        <v>0</v>
      </c>
      <c r="Q92" s="11">
        <v>4.66</v>
      </c>
      <c r="R92" s="11">
        <v>0</v>
      </c>
      <c r="S92" s="11">
        <v>4.66</v>
      </c>
      <c r="T92" s="11">
        <v>2</v>
      </c>
      <c r="U92" s="11">
        <v>2.66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46</v>
      </c>
      <c r="E93" s="7" t="s">
        <v>61</v>
      </c>
      <c r="F93" s="7" t="s">
        <v>87</v>
      </c>
      <c r="G93" s="7"/>
      <c r="H93" s="7"/>
      <c r="I93" s="11">
        <v>2</v>
      </c>
      <c r="J93" s="11">
        <v>3</v>
      </c>
      <c r="K93" s="11">
        <v>0</v>
      </c>
      <c r="L93" s="11">
        <v>7.289999999999996</v>
      </c>
      <c r="M93" s="11">
        <v>0</v>
      </c>
      <c r="N93" s="11">
        <v>0</v>
      </c>
      <c r="O93" s="11">
        <v>0</v>
      </c>
      <c r="P93" s="11">
        <v>0.8</v>
      </c>
      <c r="Q93" s="11">
        <v>8.089999999999996</v>
      </c>
      <c r="R93" s="11">
        <v>0</v>
      </c>
      <c r="S93" s="11">
        <v>8.089999999999996</v>
      </c>
      <c r="T93" s="11">
        <v>2</v>
      </c>
      <c r="U93" s="11">
        <v>3</v>
      </c>
      <c r="V93" s="11">
        <v>3.089999999999996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93</v>
      </c>
      <c r="E94" s="7" t="s">
        <v>54</v>
      </c>
      <c r="F94" s="7" t="s">
        <v>87</v>
      </c>
      <c r="G94" s="7"/>
      <c r="H94" s="7" t="s">
        <v>153</v>
      </c>
      <c r="I94" s="11">
        <v>2</v>
      </c>
      <c r="J94" s="11">
        <v>3</v>
      </c>
      <c r="K94" s="11">
        <v>0.95</v>
      </c>
      <c r="L94" s="11">
        <v>4.14</v>
      </c>
      <c r="M94" s="11">
        <v>0.08</v>
      </c>
      <c r="N94" s="11">
        <v>0</v>
      </c>
      <c r="O94" s="11">
        <v>0.28</v>
      </c>
      <c r="P94" s="11">
        <v>0</v>
      </c>
      <c r="Q94" s="11">
        <v>5.45</v>
      </c>
      <c r="R94" s="11">
        <v>0</v>
      </c>
      <c r="S94" s="11">
        <v>5.45</v>
      </c>
      <c r="T94" s="11">
        <v>2</v>
      </c>
      <c r="U94" s="11">
        <v>3</v>
      </c>
      <c r="V94" s="11">
        <v>0.4500000000000002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81</v>
      </c>
      <c r="E95" s="7" t="s">
        <v>54</v>
      </c>
      <c r="F95" s="7" t="s">
        <v>87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5.639999999999994</v>
      </c>
      <c r="M95" s="11">
        <v>0.32</v>
      </c>
      <c r="N95" s="11">
        <v>0</v>
      </c>
      <c r="O95" s="11">
        <v>1.56</v>
      </c>
      <c r="P95" s="11">
        <v>0</v>
      </c>
      <c r="Q95" s="11">
        <v>7.519999999999995</v>
      </c>
      <c r="R95" s="11">
        <v>0</v>
      </c>
      <c r="S95" s="11">
        <v>7.519999999999995</v>
      </c>
      <c r="T95" s="11">
        <v>2</v>
      </c>
      <c r="U95" s="11">
        <v>3</v>
      </c>
      <c r="V95" s="11">
        <v>2.519999999999995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81</v>
      </c>
      <c r="E96" s="7" t="s">
        <v>54</v>
      </c>
      <c r="F96" s="7" t="s">
        <v>87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5.289999999999996</v>
      </c>
      <c r="M96" s="11">
        <v>0.48</v>
      </c>
      <c r="N96" s="11">
        <v>0</v>
      </c>
      <c r="O96" s="11">
        <v>0.6899999999999999</v>
      </c>
      <c r="P96" s="11">
        <v>0</v>
      </c>
      <c r="Q96" s="11">
        <v>6.459999999999997</v>
      </c>
      <c r="R96" s="11">
        <v>0</v>
      </c>
      <c r="S96" s="11">
        <v>6.459999999999997</v>
      </c>
      <c r="T96" s="11">
        <v>2</v>
      </c>
      <c r="U96" s="11">
        <v>3</v>
      </c>
      <c r="V96" s="11">
        <v>1.459999999999997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93</v>
      </c>
      <c r="E97" s="7" t="s">
        <v>54</v>
      </c>
      <c r="F97" s="7" t="s">
        <v>87</v>
      </c>
      <c r="G97" s="7"/>
      <c r="H97" s="7" t="s">
        <v>153</v>
      </c>
      <c r="I97" s="11">
        <v>2</v>
      </c>
      <c r="J97" s="11">
        <v>3</v>
      </c>
      <c r="K97" s="11">
        <v>0.95</v>
      </c>
      <c r="L97" s="11">
        <v>3.94</v>
      </c>
      <c r="M97" s="11">
        <v>0.24</v>
      </c>
      <c r="N97" s="11">
        <v>0</v>
      </c>
      <c r="O97" s="11">
        <v>0.9400000000000001</v>
      </c>
      <c r="P97" s="11">
        <v>0.17</v>
      </c>
      <c r="Q97" s="11">
        <v>6.240000000000001</v>
      </c>
      <c r="R97" s="11">
        <v>0</v>
      </c>
      <c r="S97" s="11">
        <v>6.240000000000001</v>
      </c>
      <c r="T97" s="11">
        <v>2</v>
      </c>
      <c r="U97" s="11">
        <v>3</v>
      </c>
      <c r="V97" s="11">
        <v>1.240000000000001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93</v>
      </c>
      <c r="E98" s="7" t="s">
        <v>54</v>
      </c>
      <c r="F98" s="7" t="s">
        <v>87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4.359999999999999</v>
      </c>
      <c r="M98" s="11">
        <v>0.16</v>
      </c>
      <c r="N98" s="11">
        <v>0</v>
      </c>
      <c r="O98" s="11">
        <v>0.1</v>
      </c>
      <c r="P98" s="11">
        <v>0.8</v>
      </c>
      <c r="Q98" s="11">
        <v>5.419999999999999</v>
      </c>
      <c r="R98" s="11">
        <v>0</v>
      </c>
      <c r="S98" s="11">
        <v>5.419999999999999</v>
      </c>
      <c r="T98" s="11">
        <v>2</v>
      </c>
      <c r="U98" s="11">
        <v>3</v>
      </c>
      <c r="V98" s="11">
        <v>0.419999999999999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68</v>
      </c>
      <c r="E99" s="7" t="s">
        <v>54</v>
      </c>
      <c r="F99" s="7" t="s">
        <v>87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1.45</v>
      </c>
      <c r="M99" s="11">
        <v>0</v>
      </c>
      <c r="N99" s="11">
        <v>0</v>
      </c>
      <c r="O99" s="11">
        <v>0</v>
      </c>
      <c r="P99" s="11">
        <v>0</v>
      </c>
      <c r="Q99" s="11">
        <v>1.45</v>
      </c>
      <c r="R99" s="11">
        <v>0</v>
      </c>
      <c r="S99" s="11">
        <v>1.45</v>
      </c>
      <c r="T99" s="11">
        <v>1.45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99</v>
      </c>
      <c r="E100" s="7" t="s">
        <v>54</v>
      </c>
      <c r="F100" s="7" t="s">
        <v>87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0.12</v>
      </c>
      <c r="M100" s="11">
        <v>0</v>
      </c>
      <c r="N100" s="11">
        <v>0</v>
      </c>
      <c r="O100" s="11">
        <v>0</v>
      </c>
      <c r="P100" s="11">
        <v>0</v>
      </c>
      <c r="Q100" s="11">
        <v>0.12</v>
      </c>
      <c r="R100" s="11">
        <v>0</v>
      </c>
      <c r="S100" s="11">
        <v>0.12</v>
      </c>
      <c r="T100" s="11">
        <v>0.12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90</v>
      </c>
      <c r="E101" s="7" t="s">
        <v>54</v>
      </c>
      <c r="F101" s="7" t="s">
        <v>133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3.630000000000001</v>
      </c>
      <c r="M101" s="11">
        <v>0</v>
      </c>
      <c r="N101" s="11">
        <v>0</v>
      </c>
      <c r="O101" s="11">
        <v>0.46</v>
      </c>
      <c r="P101" s="11">
        <v>0</v>
      </c>
      <c r="Q101" s="11">
        <v>4.090000000000001</v>
      </c>
      <c r="R101" s="11">
        <v>0</v>
      </c>
      <c r="S101" s="11">
        <v>4.090000000000001</v>
      </c>
      <c r="T101" s="11">
        <v>2</v>
      </c>
      <c r="U101" s="11">
        <v>2.090000000000001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99</v>
      </c>
      <c r="E102" s="7" t="s">
        <v>54</v>
      </c>
      <c r="F102" s="7" t="s">
        <v>87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2.87</v>
      </c>
      <c r="M102" s="11">
        <v>0</v>
      </c>
      <c r="N102" s="11">
        <v>0</v>
      </c>
      <c r="O102" s="11">
        <v>0</v>
      </c>
      <c r="P102" s="11">
        <v>0</v>
      </c>
      <c r="Q102" s="11">
        <v>2.87</v>
      </c>
      <c r="R102" s="11">
        <v>0</v>
      </c>
      <c r="S102" s="11">
        <v>2.87</v>
      </c>
      <c r="T102" s="11">
        <v>2</v>
      </c>
      <c r="U102" s="11">
        <v>0.8700000000000001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93</v>
      </c>
      <c r="E103" s="7" t="s">
        <v>54</v>
      </c>
      <c r="F103" s="7" t="s">
        <v>87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1.9</v>
      </c>
      <c r="M103" s="11">
        <v>0.08</v>
      </c>
      <c r="N103" s="11">
        <v>0</v>
      </c>
      <c r="O103" s="11">
        <v>0.44</v>
      </c>
      <c r="P103" s="11">
        <v>0</v>
      </c>
      <c r="Q103" s="11">
        <v>2.42</v>
      </c>
      <c r="R103" s="11">
        <v>0</v>
      </c>
      <c r="S103" s="11">
        <v>2.42</v>
      </c>
      <c r="T103" s="11">
        <v>2</v>
      </c>
      <c r="U103" s="11">
        <v>0.4199999999999999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118</v>
      </c>
      <c r="E104" s="7" t="s">
        <v>54</v>
      </c>
      <c r="F104" s="7" t="s">
        <v>87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7.529999999999998</v>
      </c>
      <c r="M104" s="11">
        <v>0.4</v>
      </c>
      <c r="N104" s="11">
        <v>0</v>
      </c>
      <c r="O104" s="11">
        <v>0</v>
      </c>
      <c r="P104" s="11">
        <v>0</v>
      </c>
      <c r="Q104" s="11">
        <v>7.929999999999999</v>
      </c>
      <c r="R104" s="11">
        <v>0</v>
      </c>
      <c r="S104" s="11">
        <v>7.929999999999999</v>
      </c>
      <c r="T104" s="11">
        <v>2</v>
      </c>
      <c r="U104" s="11">
        <v>3</v>
      </c>
      <c r="V104" s="11">
        <v>2.929999999999999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81</v>
      </c>
      <c r="E105" s="7" t="s">
        <v>132</v>
      </c>
      <c r="F105" s="7" t="s">
        <v>264</v>
      </c>
      <c r="G105" s="7"/>
      <c r="H105" s="7"/>
      <c r="I105" s="11">
        <v>2</v>
      </c>
      <c r="J105" s="11">
        <v>3</v>
      </c>
      <c r="K105" s="11">
        <v>0</v>
      </c>
      <c r="L105" s="11">
        <v>4.119999999999999</v>
      </c>
      <c r="M105" s="11">
        <v>0</v>
      </c>
      <c r="N105" s="11">
        <v>0</v>
      </c>
      <c r="O105" s="11">
        <v>2.68</v>
      </c>
      <c r="P105" s="11">
        <v>0</v>
      </c>
      <c r="Q105" s="11">
        <v>6.799999999999999</v>
      </c>
      <c r="R105" s="11">
        <v>0</v>
      </c>
      <c r="S105" s="11">
        <v>6.799999999999999</v>
      </c>
      <c r="T105" s="11">
        <v>2</v>
      </c>
      <c r="U105" s="11">
        <v>3</v>
      </c>
      <c r="V105" s="11">
        <v>1.799999999999999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267</v>
      </c>
      <c r="E106" s="7" t="s">
        <v>268</v>
      </c>
      <c r="F106" s="7" t="s">
        <v>264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6.309999999999993</v>
      </c>
      <c r="M106" s="11">
        <v>0.08</v>
      </c>
      <c r="N106" s="11">
        <v>0</v>
      </c>
      <c r="O106" s="11">
        <v>0.46</v>
      </c>
      <c r="P106" s="11">
        <v>0.8</v>
      </c>
      <c r="Q106" s="11">
        <v>7.649999999999993</v>
      </c>
      <c r="R106" s="11">
        <v>0</v>
      </c>
      <c r="S106" s="11">
        <v>7.649999999999993</v>
      </c>
      <c r="T106" s="11">
        <v>2</v>
      </c>
      <c r="U106" s="11">
        <v>3</v>
      </c>
      <c r="V106" s="11">
        <v>2.649999999999993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271</v>
      </c>
      <c r="E107" s="7" t="s">
        <v>132</v>
      </c>
      <c r="F107" s="7" t="s">
        <v>264</v>
      </c>
      <c r="G107" s="7"/>
      <c r="H107" s="7" t="s">
        <v>96</v>
      </c>
      <c r="I107" s="11">
        <v>2</v>
      </c>
      <c r="J107" s="11">
        <v>3</v>
      </c>
      <c r="K107" s="11">
        <v>0.95</v>
      </c>
      <c r="L107" s="11">
        <v>7.019999999999992</v>
      </c>
      <c r="M107" s="11">
        <v>0.08</v>
      </c>
      <c r="N107" s="11">
        <v>0</v>
      </c>
      <c r="O107" s="11">
        <v>0.04</v>
      </c>
      <c r="P107" s="11">
        <v>0</v>
      </c>
      <c r="Q107" s="11">
        <v>8.089999999999993</v>
      </c>
      <c r="R107" s="11">
        <v>0</v>
      </c>
      <c r="S107" s="11">
        <v>8.089999999999993</v>
      </c>
      <c r="T107" s="11">
        <v>2</v>
      </c>
      <c r="U107" s="11">
        <v>3</v>
      </c>
      <c r="V107" s="11">
        <v>3.089999999999993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271</v>
      </c>
      <c r="E108" s="7" t="s">
        <v>132</v>
      </c>
      <c r="F108" s="7" t="s">
        <v>264</v>
      </c>
      <c r="G108" s="7"/>
      <c r="H108" s="7"/>
      <c r="I108" s="11">
        <v>2</v>
      </c>
      <c r="J108" s="11">
        <v>3</v>
      </c>
      <c r="K108" s="11">
        <v>0</v>
      </c>
      <c r="L108" s="11">
        <v>6.039999999999991</v>
      </c>
      <c r="M108" s="11">
        <v>0.24</v>
      </c>
      <c r="N108" s="11">
        <v>0</v>
      </c>
      <c r="O108" s="11">
        <v>0.34</v>
      </c>
      <c r="P108" s="11">
        <v>0</v>
      </c>
      <c r="Q108" s="11">
        <v>6.619999999999991</v>
      </c>
      <c r="R108" s="11">
        <v>0</v>
      </c>
      <c r="S108" s="11">
        <v>6.619999999999991</v>
      </c>
      <c r="T108" s="11">
        <v>2</v>
      </c>
      <c r="U108" s="11">
        <v>3</v>
      </c>
      <c r="V108" s="11">
        <v>1.619999999999991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60</v>
      </c>
      <c r="E109" s="7" t="s">
        <v>232</v>
      </c>
      <c r="F109" s="7" t="s">
        <v>264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3.759999999999999</v>
      </c>
      <c r="M109" s="11">
        <v>0.48</v>
      </c>
      <c r="N109" s="11">
        <v>0</v>
      </c>
      <c r="O109" s="11">
        <v>0</v>
      </c>
      <c r="P109" s="11">
        <v>0.8</v>
      </c>
      <c r="Q109" s="11">
        <v>5.04</v>
      </c>
      <c r="R109" s="11">
        <v>0</v>
      </c>
      <c r="S109" s="11">
        <v>5.04</v>
      </c>
      <c r="T109" s="11">
        <v>2</v>
      </c>
      <c r="U109" s="11">
        <v>3</v>
      </c>
      <c r="V109" s="11">
        <v>0.04000000000000004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71</v>
      </c>
      <c r="E110" s="7" t="s">
        <v>268</v>
      </c>
      <c r="F110" s="7" t="s">
        <v>264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0.49</v>
      </c>
      <c r="M110" s="11">
        <v>0.32</v>
      </c>
      <c r="N110" s="11">
        <v>0</v>
      </c>
      <c r="O110" s="11">
        <v>0</v>
      </c>
      <c r="P110" s="11">
        <v>0</v>
      </c>
      <c r="Q110" s="11">
        <v>0.8100000000000001</v>
      </c>
      <c r="R110" s="11">
        <v>0</v>
      </c>
      <c r="S110" s="11">
        <v>0.8100000000000001</v>
      </c>
      <c r="T110" s="11">
        <v>0.8100000000000001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131</v>
      </c>
      <c r="E111" s="7" t="s">
        <v>132</v>
      </c>
      <c r="F111" s="7" t="s">
        <v>264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9.180000000000001</v>
      </c>
      <c r="M111" s="11">
        <v>0.08</v>
      </c>
      <c r="N111" s="11">
        <v>0</v>
      </c>
      <c r="O111" s="11">
        <v>0</v>
      </c>
      <c r="P111" s="11">
        <v>0</v>
      </c>
      <c r="Q111" s="11">
        <v>9.260000000000002</v>
      </c>
      <c r="R111" s="11">
        <v>0</v>
      </c>
      <c r="S111" s="11">
        <v>9.260000000000002</v>
      </c>
      <c r="T111" s="11">
        <v>2</v>
      </c>
      <c r="U111" s="11">
        <v>3</v>
      </c>
      <c r="V111" s="11">
        <v>4.260000000000002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46</v>
      </c>
      <c r="E112" s="7" t="s">
        <v>132</v>
      </c>
      <c r="F112" s="7" t="s">
        <v>264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6.319999999999996</v>
      </c>
      <c r="M112" s="11">
        <v>0</v>
      </c>
      <c r="N112" s="11">
        <v>0</v>
      </c>
      <c r="O112" s="11">
        <v>0</v>
      </c>
      <c r="P112" s="11">
        <v>0</v>
      </c>
      <c r="Q112" s="11">
        <v>6.319999999999996</v>
      </c>
      <c r="R112" s="11">
        <v>0</v>
      </c>
      <c r="S112" s="11">
        <v>6.319999999999996</v>
      </c>
      <c r="T112" s="11">
        <v>2</v>
      </c>
      <c r="U112" s="11">
        <v>3</v>
      </c>
      <c r="V112" s="11">
        <v>1.319999999999996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60</v>
      </c>
      <c r="E113" s="7" t="s">
        <v>132</v>
      </c>
      <c r="F113" s="7" t="s">
        <v>264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2.58</v>
      </c>
      <c r="M113" s="11">
        <v>0.08</v>
      </c>
      <c r="N113" s="11">
        <v>0</v>
      </c>
      <c r="O113" s="11">
        <v>0</v>
      </c>
      <c r="P113" s="11">
        <v>0</v>
      </c>
      <c r="Q113" s="11">
        <v>2.66</v>
      </c>
      <c r="R113" s="11">
        <v>0</v>
      </c>
      <c r="S113" s="11">
        <v>2.66</v>
      </c>
      <c r="T113" s="11">
        <v>2</v>
      </c>
      <c r="U113" s="11">
        <v>0.6600000000000001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81</v>
      </c>
      <c r="E114" s="7" t="s">
        <v>232</v>
      </c>
      <c r="F114" s="7" t="s">
        <v>264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3.270000000000001</v>
      </c>
      <c r="M114" s="11">
        <v>0.24</v>
      </c>
      <c r="N114" s="11">
        <v>0</v>
      </c>
      <c r="O114" s="11">
        <v>0.8900000000000001</v>
      </c>
      <c r="P114" s="11">
        <v>0</v>
      </c>
      <c r="Q114" s="11">
        <v>4.400000000000001</v>
      </c>
      <c r="R114" s="11">
        <v>0</v>
      </c>
      <c r="S114" s="11">
        <v>4.400000000000001</v>
      </c>
      <c r="T114" s="11">
        <v>2</v>
      </c>
      <c r="U114" s="11">
        <v>2.400000000000001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90</v>
      </c>
      <c r="E115" s="7" t="s">
        <v>132</v>
      </c>
      <c r="F115" s="7" t="s">
        <v>264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6.739999999999998</v>
      </c>
      <c r="M115" s="11">
        <v>0</v>
      </c>
      <c r="N115" s="11">
        <v>0</v>
      </c>
      <c r="O115" s="11">
        <v>0.28</v>
      </c>
      <c r="P115" s="11">
        <v>0</v>
      </c>
      <c r="Q115" s="11">
        <v>7.019999999999998</v>
      </c>
      <c r="R115" s="11">
        <v>0</v>
      </c>
      <c r="S115" s="11">
        <v>7.019999999999998</v>
      </c>
      <c r="T115" s="11">
        <v>2</v>
      </c>
      <c r="U115" s="11">
        <v>3</v>
      </c>
      <c r="V115" s="11">
        <v>2.019999999999998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40</v>
      </c>
      <c r="E116" s="7" t="s">
        <v>132</v>
      </c>
      <c r="F116" s="7" t="s">
        <v>264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81</v>
      </c>
      <c r="E117" s="7" t="s">
        <v>232</v>
      </c>
      <c r="F117" s="7" t="s">
        <v>264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3.38</v>
      </c>
      <c r="M117" s="11">
        <v>0</v>
      </c>
      <c r="N117" s="11">
        <v>0</v>
      </c>
      <c r="O117" s="11">
        <v>0.4400000000000001</v>
      </c>
      <c r="P117" s="11">
        <v>0</v>
      </c>
      <c r="Q117" s="11">
        <v>3.82</v>
      </c>
      <c r="R117" s="11">
        <v>0</v>
      </c>
      <c r="S117" s="11">
        <v>3.82</v>
      </c>
      <c r="T117" s="11">
        <v>2</v>
      </c>
      <c r="U117" s="11">
        <v>1.82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81</v>
      </c>
      <c r="E118" s="7" t="s">
        <v>232</v>
      </c>
      <c r="F118" s="7" t="s">
        <v>264</v>
      </c>
      <c r="G118" s="7"/>
      <c r="H118" s="7" t="s">
        <v>96</v>
      </c>
      <c r="I118" s="11">
        <v>2</v>
      </c>
      <c r="J118" s="11">
        <v>3</v>
      </c>
      <c r="K118" s="11">
        <v>0.95</v>
      </c>
      <c r="L118" s="11">
        <v>4.869999999999999</v>
      </c>
      <c r="M118" s="11">
        <v>0.16</v>
      </c>
      <c r="N118" s="11">
        <v>0</v>
      </c>
      <c r="O118" s="11">
        <v>1.07</v>
      </c>
      <c r="P118" s="11">
        <v>0.8</v>
      </c>
      <c r="Q118" s="11">
        <v>7.849999999999999</v>
      </c>
      <c r="R118" s="11">
        <v>0</v>
      </c>
      <c r="S118" s="11">
        <v>7.849999999999999</v>
      </c>
      <c r="T118" s="11">
        <v>2</v>
      </c>
      <c r="U118" s="11">
        <v>3</v>
      </c>
      <c r="V118" s="11">
        <v>2.849999999999999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93</v>
      </c>
      <c r="E119" s="7" t="s">
        <v>132</v>
      </c>
      <c r="F119" s="7" t="s">
        <v>264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5.58</v>
      </c>
      <c r="M119" s="11">
        <v>0.08</v>
      </c>
      <c r="N119" s="11">
        <v>0</v>
      </c>
      <c r="O119" s="11">
        <v>0.32</v>
      </c>
      <c r="P119" s="11">
        <v>0</v>
      </c>
      <c r="Q119" s="11">
        <v>5.98</v>
      </c>
      <c r="R119" s="11">
        <v>0</v>
      </c>
      <c r="S119" s="11">
        <v>5.98</v>
      </c>
      <c r="T119" s="11">
        <v>2</v>
      </c>
      <c r="U119" s="11">
        <v>3</v>
      </c>
      <c r="V119" s="11">
        <v>0.9800000000000004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298</v>
      </c>
      <c r="E120" s="7" t="s">
        <v>132</v>
      </c>
      <c r="F120" s="7" t="s">
        <v>264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3.890000000000001</v>
      </c>
      <c r="M120" s="11">
        <v>0.08</v>
      </c>
      <c r="N120" s="11">
        <v>0</v>
      </c>
      <c r="O120" s="11">
        <v>0</v>
      </c>
      <c r="P120" s="11">
        <v>0</v>
      </c>
      <c r="Q120" s="11">
        <v>3.970000000000001</v>
      </c>
      <c r="R120" s="11">
        <v>0</v>
      </c>
      <c r="S120" s="11">
        <v>3.970000000000001</v>
      </c>
      <c r="T120" s="11">
        <v>2</v>
      </c>
      <c r="U120" s="11">
        <v>1.970000000000001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298</v>
      </c>
      <c r="E121" s="7" t="s">
        <v>132</v>
      </c>
      <c r="F121" s="7" t="s">
        <v>264</v>
      </c>
      <c r="G121" s="7"/>
      <c r="H121" s="7"/>
      <c r="I121" s="11">
        <v>2</v>
      </c>
      <c r="J121" s="11">
        <v>3</v>
      </c>
      <c r="K121" s="11">
        <v>0</v>
      </c>
      <c r="L121" s="11">
        <v>1.34</v>
      </c>
      <c r="M121" s="11">
        <v>0.16</v>
      </c>
      <c r="N121" s="11">
        <v>0</v>
      </c>
      <c r="O121" s="11">
        <v>0</v>
      </c>
      <c r="P121" s="11">
        <v>0</v>
      </c>
      <c r="Q121" s="11">
        <v>1.5</v>
      </c>
      <c r="R121" s="11">
        <v>0</v>
      </c>
      <c r="S121" s="11">
        <v>1.5</v>
      </c>
      <c r="T121" s="11">
        <v>1.5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301</v>
      </c>
      <c r="C122" s="10" t="s">
        <v>302</v>
      </c>
      <c r="D122" s="7" t="s">
        <v>118</v>
      </c>
      <c r="E122" s="7" t="s">
        <v>54</v>
      </c>
      <c r="F122" s="7" t="s">
        <v>303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4.6</v>
      </c>
      <c r="M122" s="11">
        <v>0</v>
      </c>
      <c r="N122" s="11">
        <v>0</v>
      </c>
      <c r="O122" s="11">
        <v>0</v>
      </c>
      <c r="P122" s="11">
        <v>0</v>
      </c>
      <c r="Q122" s="11">
        <v>4.6</v>
      </c>
      <c r="R122" s="11">
        <v>0</v>
      </c>
      <c r="S122" s="11">
        <v>4.6</v>
      </c>
      <c r="T122" s="11">
        <v>2</v>
      </c>
      <c r="U122" s="11">
        <v>2.6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40</v>
      </c>
      <c r="E123" s="7" t="s">
        <v>232</v>
      </c>
      <c r="F123" s="7" t="s">
        <v>264</v>
      </c>
      <c r="G123" s="7"/>
      <c r="H123" s="7" t="s">
        <v>96</v>
      </c>
      <c r="I123" s="11">
        <v>2</v>
      </c>
      <c r="J123" s="11">
        <v>3</v>
      </c>
      <c r="K123" s="11">
        <v>0.95</v>
      </c>
      <c r="L123" s="11">
        <v>2.85</v>
      </c>
      <c r="M123" s="11">
        <v>0.16</v>
      </c>
      <c r="N123" s="11">
        <v>0</v>
      </c>
      <c r="O123" s="11">
        <v>0</v>
      </c>
      <c r="P123" s="11">
        <v>0</v>
      </c>
      <c r="Q123" s="11">
        <v>3.96</v>
      </c>
      <c r="R123" s="11">
        <v>0</v>
      </c>
      <c r="S123" s="11">
        <v>3.96</v>
      </c>
      <c r="T123" s="11">
        <v>2</v>
      </c>
      <c r="U123" s="11">
        <v>1.96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40</v>
      </c>
      <c r="E124" s="7" t="s">
        <v>132</v>
      </c>
      <c r="F124" s="7" t="s">
        <v>264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5.160000000000001</v>
      </c>
      <c r="M124" s="11">
        <v>0.08</v>
      </c>
      <c r="N124" s="11">
        <v>0</v>
      </c>
      <c r="O124" s="11">
        <v>0.06</v>
      </c>
      <c r="P124" s="11">
        <v>0</v>
      </c>
      <c r="Q124" s="11">
        <v>5.300000000000001</v>
      </c>
      <c r="R124" s="11">
        <v>0</v>
      </c>
      <c r="S124" s="11">
        <v>5.300000000000001</v>
      </c>
      <c r="T124" s="11">
        <v>2</v>
      </c>
      <c r="U124" s="11">
        <v>3</v>
      </c>
      <c r="V124" s="11">
        <v>0.3000000000000007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99</v>
      </c>
      <c r="E125" s="7" t="s">
        <v>61</v>
      </c>
      <c r="F125" s="7" t="s">
        <v>303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2.44</v>
      </c>
      <c r="M125" s="11">
        <v>0</v>
      </c>
      <c r="N125" s="11">
        <v>0</v>
      </c>
      <c r="O125" s="11">
        <v>0</v>
      </c>
      <c r="P125" s="11">
        <v>0</v>
      </c>
      <c r="Q125" s="11">
        <v>2.44</v>
      </c>
      <c r="R125" s="11">
        <v>0</v>
      </c>
      <c r="S125" s="11">
        <v>2.44</v>
      </c>
      <c r="T125" s="11">
        <v>2</v>
      </c>
      <c r="U125" s="11">
        <v>0.4399999999999999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298</v>
      </c>
      <c r="E126" s="7" t="s">
        <v>232</v>
      </c>
      <c r="F126" s="7" t="s">
        <v>264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4</v>
      </c>
      <c r="M126" s="11">
        <v>0.25</v>
      </c>
      <c r="N126" s="11">
        <v>0</v>
      </c>
      <c r="O126" s="11">
        <v>0</v>
      </c>
      <c r="P126" s="11">
        <v>0</v>
      </c>
      <c r="Q126" s="11">
        <v>4.25</v>
      </c>
      <c r="R126" s="11">
        <v>0</v>
      </c>
      <c r="S126" s="11">
        <v>4.25</v>
      </c>
      <c r="T126" s="11">
        <v>2</v>
      </c>
      <c r="U126" s="11">
        <v>2.25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60</v>
      </c>
      <c r="E127" s="7" t="s">
        <v>132</v>
      </c>
      <c r="F127" s="7" t="s">
        <v>264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2.99</v>
      </c>
      <c r="M127" s="11">
        <v>0</v>
      </c>
      <c r="N127" s="11">
        <v>0</v>
      </c>
      <c r="O127" s="11">
        <v>0.28</v>
      </c>
      <c r="P127" s="11">
        <v>0</v>
      </c>
      <c r="Q127" s="11">
        <v>3.27</v>
      </c>
      <c r="R127" s="11">
        <v>0</v>
      </c>
      <c r="S127" s="11">
        <v>3.27</v>
      </c>
      <c r="T127" s="11">
        <v>2</v>
      </c>
      <c r="U127" s="11">
        <v>1.27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60</v>
      </c>
      <c r="E128" s="7" t="s">
        <v>132</v>
      </c>
      <c r="F128" s="7" t="s">
        <v>264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2.21</v>
      </c>
      <c r="M128" s="11">
        <v>0</v>
      </c>
      <c r="N128" s="11">
        <v>0</v>
      </c>
      <c r="O128" s="11">
        <v>0</v>
      </c>
      <c r="P128" s="11">
        <v>0</v>
      </c>
      <c r="Q128" s="11">
        <v>2.21</v>
      </c>
      <c r="R128" s="11">
        <v>0</v>
      </c>
      <c r="S128" s="11">
        <v>2.21</v>
      </c>
      <c r="T128" s="11">
        <v>2</v>
      </c>
      <c r="U128" s="11">
        <v>0.21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60</v>
      </c>
      <c r="E129" s="7" t="s">
        <v>132</v>
      </c>
      <c r="F129" s="7" t="s">
        <v>264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2.48</v>
      </c>
      <c r="M129" s="11">
        <v>0.24</v>
      </c>
      <c r="N129" s="11">
        <v>0</v>
      </c>
      <c r="O129" s="11">
        <v>0</v>
      </c>
      <c r="P129" s="11">
        <v>0</v>
      </c>
      <c r="Q129" s="11">
        <v>2.72</v>
      </c>
      <c r="R129" s="11">
        <v>0</v>
      </c>
      <c r="S129" s="11">
        <v>2.72</v>
      </c>
      <c r="T129" s="11">
        <v>2</v>
      </c>
      <c r="U129" s="11">
        <v>0.7200000000000002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271</v>
      </c>
      <c r="E130" s="7" t="s">
        <v>132</v>
      </c>
      <c r="F130" s="7" t="s">
        <v>264</v>
      </c>
      <c r="G130" s="7"/>
      <c r="H130" s="7" t="s">
        <v>320</v>
      </c>
      <c r="I130" s="11">
        <v>2</v>
      </c>
      <c r="J130" s="11">
        <v>3</v>
      </c>
      <c r="K130" s="11">
        <v>1</v>
      </c>
      <c r="L130" s="11">
        <v>9.279999999999994</v>
      </c>
      <c r="M130" s="11">
        <v>0.16</v>
      </c>
      <c r="N130" s="11">
        <v>0</v>
      </c>
      <c r="O130" s="11">
        <v>0.46</v>
      </c>
      <c r="P130" s="11">
        <v>0.8</v>
      </c>
      <c r="Q130" s="11">
        <v>11.7</v>
      </c>
      <c r="R130" s="11">
        <v>0</v>
      </c>
      <c r="S130" s="11">
        <v>11.7</v>
      </c>
      <c r="T130" s="11">
        <v>2</v>
      </c>
      <c r="U130" s="11">
        <v>3</v>
      </c>
      <c r="V130" s="11">
        <v>6.699999999999996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90</v>
      </c>
      <c r="E131" s="7" t="s">
        <v>232</v>
      </c>
      <c r="F131" s="7" t="s">
        <v>264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0.74</v>
      </c>
      <c r="M131" s="11">
        <v>0.08</v>
      </c>
      <c r="N131" s="11">
        <v>0</v>
      </c>
      <c r="O131" s="11">
        <v>0.06</v>
      </c>
      <c r="P131" s="11">
        <v>0</v>
      </c>
      <c r="Q131" s="11">
        <v>0.8799999999999999</v>
      </c>
      <c r="R131" s="11">
        <v>0</v>
      </c>
      <c r="S131" s="11">
        <v>0.8799999999999999</v>
      </c>
      <c r="T131" s="11">
        <v>0.8799999999999999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60</v>
      </c>
      <c r="E132" s="7" t="s">
        <v>132</v>
      </c>
      <c r="F132" s="7" t="s">
        <v>264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3.09</v>
      </c>
      <c r="M132" s="11">
        <v>0.16</v>
      </c>
      <c r="N132" s="11">
        <v>0</v>
      </c>
      <c r="O132" s="11">
        <v>0</v>
      </c>
      <c r="P132" s="11">
        <v>0</v>
      </c>
      <c r="Q132" s="11">
        <v>3.25</v>
      </c>
      <c r="R132" s="11">
        <v>0</v>
      </c>
      <c r="S132" s="11">
        <v>3.25</v>
      </c>
      <c r="T132" s="11">
        <v>2</v>
      </c>
      <c r="U132" s="11">
        <v>1.25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298</v>
      </c>
      <c r="E133" s="7" t="s">
        <v>232</v>
      </c>
      <c r="F133" s="7" t="s">
        <v>264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4.699999999999998</v>
      </c>
      <c r="M133" s="11">
        <v>0</v>
      </c>
      <c r="N133" s="11">
        <v>0</v>
      </c>
      <c r="O133" s="11">
        <v>0</v>
      </c>
      <c r="P133" s="11">
        <v>0</v>
      </c>
      <c r="Q133" s="11">
        <v>4.699999999999998</v>
      </c>
      <c r="R133" s="11">
        <v>0</v>
      </c>
      <c r="S133" s="11">
        <v>4.699999999999998</v>
      </c>
      <c r="T133" s="11">
        <v>2</v>
      </c>
      <c r="U133" s="11">
        <v>2.699999999999998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71</v>
      </c>
      <c r="E134" s="7" t="s">
        <v>132</v>
      </c>
      <c r="F134" s="7" t="s">
        <v>264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4.119999999999999</v>
      </c>
      <c r="M134" s="11">
        <v>0</v>
      </c>
      <c r="N134" s="11">
        <v>0</v>
      </c>
      <c r="O134" s="11">
        <v>0</v>
      </c>
      <c r="P134" s="11">
        <v>0</v>
      </c>
      <c r="Q134" s="11">
        <v>4.119999999999999</v>
      </c>
      <c r="R134" s="11">
        <v>0</v>
      </c>
      <c r="S134" s="11">
        <v>4.119999999999999</v>
      </c>
      <c r="T134" s="11">
        <v>2</v>
      </c>
      <c r="U134" s="11">
        <v>2.119999999999999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118</v>
      </c>
      <c r="E135" s="7" t="s">
        <v>232</v>
      </c>
      <c r="F135" s="7" t="s">
        <v>264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7.159999999999998</v>
      </c>
      <c r="M135" s="11">
        <v>0.08</v>
      </c>
      <c r="N135" s="11">
        <v>0</v>
      </c>
      <c r="O135" s="11">
        <v>0</v>
      </c>
      <c r="P135" s="11">
        <v>0</v>
      </c>
      <c r="Q135" s="11">
        <v>7.239999999999998</v>
      </c>
      <c r="R135" s="11">
        <v>0</v>
      </c>
      <c r="S135" s="11">
        <v>7.239999999999998</v>
      </c>
      <c r="T135" s="11">
        <v>2</v>
      </c>
      <c r="U135" s="11">
        <v>3</v>
      </c>
      <c r="V135" s="11">
        <v>2.239999999999998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298</v>
      </c>
      <c r="E136" s="7" t="s">
        <v>232</v>
      </c>
      <c r="F136" s="7" t="s">
        <v>264</v>
      </c>
      <c r="G136" s="7"/>
      <c r="H136" s="7" t="s">
        <v>320</v>
      </c>
      <c r="I136" s="11">
        <v>2</v>
      </c>
      <c r="J136" s="11">
        <v>3</v>
      </c>
      <c r="K136" s="11">
        <v>1</v>
      </c>
      <c r="L136" s="11">
        <v>3.93</v>
      </c>
      <c r="M136" s="11">
        <v>0.49</v>
      </c>
      <c r="N136" s="11">
        <v>0</v>
      </c>
      <c r="O136" s="11">
        <v>0</v>
      </c>
      <c r="P136" s="11">
        <v>0</v>
      </c>
      <c r="Q136" s="11">
        <v>5.42</v>
      </c>
      <c r="R136" s="11">
        <v>0</v>
      </c>
      <c r="S136" s="11">
        <v>5.42</v>
      </c>
      <c r="T136" s="11">
        <v>2</v>
      </c>
      <c r="U136" s="11">
        <v>3</v>
      </c>
      <c r="V136" s="11">
        <v>0.4199999999999999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333</v>
      </c>
      <c r="C137" s="10" t="s">
        <v>334</v>
      </c>
      <c r="D137" s="7" t="s">
        <v>60</v>
      </c>
      <c r="E137" s="7" t="s">
        <v>335</v>
      </c>
      <c r="F137" s="7" t="s">
        <v>264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2.97</v>
      </c>
      <c r="M137" s="11">
        <v>0.16</v>
      </c>
      <c r="N137" s="11">
        <v>0</v>
      </c>
      <c r="O137" s="11">
        <v>0</v>
      </c>
      <c r="P137" s="11">
        <v>0</v>
      </c>
      <c r="Q137" s="11">
        <v>3.13</v>
      </c>
      <c r="R137" s="11">
        <v>0</v>
      </c>
      <c r="S137" s="11">
        <v>3.13</v>
      </c>
      <c r="T137" s="11">
        <v>2</v>
      </c>
      <c r="U137" s="11">
        <v>1.13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51</v>
      </c>
      <c r="E138" s="7" t="s">
        <v>268</v>
      </c>
      <c r="F138" s="7" t="s">
        <v>264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4.94</v>
      </c>
      <c r="M138" s="11">
        <v>0.08</v>
      </c>
      <c r="N138" s="11">
        <v>0</v>
      </c>
      <c r="O138" s="11">
        <v>0.32</v>
      </c>
      <c r="P138" s="11">
        <v>0</v>
      </c>
      <c r="Q138" s="11">
        <v>5.340000000000001</v>
      </c>
      <c r="R138" s="11">
        <v>0</v>
      </c>
      <c r="S138" s="11">
        <v>5.340000000000001</v>
      </c>
      <c r="T138" s="11">
        <v>2</v>
      </c>
      <c r="U138" s="11">
        <v>3</v>
      </c>
      <c r="V138" s="11">
        <v>0.3400000000000007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51</v>
      </c>
      <c r="E139" s="7" t="s">
        <v>232</v>
      </c>
      <c r="F139" s="7" t="s">
        <v>264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6.589999999999999</v>
      </c>
      <c r="M139" s="11">
        <v>0.4</v>
      </c>
      <c r="N139" s="11">
        <v>0</v>
      </c>
      <c r="O139" s="11">
        <v>0.5600000000000001</v>
      </c>
      <c r="P139" s="11">
        <v>0</v>
      </c>
      <c r="Q139" s="11">
        <v>7.549999999999999</v>
      </c>
      <c r="R139" s="11">
        <v>0</v>
      </c>
      <c r="S139" s="11">
        <v>7.549999999999999</v>
      </c>
      <c r="T139" s="11">
        <v>2</v>
      </c>
      <c r="U139" s="11">
        <v>3</v>
      </c>
      <c r="V139" s="11">
        <v>2.549999999999999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51</v>
      </c>
      <c r="E140" s="7" t="s">
        <v>132</v>
      </c>
      <c r="F140" s="7" t="s">
        <v>264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7.669999999999997</v>
      </c>
      <c r="M140" s="11">
        <v>0.16</v>
      </c>
      <c r="N140" s="11">
        <v>0</v>
      </c>
      <c r="O140" s="11">
        <v>1.3</v>
      </c>
      <c r="P140" s="11">
        <v>0</v>
      </c>
      <c r="Q140" s="11">
        <v>9.129999999999997</v>
      </c>
      <c r="R140" s="11">
        <v>0</v>
      </c>
      <c r="S140" s="11">
        <v>9.129999999999997</v>
      </c>
      <c r="T140" s="11">
        <v>2</v>
      </c>
      <c r="U140" s="11">
        <v>3</v>
      </c>
      <c r="V140" s="11">
        <v>4.129999999999997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90</v>
      </c>
      <c r="E141" s="7" t="s">
        <v>232</v>
      </c>
      <c r="F141" s="7" t="s">
        <v>264</v>
      </c>
      <c r="G141" s="7"/>
      <c r="H141" s="7"/>
      <c r="I141" s="11">
        <v>2</v>
      </c>
      <c r="J141" s="11">
        <v>3</v>
      </c>
      <c r="K141" s="11">
        <v>0</v>
      </c>
      <c r="L141" s="11">
        <v>7.909999999999997</v>
      </c>
      <c r="M141" s="11">
        <v>0.08</v>
      </c>
      <c r="N141" s="11">
        <v>0</v>
      </c>
      <c r="O141" s="11">
        <v>0.6200000000000001</v>
      </c>
      <c r="P141" s="11">
        <v>0</v>
      </c>
      <c r="Q141" s="11">
        <v>8.609999999999998</v>
      </c>
      <c r="R141" s="11">
        <v>0</v>
      </c>
      <c r="S141" s="11">
        <v>8.609999999999998</v>
      </c>
      <c r="T141" s="11">
        <v>2</v>
      </c>
      <c r="U141" s="11">
        <v>3</v>
      </c>
      <c r="V141" s="11">
        <v>3.609999999999998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81</v>
      </c>
      <c r="E142" s="7" t="s">
        <v>232</v>
      </c>
      <c r="F142" s="7" t="s">
        <v>264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267</v>
      </c>
      <c r="E143" s="7" t="s">
        <v>132</v>
      </c>
      <c r="F143" s="7" t="s">
        <v>264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8.629999999999997</v>
      </c>
      <c r="M143" s="11">
        <v>0.16</v>
      </c>
      <c r="N143" s="11">
        <v>0</v>
      </c>
      <c r="O143" s="11">
        <v>0.27</v>
      </c>
      <c r="P143" s="11">
        <v>0</v>
      </c>
      <c r="Q143" s="11">
        <v>9.059999999999999</v>
      </c>
      <c r="R143" s="11">
        <v>0</v>
      </c>
      <c r="S143" s="11">
        <v>9.059999999999999</v>
      </c>
      <c r="T143" s="11">
        <v>2</v>
      </c>
      <c r="U143" s="11">
        <v>3</v>
      </c>
      <c r="V143" s="11">
        <v>4.059999999999999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232</v>
      </c>
      <c r="F144" s="7" t="s">
        <v>264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1.22</v>
      </c>
      <c r="M144" s="11">
        <v>0</v>
      </c>
      <c r="N144" s="11">
        <v>0</v>
      </c>
      <c r="O144" s="11">
        <v>0.4200000000000001</v>
      </c>
      <c r="P144" s="11">
        <v>0</v>
      </c>
      <c r="Q144" s="11">
        <v>1.640000000000001</v>
      </c>
      <c r="R144" s="11">
        <v>0</v>
      </c>
      <c r="S144" s="11">
        <v>1.640000000000001</v>
      </c>
      <c r="T144" s="11">
        <v>1.640000000000001</v>
      </c>
      <c r="U144" s="11">
        <v>0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68</v>
      </c>
      <c r="E145" s="7" t="s">
        <v>232</v>
      </c>
      <c r="F145" s="7" t="s">
        <v>264</v>
      </c>
      <c r="G145" s="7"/>
      <c r="H145" s="7" t="s">
        <v>156</v>
      </c>
      <c r="I145" s="11">
        <v>2</v>
      </c>
      <c r="J145" s="11">
        <v>3</v>
      </c>
      <c r="K145" s="11">
        <v>0.95</v>
      </c>
      <c r="L145" s="11">
        <v>0.8200000000000002</v>
      </c>
      <c r="M145" s="11">
        <v>0</v>
      </c>
      <c r="N145" s="11">
        <v>0</v>
      </c>
      <c r="O145" s="11">
        <v>0</v>
      </c>
      <c r="P145" s="11">
        <v>0</v>
      </c>
      <c r="Q145" s="11">
        <v>1.77</v>
      </c>
      <c r="R145" s="11">
        <v>0</v>
      </c>
      <c r="S145" s="11">
        <v>1.77</v>
      </c>
      <c r="T145" s="11">
        <v>1.77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271</v>
      </c>
      <c r="E146" s="7" t="s">
        <v>232</v>
      </c>
      <c r="F146" s="7" t="s">
        <v>264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9.239999999999997</v>
      </c>
      <c r="M146" s="11">
        <v>0</v>
      </c>
      <c r="N146" s="11">
        <v>0</v>
      </c>
      <c r="O146" s="11">
        <v>0</v>
      </c>
      <c r="P146" s="11">
        <v>0</v>
      </c>
      <c r="Q146" s="11">
        <v>9.239999999999997</v>
      </c>
      <c r="R146" s="11">
        <v>0</v>
      </c>
      <c r="S146" s="11">
        <v>9.239999999999997</v>
      </c>
      <c r="T146" s="11">
        <v>2</v>
      </c>
      <c r="U146" s="11">
        <v>3</v>
      </c>
      <c r="V146" s="11">
        <v>4.239999999999997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298</v>
      </c>
      <c r="E147" s="7" t="s">
        <v>232</v>
      </c>
      <c r="F147" s="7" t="s">
        <v>264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5.169999999999995</v>
      </c>
      <c r="M147" s="11">
        <v>0.16</v>
      </c>
      <c r="N147" s="11">
        <v>0</v>
      </c>
      <c r="O147" s="11">
        <v>0.8999999999999999</v>
      </c>
      <c r="P147" s="11">
        <v>0</v>
      </c>
      <c r="Q147" s="11">
        <v>6.229999999999995</v>
      </c>
      <c r="R147" s="11">
        <v>0</v>
      </c>
      <c r="S147" s="11">
        <v>6.229999999999995</v>
      </c>
      <c r="T147" s="11">
        <v>2</v>
      </c>
      <c r="U147" s="11">
        <v>3</v>
      </c>
      <c r="V147" s="11">
        <v>1.229999999999995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131</v>
      </c>
      <c r="E148" s="7" t="s">
        <v>132</v>
      </c>
      <c r="F148" s="7" t="s">
        <v>264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2.8</v>
      </c>
      <c r="M148" s="11">
        <v>0.16</v>
      </c>
      <c r="N148" s="11">
        <v>0</v>
      </c>
      <c r="O148" s="11">
        <v>0.64</v>
      </c>
      <c r="P148" s="11">
        <v>0</v>
      </c>
      <c r="Q148" s="11">
        <v>3.600000000000001</v>
      </c>
      <c r="R148" s="11">
        <v>0</v>
      </c>
      <c r="S148" s="11">
        <v>3.600000000000001</v>
      </c>
      <c r="T148" s="11">
        <v>2</v>
      </c>
      <c r="U148" s="11">
        <v>1.600000000000001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298</v>
      </c>
      <c r="E149" s="7" t="s">
        <v>132</v>
      </c>
      <c r="F149" s="7" t="s">
        <v>264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131</v>
      </c>
      <c r="E150" s="7" t="s">
        <v>132</v>
      </c>
      <c r="F150" s="7" t="s">
        <v>264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2.680000000000001</v>
      </c>
      <c r="M150" s="11">
        <v>0</v>
      </c>
      <c r="N150" s="11">
        <v>0</v>
      </c>
      <c r="O150" s="11">
        <v>0.28</v>
      </c>
      <c r="P150" s="11">
        <v>0</v>
      </c>
      <c r="Q150" s="11">
        <v>2.96</v>
      </c>
      <c r="R150" s="11">
        <v>0</v>
      </c>
      <c r="S150" s="11">
        <v>2.96</v>
      </c>
      <c r="T150" s="11">
        <v>2</v>
      </c>
      <c r="U150" s="11">
        <v>0.9600000000000004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298</v>
      </c>
      <c r="E151" s="7" t="s">
        <v>132</v>
      </c>
      <c r="F151" s="7" t="s">
        <v>264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3.56</v>
      </c>
      <c r="M151" s="11">
        <v>0.32</v>
      </c>
      <c r="N151" s="11">
        <v>0</v>
      </c>
      <c r="O151" s="11">
        <v>0</v>
      </c>
      <c r="P151" s="11">
        <v>0</v>
      </c>
      <c r="Q151" s="11">
        <v>3.880000000000001</v>
      </c>
      <c r="R151" s="11">
        <v>0</v>
      </c>
      <c r="S151" s="11">
        <v>3.880000000000001</v>
      </c>
      <c r="T151" s="11">
        <v>2</v>
      </c>
      <c r="U151" s="11">
        <v>1.880000000000001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46</v>
      </c>
      <c r="E152" s="7" t="s">
        <v>132</v>
      </c>
      <c r="F152" s="7" t="s">
        <v>264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4.929999999999998</v>
      </c>
      <c r="M152" s="11">
        <v>0</v>
      </c>
      <c r="N152" s="11">
        <v>0</v>
      </c>
      <c r="O152" s="11">
        <v>0</v>
      </c>
      <c r="P152" s="11">
        <v>0</v>
      </c>
      <c r="Q152" s="11">
        <v>4.929999999999998</v>
      </c>
      <c r="R152" s="11">
        <v>0</v>
      </c>
      <c r="S152" s="11">
        <v>4.929999999999998</v>
      </c>
      <c r="T152" s="11">
        <v>2</v>
      </c>
      <c r="U152" s="11">
        <v>2.929999999999998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118</v>
      </c>
      <c r="E153" s="7" t="s">
        <v>268</v>
      </c>
      <c r="F153" s="7" t="s">
        <v>264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8.439999999999996</v>
      </c>
      <c r="M153" s="11">
        <v>0.32</v>
      </c>
      <c r="N153" s="11">
        <v>0</v>
      </c>
      <c r="O153" s="11">
        <v>0</v>
      </c>
      <c r="P153" s="11">
        <v>0</v>
      </c>
      <c r="Q153" s="11">
        <v>8.759999999999994</v>
      </c>
      <c r="R153" s="11">
        <v>0</v>
      </c>
      <c r="S153" s="11">
        <v>8.759999999999994</v>
      </c>
      <c r="T153" s="11">
        <v>2</v>
      </c>
      <c r="U153" s="11">
        <v>3</v>
      </c>
      <c r="V153" s="11">
        <v>3.759999999999994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131</v>
      </c>
      <c r="E154" s="7" t="s">
        <v>132</v>
      </c>
      <c r="F154" s="7" t="s">
        <v>264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2.990000000000001</v>
      </c>
      <c r="M154" s="11">
        <v>0</v>
      </c>
      <c r="N154" s="11">
        <v>0</v>
      </c>
      <c r="O154" s="11">
        <v>0.18</v>
      </c>
      <c r="P154" s="11">
        <v>0</v>
      </c>
      <c r="Q154" s="11">
        <v>3.170000000000001</v>
      </c>
      <c r="R154" s="11">
        <v>0</v>
      </c>
      <c r="S154" s="11">
        <v>3.170000000000001</v>
      </c>
      <c r="T154" s="11">
        <v>2</v>
      </c>
      <c r="U154" s="11">
        <v>1.170000000000001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298</v>
      </c>
      <c r="E155" s="7" t="s">
        <v>232</v>
      </c>
      <c r="F155" s="7" t="s">
        <v>264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0.36</v>
      </c>
      <c r="M155" s="11">
        <v>0.48</v>
      </c>
      <c r="N155" s="11">
        <v>0</v>
      </c>
      <c r="O155" s="11">
        <v>0</v>
      </c>
      <c r="P155" s="11">
        <v>0</v>
      </c>
      <c r="Q155" s="11">
        <v>0.8400000000000002</v>
      </c>
      <c r="R155" s="11">
        <v>0</v>
      </c>
      <c r="S155" s="11">
        <v>0.8400000000000002</v>
      </c>
      <c r="T155" s="11">
        <v>0.8400000000000002</v>
      </c>
      <c r="U155" s="11">
        <v>0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298</v>
      </c>
      <c r="E156" s="7" t="s">
        <v>232</v>
      </c>
      <c r="F156" s="7" t="s">
        <v>264</v>
      </c>
      <c r="G156" s="7"/>
      <c r="H156" s="7" t="s">
        <v>153</v>
      </c>
      <c r="I156" s="11">
        <v>2</v>
      </c>
      <c r="J156" s="11">
        <v>3</v>
      </c>
      <c r="K156" s="11">
        <v>0.95</v>
      </c>
      <c r="L156" s="11">
        <v>2.030000000000001</v>
      </c>
      <c r="M156" s="11">
        <v>0.16</v>
      </c>
      <c r="N156" s="11">
        <v>0</v>
      </c>
      <c r="O156" s="11">
        <v>0</v>
      </c>
      <c r="P156" s="11">
        <v>0.8</v>
      </c>
      <c r="Q156" s="11">
        <v>3.94</v>
      </c>
      <c r="R156" s="11">
        <v>0</v>
      </c>
      <c r="S156" s="11">
        <v>3.94</v>
      </c>
      <c r="T156" s="11">
        <v>2</v>
      </c>
      <c r="U156" s="11">
        <v>1.94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93</v>
      </c>
      <c r="E157" s="7" t="s">
        <v>132</v>
      </c>
      <c r="F157" s="7" t="s">
        <v>264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2.36</v>
      </c>
      <c r="M157" s="11">
        <v>0</v>
      </c>
      <c r="N157" s="11">
        <v>0</v>
      </c>
      <c r="O157" s="11">
        <v>0.1</v>
      </c>
      <c r="P157" s="11">
        <v>0</v>
      </c>
      <c r="Q157" s="11">
        <v>2.46</v>
      </c>
      <c r="R157" s="11">
        <v>0</v>
      </c>
      <c r="S157" s="11">
        <v>2.46</v>
      </c>
      <c r="T157" s="11">
        <v>2</v>
      </c>
      <c r="U157" s="11">
        <v>0.4600000000000004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40</v>
      </c>
      <c r="E158" s="7" t="s">
        <v>232</v>
      </c>
      <c r="F158" s="7" t="s">
        <v>264</v>
      </c>
      <c r="G158" s="7"/>
      <c r="H158" s="7" t="s">
        <v>48</v>
      </c>
      <c r="I158" s="11">
        <v>2</v>
      </c>
      <c r="J158" s="11">
        <v>3</v>
      </c>
      <c r="K158" s="11">
        <v>0</v>
      </c>
      <c r="L158" s="11">
        <v>3.860000000000001</v>
      </c>
      <c r="M158" s="11">
        <v>0.32</v>
      </c>
      <c r="N158" s="11">
        <v>0</v>
      </c>
      <c r="O158" s="11">
        <v>0</v>
      </c>
      <c r="P158" s="11">
        <v>0</v>
      </c>
      <c r="Q158" s="11">
        <v>4.180000000000001</v>
      </c>
      <c r="R158" s="11">
        <v>0</v>
      </c>
      <c r="S158" s="11">
        <v>4.180000000000001</v>
      </c>
      <c r="T158" s="11">
        <v>2</v>
      </c>
      <c r="U158" s="11">
        <v>2.180000000000001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380</v>
      </c>
      <c r="E159" s="7" t="s">
        <v>268</v>
      </c>
      <c r="F159" s="7" t="s">
        <v>264</v>
      </c>
      <c r="G159" s="7"/>
      <c r="H159" s="7" t="s">
        <v>156</v>
      </c>
      <c r="I159" s="11">
        <v>2</v>
      </c>
      <c r="J159" s="11">
        <v>3</v>
      </c>
      <c r="K159" s="11">
        <v>0.95</v>
      </c>
      <c r="L159" s="11">
        <v>3.970000000000002</v>
      </c>
      <c r="M159" s="11">
        <v>0.16</v>
      </c>
      <c r="N159" s="11">
        <v>0</v>
      </c>
      <c r="O159" s="11">
        <v>0</v>
      </c>
      <c r="P159" s="11">
        <v>0</v>
      </c>
      <c r="Q159" s="11">
        <v>5.080000000000002</v>
      </c>
      <c r="R159" s="11">
        <v>0</v>
      </c>
      <c r="S159" s="11">
        <v>5.080000000000002</v>
      </c>
      <c r="T159" s="11">
        <v>2</v>
      </c>
      <c r="U159" s="11">
        <v>3</v>
      </c>
      <c r="V159" s="11">
        <v>0.08000000000000185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381</v>
      </c>
      <c r="C160" s="10" t="s">
        <v>382</v>
      </c>
      <c r="D160" s="7" t="s">
        <v>267</v>
      </c>
      <c r="E160" s="7" t="s">
        <v>132</v>
      </c>
      <c r="F160" s="7" t="s">
        <v>264</v>
      </c>
      <c r="G160" s="7"/>
      <c r="H160" s="7" t="s">
        <v>156</v>
      </c>
      <c r="I160" s="11">
        <v>2</v>
      </c>
      <c r="J160" s="11">
        <v>3</v>
      </c>
      <c r="K160" s="11">
        <v>0.95</v>
      </c>
      <c r="L160" s="11">
        <v>6.479999999999993</v>
      </c>
      <c r="M160" s="11">
        <v>0.24</v>
      </c>
      <c r="N160" s="11">
        <v>0</v>
      </c>
      <c r="O160" s="11">
        <v>0.9199999999999999</v>
      </c>
      <c r="P160" s="11">
        <v>0.8</v>
      </c>
      <c r="Q160" s="11">
        <v>9.389999999999993</v>
      </c>
      <c r="R160" s="11">
        <v>0</v>
      </c>
      <c r="S160" s="11">
        <v>9.389999999999993</v>
      </c>
      <c r="T160" s="11">
        <v>2</v>
      </c>
      <c r="U160" s="11">
        <v>3</v>
      </c>
      <c r="V160" s="11">
        <v>4.389999999999993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383</v>
      </c>
      <c r="C161" s="10" t="s">
        <v>384</v>
      </c>
      <c r="D161" s="7" t="s">
        <v>131</v>
      </c>
      <c r="E161" s="7" t="s">
        <v>132</v>
      </c>
      <c r="F161" s="7" t="s">
        <v>264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385</v>
      </c>
      <c r="C162" s="10" t="s">
        <v>386</v>
      </c>
      <c r="D162" s="7" t="s">
        <v>298</v>
      </c>
      <c r="E162" s="7" t="s">
        <v>232</v>
      </c>
      <c r="F162" s="7" t="s">
        <v>264</v>
      </c>
      <c r="G162" s="7"/>
      <c r="H162" s="7" t="s">
        <v>48</v>
      </c>
      <c r="I162" s="11">
        <v>2</v>
      </c>
      <c r="J162" s="11">
        <v>3</v>
      </c>
      <c r="K162" s="11">
        <v>0</v>
      </c>
      <c r="L162" s="11">
        <v>6.219999999999997</v>
      </c>
      <c r="M162" s="11">
        <v>0</v>
      </c>
      <c r="N162" s="11">
        <v>0</v>
      </c>
      <c r="O162" s="11">
        <v>0</v>
      </c>
      <c r="P162" s="11">
        <v>0</v>
      </c>
      <c r="Q162" s="11">
        <v>6.219999999999997</v>
      </c>
      <c r="R162" s="11">
        <v>0</v>
      </c>
      <c r="S162" s="11">
        <v>6.219999999999997</v>
      </c>
      <c r="T162" s="11">
        <v>2</v>
      </c>
      <c r="U162" s="11">
        <v>3</v>
      </c>
      <c r="V162" s="11">
        <v>1.219999999999997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40</v>
      </c>
      <c r="E163" s="7" t="s">
        <v>132</v>
      </c>
      <c r="F163" s="7" t="s">
        <v>264</v>
      </c>
      <c r="G163" s="7"/>
      <c r="H163" s="7" t="s">
        <v>72</v>
      </c>
      <c r="I163" s="11">
        <v>2</v>
      </c>
      <c r="J163" s="11">
        <v>3</v>
      </c>
      <c r="K163" s="11">
        <v>0.95</v>
      </c>
      <c r="L163" s="11">
        <v>3.489999999999999</v>
      </c>
      <c r="M163" s="11">
        <v>0.16</v>
      </c>
      <c r="N163" s="11">
        <v>0</v>
      </c>
      <c r="O163" s="11">
        <v>0</v>
      </c>
      <c r="P163" s="11">
        <v>0</v>
      </c>
      <c r="Q163" s="11">
        <v>4.6</v>
      </c>
      <c r="R163" s="11">
        <v>0</v>
      </c>
      <c r="S163" s="11">
        <v>4.6</v>
      </c>
      <c r="T163" s="11">
        <v>2</v>
      </c>
      <c r="U163" s="11">
        <v>2.6</v>
      </c>
      <c r="V163" s="11">
        <v>0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131</v>
      </c>
      <c r="E164" s="7" t="s">
        <v>132</v>
      </c>
      <c r="F164" s="7" t="s">
        <v>264</v>
      </c>
      <c r="G164" s="7"/>
      <c r="H164" s="7" t="s">
        <v>156</v>
      </c>
      <c r="I164" s="11">
        <v>2</v>
      </c>
      <c r="J164" s="11">
        <v>3</v>
      </c>
      <c r="K164" s="11">
        <v>0.95</v>
      </c>
      <c r="L164" s="11">
        <v>4.529999999999998</v>
      </c>
      <c r="M164" s="11">
        <v>0.24</v>
      </c>
      <c r="N164" s="11">
        <v>0</v>
      </c>
      <c r="O164" s="11">
        <v>1.14</v>
      </c>
      <c r="P164" s="11">
        <v>0.8</v>
      </c>
      <c r="Q164" s="11">
        <v>7.659999999999997</v>
      </c>
      <c r="R164" s="11">
        <v>0</v>
      </c>
      <c r="S164" s="11">
        <v>7.659999999999997</v>
      </c>
      <c r="T164" s="11">
        <v>2</v>
      </c>
      <c r="U164" s="11">
        <v>3</v>
      </c>
      <c r="V164" s="11">
        <v>2.659999999999997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81</v>
      </c>
      <c r="E165" s="7" t="s">
        <v>232</v>
      </c>
      <c r="F165" s="7" t="s">
        <v>264</v>
      </c>
      <c r="G165" s="7"/>
      <c r="H165" s="7" t="s">
        <v>48</v>
      </c>
      <c r="I165" s="11">
        <v>2</v>
      </c>
      <c r="J165" s="11">
        <v>3</v>
      </c>
      <c r="K165" s="11">
        <v>0</v>
      </c>
      <c r="L165" s="11">
        <v>4.579999999999997</v>
      </c>
      <c r="M165" s="11">
        <v>0.48</v>
      </c>
      <c r="N165" s="11">
        <v>0</v>
      </c>
      <c r="O165" s="11">
        <v>2.28</v>
      </c>
      <c r="P165" s="11">
        <v>0</v>
      </c>
      <c r="Q165" s="11">
        <v>7.339999999999997</v>
      </c>
      <c r="R165" s="11">
        <v>0</v>
      </c>
      <c r="S165" s="11">
        <v>7.339999999999997</v>
      </c>
      <c r="T165" s="11">
        <v>2</v>
      </c>
      <c r="U165" s="11">
        <v>3</v>
      </c>
      <c r="V165" s="11">
        <v>2.339999999999997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118</v>
      </c>
      <c r="E166" s="7" t="s">
        <v>132</v>
      </c>
      <c r="F166" s="7" t="s">
        <v>264</v>
      </c>
      <c r="G166" s="7"/>
      <c r="H166" s="7" t="s">
        <v>320</v>
      </c>
      <c r="I166" s="11">
        <v>2</v>
      </c>
      <c r="J166" s="11">
        <v>3</v>
      </c>
      <c r="K166" s="11">
        <v>1</v>
      </c>
      <c r="L166" s="11">
        <v>6.929999999999999</v>
      </c>
      <c r="M166" s="11">
        <v>0.5600000000000001</v>
      </c>
      <c r="N166" s="11">
        <v>0</v>
      </c>
      <c r="O166" s="11">
        <v>0</v>
      </c>
      <c r="P166" s="11">
        <v>0</v>
      </c>
      <c r="Q166" s="11">
        <v>8.489999999999998</v>
      </c>
      <c r="R166" s="11">
        <v>0</v>
      </c>
      <c r="S166" s="11">
        <v>8.489999999999998</v>
      </c>
      <c r="T166" s="11">
        <v>2</v>
      </c>
      <c r="U166" s="11">
        <v>3</v>
      </c>
      <c r="V166" s="11">
        <v>3.489999999999998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90</v>
      </c>
      <c r="E167" s="7" t="s">
        <v>268</v>
      </c>
      <c r="F167" s="7" t="s">
        <v>264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3.88</v>
      </c>
      <c r="M167" s="11">
        <v>0</v>
      </c>
      <c r="N167" s="11">
        <v>0</v>
      </c>
      <c r="O167" s="11">
        <v>0.6400000000000001</v>
      </c>
      <c r="P167" s="11">
        <v>0</v>
      </c>
      <c r="Q167" s="11">
        <v>4.52</v>
      </c>
      <c r="R167" s="11">
        <v>0</v>
      </c>
      <c r="S167" s="11">
        <v>4.52</v>
      </c>
      <c r="T167" s="11">
        <v>2</v>
      </c>
      <c r="U167" s="11">
        <v>2.52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131</v>
      </c>
      <c r="E168" s="7" t="s">
        <v>132</v>
      </c>
      <c r="F168" s="7" t="s">
        <v>264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2.840000000000001</v>
      </c>
      <c r="M168" s="11">
        <v>0</v>
      </c>
      <c r="N168" s="11">
        <v>0</v>
      </c>
      <c r="O168" s="11">
        <v>0.36</v>
      </c>
      <c r="P168" s="11">
        <v>0</v>
      </c>
      <c r="Q168" s="11">
        <v>3.200000000000001</v>
      </c>
      <c r="R168" s="11">
        <v>0</v>
      </c>
      <c r="S168" s="11">
        <v>3.200000000000001</v>
      </c>
      <c r="T168" s="11">
        <v>2</v>
      </c>
      <c r="U168" s="11">
        <v>1.200000000000001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298</v>
      </c>
      <c r="E169" s="7" t="s">
        <v>268</v>
      </c>
      <c r="F169" s="7" t="s">
        <v>264</v>
      </c>
      <c r="G169" s="7"/>
      <c r="H169" s="7" t="s">
        <v>48</v>
      </c>
      <c r="I169" s="11">
        <v>2</v>
      </c>
      <c r="J169" s="11">
        <v>3</v>
      </c>
      <c r="K169" s="11">
        <v>0</v>
      </c>
      <c r="L169" s="11">
        <v>3.96</v>
      </c>
      <c r="M169" s="11">
        <v>0.08</v>
      </c>
      <c r="N169" s="11">
        <v>0</v>
      </c>
      <c r="O169" s="11">
        <v>0</v>
      </c>
      <c r="P169" s="11">
        <v>0.8</v>
      </c>
      <c r="Q169" s="11">
        <v>4.84</v>
      </c>
      <c r="R169" s="11">
        <v>0</v>
      </c>
      <c r="S169" s="11">
        <v>4.84</v>
      </c>
      <c r="T169" s="11">
        <v>2</v>
      </c>
      <c r="U169" s="11">
        <v>2.84</v>
      </c>
      <c r="V169" s="11">
        <v>0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380</v>
      </c>
      <c r="E170" s="7" t="s">
        <v>268</v>
      </c>
      <c r="F170" s="7" t="s">
        <v>403</v>
      </c>
      <c r="G170" s="7"/>
      <c r="H170" s="7"/>
      <c r="I170" s="11">
        <v>2</v>
      </c>
      <c r="J170" s="11">
        <v>3</v>
      </c>
      <c r="K170" s="11">
        <v>0</v>
      </c>
      <c r="L170" s="11">
        <v>0</v>
      </c>
      <c r="M170" s="11">
        <v>0.08</v>
      </c>
      <c r="N170" s="11">
        <v>0</v>
      </c>
      <c r="O170" s="11">
        <v>0.76</v>
      </c>
      <c r="P170" s="11">
        <v>0</v>
      </c>
      <c r="Q170" s="11">
        <v>0.84</v>
      </c>
      <c r="R170" s="11">
        <v>0</v>
      </c>
      <c r="S170" s="11">
        <v>0.84</v>
      </c>
      <c r="T170" s="11">
        <v>0.84</v>
      </c>
      <c r="U170" s="11">
        <v>0</v>
      </c>
      <c r="V170" s="11">
        <v>0</v>
      </c>
      <c r="W170" s="13">
        <v>2</v>
      </c>
      <c r="X170" s="13">
        <v>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404</v>
      </c>
      <c r="C171" s="10" t="s">
        <v>405</v>
      </c>
      <c r="D171" s="7" t="s">
        <v>267</v>
      </c>
      <c r="E171" s="7" t="s">
        <v>268</v>
      </c>
      <c r="F171" s="7" t="s">
        <v>406</v>
      </c>
      <c r="G171" s="7"/>
      <c r="H171" s="7" t="s">
        <v>48</v>
      </c>
      <c r="I171" s="11">
        <v>2</v>
      </c>
      <c r="J171" s="11">
        <v>3</v>
      </c>
      <c r="K171" s="11">
        <v>0</v>
      </c>
      <c r="L171" s="11">
        <v>1.820000000000001</v>
      </c>
      <c r="M171" s="11">
        <v>0</v>
      </c>
      <c r="N171" s="11">
        <v>0</v>
      </c>
      <c r="O171" s="11">
        <v>0</v>
      </c>
      <c r="P171" s="11">
        <v>0</v>
      </c>
      <c r="Q171" s="11">
        <v>1.820000000000001</v>
      </c>
      <c r="R171" s="11">
        <v>0</v>
      </c>
      <c r="S171" s="11">
        <v>1.820000000000001</v>
      </c>
      <c r="T171" s="11">
        <v>1.820000000000001</v>
      </c>
      <c r="U171" s="11">
        <v>0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407</v>
      </c>
      <c r="C172" s="10" t="s">
        <v>408</v>
      </c>
      <c r="D172" s="7" t="s">
        <v>271</v>
      </c>
      <c r="E172" s="7" t="s">
        <v>268</v>
      </c>
      <c r="F172" s="7" t="s">
        <v>403</v>
      </c>
      <c r="G172" s="7"/>
      <c r="H172" s="7"/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0.6799999999999999</v>
      </c>
      <c r="P172" s="11">
        <v>0</v>
      </c>
      <c r="Q172" s="11">
        <v>0.6799999999999999</v>
      </c>
      <c r="R172" s="11">
        <v>0</v>
      </c>
      <c r="S172" s="11">
        <v>0.6799999999999999</v>
      </c>
      <c r="T172" s="11">
        <v>0.6799999999999999</v>
      </c>
      <c r="U172" s="11">
        <v>0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409</v>
      </c>
      <c r="C173" s="10" t="s">
        <v>410</v>
      </c>
      <c r="D173" s="7" t="s">
        <v>71</v>
      </c>
      <c r="E173" s="7" t="s">
        <v>268</v>
      </c>
      <c r="F173" s="7" t="s">
        <v>406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2.62</v>
      </c>
      <c r="M173" s="11">
        <v>0.24</v>
      </c>
      <c r="N173" s="11">
        <v>0</v>
      </c>
      <c r="O173" s="11">
        <v>0</v>
      </c>
      <c r="P173" s="11">
        <v>0</v>
      </c>
      <c r="Q173" s="11">
        <v>2.86</v>
      </c>
      <c r="R173" s="11">
        <v>0</v>
      </c>
      <c r="S173" s="11">
        <v>2.86</v>
      </c>
      <c r="T173" s="11">
        <v>2</v>
      </c>
      <c r="U173" s="11">
        <v>0.8599999999999999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411</v>
      </c>
      <c r="C174" s="10" t="s">
        <v>412</v>
      </c>
      <c r="D174" s="7" t="s">
        <v>71</v>
      </c>
      <c r="E174" s="7" t="s">
        <v>268</v>
      </c>
      <c r="F174" s="7" t="s">
        <v>406</v>
      </c>
      <c r="G174" s="7"/>
      <c r="H174" s="7"/>
      <c r="I174" s="11">
        <v>2</v>
      </c>
      <c r="J174" s="11">
        <v>3</v>
      </c>
      <c r="K174" s="11">
        <v>0</v>
      </c>
      <c r="L174" s="11">
        <v>0.5700000000000001</v>
      </c>
      <c r="M174" s="11">
        <v>0.24</v>
      </c>
      <c r="N174" s="11">
        <v>0</v>
      </c>
      <c r="O174" s="11">
        <v>0.72</v>
      </c>
      <c r="P174" s="11">
        <v>0</v>
      </c>
      <c r="Q174" s="11">
        <v>1.53</v>
      </c>
      <c r="R174" s="11">
        <v>0</v>
      </c>
      <c r="S174" s="11">
        <v>1.53</v>
      </c>
      <c r="T174" s="11">
        <v>1.53</v>
      </c>
      <c r="U174" s="11">
        <v>0</v>
      </c>
      <c r="V174" s="11">
        <v>0</v>
      </c>
      <c r="W174" s="13">
        <v>2</v>
      </c>
      <c r="X174" s="13">
        <v>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413</v>
      </c>
      <c r="C175" s="10" t="s">
        <v>414</v>
      </c>
      <c r="D175" s="7" t="s">
        <v>71</v>
      </c>
      <c r="E175" s="7" t="s">
        <v>132</v>
      </c>
      <c r="F175" s="7" t="s">
        <v>415</v>
      </c>
      <c r="G175" s="7"/>
      <c r="H175" s="7" t="s">
        <v>48</v>
      </c>
      <c r="I175" s="11">
        <v>2</v>
      </c>
      <c r="J175" s="11">
        <v>0</v>
      </c>
      <c r="K175" s="11">
        <v>0</v>
      </c>
      <c r="L175" s="11">
        <v>0.17</v>
      </c>
      <c r="M175" s="11">
        <v>0</v>
      </c>
      <c r="N175" s="11">
        <v>0</v>
      </c>
      <c r="O175" s="11">
        <v>0</v>
      </c>
      <c r="P175" s="11">
        <v>0</v>
      </c>
      <c r="Q175" s="11">
        <v>0.17</v>
      </c>
      <c r="R175" s="11">
        <v>0</v>
      </c>
      <c r="S175" s="11">
        <v>0.17</v>
      </c>
      <c r="T175" s="11">
        <v>0.17</v>
      </c>
      <c r="U175" s="11">
        <v>0</v>
      </c>
      <c r="V175" s="11">
        <v>0</v>
      </c>
      <c r="W175" s="13">
        <v>2</v>
      </c>
      <c r="X175" s="13">
        <v>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416</v>
      </c>
      <c r="C176" s="10" t="s">
        <v>417</v>
      </c>
      <c r="D176" s="7" t="s">
        <v>51</v>
      </c>
      <c r="E176" s="7" t="s">
        <v>268</v>
      </c>
      <c r="F176" s="7" t="s">
        <v>406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2.19</v>
      </c>
      <c r="M176" s="11">
        <v>0</v>
      </c>
      <c r="N176" s="11">
        <v>0</v>
      </c>
      <c r="O176" s="11">
        <v>0.04</v>
      </c>
      <c r="P176" s="11">
        <v>0</v>
      </c>
      <c r="Q176" s="11">
        <v>2.23</v>
      </c>
      <c r="R176" s="11">
        <v>0</v>
      </c>
      <c r="S176" s="11">
        <v>2.23</v>
      </c>
      <c r="T176" s="11">
        <v>2</v>
      </c>
      <c r="U176" s="11">
        <v>0.23</v>
      </c>
      <c r="V176" s="11">
        <v>0</v>
      </c>
      <c r="W176" s="13">
        <v>2</v>
      </c>
      <c r="X176" s="13">
        <v>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418</v>
      </c>
      <c r="C177" s="10" t="s">
        <v>419</v>
      </c>
      <c r="D177" s="7" t="s">
        <v>271</v>
      </c>
      <c r="E177" s="7" t="s">
        <v>268</v>
      </c>
      <c r="F177" s="7" t="s">
        <v>403</v>
      </c>
      <c r="G177" s="7"/>
      <c r="H177" s="7"/>
      <c r="I177" s="11">
        <v>2</v>
      </c>
      <c r="J177" s="11">
        <v>3</v>
      </c>
      <c r="K177" s="11">
        <v>0</v>
      </c>
      <c r="L177" s="11">
        <v>0</v>
      </c>
      <c r="M177" s="11">
        <v>0.08</v>
      </c>
      <c r="N177" s="11">
        <v>0</v>
      </c>
      <c r="O177" s="11">
        <v>0.48</v>
      </c>
      <c r="P177" s="11">
        <v>0</v>
      </c>
      <c r="Q177" s="11">
        <v>0.5599999999999999</v>
      </c>
      <c r="R177" s="11">
        <v>0</v>
      </c>
      <c r="S177" s="11">
        <v>0.5599999999999999</v>
      </c>
      <c r="T177" s="11">
        <v>0.5599999999999999</v>
      </c>
      <c r="U177" s="11">
        <v>0</v>
      </c>
      <c r="V177" s="11">
        <v>0</v>
      </c>
      <c r="W177" s="13">
        <v>2</v>
      </c>
      <c r="X177" s="13">
        <v>3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420</v>
      </c>
      <c r="C178" s="10" t="s">
        <v>421</v>
      </c>
      <c r="D178" s="7" t="s">
        <v>131</v>
      </c>
      <c r="E178" s="7" t="s">
        <v>232</v>
      </c>
      <c r="F178" s="7" t="s">
        <v>415</v>
      </c>
      <c r="G178" s="7"/>
      <c r="H178" s="7" t="s">
        <v>48</v>
      </c>
      <c r="I178" s="11">
        <v>2</v>
      </c>
      <c r="J178" s="11">
        <v>0</v>
      </c>
      <c r="K178" s="11">
        <v>0</v>
      </c>
      <c r="L178" s="11">
        <v>1.53</v>
      </c>
      <c r="M178" s="11">
        <v>0</v>
      </c>
      <c r="N178" s="11">
        <v>0</v>
      </c>
      <c r="O178" s="11">
        <v>0</v>
      </c>
      <c r="P178" s="11">
        <v>0</v>
      </c>
      <c r="Q178" s="11">
        <v>1.53</v>
      </c>
      <c r="R178" s="11">
        <v>0</v>
      </c>
      <c r="S178" s="11">
        <v>1.53</v>
      </c>
      <c r="T178" s="11">
        <v>1.53</v>
      </c>
      <c r="U178" s="11">
        <v>0</v>
      </c>
      <c r="V178" s="11">
        <v>0</v>
      </c>
      <c r="W178" s="13">
        <v>2</v>
      </c>
      <c r="X178" s="13">
        <v>0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422</v>
      </c>
      <c r="C179" s="10" t="s">
        <v>423</v>
      </c>
      <c r="D179" s="7" t="s">
        <v>380</v>
      </c>
      <c r="E179" s="7" t="s">
        <v>268</v>
      </c>
      <c r="F179" s="7" t="s">
        <v>406</v>
      </c>
      <c r="G179" s="7"/>
      <c r="H179" s="7" t="s">
        <v>48</v>
      </c>
      <c r="I179" s="11">
        <v>2</v>
      </c>
      <c r="J179" s="11">
        <v>3</v>
      </c>
      <c r="K179" s="11">
        <v>0</v>
      </c>
      <c r="L179" s="11">
        <v>0.6000000000000001</v>
      </c>
      <c r="M179" s="11">
        <v>0</v>
      </c>
      <c r="N179" s="11">
        <v>0</v>
      </c>
      <c r="O179" s="11">
        <v>0.9600000000000001</v>
      </c>
      <c r="P179" s="11">
        <v>0</v>
      </c>
      <c r="Q179" s="11">
        <v>1.56</v>
      </c>
      <c r="R179" s="11">
        <v>0</v>
      </c>
      <c r="S179" s="11">
        <v>1.56</v>
      </c>
      <c r="T179" s="11">
        <v>1.56</v>
      </c>
      <c r="U179" s="11">
        <v>0</v>
      </c>
      <c r="V179" s="11">
        <v>0</v>
      </c>
      <c r="W179" s="13">
        <v>2</v>
      </c>
      <c r="X179" s="13">
        <v>3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424</v>
      </c>
      <c r="C180" s="10" t="s">
        <v>425</v>
      </c>
      <c r="D180" s="7" t="s">
        <v>90</v>
      </c>
      <c r="E180" s="7" t="s">
        <v>132</v>
      </c>
      <c r="F180" s="7" t="s">
        <v>403</v>
      </c>
      <c r="G180" s="7"/>
      <c r="H180" s="7"/>
      <c r="I180" s="11">
        <v>2</v>
      </c>
      <c r="J180" s="11">
        <v>3</v>
      </c>
      <c r="K180" s="11">
        <v>0</v>
      </c>
      <c r="L180" s="11">
        <v>0</v>
      </c>
      <c r="M180" s="11">
        <v>0.08</v>
      </c>
      <c r="N180" s="11">
        <v>0</v>
      </c>
      <c r="O180" s="11">
        <v>0.1</v>
      </c>
      <c r="P180" s="11">
        <v>0</v>
      </c>
      <c r="Q180" s="11">
        <v>0.18</v>
      </c>
      <c r="R180" s="11">
        <v>0</v>
      </c>
      <c r="S180" s="11">
        <v>0.18</v>
      </c>
      <c r="T180" s="11">
        <v>0.18</v>
      </c>
      <c r="U180" s="11">
        <v>0</v>
      </c>
      <c r="V180" s="11">
        <v>0</v>
      </c>
      <c r="W180" s="13">
        <v>2</v>
      </c>
      <c r="X180" s="13">
        <v>3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426</v>
      </c>
      <c r="C181" s="10" t="s">
        <v>427</v>
      </c>
      <c r="D181" s="7" t="s">
        <v>298</v>
      </c>
      <c r="E181" s="7" t="s">
        <v>268</v>
      </c>
      <c r="F181" s="7" t="s">
        <v>415</v>
      </c>
      <c r="G181" s="7"/>
      <c r="H181" s="7" t="s">
        <v>48</v>
      </c>
      <c r="I181" s="11">
        <v>2</v>
      </c>
      <c r="J181" s="11">
        <v>0</v>
      </c>
      <c r="K181" s="11">
        <v>0</v>
      </c>
      <c r="L181" s="11">
        <v>5.049999999999997</v>
      </c>
      <c r="M181" s="11">
        <v>0.32</v>
      </c>
      <c r="N181" s="11">
        <v>0</v>
      </c>
      <c r="O181" s="11">
        <v>0</v>
      </c>
      <c r="P181" s="11">
        <v>0</v>
      </c>
      <c r="Q181" s="11">
        <v>5.369999999999997</v>
      </c>
      <c r="R181" s="11">
        <v>0</v>
      </c>
      <c r="S181" s="11">
        <v>5.369999999999997</v>
      </c>
      <c r="T181" s="11">
        <v>2</v>
      </c>
      <c r="U181" s="11">
        <v>0</v>
      </c>
      <c r="V181" s="11">
        <v>3.369999999999997</v>
      </c>
      <c r="W181" s="13">
        <v>2</v>
      </c>
      <c r="X181" s="13">
        <v>0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428</v>
      </c>
      <c r="C182" s="10" t="s">
        <v>429</v>
      </c>
      <c r="D182" s="7" t="s">
        <v>60</v>
      </c>
      <c r="E182" s="7" t="s">
        <v>61</v>
      </c>
      <c r="F182" s="7" t="s">
        <v>430</v>
      </c>
      <c r="G182" s="7"/>
      <c r="H182" s="7" t="s">
        <v>48</v>
      </c>
      <c r="I182" s="11">
        <v>2</v>
      </c>
      <c r="J182" s="11">
        <v>3</v>
      </c>
      <c r="K182" s="11">
        <v>0</v>
      </c>
      <c r="L182" s="11">
        <v>2.450000000000001</v>
      </c>
      <c r="M182" s="11">
        <v>0</v>
      </c>
      <c r="N182" s="11">
        <v>0</v>
      </c>
      <c r="O182" s="11">
        <v>0</v>
      </c>
      <c r="P182" s="11">
        <v>0</v>
      </c>
      <c r="Q182" s="11">
        <v>2.450000000000001</v>
      </c>
      <c r="R182" s="11">
        <v>0</v>
      </c>
      <c r="S182" s="11">
        <v>2.450000000000001</v>
      </c>
      <c r="T182" s="11">
        <v>2</v>
      </c>
      <c r="U182" s="11">
        <v>0.4500000000000006</v>
      </c>
      <c r="V182" s="11">
        <v>0</v>
      </c>
      <c r="W182" s="13">
        <v>2</v>
      </c>
      <c r="X182" s="13">
        <v>3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431</v>
      </c>
      <c r="C183" s="10" t="s">
        <v>432</v>
      </c>
      <c r="D183" s="7" t="s">
        <v>93</v>
      </c>
      <c r="E183" s="7" t="s">
        <v>268</v>
      </c>
      <c r="F183" s="7" t="s">
        <v>406</v>
      </c>
      <c r="G183" s="7"/>
      <c r="H183" s="7"/>
      <c r="I183" s="11">
        <v>2</v>
      </c>
      <c r="J183" s="11">
        <v>3</v>
      </c>
      <c r="K183" s="11">
        <v>0</v>
      </c>
      <c r="L183" s="11">
        <v>0</v>
      </c>
      <c r="M183" s="11">
        <v>0.24</v>
      </c>
      <c r="N183" s="11">
        <v>0</v>
      </c>
      <c r="O183" s="11">
        <v>0.1</v>
      </c>
      <c r="P183" s="11">
        <v>0</v>
      </c>
      <c r="Q183" s="11">
        <v>0.34</v>
      </c>
      <c r="R183" s="11">
        <v>0</v>
      </c>
      <c r="S183" s="11">
        <v>0.34</v>
      </c>
      <c r="T183" s="11">
        <v>0.34</v>
      </c>
      <c r="U183" s="11">
        <v>0</v>
      </c>
      <c r="V183" s="11">
        <v>0</v>
      </c>
      <c r="W183" s="13">
        <v>2</v>
      </c>
      <c r="X183" s="13">
        <v>3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433</v>
      </c>
      <c r="C184" s="10" t="s">
        <v>434</v>
      </c>
      <c r="D184" s="7" t="s">
        <v>380</v>
      </c>
      <c r="E184" s="7" t="s">
        <v>268</v>
      </c>
      <c r="F184" s="7" t="s">
        <v>406</v>
      </c>
      <c r="G184" s="7"/>
      <c r="H184" s="7" t="s">
        <v>48</v>
      </c>
      <c r="I184" s="11">
        <v>2</v>
      </c>
      <c r="J184" s="11">
        <v>3</v>
      </c>
      <c r="K184" s="11">
        <v>0</v>
      </c>
      <c r="L184" s="11">
        <v>5.019999999999999</v>
      </c>
      <c r="M184" s="11">
        <v>0</v>
      </c>
      <c r="N184" s="11">
        <v>0</v>
      </c>
      <c r="O184" s="11">
        <v>0</v>
      </c>
      <c r="P184" s="11">
        <v>0</v>
      </c>
      <c r="Q184" s="11">
        <v>5.019999999999999</v>
      </c>
      <c r="R184" s="11">
        <v>0</v>
      </c>
      <c r="S184" s="11">
        <v>5.019999999999999</v>
      </c>
      <c r="T184" s="11">
        <v>2</v>
      </c>
      <c r="U184" s="11">
        <v>3</v>
      </c>
      <c r="V184" s="11">
        <v>0.01999999999999869</v>
      </c>
      <c r="W184" s="13">
        <v>2</v>
      </c>
      <c r="X184" s="13">
        <v>3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435</v>
      </c>
      <c r="C185" s="10" t="s">
        <v>436</v>
      </c>
      <c r="D185" s="7" t="s">
        <v>298</v>
      </c>
      <c r="E185" s="7" t="s">
        <v>268</v>
      </c>
      <c r="F185" s="7" t="s">
        <v>406</v>
      </c>
      <c r="G185" s="7"/>
      <c r="H185" s="7" t="s">
        <v>72</v>
      </c>
      <c r="I185" s="11">
        <v>2</v>
      </c>
      <c r="J185" s="11">
        <v>3</v>
      </c>
      <c r="K185" s="11">
        <v>0.95</v>
      </c>
      <c r="L185" s="11">
        <v>4.11</v>
      </c>
      <c r="M185" s="11">
        <v>0.4</v>
      </c>
      <c r="N185" s="11">
        <v>0</v>
      </c>
      <c r="O185" s="11">
        <v>0.9</v>
      </c>
      <c r="P185" s="11">
        <v>0</v>
      </c>
      <c r="Q185" s="11">
        <v>6.36</v>
      </c>
      <c r="R185" s="11">
        <v>0</v>
      </c>
      <c r="S185" s="11">
        <v>6.36</v>
      </c>
      <c r="T185" s="11">
        <v>2</v>
      </c>
      <c r="U185" s="11">
        <v>3</v>
      </c>
      <c r="V185" s="11">
        <v>1.36</v>
      </c>
      <c r="W185" s="13">
        <v>2</v>
      </c>
      <c r="X185" s="13">
        <v>3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437</v>
      </c>
      <c r="C186" s="10" t="s">
        <v>438</v>
      </c>
      <c r="D186" s="7" t="s">
        <v>99</v>
      </c>
      <c r="E186" s="7" t="s">
        <v>54</v>
      </c>
      <c r="F186" s="7" t="s">
        <v>439</v>
      </c>
      <c r="G186" s="7"/>
      <c r="H186" s="7" t="s">
        <v>48</v>
      </c>
      <c r="I186" s="11">
        <v>2</v>
      </c>
      <c r="J186" s="11">
        <v>3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3">
        <v>2</v>
      </c>
      <c r="X186" s="13">
        <v>3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440</v>
      </c>
      <c r="C187" s="10" t="s">
        <v>441</v>
      </c>
      <c r="D187" s="7" t="s">
        <v>46</v>
      </c>
      <c r="E187" s="7" t="s">
        <v>268</v>
      </c>
      <c r="F187" s="7" t="s">
        <v>430</v>
      </c>
      <c r="G187" s="7"/>
      <c r="H187" s="7" t="s">
        <v>48</v>
      </c>
      <c r="I187" s="11">
        <v>2</v>
      </c>
      <c r="J187" s="11">
        <v>3</v>
      </c>
      <c r="K187" s="11">
        <v>0</v>
      </c>
      <c r="L187" s="11">
        <v>4.95</v>
      </c>
      <c r="M187" s="11">
        <v>0.08</v>
      </c>
      <c r="N187" s="11">
        <v>0</v>
      </c>
      <c r="O187" s="11">
        <v>0</v>
      </c>
      <c r="P187" s="11">
        <v>0.8</v>
      </c>
      <c r="Q187" s="11">
        <v>5.829999999999997</v>
      </c>
      <c r="R187" s="11">
        <v>0</v>
      </c>
      <c r="S187" s="11">
        <v>5.829999999999997</v>
      </c>
      <c r="T187" s="11">
        <v>2</v>
      </c>
      <c r="U187" s="11">
        <v>3</v>
      </c>
      <c r="V187" s="11">
        <v>0.8299999999999974</v>
      </c>
      <c r="W187" s="13">
        <v>2</v>
      </c>
      <c r="X187" s="13">
        <v>3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442</v>
      </c>
      <c r="C188" s="10" t="s">
        <v>443</v>
      </c>
      <c r="D188" s="7" t="s">
        <v>60</v>
      </c>
      <c r="E188" s="7" t="s">
        <v>268</v>
      </c>
      <c r="F188" s="7" t="s">
        <v>406</v>
      </c>
      <c r="G188" s="7"/>
      <c r="H188" s="7" t="s">
        <v>48</v>
      </c>
      <c r="I188" s="11">
        <v>2</v>
      </c>
      <c r="J188" s="11">
        <v>3</v>
      </c>
      <c r="K188" s="11">
        <v>0</v>
      </c>
      <c r="L188" s="11">
        <v>0</v>
      </c>
      <c r="M188" s="11">
        <v>0.08</v>
      </c>
      <c r="N188" s="11">
        <v>0</v>
      </c>
      <c r="O188" s="11">
        <v>0</v>
      </c>
      <c r="P188" s="11">
        <v>0</v>
      </c>
      <c r="Q188" s="11">
        <v>0.08</v>
      </c>
      <c r="R188" s="11">
        <v>0</v>
      </c>
      <c r="S188" s="11">
        <v>0.08</v>
      </c>
      <c r="T188" s="11">
        <v>0.08</v>
      </c>
      <c r="U188" s="11">
        <v>0</v>
      </c>
      <c r="V188" s="11">
        <v>0</v>
      </c>
      <c r="W188" s="13">
        <v>2</v>
      </c>
      <c r="X188" s="13">
        <v>3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444</v>
      </c>
      <c r="C189" s="10" t="s">
        <v>445</v>
      </c>
      <c r="D189" s="7" t="s">
        <v>51</v>
      </c>
      <c r="E189" s="7" t="s">
        <v>268</v>
      </c>
      <c r="F189" s="7" t="s">
        <v>403</v>
      </c>
      <c r="G189" s="7"/>
      <c r="H189" s="7"/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0.1</v>
      </c>
      <c r="P189" s="11">
        <v>0</v>
      </c>
      <c r="Q189" s="11">
        <v>0.1</v>
      </c>
      <c r="R189" s="11">
        <v>0</v>
      </c>
      <c r="S189" s="11">
        <v>0.1</v>
      </c>
      <c r="T189" s="11">
        <v>0.1</v>
      </c>
      <c r="U189" s="11">
        <v>0</v>
      </c>
      <c r="V189" s="11">
        <v>0</v>
      </c>
      <c r="W189" s="13">
        <v>2</v>
      </c>
      <c r="X189" s="13">
        <v>3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446</v>
      </c>
      <c r="C190" s="10" t="s">
        <v>447</v>
      </c>
      <c r="D190" s="7" t="s">
        <v>267</v>
      </c>
      <c r="E190" s="7" t="s">
        <v>268</v>
      </c>
      <c r="F190" s="7" t="s">
        <v>403</v>
      </c>
      <c r="G190" s="7"/>
      <c r="H190" s="7"/>
      <c r="I190" s="11">
        <v>2</v>
      </c>
      <c r="J190" s="11">
        <v>3</v>
      </c>
      <c r="K190" s="11">
        <v>0</v>
      </c>
      <c r="L190" s="11">
        <v>0</v>
      </c>
      <c r="M190" s="11">
        <v>0.08</v>
      </c>
      <c r="N190" s="11">
        <v>0</v>
      </c>
      <c r="O190" s="11">
        <v>0.12</v>
      </c>
      <c r="P190" s="11">
        <v>0</v>
      </c>
      <c r="Q190" s="11">
        <v>0.2</v>
      </c>
      <c r="R190" s="11">
        <v>0</v>
      </c>
      <c r="S190" s="11">
        <v>0.2</v>
      </c>
      <c r="T190" s="11">
        <v>0.2</v>
      </c>
      <c r="U190" s="11">
        <v>0</v>
      </c>
      <c r="V190" s="11">
        <v>0</v>
      </c>
      <c r="W190" s="13">
        <v>2</v>
      </c>
      <c r="X190" s="13">
        <v>3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448</v>
      </c>
      <c r="C191" s="10" t="s">
        <v>449</v>
      </c>
      <c r="D191" s="7" t="s">
        <v>40</v>
      </c>
      <c r="E191" s="7" t="s">
        <v>132</v>
      </c>
      <c r="F191" s="7" t="s">
        <v>415</v>
      </c>
      <c r="G191" s="7"/>
      <c r="H191" s="7" t="s">
        <v>48</v>
      </c>
      <c r="I191" s="11">
        <v>2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2</v>
      </c>
      <c r="X191" s="13">
        <v>0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450</v>
      </c>
      <c r="C192" s="10" t="s">
        <v>451</v>
      </c>
      <c r="D192" s="7" t="s">
        <v>40</v>
      </c>
      <c r="E192" s="7" t="s">
        <v>268</v>
      </c>
      <c r="F192" s="7" t="s">
        <v>403</v>
      </c>
      <c r="G192" s="7"/>
      <c r="H192" s="7"/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3">
        <v>2</v>
      </c>
      <c r="X192" s="13">
        <v>3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452</v>
      </c>
      <c r="C193" s="10" t="s">
        <v>453</v>
      </c>
      <c r="D193" s="7" t="s">
        <v>81</v>
      </c>
      <c r="E193" s="7" t="s">
        <v>268</v>
      </c>
      <c r="F193" s="7" t="s">
        <v>403</v>
      </c>
      <c r="G193" s="7"/>
      <c r="H193" s="7"/>
      <c r="I193" s="11">
        <v>2</v>
      </c>
      <c r="J193" s="11">
        <v>3</v>
      </c>
      <c r="K193" s="11">
        <v>0</v>
      </c>
      <c r="L193" s="11">
        <v>0</v>
      </c>
      <c r="M193" s="11">
        <v>0.16</v>
      </c>
      <c r="N193" s="11">
        <v>0</v>
      </c>
      <c r="O193" s="11">
        <v>2.19</v>
      </c>
      <c r="P193" s="11">
        <v>0</v>
      </c>
      <c r="Q193" s="11">
        <v>2.350000000000001</v>
      </c>
      <c r="R193" s="11">
        <v>0</v>
      </c>
      <c r="S193" s="11">
        <v>2.350000000000001</v>
      </c>
      <c r="T193" s="11">
        <v>2</v>
      </c>
      <c r="U193" s="11">
        <v>0.3500000000000005</v>
      </c>
      <c r="V193" s="11">
        <v>0</v>
      </c>
      <c r="W193" s="13">
        <v>2</v>
      </c>
      <c r="X193" s="13">
        <v>3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454</v>
      </c>
      <c r="C194" s="10" t="s">
        <v>455</v>
      </c>
      <c r="D194" s="7" t="s">
        <v>380</v>
      </c>
      <c r="E194" s="7" t="s">
        <v>335</v>
      </c>
      <c r="F194" s="7" t="s">
        <v>415</v>
      </c>
      <c r="G194" s="7"/>
      <c r="H194" s="7" t="s">
        <v>48</v>
      </c>
      <c r="I194" s="11">
        <v>2</v>
      </c>
      <c r="J194" s="11">
        <v>0</v>
      </c>
      <c r="K194" s="11">
        <v>0</v>
      </c>
      <c r="L194" s="11">
        <v>2.379999999999999</v>
      </c>
      <c r="M194" s="11">
        <v>0</v>
      </c>
      <c r="N194" s="11">
        <v>0</v>
      </c>
      <c r="O194" s="11">
        <v>0</v>
      </c>
      <c r="P194" s="11">
        <v>0</v>
      </c>
      <c r="Q194" s="11">
        <v>2.379999999999999</v>
      </c>
      <c r="R194" s="11">
        <v>0</v>
      </c>
      <c r="S194" s="11">
        <v>2.379999999999999</v>
      </c>
      <c r="T194" s="11">
        <v>2</v>
      </c>
      <c r="U194" s="11">
        <v>0</v>
      </c>
      <c r="V194" s="11">
        <v>0.3799999999999994</v>
      </c>
      <c r="W194" s="13">
        <v>2</v>
      </c>
      <c r="X194" s="13">
        <v>0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456</v>
      </c>
      <c r="C195" s="10" t="s">
        <v>457</v>
      </c>
      <c r="D195" s="7" t="s">
        <v>40</v>
      </c>
      <c r="E195" s="7" t="s">
        <v>268</v>
      </c>
      <c r="F195" s="7" t="s">
        <v>406</v>
      </c>
      <c r="G195" s="7"/>
      <c r="H195" s="7" t="s">
        <v>48</v>
      </c>
      <c r="I195" s="11">
        <v>2</v>
      </c>
      <c r="J195" s="11">
        <v>3</v>
      </c>
      <c r="K195" s="11">
        <v>0</v>
      </c>
      <c r="L195" s="11">
        <v>2.93</v>
      </c>
      <c r="M195" s="11">
        <v>0</v>
      </c>
      <c r="N195" s="11">
        <v>0</v>
      </c>
      <c r="O195" s="11">
        <v>0</v>
      </c>
      <c r="P195" s="11">
        <v>0</v>
      </c>
      <c r="Q195" s="11">
        <v>2.93</v>
      </c>
      <c r="R195" s="11">
        <v>0</v>
      </c>
      <c r="S195" s="11">
        <v>2.93</v>
      </c>
      <c r="T195" s="11">
        <v>2</v>
      </c>
      <c r="U195" s="11">
        <v>0.9300000000000002</v>
      </c>
      <c r="V195" s="11">
        <v>0</v>
      </c>
      <c r="W195" s="13">
        <v>2</v>
      </c>
      <c r="X195" s="13">
        <v>3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458</v>
      </c>
      <c r="C196" s="10" t="s">
        <v>459</v>
      </c>
      <c r="D196" s="7" t="s">
        <v>118</v>
      </c>
      <c r="E196" s="7" t="s">
        <v>268</v>
      </c>
      <c r="F196" s="7" t="s">
        <v>403</v>
      </c>
      <c r="G196" s="7"/>
      <c r="H196" s="7"/>
      <c r="I196" s="11">
        <v>2</v>
      </c>
      <c r="J196" s="11">
        <v>3</v>
      </c>
      <c r="K196" s="11">
        <v>0</v>
      </c>
      <c r="L196" s="11">
        <v>0</v>
      </c>
      <c r="M196" s="11">
        <v>0.08</v>
      </c>
      <c r="N196" s="11">
        <v>0</v>
      </c>
      <c r="O196" s="11">
        <v>0</v>
      </c>
      <c r="P196" s="11">
        <v>0</v>
      </c>
      <c r="Q196" s="11">
        <v>0.08</v>
      </c>
      <c r="R196" s="11">
        <v>0</v>
      </c>
      <c r="S196" s="11">
        <v>0.08</v>
      </c>
      <c r="T196" s="11">
        <v>0.08</v>
      </c>
      <c r="U196" s="11">
        <v>0</v>
      </c>
      <c r="V196" s="11">
        <v>0</v>
      </c>
      <c r="W196" s="13">
        <v>2</v>
      </c>
      <c r="X196" s="13">
        <v>3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460</v>
      </c>
      <c r="C197" s="10" t="s">
        <v>461</v>
      </c>
      <c r="D197" s="7" t="s">
        <v>298</v>
      </c>
      <c r="E197" s="7" t="s">
        <v>232</v>
      </c>
      <c r="F197" s="7" t="s">
        <v>415</v>
      </c>
      <c r="G197" s="7"/>
      <c r="H197" s="7" t="s">
        <v>48</v>
      </c>
      <c r="I197" s="11">
        <v>2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3">
        <v>2</v>
      </c>
      <c r="X197" s="13">
        <v>0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462</v>
      </c>
      <c r="C198" s="10" t="s">
        <v>463</v>
      </c>
      <c r="D198" s="7" t="s">
        <v>90</v>
      </c>
      <c r="E198" s="7" t="s">
        <v>268</v>
      </c>
      <c r="F198" s="7" t="s">
        <v>403</v>
      </c>
      <c r="G198" s="7"/>
      <c r="H198" s="7"/>
      <c r="I198" s="11">
        <v>2</v>
      </c>
      <c r="J198" s="11">
        <v>3</v>
      </c>
      <c r="K198" s="11">
        <v>0</v>
      </c>
      <c r="L198" s="11">
        <v>0</v>
      </c>
      <c r="M198" s="11">
        <v>0.08</v>
      </c>
      <c r="N198" s="11">
        <v>0</v>
      </c>
      <c r="O198" s="11">
        <v>0.28</v>
      </c>
      <c r="P198" s="11">
        <v>0</v>
      </c>
      <c r="Q198" s="11">
        <v>0.36</v>
      </c>
      <c r="R198" s="11">
        <v>0</v>
      </c>
      <c r="S198" s="11">
        <v>0.36</v>
      </c>
      <c r="T198" s="11">
        <v>0.36</v>
      </c>
      <c r="U198" s="11">
        <v>0</v>
      </c>
      <c r="V198" s="11">
        <v>0</v>
      </c>
      <c r="W198" s="13">
        <v>2</v>
      </c>
      <c r="X198" s="13">
        <v>3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464</v>
      </c>
      <c r="C199" s="10" t="s">
        <v>465</v>
      </c>
      <c r="D199" s="7" t="s">
        <v>131</v>
      </c>
      <c r="E199" s="7" t="s">
        <v>268</v>
      </c>
      <c r="F199" s="7" t="s">
        <v>403</v>
      </c>
      <c r="G199" s="7"/>
      <c r="H199" s="7"/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2</v>
      </c>
      <c r="X199" s="13">
        <v>3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466</v>
      </c>
      <c r="C200" s="10" t="s">
        <v>467</v>
      </c>
      <c r="D200" s="7" t="s">
        <v>298</v>
      </c>
      <c r="E200" s="7" t="s">
        <v>268</v>
      </c>
      <c r="F200" s="7" t="s">
        <v>403</v>
      </c>
      <c r="G200" s="7"/>
      <c r="H200" s="7"/>
      <c r="I200" s="11">
        <v>2</v>
      </c>
      <c r="J200" s="11">
        <v>3</v>
      </c>
      <c r="K200" s="11">
        <v>0</v>
      </c>
      <c r="L200" s="11">
        <v>0.45</v>
      </c>
      <c r="M200" s="11">
        <v>0.08</v>
      </c>
      <c r="N200" s="11">
        <v>0</v>
      </c>
      <c r="O200" s="11">
        <v>0.06</v>
      </c>
      <c r="P200" s="11">
        <v>0</v>
      </c>
      <c r="Q200" s="11">
        <v>0.5900000000000001</v>
      </c>
      <c r="R200" s="11">
        <v>0</v>
      </c>
      <c r="S200" s="11">
        <v>0.5900000000000001</v>
      </c>
      <c r="T200" s="11">
        <v>0.5900000000000001</v>
      </c>
      <c r="U200" s="11">
        <v>0</v>
      </c>
      <c r="V200" s="11">
        <v>0</v>
      </c>
      <c r="W200" s="13">
        <v>2</v>
      </c>
      <c r="X200" s="13">
        <v>3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468</v>
      </c>
      <c r="C201" s="10" t="s">
        <v>469</v>
      </c>
      <c r="D201" s="7" t="s">
        <v>118</v>
      </c>
      <c r="E201" s="7" t="s">
        <v>268</v>
      </c>
      <c r="F201" s="7" t="s">
        <v>406</v>
      </c>
      <c r="G201" s="7"/>
      <c r="H201" s="7" t="s">
        <v>72</v>
      </c>
      <c r="I201" s="11">
        <v>2</v>
      </c>
      <c r="J201" s="11">
        <v>3</v>
      </c>
      <c r="K201" s="11">
        <v>0.95</v>
      </c>
      <c r="L201" s="11">
        <v>6.739999999999999</v>
      </c>
      <c r="M201" s="11">
        <v>0.16</v>
      </c>
      <c r="N201" s="11">
        <v>0</v>
      </c>
      <c r="O201" s="11">
        <v>0</v>
      </c>
      <c r="P201" s="11">
        <v>0</v>
      </c>
      <c r="Q201" s="11">
        <v>7.85</v>
      </c>
      <c r="R201" s="11">
        <v>0</v>
      </c>
      <c r="S201" s="11">
        <v>7.85</v>
      </c>
      <c r="T201" s="11">
        <v>2</v>
      </c>
      <c r="U201" s="11">
        <v>3</v>
      </c>
      <c r="V201" s="11">
        <v>2.85</v>
      </c>
      <c r="W201" s="13">
        <v>2</v>
      </c>
      <c r="X201" s="13">
        <v>3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470</v>
      </c>
      <c r="C202" s="10" t="s">
        <v>471</v>
      </c>
      <c r="D202" s="7" t="s">
        <v>68</v>
      </c>
      <c r="E202" s="7" t="s">
        <v>268</v>
      </c>
      <c r="F202" s="7" t="s">
        <v>403</v>
      </c>
      <c r="G202" s="7"/>
      <c r="H202" s="7"/>
      <c r="I202" s="11">
        <v>2</v>
      </c>
      <c r="J202" s="11">
        <v>3</v>
      </c>
      <c r="K202" s="11">
        <v>0</v>
      </c>
      <c r="L202" s="11">
        <v>1.04</v>
      </c>
      <c r="M202" s="11">
        <v>0</v>
      </c>
      <c r="N202" s="11">
        <v>0</v>
      </c>
      <c r="O202" s="11">
        <v>0</v>
      </c>
      <c r="P202" s="11">
        <v>0</v>
      </c>
      <c r="Q202" s="11">
        <v>1.04</v>
      </c>
      <c r="R202" s="11">
        <v>0</v>
      </c>
      <c r="S202" s="11">
        <v>1.04</v>
      </c>
      <c r="T202" s="11">
        <v>1.04</v>
      </c>
      <c r="U202" s="11">
        <v>0</v>
      </c>
      <c r="V202" s="11">
        <v>0</v>
      </c>
      <c r="W202" s="13">
        <v>2</v>
      </c>
      <c r="X202" s="13">
        <v>3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472</v>
      </c>
      <c r="C203" s="10" t="s">
        <v>473</v>
      </c>
      <c r="D203" s="7" t="s">
        <v>271</v>
      </c>
      <c r="E203" s="7" t="s">
        <v>268</v>
      </c>
      <c r="F203" s="7" t="s">
        <v>415</v>
      </c>
      <c r="G203" s="7"/>
      <c r="H203" s="7" t="s">
        <v>48</v>
      </c>
      <c r="I203" s="11">
        <v>2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3">
        <v>2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474</v>
      </c>
      <c r="C204" s="10" t="s">
        <v>475</v>
      </c>
      <c r="D204" s="7" t="s">
        <v>68</v>
      </c>
      <c r="E204" s="7" t="s">
        <v>268</v>
      </c>
      <c r="F204" s="7" t="s">
        <v>403</v>
      </c>
      <c r="G204" s="7"/>
      <c r="H204" s="7"/>
      <c r="I204" s="11">
        <v>2</v>
      </c>
      <c r="J204" s="11">
        <v>3</v>
      </c>
      <c r="K204" s="11">
        <v>0</v>
      </c>
      <c r="L204" s="11">
        <v>2.100000000000001</v>
      </c>
      <c r="M204" s="11">
        <v>0</v>
      </c>
      <c r="N204" s="11">
        <v>0</v>
      </c>
      <c r="O204" s="11">
        <v>0</v>
      </c>
      <c r="P204" s="11">
        <v>0</v>
      </c>
      <c r="Q204" s="11">
        <v>2.100000000000001</v>
      </c>
      <c r="R204" s="11">
        <v>0</v>
      </c>
      <c r="S204" s="11">
        <v>2.100000000000001</v>
      </c>
      <c r="T204" s="11">
        <v>2</v>
      </c>
      <c r="U204" s="11">
        <v>0.100000000000001</v>
      </c>
      <c r="V204" s="11">
        <v>0</v>
      </c>
      <c r="W204" s="13">
        <v>2</v>
      </c>
      <c r="X204" s="13">
        <v>3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476</v>
      </c>
      <c r="C205" s="10" t="s">
        <v>477</v>
      </c>
      <c r="D205" s="7" t="s">
        <v>60</v>
      </c>
      <c r="E205" s="7" t="s">
        <v>268</v>
      </c>
      <c r="F205" s="7" t="s">
        <v>406</v>
      </c>
      <c r="G205" s="7"/>
      <c r="H205" s="7" t="s">
        <v>48</v>
      </c>
      <c r="I205" s="11">
        <v>2</v>
      </c>
      <c r="J205" s="11">
        <v>3</v>
      </c>
      <c r="K205" s="11">
        <v>0</v>
      </c>
      <c r="L205" s="11">
        <v>1.54</v>
      </c>
      <c r="M205" s="11">
        <v>0.24</v>
      </c>
      <c r="N205" s="11">
        <v>0</v>
      </c>
      <c r="O205" s="11">
        <v>0</v>
      </c>
      <c r="P205" s="11">
        <v>0</v>
      </c>
      <c r="Q205" s="11">
        <v>1.78</v>
      </c>
      <c r="R205" s="11">
        <v>0</v>
      </c>
      <c r="S205" s="11">
        <v>1.78</v>
      </c>
      <c r="T205" s="11">
        <v>1.78</v>
      </c>
      <c r="U205" s="11">
        <v>0</v>
      </c>
      <c r="V205" s="11">
        <v>0</v>
      </c>
      <c r="W205" s="13">
        <v>2</v>
      </c>
      <c r="X205" s="13">
        <v>3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478</v>
      </c>
      <c r="C206" s="10" t="s">
        <v>479</v>
      </c>
      <c r="D206" s="7" t="s">
        <v>380</v>
      </c>
      <c r="E206" s="7" t="s">
        <v>268</v>
      </c>
      <c r="F206" s="7" t="s">
        <v>415</v>
      </c>
      <c r="G206" s="7"/>
      <c r="H206" s="7" t="s">
        <v>48</v>
      </c>
      <c r="I206" s="11">
        <v>2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3">
        <v>2</v>
      </c>
      <c r="X206" s="13">
        <v>0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480</v>
      </c>
      <c r="C207" s="10" t="s">
        <v>481</v>
      </c>
      <c r="D207" s="7" t="s">
        <v>40</v>
      </c>
      <c r="E207" s="7" t="s">
        <v>268</v>
      </c>
      <c r="F207" s="7" t="s">
        <v>403</v>
      </c>
      <c r="G207" s="7"/>
      <c r="H207" s="7"/>
      <c r="I207" s="11">
        <v>2</v>
      </c>
      <c r="J207" s="11">
        <v>3</v>
      </c>
      <c r="K207" s="11">
        <v>0</v>
      </c>
      <c r="L207" s="11">
        <v>0.29</v>
      </c>
      <c r="M207" s="11">
        <v>0.08</v>
      </c>
      <c r="N207" s="11">
        <v>0</v>
      </c>
      <c r="O207" s="11">
        <v>0</v>
      </c>
      <c r="P207" s="11">
        <v>0</v>
      </c>
      <c r="Q207" s="11">
        <v>0.37</v>
      </c>
      <c r="R207" s="11">
        <v>0</v>
      </c>
      <c r="S207" s="11">
        <v>0.37</v>
      </c>
      <c r="T207" s="11">
        <v>0.37</v>
      </c>
      <c r="U207" s="11">
        <v>0</v>
      </c>
      <c r="V207" s="11">
        <v>0</v>
      </c>
      <c r="W207" s="13">
        <v>2</v>
      </c>
      <c r="X207" s="13">
        <v>3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08" spans="1:676">
      <c r="A208" s="7">
        <v>198</v>
      </c>
      <c r="B208" s="7" t="s">
        <v>482</v>
      </c>
      <c r="C208" s="10" t="s">
        <v>483</v>
      </c>
      <c r="D208" s="7" t="s">
        <v>118</v>
      </c>
      <c r="E208" s="7" t="s">
        <v>268</v>
      </c>
      <c r="F208" s="7" t="s">
        <v>403</v>
      </c>
      <c r="G208" s="7"/>
      <c r="H208" s="7"/>
      <c r="I208" s="11">
        <v>2</v>
      </c>
      <c r="J208" s="11">
        <v>3</v>
      </c>
      <c r="K208" s="11">
        <v>0</v>
      </c>
      <c r="L208" s="11">
        <v>0.18</v>
      </c>
      <c r="M208" s="11">
        <v>0.24</v>
      </c>
      <c r="N208" s="11">
        <v>0</v>
      </c>
      <c r="O208" s="11">
        <v>0</v>
      </c>
      <c r="P208" s="11">
        <v>0</v>
      </c>
      <c r="Q208" s="11">
        <v>0.42</v>
      </c>
      <c r="R208" s="11">
        <v>0</v>
      </c>
      <c r="S208" s="11">
        <v>0.42</v>
      </c>
      <c r="T208" s="11">
        <v>0.42</v>
      </c>
      <c r="U208" s="11">
        <v>0</v>
      </c>
      <c r="V208" s="11">
        <v>0</v>
      </c>
      <c r="W208" s="13">
        <v>2</v>
      </c>
      <c r="X208" s="13">
        <v>3</v>
      </c>
      <c r="Y208" s="13" t="str">
        <f>MIN(W208,S208)</f>
        <v>0</v>
      </c>
      <c r="Z208" s="13" t="str">
        <f>MIN(X208,(S208-Y208))</f>
        <v>0</v>
      </c>
      <c r="AA208" s="13" t="str">
        <f>S208-SUM(Y208,Z208)</f>
        <v>0</v>
      </c>
      <c r="AB208" s="15"/>
      <c r="AC208" s="15"/>
      <c r="AD208" s="1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/>
      <c r="MY208" s="5"/>
      <c r="MZ208" s="5"/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5"/>
      <c r="OI208" s="5"/>
      <c r="OJ208" s="5"/>
      <c r="OK208" s="5"/>
      <c r="OL208" s="5"/>
      <c r="OM208" s="5"/>
      <c r="ON208" s="5"/>
      <c r="OO208" s="5"/>
      <c r="OP208" s="5"/>
      <c r="OQ208" s="5"/>
      <c r="OR208" s="5"/>
      <c r="OS208" s="5"/>
      <c r="OT208" s="5"/>
      <c r="OU208" s="5"/>
      <c r="OV208" s="5"/>
      <c r="OW208" s="5"/>
      <c r="OX208" s="5"/>
      <c r="OY208" s="5"/>
      <c r="OZ208" s="5"/>
      <c r="PA208" s="5"/>
      <c r="PB208" s="5"/>
      <c r="PC208" s="5"/>
      <c r="PD208" s="5"/>
      <c r="PE208" s="5"/>
      <c r="PF208" s="5"/>
      <c r="PG208" s="5"/>
      <c r="PH208" s="5"/>
      <c r="PI208" s="5"/>
      <c r="PJ208" s="5"/>
      <c r="PK208" s="5"/>
      <c r="PL208" s="5"/>
      <c r="PM208" s="5"/>
      <c r="PN208" s="5"/>
      <c r="PO208" s="5"/>
      <c r="PP208" s="5"/>
      <c r="PQ208" s="5"/>
      <c r="PR208" s="5"/>
      <c r="PS208" s="5"/>
      <c r="PT208" s="5"/>
      <c r="PU208" s="5"/>
      <c r="PV208" s="5"/>
      <c r="PW208" s="5"/>
      <c r="PX208" s="5"/>
      <c r="PY208" s="5"/>
      <c r="PZ208" s="5"/>
      <c r="QA208" s="5"/>
      <c r="QB208" s="5"/>
      <c r="QC208" s="5"/>
      <c r="QD208" s="5"/>
      <c r="QE208" s="5"/>
      <c r="QF208" s="5"/>
      <c r="QG208" s="5"/>
      <c r="QH208" s="5"/>
      <c r="QI208" s="5"/>
      <c r="QJ208" s="5"/>
      <c r="QK208" s="5"/>
      <c r="QL208" s="5"/>
      <c r="QM208" s="5"/>
      <c r="QN208" s="5"/>
      <c r="QO208" s="5"/>
      <c r="QP208" s="5"/>
      <c r="QQ208" s="5"/>
      <c r="QR208" s="5"/>
      <c r="QS208" s="5"/>
      <c r="QT208" s="5"/>
      <c r="QU208" s="5"/>
      <c r="QV208" s="5"/>
      <c r="QW208" s="5"/>
      <c r="QX208" s="5"/>
      <c r="QY208" s="5"/>
      <c r="QZ208" s="5"/>
      <c r="RA208" s="5"/>
      <c r="RB208" s="5"/>
      <c r="RC208" s="5"/>
      <c r="RD208" s="5"/>
      <c r="RE208" s="5"/>
      <c r="RF208" s="5"/>
      <c r="RG208" s="5"/>
      <c r="RH208" s="5"/>
      <c r="RI208" s="5"/>
      <c r="RJ208" s="5"/>
      <c r="RK208" s="5"/>
      <c r="RL208" s="5"/>
      <c r="RM208" s="5"/>
      <c r="RN208" s="5"/>
      <c r="RO208" s="5"/>
      <c r="RP208" s="5"/>
      <c r="RQ208" s="5"/>
      <c r="RR208" s="5"/>
      <c r="RS208" s="5"/>
      <c r="RT208" s="5"/>
      <c r="RU208" s="5"/>
      <c r="RV208" s="5"/>
      <c r="RW208" s="5"/>
      <c r="RX208" s="5"/>
      <c r="RY208" s="5"/>
      <c r="RZ208" s="5"/>
      <c r="SA208" s="5"/>
      <c r="SB208" s="5"/>
      <c r="SC208" s="5"/>
      <c r="SD208" s="5"/>
      <c r="SE208" s="5"/>
      <c r="SF208" s="5"/>
      <c r="SG208" s="5"/>
      <c r="SH208" s="5"/>
      <c r="SI208" s="5"/>
      <c r="SJ208" s="5"/>
      <c r="SK208" s="5"/>
      <c r="SL208" s="5"/>
      <c r="SM208" s="5"/>
      <c r="SN208" s="5"/>
      <c r="SO208" s="5"/>
      <c r="SP208" s="5"/>
      <c r="SQ208" s="5"/>
      <c r="SR208" s="5"/>
      <c r="SS208" s="5"/>
      <c r="ST208" s="5"/>
      <c r="SU208" s="5"/>
      <c r="SV208" s="5"/>
      <c r="SW208" s="5"/>
      <c r="SX208" s="5"/>
      <c r="SY208" s="5"/>
      <c r="SZ208" s="5"/>
      <c r="TA208" s="5"/>
      <c r="TB208" s="5"/>
      <c r="TC208" s="5"/>
      <c r="TD208" s="5"/>
      <c r="TE208" s="5"/>
      <c r="TF208" s="5"/>
      <c r="TG208" s="5"/>
      <c r="TH208" s="5"/>
      <c r="TI208" s="5"/>
      <c r="TJ208" s="5"/>
      <c r="TK208" s="5"/>
      <c r="TL208" s="5"/>
      <c r="TM208" s="5"/>
      <c r="TN208" s="5"/>
      <c r="TO208" s="5"/>
      <c r="TP208" s="5"/>
      <c r="TQ208" s="5"/>
      <c r="TR208" s="5"/>
      <c r="TS208" s="5"/>
      <c r="TT208" s="5"/>
      <c r="TU208" s="5"/>
      <c r="TV208" s="5"/>
      <c r="TW208" s="5"/>
      <c r="TX208" s="5"/>
      <c r="TY208" s="5"/>
      <c r="TZ208" s="5"/>
      <c r="UA208" s="5"/>
      <c r="UB208" s="5"/>
      <c r="UC208" s="5"/>
      <c r="UD208" s="5"/>
      <c r="UE208" s="5"/>
      <c r="UF208" s="5"/>
      <c r="UG208" s="5"/>
      <c r="UH208" s="5"/>
      <c r="UI208" s="5"/>
      <c r="UJ208" s="5"/>
      <c r="UK208" s="5"/>
      <c r="UL208" s="5"/>
      <c r="UM208" s="5"/>
      <c r="UN208" s="5"/>
      <c r="UO208" s="5"/>
      <c r="UP208" s="5"/>
      <c r="UQ208" s="5"/>
      <c r="UR208" s="5"/>
      <c r="US208" s="5"/>
      <c r="UT208" s="5"/>
      <c r="UU208" s="5"/>
      <c r="UV208" s="5"/>
      <c r="UW208" s="5"/>
      <c r="UX208" s="5"/>
      <c r="UY208" s="5"/>
      <c r="UZ208" s="5"/>
      <c r="VA208" s="5"/>
      <c r="VB208" s="5"/>
      <c r="VC208" s="5"/>
      <c r="VD208" s="5"/>
      <c r="VE208" s="5"/>
      <c r="VF208" s="5"/>
      <c r="VG208" s="5"/>
      <c r="VH208" s="5"/>
      <c r="VI208" s="5"/>
      <c r="VJ208" s="5"/>
      <c r="VK208" s="5"/>
      <c r="VL208" s="5"/>
      <c r="VM208" s="5"/>
      <c r="VN208" s="5"/>
      <c r="VO208" s="5"/>
      <c r="VP208" s="5"/>
      <c r="VQ208" s="5"/>
      <c r="VR208" s="5"/>
      <c r="VS208" s="5"/>
      <c r="VT208" s="5"/>
      <c r="VU208" s="5"/>
      <c r="VV208" s="5"/>
      <c r="VW208" s="5"/>
      <c r="VX208" s="5"/>
      <c r="VY208" s="5"/>
      <c r="VZ208" s="5"/>
      <c r="WA208" s="5"/>
      <c r="WB208" s="5"/>
      <c r="WC208" s="5"/>
      <c r="WD208" s="5"/>
      <c r="WE208" s="5"/>
      <c r="WF208" s="5"/>
      <c r="WG208" s="5"/>
      <c r="WH208" s="5"/>
      <c r="WI208" s="5"/>
      <c r="WJ208" s="5"/>
      <c r="WK208" s="5"/>
      <c r="WL208" s="5"/>
      <c r="WM208" s="5"/>
      <c r="WN208" s="5"/>
      <c r="WO208" s="5"/>
      <c r="WP208" s="5"/>
      <c r="WQ208" s="5"/>
      <c r="WR208" s="5"/>
      <c r="WS208" s="5"/>
      <c r="WT208" s="5"/>
      <c r="WU208" s="5"/>
      <c r="WV208" s="5"/>
      <c r="WW208" s="5"/>
      <c r="WX208" s="5"/>
      <c r="WY208" s="5"/>
      <c r="WZ208" s="5"/>
      <c r="XA208" s="5"/>
      <c r="XB208" s="5"/>
      <c r="XC208" s="5"/>
      <c r="XD208" s="5"/>
      <c r="XE208" s="5"/>
      <c r="XF208" s="5"/>
      <c r="XG208" s="5"/>
      <c r="XH208" s="5"/>
      <c r="XI208" s="5"/>
      <c r="XJ208" s="5"/>
      <c r="XK208" s="5"/>
      <c r="XL208" s="5"/>
      <c r="XM208" s="5"/>
      <c r="XN208" s="5"/>
      <c r="XO208" s="5"/>
      <c r="XP208" s="5"/>
      <c r="XQ208" s="5"/>
      <c r="XR208" s="5"/>
      <c r="XS208" s="5"/>
      <c r="XT208" s="5"/>
      <c r="XU208" s="5"/>
      <c r="XV208" s="5"/>
      <c r="XW208" s="5"/>
      <c r="XX208" s="5"/>
      <c r="XY208" s="5"/>
      <c r="XZ208" s="5"/>
      <c r="YA208" s="5"/>
      <c r="YB208" s="5"/>
      <c r="YC208" s="5"/>
      <c r="YD208" s="5"/>
      <c r="YE208" s="5"/>
      <c r="YF208" s="5"/>
      <c r="YG208" s="5"/>
      <c r="YH208" s="5"/>
      <c r="YI208" s="5"/>
      <c r="YJ208" s="5"/>
      <c r="YK208" s="5"/>
      <c r="YL208" s="5"/>
      <c r="YM208" s="5"/>
      <c r="YN208" s="5"/>
      <c r="YO208" s="5"/>
      <c r="YP208" s="5"/>
      <c r="YQ208" s="5"/>
      <c r="YR208" s="5"/>
      <c r="YS208" s="5"/>
      <c r="YT208" s="5"/>
      <c r="YU208" s="5"/>
      <c r="YV208" s="5"/>
      <c r="YW208" s="5"/>
      <c r="YX208" s="5"/>
      <c r="YY208" s="5"/>
      <c r="YZ208" s="5"/>
    </row>
    <row r="209" spans="1:676">
      <c r="A209" s="7">
        <v>199</v>
      </c>
      <c r="B209" s="7" t="s">
        <v>484</v>
      </c>
      <c r="C209" s="10" t="s">
        <v>485</v>
      </c>
      <c r="D209" s="7" t="s">
        <v>298</v>
      </c>
      <c r="E209" s="7" t="s">
        <v>268</v>
      </c>
      <c r="F209" s="7" t="s">
        <v>415</v>
      </c>
      <c r="G209" s="7"/>
      <c r="H209" s="7" t="s">
        <v>48</v>
      </c>
      <c r="I209" s="11">
        <v>2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3">
        <v>2</v>
      </c>
      <c r="X209" s="13">
        <v>0</v>
      </c>
      <c r="Y209" s="13" t="str">
        <f>MIN(W209,S209)</f>
        <v>0</v>
      </c>
      <c r="Z209" s="13" t="str">
        <f>MIN(X209,(S209-Y209))</f>
        <v>0</v>
      </c>
      <c r="AA209" s="13" t="str">
        <f>S209-SUM(Y209,Z209)</f>
        <v>0</v>
      </c>
      <c r="AB209" s="15"/>
      <c r="AC209" s="15"/>
      <c r="AD209" s="1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/>
      <c r="MY209" s="5"/>
      <c r="MZ209" s="5"/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5"/>
      <c r="OI209" s="5"/>
      <c r="OJ209" s="5"/>
      <c r="OK209" s="5"/>
      <c r="OL209" s="5"/>
      <c r="OM209" s="5"/>
      <c r="ON209" s="5"/>
      <c r="OO209" s="5"/>
      <c r="OP209" s="5"/>
      <c r="OQ209" s="5"/>
      <c r="OR209" s="5"/>
      <c r="OS209" s="5"/>
      <c r="OT209" s="5"/>
      <c r="OU209" s="5"/>
      <c r="OV209" s="5"/>
      <c r="OW209" s="5"/>
      <c r="OX209" s="5"/>
      <c r="OY209" s="5"/>
      <c r="OZ209" s="5"/>
      <c r="PA209" s="5"/>
      <c r="PB209" s="5"/>
      <c r="PC209" s="5"/>
      <c r="PD209" s="5"/>
      <c r="PE209" s="5"/>
      <c r="PF209" s="5"/>
      <c r="PG209" s="5"/>
      <c r="PH209" s="5"/>
      <c r="PI209" s="5"/>
      <c r="PJ209" s="5"/>
      <c r="PK209" s="5"/>
      <c r="PL209" s="5"/>
      <c r="PM209" s="5"/>
      <c r="PN209" s="5"/>
      <c r="PO209" s="5"/>
      <c r="PP209" s="5"/>
      <c r="PQ209" s="5"/>
      <c r="PR209" s="5"/>
      <c r="PS209" s="5"/>
      <c r="PT209" s="5"/>
      <c r="PU209" s="5"/>
      <c r="PV209" s="5"/>
      <c r="PW209" s="5"/>
      <c r="PX209" s="5"/>
      <c r="PY209" s="5"/>
      <c r="PZ209" s="5"/>
      <c r="QA209" s="5"/>
      <c r="QB209" s="5"/>
      <c r="QC209" s="5"/>
      <c r="QD209" s="5"/>
      <c r="QE209" s="5"/>
      <c r="QF209" s="5"/>
      <c r="QG209" s="5"/>
      <c r="QH209" s="5"/>
      <c r="QI209" s="5"/>
      <c r="QJ209" s="5"/>
      <c r="QK209" s="5"/>
      <c r="QL209" s="5"/>
      <c r="QM209" s="5"/>
      <c r="QN209" s="5"/>
      <c r="QO209" s="5"/>
      <c r="QP209" s="5"/>
      <c r="QQ209" s="5"/>
      <c r="QR209" s="5"/>
      <c r="QS209" s="5"/>
      <c r="QT209" s="5"/>
      <c r="QU209" s="5"/>
      <c r="QV209" s="5"/>
      <c r="QW209" s="5"/>
      <c r="QX209" s="5"/>
      <c r="QY209" s="5"/>
      <c r="QZ209" s="5"/>
      <c r="RA209" s="5"/>
      <c r="RB209" s="5"/>
      <c r="RC209" s="5"/>
      <c r="RD209" s="5"/>
      <c r="RE209" s="5"/>
      <c r="RF209" s="5"/>
      <c r="RG209" s="5"/>
      <c r="RH209" s="5"/>
      <c r="RI209" s="5"/>
      <c r="RJ209" s="5"/>
      <c r="RK209" s="5"/>
      <c r="RL209" s="5"/>
      <c r="RM209" s="5"/>
      <c r="RN209" s="5"/>
      <c r="RO209" s="5"/>
      <c r="RP209" s="5"/>
      <c r="RQ209" s="5"/>
      <c r="RR209" s="5"/>
      <c r="RS209" s="5"/>
      <c r="RT209" s="5"/>
      <c r="RU209" s="5"/>
      <c r="RV209" s="5"/>
      <c r="RW209" s="5"/>
      <c r="RX209" s="5"/>
      <c r="RY209" s="5"/>
      <c r="RZ209" s="5"/>
      <c r="SA209" s="5"/>
      <c r="SB209" s="5"/>
      <c r="SC209" s="5"/>
      <c r="SD209" s="5"/>
      <c r="SE209" s="5"/>
      <c r="SF209" s="5"/>
      <c r="SG209" s="5"/>
      <c r="SH209" s="5"/>
      <c r="SI209" s="5"/>
      <c r="SJ209" s="5"/>
      <c r="SK209" s="5"/>
      <c r="SL209" s="5"/>
      <c r="SM209" s="5"/>
      <c r="SN209" s="5"/>
      <c r="SO209" s="5"/>
      <c r="SP209" s="5"/>
      <c r="SQ209" s="5"/>
      <c r="SR209" s="5"/>
      <c r="SS209" s="5"/>
      <c r="ST209" s="5"/>
      <c r="SU209" s="5"/>
      <c r="SV209" s="5"/>
      <c r="SW209" s="5"/>
      <c r="SX209" s="5"/>
      <c r="SY209" s="5"/>
      <c r="SZ209" s="5"/>
      <c r="TA209" s="5"/>
      <c r="TB209" s="5"/>
      <c r="TC209" s="5"/>
      <c r="TD209" s="5"/>
      <c r="TE209" s="5"/>
      <c r="TF209" s="5"/>
      <c r="TG209" s="5"/>
      <c r="TH209" s="5"/>
      <c r="TI209" s="5"/>
      <c r="TJ209" s="5"/>
      <c r="TK209" s="5"/>
      <c r="TL209" s="5"/>
      <c r="TM209" s="5"/>
      <c r="TN209" s="5"/>
      <c r="TO209" s="5"/>
      <c r="TP209" s="5"/>
      <c r="TQ209" s="5"/>
      <c r="TR209" s="5"/>
      <c r="TS209" s="5"/>
      <c r="TT209" s="5"/>
      <c r="TU209" s="5"/>
      <c r="TV209" s="5"/>
      <c r="TW209" s="5"/>
      <c r="TX209" s="5"/>
      <c r="TY209" s="5"/>
      <c r="TZ209" s="5"/>
      <c r="UA209" s="5"/>
      <c r="UB209" s="5"/>
      <c r="UC209" s="5"/>
      <c r="UD209" s="5"/>
      <c r="UE209" s="5"/>
      <c r="UF209" s="5"/>
      <c r="UG209" s="5"/>
      <c r="UH209" s="5"/>
      <c r="UI209" s="5"/>
      <c r="UJ209" s="5"/>
      <c r="UK209" s="5"/>
      <c r="UL209" s="5"/>
      <c r="UM209" s="5"/>
      <c r="UN209" s="5"/>
      <c r="UO209" s="5"/>
      <c r="UP209" s="5"/>
      <c r="UQ209" s="5"/>
      <c r="UR209" s="5"/>
      <c r="US209" s="5"/>
      <c r="UT209" s="5"/>
      <c r="UU209" s="5"/>
      <c r="UV209" s="5"/>
      <c r="UW209" s="5"/>
      <c r="UX209" s="5"/>
      <c r="UY209" s="5"/>
      <c r="UZ209" s="5"/>
      <c r="VA209" s="5"/>
      <c r="VB209" s="5"/>
      <c r="VC209" s="5"/>
      <c r="VD209" s="5"/>
      <c r="VE209" s="5"/>
      <c r="VF209" s="5"/>
      <c r="VG209" s="5"/>
      <c r="VH209" s="5"/>
      <c r="VI209" s="5"/>
      <c r="VJ209" s="5"/>
      <c r="VK209" s="5"/>
      <c r="VL209" s="5"/>
      <c r="VM209" s="5"/>
      <c r="VN209" s="5"/>
      <c r="VO209" s="5"/>
      <c r="VP209" s="5"/>
      <c r="VQ209" s="5"/>
      <c r="VR209" s="5"/>
      <c r="VS209" s="5"/>
      <c r="VT209" s="5"/>
      <c r="VU209" s="5"/>
      <c r="VV209" s="5"/>
      <c r="VW209" s="5"/>
      <c r="VX209" s="5"/>
      <c r="VY209" s="5"/>
      <c r="VZ209" s="5"/>
      <c r="WA209" s="5"/>
      <c r="WB209" s="5"/>
      <c r="WC209" s="5"/>
      <c r="WD209" s="5"/>
      <c r="WE209" s="5"/>
      <c r="WF209" s="5"/>
      <c r="WG209" s="5"/>
      <c r="WH209" s="5"/>
      <c r="WI209" s="5"/>
      <c r="WJ209" s="5"/>
      <c r="WK209" s="5"/>
      <c r="WL209" s="5"/>
      <c r="WM209" s="5"/>
      <c r="WN209" s="5"/>
      <c r="WO209" s="5"/>
      <c r="WP209" s="5"/>
      <c r="WQ209" s="5"/>
      <c r="WR209" s="5"/>
      <c r="WS209" s="5"/>
      <c r="WT209" s="5"/>
      <c r="WU209" s="5"/>
      <c r="WV209" s="5"/>
      <c r="WW209" s="5"/>
      <c r="WX209" s="5"/>
      <c r="WY209" s="5"/>
      <c r="WZ209" s="5"/>
      <c r="XA209" s="5"/>
      <c r="XB209" s="5"/>
      <c r="XC209" s="5"/>
      <c r="XD209" s="5"/>
      <c r="XE209" s="5"/>
      <c r="XF209" s="5"/>
      <c r="XG209" s="5"/>
      <c r="XH209" s="5"/>
      <c r="XI209" s="5"/>
      <c r="XJ209" s="5"/>
      <c r="XK209" s="5"/>
      <c r="XL209" s="5"/>
      <c r="XM209" s="5"/>
      <c r="XN209" s="5"/>
      <c r="XO209" s="5"/>
      <c r="XP209" s="5"/>
      <c r="XQ209" s="5"/>
      <c r="XR209" s="5"/>
      <c r="XS209" s="5"/>
      <c r="XT209" s="5"/>
      <c r="XU209" s="5"/>
      <c r="XV209" s="5"/>
      <c r="XW209" s="5"/>
      <c r="XX209" s="5"/>
      <c r="XY209" s="5"/>
      <c r="XZ209" s="5"/>
      <c r="YA209" s="5"/>
      <c r="YB209" s="5"/>
      <c r="YC209" s="5"/>
      <c r="YD209" s="5"/>
      <c r="YE209" s="5"/>
      <c r="YF209" s="5"/>
      <c r="YG209" s="5"/>
      <c r="YH209" s="5"/>
      <c r="YI209" s="5"/>
      <c r="YJ209" s="5"/>
      <c r="YK209" s="5"/>
      <c r="YL209" s="5"/>
      <c r="YM209" s="5"/>
      <c r="YN209" s="5"/>
      <c r="YO209" s="5"/>
      <c r="YP209" s="5"/>
      <c r="YQ209" s="5"/>
      <c r="YR209" s="5"/>
      <c r="YS209" s="5"/>
      <c r="YT209" s="5"/>
      <c r="YU209" s="5"/>
      <c r="YV209" s="5"/>
      <c r="YW209" s="5"/>
      <c r="YX209" s="5"/>
      <c r="YY209" s="5"/>
      <c r="YZ209" s="5"/>
    </row>
    <row r="210" spans="1:676">
      <c r="A210" s="7">
        <v>200</v>
      </c>
      <c r="B210" s="7" t="s">
        <v>486</v>
      </c>
      <c r="C210" s="10" t="s">
        <v>487</v>
      </c>
      <c r="D210" s="7" t="s">
        <v>93</v>
      </c>
      <c r="E210" s="7" t="s">
        <v>268</v>
      </c>
      <c r="F210" s="7" t="s">
        <v>406</v>
      </c>
      <c r="G210" s="7"/>
      <c r="H210" s="7" t="s">
        <v>48</v>
      </c>
      <c r="I210" s="11">
        <v>2</v>
      </c>
      <c r="J210" s="11">
        <v>3</v>
      </c>
      <c r="K210" s="11">
        <v>0</v>
      </c>
      <c r="L210" s="11">
        <v>1.29</v>
      </c>
      <c r="M210" s="11">
        <v>0</v>
      </c>
      <c r="N210" s="11">
        <v>0</v>
      </c>
      <c r="O210" s="11">
        <v>0.1</v>
      </c>
      <c r="P210" s="11">
        <v>0</v>
      </c>
      <c r="Q210" s="11">
        <v>1.39</v>
      </c>
      <c r="R210" s="11">
        <v>0</v>
      </c>
      <c r="S210" s="11">
        <v>1.39</v>
      </c>
      <c r="T210" s="11">
        <v>1.39</v>
      </c>
      <c r="U210" s="11">
        <v>0</v>
      </c>
      <c r="V210" s="11">
        <v>0</v>
      </c>
      <c r="W210" s="13">
        <v>2</v>
      </c>
      <c r="X210" s="13">
        <v>3</v>
      </c>
      <c r="Y210" s="13" t="str">
        <f>MIN(W210,S210)</f>
        <v>0</v>
      </c>
      <c r="Z210" s="13" t="str">
        <f>MIN(X210,(S210-Y210))</f>
        <v>0</v>
      </c>
      <c r="AA210" s="13" t="str">
        <f>S210-SUM(Y210,Z210)</f>
        <v>0</v>
      </c>
      <c r="AB210" s="15"/>
      <c r="AC210" s="15"/>
      <c r="AD210" s="1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/>
      <c r="MY210" s="5"/>
      <c r="MZ210" s="5"/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5"/>
      <c r="OI210" s="5"/>
      <c r="OJ210" s="5"/>
      <c r="OK210" s="5"/>
      <c r="OL210" s="5"/>
      <c r="OM210" s="5"/>
      <c r="ON210" s="5"/>
      <c r="OO210" s="5"/>
      <c r="OP210" s="5"/>
      <c r="OQ210" s="5"/>
      <c r="OR210" s="5"/>
      <c r="OS210" s="5"/>
      <c r="OT210" s="5"/>
      <c r="OU210" s="5"/>
      <c r="OV210" s="5"/>
      <c r="OW210" s="5"/>
      <c r="OX210" s="5"/>
      <c r="OY210" s="5"/>
      <c r="OZ210" s="5"/>
      <c r="PA210" s="5"/>
      <c r="PB210" s="5"/>
      <c r="PC210" s="5"/>
      <c r="PD210" s="5"/>
      <c r="PE210" s="5"/>
      <c r="PF210" s="5"/>
      <c r="PG210" s="5"/>
      <c r="PH210" s="5"/>
      <c r="PI210" s="5"/>
      <c r="PJ210" s="5"/>
      <c r="PK210" s="5"/>
      <c r="PL210" s="5"/>
      <c r="PM210" s="5"/>
      <c r="PN210" s="5"/>
      <c r="PO210" s="5"/>
      <c r="PP210" s="5"/>
      <c r="PQ210" s="5"/>
      <c r="PR210" s="5"/>
      <c r="PS210" s="5"/>
      <c r="PT210" s="5"/>
      <c r="PU210" s="5"/>
      <c r="PV210" s="5"/>
      <c r="PW210" s="5"/>
      <c r="PX210" s="5"/>
      <c r="PY210" s="5"/>
      <c r="PZ210" s="5"/>
      <c r="QA210" s="5"/>
      <c r="QB210" s="5"/>
      <c r="QC210" s="5"/>
      <c r="QD210" s="5"/>
      <c r="QE210" s="5"/>
      <c r="QF210" s="5"/>
      <c r="QG210" s="5"/>
      <c r="QH210" s="5"/>
      <c r="QI210" s="5"/>
      <c r="QJ210" s="5"/>
      <c r="QK210" s="5"/>
      <c r="QL210" s="5"/>
      <c r="QM210" s="5"/>
      <c r="QN210" s="5"/>
      <c r="QO210" s="5"/>
      <c r="QP210" s="5"/>
      <c r="QQ210" s="5"/>
      <c r="QR210" s="5"/>
      <c r="QS210" s="5"/>
      <c r="QT210" s="5"/>
      <c r="QU210" s="5"/>
      <c r="QV210" s="5"/>
      <c r="QW210" s="5"/>
      <c r="QX210" s="5"/>
      <c r="QY210" s="5"/>
      <c r="QZ210" s="5"/>
      <c r="RA210" s="5"/>
      <c r="RB210" s="5"/>
      <c r="RC210" s="5"/>
      <c r="RD210" s="5"/>
      <c r="RE210" s="5"/>
      <c r="RF210" s="5"/>
      <c r="RG210" s="5"/>
      <c r="RH210" s="5"/>
      <c r="RI210" s="5"/>
      <c r="RJ210" s="5"/>
      <c r="RK210" s="5"/>
      <c r="RL210" s="5"/>
      <c r="RM210" s="5"/>
      <c r="RN210" s="5"/>
      <c r="RO210" s="5"/>
      <c r="RP210" s="5"/>
      <c r="RQ210" s="5"/>
      <c r="RR210" s="5"/>
      <c r="RS210" s="5"/>
      <c r="RT210" s="5"/>
      <c r="RU210" s="5"/>
      <c r="RV210" s="5"/>
      <c r="RW210" s="5"/>
      <c r="RX210" s="5"/>
      <c r="RY210" s="5"/>
      <c r="RZ210" s="5"/>
      <c r="SA210" s="5"/>
      <c r="SB210" s="5"/>
      <c r="SC210" s="5"/>
      <c r="SD210" s="5"/>
      <c r="SE210" s="5"/>
      <c r="SF210" s="5"/>
      <c r="SG210" s="5"/>
      <c r="SH210" s="5"/>
      <c r="SI210" s="5"/>
      <c r="SJ210" s="5"/>
      <c r="SK210" s="5"/>
      <c r="SL210" s="5"/>
      <c r="SM210" s="5"/>
      <c r="SN210" s="5"/>
      <c r="SO210" s="5"/>
      <c r="SP210" s="5"/>
      <c r="SQ210" s="5"/>
      <c r="SR210" s="5"/>
      <c r="SS210" s="5"/>
      <c r="ST210" s="5"/>
      <c r="SU210" s="5"/>
      <c r="SV210" s="5"/>
      <c r="SW210" s="5"/>
      <c r="SX210" s="5"/>
      <c r="SY210" s="5"/>
      <c r="SZ210" s="5"/>
      <c r="TA210" s="5"/>
      <c r="TB210" s="5"/>
      <c r="TC210" s="5"/>
      <c r="TD210" s="5"/>
      <c r="TE210" s="5"/>
      <c r="TF210" s="5"/>
      <c r="TG210" s="5"/>
      <c r="TH210" s="5"/>
      <c r="TI210" s="5"/>
      <c r="TJ210" s="5"/>
      <c r="TK210" s="5"/>
      <c r="TL210" s="5"/>
      <c r="TM210" s="5"/>
      <c r="TN210" s="5"/>
      <c r="TO210" s="5"/>
      <c r="TP210" s="5"/>
      <c r="TQ210" s="5"/>
      <c r="TR210" s="5"/>
      <c r="TS210" s="5"/>
      <c r="TT210" s="5"/>
      <c r="TU210" s="5"/>
      <c r="TV210" s="5"/>
      <c r="TW210" s="5"/>
      <c r="TX210" s="5"/>
      <c r="TY210" s="5"/>
      <c r="TZ210" s="5"/>
      <c r="UA210" s="5"/>
      <c r="UB210" s="5"/>
      <c r="UC210" s="5"/>
      <c r="UD210" s="5"/>
      <c r="UE210" s="5"/>
      <c r="UF210" s="5"/>
      <c r="UG210" s="5"/>
      <c r="UH210" s="5"/>
      <c r="UI210" s="5"/>
      <c r="UJ210" s="5"/>
      <c r="UK210" s="5"/>
      <c r="UL210" s="5"/>
      <c r="UM210" s="5"/>
      <c r="UN210" s="5"/>
      <c r="UO210" s="5"/>
      <c r="UP210" s="5"/>
      <c r="UQ210" s="5"/>
      <c r="UR210" s="5"/>
      <c r="US210" s="5"/>
      <c r="UT210" s="5"/>
      <c r="UU210" s="5"/>
      <c r="UV210" s="5"/>
      <c r="UW210" s="5"/>
      <c r="UX210" s="5"/>
      <c r="UY210" s="5"/>
      <c r="UZ210" s="5"/>
      <c r="VA210" s="5"/>
      <c r="VB210" s="5"/>
      <c r="VC210" s="5"/>
      <c r="VD210" s="5"/>
      <c r="VE210" s="5"/>
      <c r="VF210" s="5"/>
      <c r="VG210" s="5"/>
      <c r="VH210" s="5"/>
      <c r="VI210" s="5"/>
      <c r="VJ210" s="5"/>
      <c r="VK210" s="5"/>
      <c r="VL210" s="5"/>
      <c r="VM210" s="5"/>
      <c r="VN210" s="5"/>
      <c r="VO210" s="5"/>
      <c r="VP210" s="5"/>
      <c r="VQ210" s="5"/>
      <c r="VR210" s="5"/>
      <c r="VS210" s="5"/>
      <c r="VT210" s="5"/>
      <c r="VU210" s="5"/>
      <c r="VV210" s="5"/>
      <c r="VW210" s="5"/>
      <c r="VX210" s="5"/>
      <c r="VY210" s="5"/>
      <c r="VZ210" s="5"/>
      <c r="WA210" s="5"/>
      <c r="WB210" s="5"/>
      <c r="WC210" s="5"/>
      <c r="WD210" s="5"/>
      <c r="WE210" s="5"/>
      <c r="WF210" s="5"/>
      <c r="WG210" s="5"/>
      <c r="WH210" s="5"/>
      <c r="WI210" s="5"/>
      <c r="WJ210" s="5"/>
      <c r="WK210" s="5"/>
      <c r="WL210" s="5"/>
      <c r="WM210" s="5"/>
      <c r="WN210" s="5"/>
      <c r="WO210" s="5"/>
      <c r="WP210" s="5"/>
      <c r="WQ210" s="5"/>
      <c r="WR210" s="5"/>
      <c r="WS210" s="5"/>
      <c r="WT210" s="5"/>
      <c r="WU210" s="5"/>
      <c r="WV210" s="5"/>
      <c r="WW210" s="5"/>
      <c r="WX210" s="5"/>
      <c r="WY210" s="5"/>
      <c r="WZ210" s="5"/>
      <c r="XA210" s="5"/>
      <c r="XB210" s="5"/>
      <c r="XC210" s="5"/>
      <c r="XD210" s="5"/>
      <c r="XE210" s="5"/>
      <c r="XF210" s="5"/>
      <c r="XG210" s="5"/>
      <c r="XH210" s="5"/>
      <c r="XI210" s="5"/>
      <c r="XJ210" s="5"/>
      <c r="XK210" s="5"/>
      <c r="XL210" s="5"/>
      <c r="XM210" s="5"/>
      <c r="XN210" s="5"/>
      <c r="XO210" s="5"/>
      <c r="XP210" s="5"/>
      <c r="XQ210" s="5"/>
      <c r="XR210" s="5"/>
      <c r="XS210" s="5"/>
      <c r="XT210" s="5"/>
      <c r="XU210" s="5"/>
      <c r="XV210" s="5"/>
      <c r="XW210" s="5"/>
      <c r="XX210" s="5"/>
      <c r="XY210" s="5"/>
      <c r="XZ210" s="5"/>
      <c r="YA210" s="5"/>
      <c r="YB210" s="5"/>
      <c r="YC210" s="5"/>
      <c r="YD210" s="5"/>
      <c r="YE210" s="5"/>
      <c r="YF210" s="5"/>
      <c r="YG210" s="5"/>
      <c r="YH210" s="5"/>
      <c r="YI210" s="5"/>
      <c r="YJ210" s="5"/>
      <c r="YK210" s="5"/>
      <c r="YL210" s="5"/>
      <c r="YM210" s="5"/>
      <c r="YN210" s="5"/>
      <c r="YO210" s="5"/>
      <c r="YP210" s="5"/>
      <c r="YQ210" s="5"/>
      <c r="YR210" s="5"/>
      <c r="YS210" s="5"/>
      <c r="YT210" s="5"/>
      <c r="YU210" s="5"/>
      <c r="YV210" s="5"/>
      <c r="YW210" s="5"/>
      <c r="YX210" s="5"/>
      <c r="YY210" s="5"/>
      <c r="YZ210" s="5"/>
    </row>
    <row r="211" spans="1:676">
      <c r="A211" s="7">
        <v>201</v>
      </c>
      <c r="B211" s="7" t="s">
        <v>488</v>
      </c>
      <c r="C211" s="10" t="s">
        <v>489</v>
      </c>
      <c r="D211" s="7" t="s">
        <v>267</v>
      </c>
      <c r="E211" s="7" t="s">
        <v>268</v>
      </c>
      <c r="F211" s="7" t="s">
        <v>403</v>
      </c>
      <c r="G211" s="7"/>
      <c r="H211" s="7"/>
      <c r="I211" s="11">
        <v>2</v>
      </c>
      <c r="J211" s="11">
        <v>3</v>
      </c>
      <c r="K211" s="11">
        <v>0</v>
      </c>
      <c r="L211" s="11">
        <v>0</v>
      </c>
      <c r="M211" s="11">
        <v>0.08</v>
      </c>
      <c r="N211" s="11">
        <v>0</v>
      </c>
      <c r="O211" s="11">
        <v>0.1</v>
      </c>
      <c r="P211" s="11">
        <v>0</v>
      </c>
      <c r="Q211" s="11">
        <v>0.18</v>
      </c>
      <c r="R211" s="11">
        <v>0</v>
      </c>
      <c r="S211" s="11">
        <v>0.18</v>
      </c>
      <c r="T211" s="11">
        <v>0.18</v>
      </c>
      <c r="U211" s="11">
        <v>0</v>
      </c>
      <c r="V211" s="11">
        <v>0</v>
      </c>
      <c r="W211" s="13">
        <v>2</v>
      </c>
      <c r="X211" s="13">
        <v>3</v>
      </c>
      <c r="Y211" s="13" t="str">
        <f>MIN(W211,S211)</f>
        <v>0</v>
      </c>
      <c r="Z211" s="13" t="str">
        <f>MIN(X211,(S211-Y211))</f>
        <v>0</v>
      </c>
      <c r="AA211" s="13" t="str">
        <f>S211-SUM(Y211,Z211)</f>
        <v>0</v>
      </c>
      <c r="AB211" s="15"/>
      <c r="AC211" s="15"/>
      <c r="AD211" s="1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5"/>
      <c r="OI211" s="5"/>
      <c r="OJ211" s="5"/>
      <c r="OK211" s="5"/>
      <c r="OL211" s="5"/>
      <c r="OM211" s="5"/>
      <c r="ON211" s="5"/>
      <c r="OO211" s="5"/>
      <c r="OP211" s="5"/>
      <c r="OQ211" s="5"/>
      <c r="OR211" s="5"/>
      <c r="OS211" s="5"/>
      <c r="OT211" s="5"/>
      <c r="OU211" s="5"/>
      <c r="OV211" s="5"/>
      <c r="OW211" s="5"/>
      <c r="OX211" s="5"/>
      <c r="OY211" s="5"/>
      <c r="OZ211" s="5"/>
      <c r="PA211" s="5"/>
      <c r="PB211" s="5"/>
      <c r="PC211" s="5"/>
      <c r="PD211" s="5"/>
      <c r="PE211" s="5"/>
      <c r="PF211" s="5"/>
      <c r="PG211" s="5"/>
      <c r="PH211" s="5"/>
      <c r="PI211" s="5"/>
      <c r="PJ211" s="5"/>
      <c r="PK211" s="5"/>
      <c r="PL211" s="5"/>
      <c r="PM211" s="5"/>
      <c r="PN211" s="5"/>
      <c r="PO211" s="5"/>
      <c r="PP211" s="5"/>
      <c r="PQ211" s="5"/>
      <c r="PR211" s="5"/>
      <c r="PS211" s="5"/>
      <c r="PT211" s="5"/>
      <c r="PU211" s="5"/>
      <c r="PV211" s="5"/>
      <c r="PW211" s="5"/>
      <c r="PX211" s="5"/>
      <c r="PY211" s="5"/>
      <c r="PZ211" s="5"/>
      <c r="QA211" s="5"/>
      <c r="QB211" s="5"/>
      <c r="QC211" s="5"/>
      <c r="QD211" s="5"/>
      <c r="QE211" s="5"/>
      <c r="QF211" s="5"/>
      <c r="QG211" s="5"/>
      <c r="QH211" s="5"/>
      <c r="QI211" s="5"/>
      <c r="QJ211" s="5"/>
      <c r="QK211" s="5"/>
      <c r="QL211" s="5"/>
      <c r="QM211" s="5"/>
      <c r="QN211" s="5"/>
      <c r="QO211" s="5"/>
      <c r="QP211" s="5"/>
      <c r="QQ211" s="5"/>
      <c r="QR211" s="5"/>
      <c r="QS211" s="5"/>
      <c r="QT211" s="5"/>
      <c r="QU211" s="5"/>
      <c r="QV211" s="5"/>
      <c r="QW211" s="5"/>
      <c r="QX211" s="5"/>
      <c r="QY211" s="5"/>
      <c r="QZ211" s="5"/>
      <c r="RA211" s="5"/>
      <c r="RB211" s="5"/>
      <c r="RC211" s="5"/>
      <c r="RD211" s="5"/>
      <c r="RE211" s="5"/>
      <c r="RF211" s="5"/>
      <c r="RG211" s="5"/>
      <c r="RH211" s="5"/>
      <c r="RI211" s="5"/>
      <c r="RJ211" s="5"/>
      <c r="RK211" s="5"/>
      <c r="RL211" s="5"/>
      <c r="RM211" s="5"/>
      <c r="RN211" s="5"/>
      <c r="RO211" s="5"/>
      <c r="RP211" s="5"/>
      <c r="RQ211" s="5"/>
      <c r="RR211" s="5"/>
      <c r="RS211" s="5"/>
      <c r="RT211" s="5"/>
      <c r="RU211" s="5"/>
      <c r="RV211" s="5"/>
      <c r="RW211" s="5"/>
      <c r="RX211" s="5"/>
      <c r="RY211" s="5"/>
      <c r="RZ211" s="5"/>
      <c r="SA211" s="5"/>
      <c r="SB211" s="5"/>
      <c r="SC211" s="5"/>
      <c r="SD211" s="5"/>
      <c r="SE211" s="5"/>
      <c r="SF211" s="5"/>
      <c r="SG211" s="5"/>
      <c r="SH211" s="5"/>
      <c r="SI211" s="5"/>
      <c r="SJ211" s="5"/>
      <c r="SK211" s="5"/>
      <c r="SL211" s="5"/>
      <c r="SM211" s="5"/>
      <c r="SN211" s="5"/>
      <c r="SO211" s="5"/>
      <c r="SP211" s="5"/>
      <c r="SQ211" s="5"/>
      <c r="SR211" s="5"/>
      <c r="SS211" s="5"/>
      <c r="ST211" s="5"/>
      <c r="SU211" s="5"/>
      <c r="SV211" s="5"/>
      <c r="SW211" s="5"/>
      <c r="SX211" s="5"/>
      <c r="SY211" s="5"/>
      <c r="SZ211" s="5"/>
      <c r="TA211" s="5"/>
      <c r="TB211" s="5"/>
      <c r="TC211" s="5"/>
      <c r="TD211" s="5"/>
      <c r="TE211" s="5"/>
      <c r="TF211" s="5"/>
      <c r="TG211" s="5"/>
      <c r="TH211" s="5"/>
      <c r="TI211" s="5"/>
      <c r="TJ211" s="5"/>
      <c r="TK211" s="5"/>
      <c r="TL211" s="5"/>
      <c r="TM211" s="5"/>
      <c r="TN211" s="5"/>
      <c r="TO211" s="5"/>
      <c r="TP211" s="5"/>
      <c r="TQ211" s="5"/>
      <c r="TR211" s="5"/>
      <c r="TS211" s="5"/>
      <c r="TT211" s="5"/>
      <c r="TU211" s="5"/>
      <c r="TV211" s="5"/>
      <c r="TW211" s="5"/>
      <c r="TX211" s="5"/>
      <c r="TY211" s="5"/>
      <c r="TZ211" s="5"/>
      <c r="UA211" s="5"/>
      <c r="UB211" s="5"/>
      <c r="UC211" s="5"/>
      <c r="UD211" s="5"/>
      <c r="UE211" s="5"/>
      <c r="UF211" s="5"/>
      <c r="UG211" s="5"/>
      <c r="UH211" s="5"/>
      <c r="UI211" s="5"/>
      <c r="UJ211" s="5"/>
      <c r="UK211" s="5"/>
      <c r="UL211" s="5"/>
      <c r="UM211" s="5"/>
      <c r="UN211" s="5"/>
      <c r="UO211" s="5"/>
      <c r="UP211" s="5"/>
      <c r="UQ211" s="5"/>
      <c r="UR211" s="5"/>
      <c r="US211" s="5"/>
      <c r="UT211" s="5"/>
      <c r="UU211" s="5"/>
      <c r="UV211" s="5"/>
      <c r="UW211" s="5"/>
      <c r="UX211" s="5"/>
      <c r="UY211" s="5"/>
      <c r="UZ211" s="5"/>
      <c r="VA211" s="5"/>
      <c r="VB211" s="5"/>
      <c r="VC211" s="5"/>
      <c r="VD211" s="5"/>
      <c r="VE211" s="5"/>
      <c r="VF211" s="5"/>
      <c r="VG211" s="5"/>
      <c r="VH211" s="5"/>
      <c r="VI211" s="5"/>
      <c r="VJ211" s="5"/>
      <c r="VK211" s="5"/>
      <c r="VL211" s="5"/>
      <c r="VM211" s="5"/>
      <c r="VN211" s="5"/>
      <c r="VO211" s="5"/>
      <c r="VP211" s="5"/>
      <c r="VQ211" s="5"/>
      <c r="VR211" s="5"/>
      <c r="VS211" s="5"/>
      <c r="VT211" s="5"/>
      <c r="VU211" s="5"/>
      <c r="VV211" s="5"/>
      <c r="VW211" s="5"/>
      <c r="VX211" s="5"/>
      <c r="VY211" s="5"/>
      <c r="VZ211" s="5"/>
      <c r="WA211" s="5"/>
      <c r="WB211" s="5"/>
      <c r="WC211" s="5"/>
      <c r="WD211" s="5"/>
      <c r="WE211" s="5"/>
      <c r="WF211" s="5"/>
      <c r="WG211" s="5"/>
      <c r="WH211" s="5"/>
      <c r="WI211" s="5"/>
      <c r="WJ211" s="5"/>
      <c r="WK211" s="5"/>
      <c r="WL211" s="5"/>
      <c r="WM211" s="5"/>
      <c r="WN211" s="5"/>
      <c r="WO211" s="5"/>
      <c r="WP211" s="5"/>
      <c r="WQ211" s="5"/>
      <c r="WR211" s="5"/>
      <c r="WS211" s="5"/>
      <c r="WT211" s="5"/>
      <c r="WU211" s="5"/>
      <c r="WV211" s="5"/>
      <c r="WW211" s="5"/>
      <c r="WX211" s="5"/>
      <c r="WY211" s="5"/>
      <c r="WZ211" s="5"/>
      <c r="XA211" s="5"/>
      <c r="XB211" s="5"/>
      <c r="XC211" s="5"/>
      <c r="XD211" s="5"/>
      <c r="XE211" s="5"/>
      <c r="XF211" s="5"/>
      <c r="XG211" s="5"/>
      <c r="XH211" s="5"/>
      <c r="XI211" s="5"/>
      <c r="XJ211" s="5"/>
      <c r="XK211" s="5"/>
      <c r="XL211" s="5"/>
      <c r="XM211" s="5"/>
      <c r="XN211" s="5"/>
      <c r="XO211" s="5"/>
      <c r="XP211" s="5"/>
      <c r="XQ211" s="5"/>
      <c r="XR211" s="5"/>
      <c r="XS211" s="5"/>
      <c r="XT211" s="5"/>
      <c r="XU211" s="5"/>
      <c r="XV211" s="5"/>
      <c r="XW211" s="5"/>
      <c r="XX211" s="5"/>
      <c r="XY211" s="5"/>
      <c r="XZ211" s="5"/>
      <c r="YA211" s="5"/>
      <c r="YB211" s="5"/>
      <c r="YC211" s="5"/>
      <c r="YD211" s="5"/>
      <c r="YE211" s="5"/>
      <c r="YF211" s="5"/>
      <c r="YG211" s="5"/>
      <c r="YH211" s="5"/>
      <c r="YI211" s="5"/>
      <c r="YJ211" s="5"/>
      <c r="YK211" s="5"/>
      <c r="YL211" s="5"/>
      <c r="YM211" s="5"/>
      <c r="YN211" s="5"/>
      <c r="YO211" s="5"/>
      <c r="YP211" s="5"/>
      <c r="YQ211" s="5"/>
      <c r="YR211" s="5"/>
      <c r="YS211" s="5"/>
      <c r="YT211" s="5"/>
      <c r="YU211" s="5"/>
      <c r="YV211" s="5"/>
      <c r="YW211" s="5"/>
      <c r="YX211" s="5"/>
      <c r="YY211" s="5"/>
      <c r="YZ211" s="5"/>
    </row>
    <row r="212" spans="1:676">
      <c r="A212" s="7">
        <v>202</v>
      </c>
      <c r="B212" s="7" t="s">
        <v>490</v>
      </c>
      <c r="C212" s="10" t="s">
        <v>491</v>
      </c>
      <c r="D212" s="7" t="s">
        <v>71</v>
      </c>
      <c r="E212" s="7" t="s">
        <v>268</v>
      </c>
      <c r="F212" s="7" t="s">
        <v>403</v>
      </c>
      <c r="G212" s="7"/>
      <c r="H212" s="7"/>
      <c r="I212" s="11">
        <v>2</v>
      </c>
      <c r="J212" s="11">
        <v>3</v>
      </c>
      <c r="K212" s="11">
        <v>0</v>
      </c>
      <c r="L212" s="11">
        <v>0.12</v>
      </c>
      <c r="M212" s="11">
        <v>0.32</v>
      </c>
      <c r="N212" s="11">
        <v>0</v>
      </c>
      <c r="O212" s="11">
        <v>0</v>
      </c>
      <c r="P212" s="11">
        <v>0</v>
      </c>
      <c r="Q212" s="11">
        <v>0.44</v>
      </c>
      <c r="R212" s="11">
        <v>0</v>
      </c>
      <c r="S212" s="11">
        <v>0.44</v>
      </c>
      <c r="T212" s="11">
        <v>0.44</v>
      </c>
      <c r="U212" s="11">
        <v>0</v>
      </c>
      <c r="V212" s="11">
        <v>0</v>
      </c>
      <c r="W212" s="13">
        <v>2</v>
      </c>
      <c r="X212" s="13">
        <v>3</v>
      </c>
      <c r="Y212" s="13" t="str">
        <f>MIN(W212,S212)</f>
        <v>0</v>
      </c>
      <c r="Z212" s="13" t="str">
        <f>MIN(X212,(S212-Y212))</f>
        <v>0</v>
      </c>
      <c r="AA212" s="13" t="str">
        <f>S212-SUM(Y212,Z212)</f>
        <v>0</v>
      </c>
      <c r="AB212" s="15"/>
      <c r="AC212" s="15"/>
      <c r="AD212" s="1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/>
      <c r="MY212" s="5"/>
      <c r="MZ212" s="5"/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5"/>
      <c r="OI212" s="5"/>
      <c r="OJ212" s="5"/>
      <c r="OK212" s="5"/>
      <c r="OL212" s="5"/>
      <c r="OM212" s="5"/>
      <c r="ON212" s="5"/>
      <c r="OO212" s="5"/>
      <c r="OP212" s="5"/>
      <c r="OQ212" s="5"/>
      <c r="OR212" s="5"/>
      <c r="OS212" s="5"/>
      <c r="OT212" s="5"/>
      <c r="OU212" s="5"/>
      <c r="OV212" s="5"/>
      <c r="OW212" s="5"/>
      <c r="OX212" s="5"/>
      <c r="OY212" s="5"/>
      <c r="OZ212" s="5"/>
      <c r="PA212" s="5"/>
      <c r="PB212" s="5"/>
      <c r="PC212" s="5"/>
      <c r="PD212" s="5"/>
      <c r="PE212" s="5"/>
      <c r="PF212" s="5"/>
      <c r="PG212" s="5"/>
      <c r="PH212" s="5"/>
      <c r="PI212" s="5"/>
      <c r="PJ212" s="5"/>
      <c r="PK212" s="5"/>
      <c r="PL212" s="5"/>
      <c r="PM212" s="5"/>
      <c r="PN212" s="5"/>
      <c r="PO212" s="5"/>
      <c r="PP212" s="5"/>
      <c r="PQ212" s="5"/>
      <c r="PR212" s="5"/>
      <c r="PS212" s="5"/>
      <c r="PT212" s="5"/>
      <c r="PU212" s="5"/>
      <c r="PV212" s="5"/>
      <c r="PW212" s="5"/>
      <c r="PX212" s="5"/>
      <c r="PY212" s="5"/>
      <c r="PZ212" s="5"/>
      <c r="QA212" s="5"/>
      <c r="QB212" s="5"/>
      <c r="QC212" s="5"/>
      <c r="QD212" s="5"/>
      <c r="QE212" s="5"/>
      <c r="QF212" s="5"/>
      <c r="QG212" s="5"/>
      <c r="QH212" s="5"/>
      <c r="QI212" s="5"/>
      <c r="QJ212" s="5"/>
      <c r="QK212" s="5"/>
      <c r="QL212" s="5"/>
      <c r="QM212" s="5"/>
      <c r="QN212" s="5"/>
      <c r="QO212" s="5"/>
      <c r="QP212" s="5"/>
      <c r="QQ212" s="5"/>
      <c r="QR212" s="5"/>
      <c r="QS212" s="5"/>
      <c r="QT212" s="5"/>
      <c r="QU212" s="5"/>
      <c r="QV212" s="5"/>
      <c r="QW212" s="5"/>
      <c r="QX212" s="5"/>
      <c r="QY212" s="5"/>
      <c r="QZ212" s="5"/>
      <c r="RA212" s="5"/>
      <c r="RB212" s="5"/>
      <c r="RC212" s="5"/>
      <c r="RD212" s="5"/>
      <c r="RE212" s="5"/>
      <c r="RF212" s="5"/>
      <c r="RG212" s="5"/>
      <c r="RH212" s="5"/>
      <c r="RI212" s="5"/>
      <c r="RJ212" s="5"/>
      <c r="RK212" s="5"/>
      <c r="RL212" s="5"/>
      <c r="RM212" s="5"/>
      <c r="RN212" s="5"/>
      <c r="RO212" s="5"/>
      <c r="RP212" s="5"/>
      <c r="RQ212" s="5"/>
      <c r="RR212" s="5"/>
      <c r="RS212" s="5"/>
      <c r="RT212" s="5"/>
      <c r="RU212" s="5"/>
      <c r="RV212" s="5"/>
      <c r="RW212" s="5"/>
      <c r="RX212" s="5"/>
      <c r="RY212" s="5"/>
      <c r="RZ212" s="5"/>
      <c r="SA212" s="5"/>
      <c r="SB212" s="5"/>
      <c r="SC212" s="5"/>
      <c r="SD212" s="5"/>
      <c r="SE212" s="5"/>
      <c r="SF212" s="5"/>
      <c r="SG212" s="5"/>
      <c r="SH212" s="5"/>
      <c r="SI212" s="5"/>
      <c r="SJ212" s="5"/>
      <c r="SK212" s="5"/>
      <c r="SL212" s="5"/>
      <c r="SM212" s="5"/>
      <c r="SN212" s="5"/>
      <c r="SO212" s="5"/>
      <c r="SP212" s="5"/>
      <c r="SQ212" s="5"/>
      <c r="SR212" s="5"/>
      <c r="SS212" s="5"/>
      <c r="ST212" s="5"/>
      <c r="SU212" s="5"/>
      <c r="SV212" s="5"/>
      <c r="SW212" s="5"/>
      <c r="SX212" s="5"/>
      <c r="SY212" s="5"/>
      <c r="SZ212" s="5"/>
      <c r="TA212" s="5"/>
      <c r="TB212" s="5"/>
      <c r="TC212" s="5"/>
      <c r="TD212" s="5"/>
      <c r="TE212" s="5"/>
      <c r="TF212" s="5"/>
      <c r="TG212" s="5"/>
      <c r="TH212" s="5"/>
      <c r="TI212" s="5"/>
      <c r="TJ212" s="5"/>
      <c r="TK212" s="5"/>
      <c r="TL212" s="5"/>
      <c r="TM212" s="5"/>
      <c r="TN212" s="5"/>
      <c r="TO212" s="5"/>
      <c r="TP212" s="5"/>
      <c r="TQ212" s="5"/>
      <c r="TR212" s="5"/>
      <c r="TS212" s="5"/>
      <c r="TT212" s="5"/>
      <c r="TU212" s="5"/>
      <c r="TV212" s="5"/>
      <c r="TW212" s="5"/>
      <c r="TX212" s="5"/>
      <c r="TY212" s="5"/>
      <c r="TZ212" s="5"/>
      <c r="UA212" s="5"/>
      <c r="UB212" s="5"/>
      <c r="UC212" s="5"/>
      <c r="UD212" s="5"/>
      <c r="UE212" s="5"/>
      <c r="UF212" s="5"/>
      <c r="UG212" s="5"/>
      <c r="UH212" s="5"/>
      <c r="UI212" s="5"/>
      <c r="UJ212" s="5"/>
      <c r="UK212" s="5"/>
      <c r="UL212" s="5"/>
      <c r="UM212" s="5"/>
      <c r="UN212" s="5"/>
      <c r="UO212" s="5"/>
      <c r="UP212" s="5"/>
      <c r="UQ212" s="5"/>
      <c r="UR212" s="5"/>
      <c r="US212" s="5"/>
      <c r="UT212" s="5"/>
      <c r="UU212" s="5"/>
      <c r="UV212" s="5"/>
      <c r="UW212" s="5"/>
      <c r="UX212" s="5"/>
      <c r="UY212" s="5"/>
      <c r="UZ212" s="5"/>
      <c r="VA212" s="5"/>
      <c r="VB212" s="5"/>
      <c r="VC212" s="5"/>
      <c r="VD212" s="5"/>
      <c r="VE212" s="5"/>
      <c r="VF212" s="5"/>
      <c r="VG212" s="5"/>
      <c r="VH212" s="5"/>
      <c r="VI212" s="5"/>
      <c r="VJ212" s="5"/>
      <c r="VK212" s="5"/>
      <c r="VL212" s="5"/>
      <c r="VM212" s="5"/>
      <c r="VN212" s="5"/>
      <c r="VO212" s="5"/>
      <c r="VP212" s="5"/>
      <c r="VQ212" s="5"/>
      <c r="VR212" s="5"/>
      <c r="VS212" s="5"/>
      <c r="VT212" s="5"/>
      <c r="VU212" s="5"/>
      <c r="VV212" s="5"/>
      <c r="VW212" s="5"/>
      <c r="VX212" s="5"/>
      <c r="VY212" s="5"/>
      <c r="VZ212" s="5"/>
      <c r="WA212" s="5"/>
      <c r="WB212" s="5"/>
      <c r="WC212" s="5"/>
      <c r="WD212" s="5"/>
      <c r="WE212" s="5"/>
      <c r="WF212" s="5"/>
      <c r="WG212" s="5"/>
      <c r="WH212" s="5"/>
      <c r="WI212" s="5"/>
      <c r="WJ212" s="5"/>
      <c r="WK212" s="5"/>
      <c r="WL212" s="5"/>
      <c r="WM212" s="5"/>
      <c r="WN212" s="5"/>
      <c r="WO212" s="5"/>
      <c r="WP212" s="5"/>
      <c r="WQ212" s="5"/>
      <c r="WR212" s="5"/>
      <c r="WS212" s="5"/>
      <c r="WT212" s="5"/>
      <c r="WU212" s="5"/>
      <c r="WV212" s="5"/>
      <c r="WW212" s="5"/>
      <c r="WX212" s="5"/>
      <c r="WY212" s="5"/>
      <c r="WZ212" s="5"/>
      <c r="XA212" s="5"/>
      <c r="XB212" s="5"/>
      <c r="XC212" s="5"/>
      <c r="XD212" s="5"/>
      <c r="XE212" s="5"/>
      <c r="XF212" s="5"/>
      <c r="XG212" s="5"/>
      <c r="XH212" s="5"/>
      <c r="XI212" s="5"/>
      <c r="XJ212" s="5"/>
      <c r="XK212" s="5"/>
      <c r="XL212" s="5"/>
      <c r="XM212" s="5"/>
      <c r="XN212" s="5"/>
      <c r="XO212" s="5"/>
      <c r="XP212" s="5"/>
      <c r="XQ212" s="5"/>
      <c r="XR212" s="5"/>
      <c r="XS212" s="5"/>
      <c r="XT212" s="5"/>
      <c r="XU212" s="5"/>
      <c r="XV212" s="5"/>
      <c r="XW212" s="5"/>
      <c r="XX212" s="5"/>
      <c r="XY212" s="5"/>
      <c r="XZ212" s="5"/>
      <c r="YA212" s="5"/>
      <c r="YB212" s="5"/>
      <c r="YC212" s="5"/>
      <c r="YD212" s="5"/>
      <c r="YE212" s="5"/>
      <c r="YF212" s="5"/>
      <c r="YG212" s="5"/>
      <c r="YH212" s="5"/>
      <c r="YI212" s="5"/>
      <c r="YJ212" s="5"/>
      <c r="YK212" s="5"/>
      <c r="YL212" s="5"/>
      <c r="YM212" s="5"/>
      <c r="YN212" s="5"/>
      <c r="YO212" s="5"/>
      <c r="YP212" s="5"/>
      <c r="YQ212" s="5"/>
      <c r="YR212" s="5"/>
      <c r="YS212" s="5"/>
      <c r="YT212" s="5"/>
      <c r="YU212" s="5"/>
      <c r="YV212" s="5"/>
      <c r="YW212" s="5"/>
      <c r="YX212" s="5"/>
      <c r="YY212" s="5"/>
      <c r="YZ212" s="5"/>
    </row>
    <row r="213" spans="1:676">
      <c r="A213" s="7">
        <v>203</v>
      </c>
      <c r="B213" s="7" t="s">
        <v>492</v>
      </c>
      <c r="C213" s="10" t="s">
        <v>493</v>
      </c>
      <c r="D213" s="7" t="s">
        <v>99</v>
      </c>
      <c r="E213" s="7" t="s">
        <v>268</v>
      </c>
      <c r="F213" s="7" t="s">
        <v>403</v>
      </c>
      <c r="G213" s="7"/>
      <c r="H213" s="7"/>
      <c r="I213" s="11">
        <v>2</v>
      </c>
      <c r="J213" s="11">
        <v>3</v>
      </c>
      <c r="K213" s="11">
        <v>0</v>
      </c>
      <c r="L213" s="11">
        <v>0.17</v>
      </c>
      <c r="M213" s="11">
        <v>0</v>
      </c>
      <c r="N213" s="11">
        <v>0</v>
      </c>
      <c r="O213" s="11">
        <v>0.18</v>
      </c>
      <c r="P213" s="11">
        <v>0</v>
      </c>
      <c r="Q213" s="11">
        <v>0.35</v>
      </c>
      <c r="R213" s="11">
        <v>0</v>
      </c>
      <c r="S213" s="11">
        <v>0.35</v>
      </c>
      <c r="T213" s="11">
        <v>0.35</v>
      </c>
      <c r="U213" s="11">
        <v>0</v>
      </c>
      <c r="V213" s="11">
        <v>0</v>
      </c>
      <c r="W213" s="13">
        <v>2</v>
      </c>
      <c r="X213" s="13">
        <v>3</v>
      </c>
      <c r="Y213" s="13" t="str">
        <f>MIN(W213,S213)</f>
        <v>0</v>
      </c>
      <c r="Z213" s="13" t="str">
        <f>MIN(X213,(S213-Y213))</f>
        <v>0</v>
      </c>
      <c r="AA213" s="13" t="str">
        <f>S213-SUM(Y213,Z213)</f>
        <v>0</v>
      </c>
      <c r="AB213" s="15"/>
      <c r="AC213" s="15"/>
      <c r="AD213" s="1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/>
      <c r="MY213" s="5"/>
      <c r="MZ213" s="5"/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5"/>
      <c r="OI213" s="5"/>
      <c r="OJ213" s="5"/>
      <c r="OK213" s="5"/>
      <c r="OL213" s="5"/>
      <c r="OM213" s="5"/>
      <c r="ON213" s="5"/>
      <c r="OO213" s="5"/>
      <c r="OP213" s="5"/>
      <c r="OQ213" s="5"/>
      <c r="OR213" s="5"/>
      <c r="OS213" s="5"/>
      <c r="OT213" s="5"/>
      <c r="OU213" s="5"/>
      <c r="OV213" s="5"/>
      <c r="OW213" s="5"/>
      <c r="OX213" s="5"/>
      <c r="OY213" s="5"/>
      <c r="OZ213" s="5"/>
      <c r="PA213" s="5"/>
      <c r="PB213" s="5"/>
      <c r="PC213" s="5"/>
      <c r="PD213" s="5"/>
      <c r="PE213" s="5"/>
      <c r="PF213" s="5"/>
      <c r="PG213" s="5"/>
      <c r="PH213" s="5"/>
      <c r="PI213" s="5"/>
      <c r="PJ213" s="5"/>
      <c r="PK213" s="5"/>
      <c r="PL213" s="5"/>
      <c r="PM213" s="5"/>
      <c r="PN213" s="5"/>
      <c r="PO213" s="5"/>
      <c r="PP213" s="5"/>
      <c r="PQ213" s="5"/>
      <c r="PR213" s="5"/>
      <c r="PS213" s="5"/>
      <c r="PT213" s="5"/>
      <c r="PU213" s="5"/>
      <c r="PV213" s="5"/>
      <c r="PW213" s="5"/>
      <c r="PX213" s="5"/>
      <c r="PY213" s="5"/>
      <c r="PZ213" s="5"/>
      <c r="QA213" s="5"/>
      <c r="QB213" s="5"/>
      <c r="QC213" s="5"/>
      <c r="QD213" s="5"/>
      <c r="QE213" s="5"/>
      <c r="QF213" s="5"/>
      <c r="QG213" s="5"/>
      <c r="QH213" s="5"/>
      <c r="QI213" s="5"/>
      <c r="QJ213" s="5"/>
      <c r="QK213" s="5"/>
      <c r="QL213" s="5"/>
      <c r="QM213" s="5"/>
      <c r="QN213" s="5"/>
      <c r="QO213" s="5"/>
      <c r="QP213" s="5"/>
      <c r="QQ213" s="5"/>
      <c r="QR213" s="5"/>
      <c r="QS213" s="5"/>
      <c r="QT213" s="5"/>
      <c r="QU213" s="5"/>
      <c r="QV213" s="5"/>
      <c r="QW213" s="5"/>
      <c r="QX213" s="5"/>
      <c r="QY213" s="5"/>
      <c r="QZ213" s="5"/>
      <c r="RA213" s="5"/>
      <c r="RB213" s="5"/>
      <c r="RC213" s="5"/>
      <c r="RD213" s="5"/>
      <c r="RE213" s="5"/>
      <c r="RF213" s="5"/>
      <c r="RG213" s="5"/>
      <c r="RH213" s="5"/>
      <c r="RI213" s="5"/>
      <c r="RJ213" s="5"/>
      <c r="RK213" s="5"/>
      <c r="RL213" s="5"/>
      <c r="RM213" s="5"/>
      <c r="RN213" s="5"/>
      <c r="RO213" s="5"/>
      <c r="RP213" s="5"/>
      <c r="RQ213" s="5"/>
      <c r="RR213" s="5"/>
      <c r="RS213" s="5"/>
      <c r="RT213" s="5"/>
      <c r="RU213" s="5"/>
      <c r="RV213" s="5"/>
      <c r="RW213" s="5"/>
      <c r="RX213" s="5"/>
      <c r="RY213" s="5"/>
      <c r="RZ213" s="5"/>
      <c r="SA213" s="5"/>
      <c r="SB213" s="5"/>
      <c r="SC213" s="5"/>
      <c r="SD213" s="5"/>
      <c r="SE213" s="5"/>
      <c r="SF213" s="5"/>
      <c r="SG213" s="5"/>
      <c r="SH213" s="5"/>
      <c r="SI213" s="5"/>
      <c r="SJ213" s="5"/>
      <c r="SK213" s="5"/>
      <c r="SL213" s="5"/>
      <c r="SM213" s="5"/>
      <c r="SN213" s="5"/>
      <c r="SO213" s="5"/>
      <c r="SP213" s="5"/>
      <c r="SQ213" s="5"/>
      <c r="SR213" s="5"/>
      <c r="SS213" s="5"/>
      <c r="ST213" s="5"/>
      <c r="SU213" s="5"/>
      <c r="SV213" s="5"/>
      <c r="SW213" s="5"/>
      <c r="SX213" s="5"/>
      <c r="SY213" s="5"/>
      <c r="SZ213" s="5"/>
      <c r="TA213" s="5"/>
      <c r="TB213" s="5"/>
      <c r="TC213" s="5"/>
      <c r="TD213" s="5"/>
      <c r="TE213" s="5"/>
      <c r="TF213" s="5"/>
      <c r="TG213" s="5"/>
      <c r="TH213" s="5"/>
      <c r="TI213" s="5"/>
      <c r="TJ213" s="5"/>
      <c r="TK213" s="5"/>
      <c r="TL213" s="5"/>
      <c r="TM213" s="5"/>
      <c r="TN213" s="5"/>
      <c r="TO213" s="5"/>
      <c r="TP213" s="5"/>
      <c r="TQ213" s="5"/>
      <c r="TR213" s="5"/>
      <c r="TS213" s="5"/>
      <c r="TT213" s="5"/>
      <c r="TU213" s="5"/>
      <c r="TV213" s="5"/>
      <c r="TW213" s="5"/>
      <c r="TX213" s="5"/>
      <c r="TY213" s="5"/>
      <c r="TZ213" s="5"/>
      <c r="UA213" s="5"/>
      <c r="UB213" s="5"/>
      <c r="UC213" s="5"/>
      <c r="UD213" s="5"/>
      <c r="UE213" s="5"/>
      <c r="UF213" s="5"/>
      <c r="UG213" s="5"/>
      <c r="UH213" s="5"/>
      <c r="UI213" s="5"/>
      <c r="UJ213" s="5"/>
      <c r="UK213" s="5"/>
      <c r="UL213" s="5"/>
      <c r="UM213" s="5"/>
      <c r="UN213" s="5"/>
      <c r="UO213" s="5"/>
      <c r="UP213" s="5"/>
      <c r="UQ213" s="5"/>
      <c r="UR213" s="5"/>
      <c r="US213" s="5"/>
      <c r="UT213" s="5"/>
      <c r="UU213" s="5"/>
      <c r="UV213" s="5"/>
      <c r="UW213" s="5"/>
      <c r="UX213" s="5"/>
      <c r="UY213" s="5"/>
      <c r="UZ213" s="5"/>
      <c r="VA213" s="5"/>
      <c r="VB213" s="5"/>
      <c r="VC213" s="5"/>
      <c r="VD213" s="5"/>
      <c r="VE213" s="5"/>
      <c r="VF213" s="5"/>
      <c r="VG213" s="5"/>
      <c r="VH213" s="5"/>
      <c r="VI213" s="5"/>
      <c r="VJ213" s="5"/>
      <c r="VK213" s="5"/>
      <c r="VL213" s="5"/>
      <c r="VM213" s="5"/>
      <c r="VN213" s="5"/>
      <c r="VO213" s="5"/>
      <c r="VP213" s="5"/>
      <c r="VQ213" s="5"/>
      <c r="VR213" s="5"/>
      <c r="VS213" s="5"/>
      <c r="VT213" s="5"/>
      <c r="VU213" s="5"/>
      <c r="VV213" s="5"/>
      <c r="VW213" s="5"/>
      <c r="VX213" s="5"/>
      <c r="VY213" s="5"/>
      <c r="VZ213" s="5"/>
      <c r="WA213" s="5"/>
      <c r="WB213" s="5"/>
      <c r="WC213" s="5"/>
      <c r="WD213" s="5"/>
      <c r="WE213" s="5"/>
      <c r="WF213" s="5"/>
      <c r="WG213" s="5"/>
      <c r="WH213" s="5"/>
      <c r="WI213" s="5"/>
      <c r="WJ213" s="5"/>
      <c r="WK213" s="5"/>
      <c r="WL213" s="5"/>
      <c r="WM213" s="5"/>
      <c r="WN213" s="5"/>
      <c r="WO213" s="5"/>
      <c r="WP213" s="5"/>
      <c r="WQ213" s="5"/>
      <c r="WR213" s="5"/>
      <c r="WS213" s="5"/>
      <c r="WT213" s="5"/>
      <c r="WU213" s="5"/>
      <c r="WV213" s="5"/>
      <c r="WW213" s="5"/>
      <c r="WX213" s="5"/>
      <c r="WY213" s="5"/>
      <c r="WZ213" s="5"/>
      <c r="XA213" s="5"/>
      <c r="XB213" s="5"/>
      <c r="XC213" s="5"/>
      <c r="XD213" s="5"/>
      <c r="XE213" s="5"/>
      <c r="XF213" s="5"/>
      <c r="XG213" s="5"/>
      <c r="XH213" s="5"/>
      <c r="XI213" s="5"/>
      <c r="XJ213" s="5"/>
      <c r="XK213" s="5"/>
      <c r="XL213" s="5"/>
      <c r="XM213" s="5"/>
      <c r="XN213" s="5"/>
      <c r="XO213" s="5"/>
      <c r="XP213" s="5"/>
      <c r="XQ213" s="5"/>
      <c r="XR213" s="5"/>
      <c r="XS213" s="5"/>
      <c r="XT213" s="5"/>
      <c r="XU213" s="5"/>
      <c r="XV213" s="5"/>
      <c r="XW213" s="5"/>
      <c r="XX213" s="5"/>
      <c r="XY213" s="5"/>
      <c r="XZ213" s="5"/>
      <c r="YA213" s="5"/>
      <c r="YB213" s="5"/>
      <c r="YC213" s="5"/>
      <c r="YD213" s="5"/>
      <c r="YE213" s="5"/>
      <c r="YF213" s="5"/>
      <c r="YG213" s="5"/>
      <c r="YH213" s="5"/>
      <c r="YI213" s="5"/>
      <c r="YJ213" s="5"/>
      <c r="YK213" s="5"/>
      <c r="YL213" s="5"/>
      <c r="YM213" s="5"/>
      <c r="YN213" s="5"/>
      <c r="YO213" s="5"/>
      <c r="YP213" s="5"/>
      <c r="YQ213" s="5"/>
      <c r="YR213" s="5"/>
      <c r="YS213" s="5"/>
      <c r="YT213" s="5"/>
      <c r="YU213" s="5"/>
      <c r="YV213" s="5"/>
      <c r="YW213" s="5"/>
      <c r="YX213" s="5"/>
      <c r="YY213" s="5"/>
      <c r="YZ213" s="5"/>
    </row>
    <row r="214" spans="1:676">
      <c r="A214" s="7">
        <v>204</v>
      </c>
      <c r="B214" s="7" t="s">
        <v>494</v>
      </c>
      <c r="C214" s="10" t="s">
        <v>495</v>
      </c>
      <c r="D214" s="7" t="s">
        <v>271</v>
      </c>
      <c r="E214" s="7" t="s">
        <v>268</v>
      </c>
      <c r="F214" s="7" t="s">
        <v>403</v>
      </c>
      <c r="G214" s="7"/>
      <c r="H214" s="7"/>
      <c r="I214" s="11">
        <v>2</v>
      </c>
      <c r="J214" s="11">
        <v>3</v>
      </c>
      <c r="K214" s="11">
        <v>0</v>
      </c>
      <c r="L214" s="11">
        <v>0</v>
      </c>
      <c r="M214" s="11">
        <v>0</v>
      </c>
      <c r="N214" s="11">
        <v>0</v>
      </c>
      <c r="O214" s="11">
        <v>0.5</v>
      </c>
      <c r="P214" s="11">
        <v>0</v>
      </c>
      <c r="Q214" s="11">
        <v>0.5</v>
      </c>
      <c r="R214" s="11">
        <v>0</v>
      </c>
      <c r="S214" s="11">
        <v>0.5</v>
      </c>
      <c r="T214" s="11">
        <v>0.5</v>
      </c>
      <c r="U214" s="11">
        <v>0</v>
      </c>
      <c r="V214" s="11">
        <v>0</v>
      </c>
      <c r="W214" s="13">
        <v>2</v>
      </c>
      <c r="X214" s="13">
        <v>3</v>
      </c>
      <c r="Y214" s="13" t="str">
        <f>MIN(W214,S214)</f>
        <v>0</v>
      </c>
      <c r="Z214" s="13" t="str">
        <f>MIN(X214,(S214-Y214))</f>
        <v>0</v>
      </c>
      <c r="AA214" s="13" t="str">
        <f>S214-SUM(Y214,Z214)</f>
        <v>0</v>
      </c>
      <c r="AB214" s="15"/>
      <c r="AC214" s="15"/>
      <c r="AD214" s="1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/>
      <c r="MY214" s="5"/>
      <c r="MZ214" s="5"/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5"/>
      <c r="QJ214" s="5"/>
      <c r="QK214" s="5"/>
      <c r="QL214" s="5"/>
      <c r="QM214" s="5"/>
      <c r="QN214" s="5"/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  <c r="SG214" s="5"/>
      <c r="SH214" s="5"/>
      <c r="SI214" s="5"/>
      <c r="SJ214" s="5"/>
      <c r="SK214" s="5"/>
      <c r="SL214" s="5"/>
      <c r="SM214" s="5"/>
      <c r="SN214" s="5"/>
      <c r="SO214" s="5"/>
      <c r="SP214" s="5"/>
      <c r="SQ214" s="5"/>
      <c r="SR214" s="5"/>
      <c r="SS214" s="5"/>
      <c r="ST214" s="5"/>
      <c r="SU214" s="5"/>
      <c r="SV214" s="5"/>
      <c r="SW214" s="5"/>
      <c r="SX214" s="5"/>
      <c r="SY214" s="5"/>
      <c r="SZ214" s="5"/>
      <c r="TA214" s="5"/>
      <c r="TB214" s="5"/>
      <c r="TC214" s="5"/>
      <c r="TD214" s="5"/>
      <c r="TE214" s="5"/>
      <c r="TF214" s="5"/>
      <c r="TG214" s="5"/>
      <c r="TH214" s="5"/>
      <c r="TI214" s="5"/>
      <c r="TJ214" s="5"/>
      <c r="TK214" s="5"/>
      <c r="TL214" s="5"/>
      <c r="TM214" s="5"/>
      <c r="TN214" s="5"/>
      <c r="TO214" s="5"/>
      <c r="TP214" s="5"/>
      <c r="TQ214" s="5"/>
      <c r="TR214" s="5"/>
      <c r="TS214" s="5"/>
      <c r="TT214" s="5"/>
      <c r="TU214" s="5"/>
      <c r="TV214" s="5"/>
      <c r="TW214" s="5"/>
      <c r="TX214" s="5"/>
      <c r="TY214" s="5"/>
      <c r="TZ214" s="5"/>
      <c r="UA214" s="5"/>
      <c r="UB214" s="5"/>
      <c r="UC214" s="5"/>
      <c r="UD214" s="5"/>
      <c r="UE214" s="5"/>
      <c r="UF214" s="5"/>
      <c r="UG214" s="5"/>
      <c r="UH214" s="5"/>
      <c r="UI214" s="5"/>
      <c r="UJ214" s="5"/>
      <c r="UK214" s="5"/>
      <c r="UL214" s="5"/>
      <c r="UM214" s="5"/>
      <c r="UN214" s="5"/>
      <c r="UO214" s="5"/>
      <c r="UP214" s="5"/>
      <c r="UQ214" s="5"/>
      <c r="UR214" s="5"/>
      <c r="US214" s="5"/>
      <c r="UT214" s="5"/>
      <c r="UU214" s="5"/>
      <c r="UV214" s="5"/>
      <c r="UW214" s="5"/>
      <c r="UX214" s="5"/>
      <c r="UY214" s="5"/>
      <c r="UZ214" s="5"/>
      <c r="VA214" s="5"/>
      <c r="VB214" s="5"/>
      <c r="VC214" s="5"/>
      <c r="VD214" s="5"/>
      <c r="VE214" s="5"/>
      <c r="VF214" s="5"/>
      <c r="VG214" s="5"/>
      <c r="VH214" s="5"/>
      <c r="VI214" s="5"/>
      <c r="VJ214" s="5"/>
      <c r="VK214" s="5"/>
      <c r="VL214" s="5"/>
      <c r="VM214" s="5"/>
      <c r="VN214" s="5"/>
      <c r="VO214" s="5"/>
      <c r="VP214" s="5"/>
      <c r="VQ214" s="5"/>
      <c r="VR214" s="5"/>
      <c r="VS214" s="5"/>
      <c r="VT214" s="5"/>
      <c r="VU214" s="5"/>
      <c r="VV214" s="5"/>
      <c r="VW214" s="5"/>
      <c r="VX214" s="5"/>
      <c r="VY214" s="5"/>
      <c r="VZ214" s="5"/>
      <c r="WA214" s="5"/>
      <c r="WB214" s="5"/>
      <c r="WC214" s="5"/>
      <c r="WD214" s="5"/>
      <c r="WE214" s="5"/>
      <c r="WF214" s="5"/>
      <c r="WG214" s="5"/>
      <c r="WH214" s="5"/>
      <c r="WI214" s="5"/>
      <c r="WJ214" s="5"/>
      <c r="WK214" s="5"/>
      <c r="WL214" s="5"/>
      <c r="WM214" s="5"/>
      <c r="WN214" s="5"/>
      <c r="WO214" s="5"/>
      <c r="WP214" s="5"/>
      <c r="WQ214" s="5"/>
      <c r="WR214" s="5"/>
      <c r="WS214" s="5"/>
      <c r="WT214" s="5"/>
      <c r="WU214" s="5"/>
      <c r="WV214" s="5"/>
      <c r="WW214" s="5"/>
      <c r="WX214" s="5"/>
      <c r="WY214" s="5"/>
      <c r="WZ214" s="5"/>
      <c r="XA214" s="5"/>
      <c r="XB214" s="5"/>
      <c r="XC214" s="5"/>
      <c r="XD214" s="5"/>
      <c r="XE214" s="5"/>
      <c r="XF214" s="5"/>
      <c r="XG214" s="5"/>
      <c r="XH214" s="5"/>
      <c r="XI214" s="5"/>
      <c r="XJ214" s="5"/>
      <c r="XK214" s="5"/>
      <c r="XL214" s="5"/>
      <c r="XM214" s="5"/>
      <c r="XN214" s="5"/>
      <c r="XO214" s="5"/>
      <c r="XP214" s="5"/>
      <c r="XQ214" s="5"/>
      <c r="XR214" s="5"/>
      <c r="XS214" s="5"/>
      <c r="XT214" s="5"/>
      <c r="XU214" s="5"/>
      <c r="XV214" s="5"/>
      <c r="XW214" s="5"/>
      <c r="XX214" s="5"/>
      <c r="XY214" s="5"/>
      <c r="XZ214" s="5"/>
      <c r="YA214" s="5"/>
      <c r="YB214" s="5"/>
      <c r="YC214" s="5"/>
      <c r="YD214" s="5"/>
      <c r="YE214" s="5"/>
      <c r="YF214" s="5"/>
      <c r="YG214" s="5"/>
      <c r="YH214" s="5"/>
      <c r="YI214" s="5"/>
      <c r="YJ214" s="5"/>
      <c r="YK214" s="5"/>
      <c r="YL214" s="5"/>
      <c r="YM214" s="5"/>
      <c r="YN214" s="5"/>
      <c r="YO214" s="5"/>
      <c r="YP214" s="5"/>
      <c r="YQ214" s="5"/>
      <c r="YR214" s="5"/>
      <c r="YS214" s="5"/>
      <c r="YT214" s="5"/>
      <c r="YU214" s="5"/>
      <c r="YV214" s="5"/>
      <c r="YW214" s="5"/>
      <c r="YX214" s="5"/>
      <c r="YY214" s="5"/>
      <c r="YZ214" s="5"/>
    </row>
    <row r="215" spans="1:676">
      <c r="A215" s="7">
        <v>205</v>
      </c>
      <c r="B215" s="7" t="s">
        <v>496</v>
      </c>
      <c r="C215" s="10" t="s">
        <v>497</v>
      </c>
      <c r="D215" s="7" t="s">
        <v>46</v>
      </c>
      <c r="E215" s="7" t="s">
        <v>268</v>
      </c>
      <c r="F215" s="7" t="s">
        <v>403</v>
      </c>
      <c r="G215" s="7"/>
      <c r="H215" s="7"/>
      <c r="I215" s="11">
        <v>2</v>
      </c>
      <c r="J215" s="11">
        <v>3</v>
      </c>
      <c r="K215" s="11">
        <v>0</v>
      </c>
      <c r="L215" s="11">
        <v>0.12</v>
      </c>
      <c r="M215" s="11">
        <v>0</v>
      </c>
      <c r="N215" s="11">
        <v>0</v>
      </c>
      <c r="O215" s="11">
        <v>0</v>
      </c>
      <c r="P215" s="11">
        <v>0</v>
      </c>
      <c r="Q215" s="11">
        <v>0.12</v>
      </c>
      <c r="R215" s="11">
        <v>0</v>
      </c>
      <c r="S215" s="11">
        <v>0.12</v>
      </c>
      <c r="T215" s="11">
        <v>0.12</v>
      </c>
      <c r="U215" s="11">
        <v>0</v>
      </c>
      <c r="V215" s="11">
        <v>0</v>
      </c>
      <c r="W215" s="13">
        <v>2</v>
      </c>
      <c r="X215" s="13">
        <v>3</v>
      </c>
      <c r="Y215" s="13" t="str">
        <f>MIN(W215,S215)</f>
        <v>0</v>
      </c>
      <c r="Z215" s="13" t="str">
        <f>MIN(X215,(S215-Y215))</f>
        <v>0</v>
      </c>
      <c r="AA215" s="13" t="str">
        <f>S215-SUM(Y215,Z215)</f>
        <v>0</v>
      </c>
      <c r="AB215" s="15"/>
      <c r="AC215" s="15"/>
      <c r="AD215" s="1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/>
      <c r="MY215" s="5"/>
      <c r="MZ215" s="5"/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5"/>
      <c r="OI215" s="5"/>
      <c r="OJ215" s="5"/>
      <c r="OK215" s="5"/>
      <c r="OL215" s="5"/>
      <c r="OM215" s="5"/>
      <c r="ON215" s="5"/>
      <c r="OO215" s="5"/>
      <c r="OP215" s="5"/>
      <c r="OQ215" s="5"/>
      <c r="OR215" s="5"/>
      <c r="OS215" s="5"/>
      <c r="OT215" s="5"/>
      <c r="OU215" s="5"/>
      <c r="OV215" s="5"/>
      <c r="OW215" s="5"/>
      <c r="OX215" s="5"/>
      <c r="OY215" s="5"/>
      <c r="OZ215" s="5"/>
      <c r="PA215" s="5"/>
      <c r="PB215" s="5"/>
      <c r="PC215" s="5"/>
      <c r="PD215" s="5"/>
      <c r="PE215" s="5"/>
      <c r="PF215" s="5"/>
      <c r="PG215" s="5"/>
      <c r="PH215" s="5"/>
      <c r="PI215" s="5"/>
      <c r="PJ215" s="5"/>
      <c r="PK215" s="5"/>
      <c r="PL215" s="5"/>
      <c r="PM215" s="5"/>
      <c r="PN215" s="5"/>
      <c r="PO215" s="5"/>
      <c r="PP215" s="5"/>
      <c r="PQ215" s="5"/>
      <c r="PR215" s="5"/>
      <c r="PS215" s="5"/>
      <c r="PT215" s="5"/>
      <c r="PU215" s="5"/>
      <c r="PV215" s="5"/>
      <c r="PW215" s="5"/>
      <c r="PX215" s="5"/>
      <c r="PY215" s="5"/>
      <c r="PZ215" s="5"/>
      <c r="QA215" s="5"/>
      <c r="QB215" s="5"/>
      <c r="QC215" s="5"/>
      <c r="QD215" s="5"/>
      <c r="QE215" s="5"/>
      <c r="QF215" s="5"/>
      <c r="QG215" s="5"/>
      <c r="QH215" s="5"/>
      <c r="QI215" s="5"/>
      <c r="QJ215" s="5"/>
      <c r="QK215" s="5"/>
      <c r="QL215" s="5"/>
      <c r="QM215" s="5"/>
      <c r="QN215" s="5"/>
      <c r="QO215" s="5"/>
      <c r="QP215" s="5"/>
      <c r="QQ215" s="5"/>
      <c r="QR215" s="5"/>
      <c r="QS215" s="5"/>
      <c r="QT215" s="5"/>
      <c r="QU215" s="5"/>
      <c r="QV215" s="5"/>
      <c r="QW215" s="5"/>
      <c r="QX215" s="5"/>
      <c r="QY215" s="5"/>
      <c r="QZ215" s="5"/>
      <c r="RA215" s="5"/>
      <c r="RB215" s="5"/>
      <c r="RC215" s="5"/>
      <c r="RD215" s="5"/>
      <c r="RE215" s="5"/>
      <c r="RF215" s="5"/>
      <c r="RG215" s="5"/>
      <c r="RH215" s="5"/>
      <c r="RI215" s="5"/>
      <c r="RJ215" s="5"/>
      <c r="RK215" s="5"/>
      <c r="RL215" s="5"/>
      <c r="RM215" s="5"/>
      <c r="RN215" s="5"/>
      <c r="RO215" s="5"/>
      <c r="RP215" s="5"/>
      <c r="RQ215" s="5"/>
      <c r="RR215" s="5"/>
      <c r="RS215" s="5"/>
      <c r="RT215" s="5"/>
      <c r="RU215" s="5"/>
      <c r="RV215" s="5"/>
      <c r="RW215" s="5"/>
      <c r="RX215" s="5"/>
      <c r="RY215" s="5"/>
      <c r="RZ215" s="5"/>
      <c r="SA215" s="5"/>
      <c r="SB215" s="5"/>
      <c r="SC215" s="5"/>
      <c r="SD215" s="5"/>
      <c r="SE215" s="5"/>
      <c r="SF215" s="5"/>
      <c r="SG215" s="5"/>
      <c r="SH215" s="5"/>
      <c r="SI215" s="5"/>
      <c r="SJ215" s="5"/>
      <c r="SK215" s="5"/>
      <c r="SL215" s="5"/>
      <c r="SM215" s="5"/>
      <c r="SN215" s="5"/>
      <c r="SO215" s="5"/>
      <c r="SP215" s="5"/>
      <c r="SQ215" s="5"/>
      <c r="SR215" s="5"/>
      <c r="SS215" s="5"/>
      <c r="ST215" s="5"/>
      <c r="SU215" s="5"/>
      <c r="SV215" s="5"/>
      <c r="SW215" s="5"/>
      <c r="SX215" s="5"/>
      <c r="SY215" s="5"/>
      <c r="SZ215" s="5"/>
      <c r="TA215" s="5"/>
      <c r="TB215" s="5"/>
      <c r="TC215" s="5"/>
      <c r="TD215" s="5"/>
      <c r="TE215" s="5"/>
      <c r="TF215" s="5"/>
      <c r="TG215" s="5"/>
      <c r="TH215" s="5"/>
      <c r="TI215" s="5"/>
      <c r="TJ215" s="5"/>
      <c r="TK215" s="5"/>
      <c r="TL215" s="5"/>
      <c r="TM215" s="5"/>
      <c r="TN215" s="5"/>
      <c r="TO215" s="5"/>
      <c r="TP215" s="5"/>
      <c r="TQ215" s="5"/>
      <c r="TR215" s="5"/>
      <c r="TS215" s="5"/>
      <c r="TT215" s="5"/>
      <c r="TU215" s="5"/>
      <c r="TV215" s="5"/>
      <c r="TW215" s="5"/>
      <c r="TX215" s="5"/>
      <c r="TY215" s="5"/>
      <c r="TZ215" s="5"/>
      <c r="UA215" s="5"/>
      <c r="UB215" s="5"/>
      <c r="UC215" s="5"/>
      <c r="UD215" s="5"/>
      <c r="UE215" s="5"/>
      <c r="UF215" s="5"/>
      <c r="UG215" s="5"/>
      <c r="UH215" s="5"/>
      <c r="UI215" s="5"/>
      <c r="UJ215" s="5"/>
      <c r="UK215" s="5"/>
      <c r="UL215" s="5"/>
      <c r="UM215" s="5"/>
      <c r="UN215" s="5"/>
      <c r="UO215" s="5"/>
      <c r="UP215" s="5"/>
      <c r="UQ215" s="5"/>
      <c r="UR215" s="5"/>
      <c r="US215" s="5"/>
      <c r="UT215" s="5"/>
      <c r="UU215" s="5"/>
      <c r="UV215" s="5"/>
      <c r="UW215" s="5"/>
      <c r="UX215" s="5"/>
      <c r="UY215" s="5"/>
      <c r="UZ215" s="5"/>
      <c r="VA215" s="5"/>
      <c r="VB215" s="5"/>
      <c r="VC215" s="5"/>
      <c r="VD215" s="5"/>
      <c r="VE215" s="5"/>
      <c r="VF215" s="5"/>
      <c r="VG215" s="5"/>
      <c r="VH215" s="5"/>
      <c r="VI215" s="5"/>
      <c r="VJ215" s="5"/>
      <c r="VK215" s="5"/>
      <c r="VL215" s="5"/>
      <c r="VM215" s="5"/>
      <c r="VN215" s="5"/>
      <c r="VO215" s="5"/>
      <c r="VP215" s="5"/>
      <c r="VQ215" s="5"/>
      <c r="VR215" s="5"/>
      <c r="VS215" s="5"/>
      <c r="VT215" s="5"/>
      <c r="VU215" s="5"/>
      <c r="VV215" s="5"/>
      <c r="VW215" s="5"/>
      <c r="VX215" s="5"/>
      <c r="VY215" s="5"/>
      <c r="VZ215" s="5"/>
      <c r="WA215" s="5"/>
      <c r="WB215" s="5"/>
      <c r="WC215" s="5"/>
      <c r="WD215" s="5"/>
      <c r="WE215" s="5"/>
      <c r="WF215" s="5"/>
      <c r="WG215" s="5"/>
      <c r="WH215" s="5"/>
      <c r="WI215" s="5"/>
      <c r="WJ215" s="5"/>
      <c r="WK215" s="5"/>
      <c r="WL215" s="5"/>
      <c r="WM215" s="5"/>
      <c r="WN215" s="5"/>
      <c r="WO215" s="5"/>
      <c r="WP215" s="5"/>
      <c r="WQ215" s="5"/>
      <c r="WR215" s="5"/>
      <c r="WS215" s="5"/>
      <c r="WT215" s="5"/>
      <c r="WU215" s="5"/>
      <c r="WV215" s="5"/>
      <c r="WW215" s="5"/>
      <c r="WX215" s="5"/>
      <c r="WY215" s="5"/>
      <c r="WZ215" s="5"/>
      <c r="XA215" s="5"/>
      <c r="XB215" s="5"/>
      <c r="XC215" s="5"/>
      <c r="XD215" s="5"/>
      <c r="XE215" s="5"/>
      <c r="XF215" s="5"/>
      <c r="XG215" s="5"/>
      <c r="XH215" s="5"/>
      <c r="XI215" s="5"/>
      <c r="XJ215" s="5"/>
      <c r="XK215" s="5"/>
      <c r="XL215" s="5"/>
      <c r="XM215" s="5"/>
      <c r="XN215" s="5"/>
      <c r="XO215" s="5"/>
      <c r="XP215" s="5"/>
      <c r="XQ215" s="5"/>
      <c r="XR215" s="5"/>
      <c r="XS215" s="5"/>
      <c r="XT215" s="5"/>
      <c r="XU215" s="5"/>
      <c r="XV215" s="5"/>
      <c r="XW215" s="5"/>
      <c r="XX215" s="5"/>
      <c r="XY215" s="5"/>
      <c r="XZ215" s="5"/>
      <c r="YA215" s="5"/>
      <c r="YB215" s="5"/>
      <c r="YC215" s="5"/>
      <c r="YD215" s="5"/>
      <c r="YE215" s="5"/>
      <c r="YF215" s="5"/>
      <c r="YG215" s="5"/>
      <c r="YH215" s="5"/>
      <c r="YI215" s="5"/>
      <c r="YJ215" s="5"/>
      <c r="YK215" s="5"/>
      <c r="YL215" s="5"/>
      <c r="YM215" s="5"/>
      <c r="YN215" s="5"/>
      <c r="YO215" s="5"/>
      <c r="YP215" s="5"/>
      <c r="YQ215" s="5"/>
      <c r="YR215" s="5"/>
      <c r="YS215" s="5"/>
      <c r="YT215" s="5"/>
      <c r="YU215" s="5"/>
      <c r="YV215" s="5"/>
      <c r="YW215" s="5"/>
      <c r="YX215" s="5"/>
      <c r="YY215" s="5"/>
      <c r="YZ215" s="5"/>
    </row>
    <row r="216" spans="1:676">
      <c r="A216" s="7">
        <v>206</v>
      </c>
      <c r="B216" s="7" t="s">
        <v>498</v>
      </c>
      <c r="C216" s="10" t="s">
        <v>499</v>
      </c>
      <c r="D216" s="7" t="s">
        <v>380</v>
      </c>
      <c r="E216" s="7" t="s">
        <v>335</v>
      </c>
      <c r="F216" s="7" t="s">
        <v>415</v>
      </c>
      <c r="G216" s="7"/>
      <c r="H216" s="7" t="s">
        <v>48</v>
      </c>
      <c r="I216" s="11">
        <v>2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3">
        <v>2</v>
      </c>
      <c r="X216" s="13">
        <v>0</v>
      </c>
      <c r="Y216" s="13" t="str">
        <f>MIN(W216,S216)</f>
        <v>0</v>
      </c>
      <c r="Z216" s="13" t="str">
        <f>MIN(X216,(S216-Y216))</f>
        <v>0</v>
      </c>
      <c r="AA216" s="13" t="str">
        <f>S216-SUM(Y216,Z216)</f>
        <v>0</v>
      </c>
      <c r="AB216" s="15"/>
      <c r="AC216" s="15"/>
      <c r="AD216" s="1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/>
      <c r="MY216" s="5"/>
      <c r="MZ216" s="5"/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5"/>
      <c r="OI216" s="5"/>
      <c r="OJ216" s="5"/>
      <c r="OK216" s="5"/>
      <c r="OL216" s="5"/>
      <c r="OM216" s="5"/>
      <c r="ON216" s="5"/>
      <c r="OO216" s="5"/>
      <c r="OP216" s="5"/>
      <c r="OQ216" s="5"/>
      <c r="OR216" s="5"/>
      <c r="OS216" s="5"/>
      <c r="OT216" s="5"/>
      <c r="OU216" s="5"/>
      <c r="OV216" s="5"/>
      <c r="OW216" s="5"/>
      <c r="OX216" s="5"/>
      <c r="OY216" s="5"/>
      <c r="OZ216" s="5"/>
      <c r="PA216" s="5"/>
      <c r="PB216" s="5"/>
      <c r="PC216" s="5"/>
      <c r="PD216" s="5"/>
      <c r="PE216" s="5"/>
      <c r="PF216" s="5"/>
      <c r="PG216" s="5"/>
      <c r="PH216" s="5"/>
      <c r="PI216" s="5"/>
      <c r="PJ216" s="5"/>
      <c r="PK216" s="5"/>
      <c r="PL216" s="5"/>
      <c r="PM216" s="5"/>
      <c r="PN216" s="5"/>
      <c r="PO216" s="5"/>
      <c r="PP216" s="5"/>
      <c r="PQ216" s="5"/>
      <c r="PR216" s="5"/>
      <c r="PS216" s="5"/>
      <c r="PT216" s="5"/>
      <c r="PU216" s="5"/>
      <c r="PV216" s="5"/>
      <c r="PW216" s="5"/>
      <c r="PX216" s="5"/>
      <c r="PY216" s="5"/>
      <c r="PZ216" s="5"/>
      <c r="QA216" s="5"/>
      <c r="QB216" s="5"/>
      <c r="QC216" s="5"/>
      <c r="QD216" s="5"/>
      <c r="QE216" s="5"/>
      <c r="QF216" s="5"/>
      <c r="QG216" s="5"/>
      <c r="QH216" s="5"/>
      <c r="QI216" s="5"/>
      <c r="QJ216" s="5"/>
      <c r="QK216" s="5"/>
      <c r="QL216" s="5"/>
      <c r="QM216" s="5"/>
      <c r="QN216" s="5"/>
      <c r="QO216" s="5"/>
      <c r="QP216" s="5"/>
      <c r="QQ216" s="5"/>
      <c r="QR216" s="5"/>
      <c r="QS216" s="5"/>
      <c r="QT216" s="5"/>
      <c r="QU216" s="5"/>
      <c r="QV216" s="5"/>
      <c r="QW216" s="5"/>
      <c r="QX216" s="5"/>
      <c r="QY216" s="5"/>
      <c r="QZ216" s="5"/>
      <c r="RA216" s="5"/>
      <c r="RB216" s="5"/>
      <c r="RC216" s="5"/>
      <c r="RD216" s="5"/>
      <c r="RE216" s="5"/>
      <c r="RF216" s="5"/>
      <c r="RG216" s="5"/>
      <c r="RH216" s="5"/>
      <c r="RI216" s="5"/>
      <c r="RJ216" s="5"/>
      <c r="RK216" s="5"/>
      <c r="RL216" s="5"/>
      <c r="RM216" s="5"/>
      <c r="RN216" s="5"/>
      <c r="RO216" s="5"/>
      <c r="RP216" s="5"/>
      <c r="RQ216" s="5"/>
      <c r="RR216" s="5"/>
      <c r="RS216" s="5"/>
      <c r="RT216" s="5"/>
      <c r="RU216" s="5"/>
      <c r="RV216" s="5"/>
      <c r="RW216" s="5"/>
      <c r="RX216" s="5"/>
      <c r="RY216" s="5"/>
      <c r="RZ216" s="5"/>
      <c r="SA216" s="5"/>
      <c r="SB216" s="5"/>
      <c r="SC216" s="5"/>
      <c r="SD216" s="5"/>
      <c r="SE216" s="5"/>
      <c r="SF216" s="5"/>
      <c r="SG216" s="5"/>
      <c r="SH216" s="5"/>
      <c r="SI216" s="5"/>
      <c r="SJ216" s="5"/>
      <c r="SK216" s="5"/>
      <c r="SL216" s="5"/>
      <c r="SM216" s="5"/>
      <c r="SN216" s="5"/>
      <c r="SO216" s="5"/>
      <c r="SP216" s="5"/>
      <c r="SQ216" s="5"/>
      <c r="SR216" s="5"/>
      <c r="SS216" s="5"/>
      <c r="ST216" s="5"/>
      <c r="SU216" s="5"/>
      <c r="SV216" s="5"/>
      <c r="SW216" s="5"/>
      <c r="SX216" s="5"/>
      <c r="SY216" s="5"/>
      <c r="SZ216" s="5"/>
      <c r="TA216" s="5"/>
      <c r="TB216" s="5"/>
      <c r="TC216" s="5"/>
      <c r="TD216" s="5"/>
      <c r="TE216" s="5"/>
      <c r="TF216" s="5"/>
      <c r="TG216" s="5"/>
      <c r="TH216" s="5"/>
      <c r="TI216" s="5"/>
      <c r="TJ216" s="5"/>
      <c r="TK216" s="5"/>
      <c r="TL216" s="5"/>
      <c r="TM216" s="5"/>
      <c r="TN216" s="5"/>
      <c r="TO216" s="5"/>
      <c r="TP216" s="5"/>
      <c r="TQ216" s="5"/>
      <c r="TR216" s="5"/>
      <c r="TS216" s="5"/>
      <c r="TT216" s="5"/>
      <c r="TU216" s="5"/>
      <c r="TV216" s="5"/>
      <c r="TW216" s="5"/>
      <c r="TX216" s="5"/>
      <c r="TY216" s="5"/>
      <c r="TZ216" s="5"/>
      <c r="UA216" s="5"/>
      <c r="UB216" s="5"/>
      <c r="UC216" s="5"/>
      <c r="UD216" s="5"/>
      <c r="UE216" s="5"/>
      <c r="UF216" s="5"/>
      <c r="UG216" s="5"/>
      <c r="UH216" s="5"/>
      <c r="UI216" s="5"/>
      <c r="UJ216" s="5"/>
      <c r="UK216" s="5"/>
      <c r="UL216" s="5"/>
      <c r="UM216" s="5"/>
      <c r="UN216" s="5"/>
      <c r="UO216" s="5"/>
      <c r="UP216" s="5"/>
      <c r="UQ216" s="5"/>
      <c r="UR216" s="5"/>
      <c r="US216" s="5"/>
      <c r="UT216" s="5"/>
      <c r="UU216" s="5"/>
      <c r="UV216" s="5"/>
      <c r="UW216" s="5"/>
      <c r="UX216" s="5"/>
      <c r="UY216" s="5"/>
      <c r="UZ216" s="5"/>
      <c r="VA216" s="5"/>
      <c r="VB216" s="5"/>
      <c r="VC216" s="5"/>
      <c r="VD216" s="5"/>
      <c r="VE216" s="5"/>
      <c r="VF216" s="5"/>
      <c r="VG216" s="5"/>
      <c r="VH216" s="5"/>
      <c r="VI216" s="5"/>
      <c r="VJ216" s="5"/>
      <c r="VK216" s="5"/>
      <c r="VL216" s="5"/>
      <c r="VM216" s="5"/>
      <c r="VN216" s="5"/>
      <c r="VO216" s="5"/>
      <c r="VP216" s="5"/>
      <c r="VQ216" s="5"/>
      <c r="VR216" s="5"/>
      <c r="VS216" s="5"/>
      <c r="VT216" s="5"/>
      <c r="VU216" s="5"/>
      <c r="VV216" s="5"/>
      <c r="VW216" s="5"/>
      <c r="VX216" s="5"/>
      <c r="VY216" s="5"/>
      <c r="VZ216" s="5"/>
      <c r="WA216" s="5"/>
      <c r="WB216" s="5"/>
      <c r="WC216" s="5"/>
      <c r="WD216" s="5"/>
      <c r="WE216" s="5"/>
      <c r="WF216" s="5"/>
      <c r="WG216" s="5"/>
      <c r="WH216" s="5"/>
      <c r="WI216" s="5"/>
      <c r="WJ216" s="5"/>
      <c r="WK216" s="5"/>
      <c r="WL216" s="5"/>
      <c r="WM216" s="5"/>
      <c r="WN216" s="5"/>
      <c r="WO216" s="5"/>
      <c r="WP216" s="5"/>
      <c r="WQ216" s="5"/>
      <c r="WR216" s="5"/>
      <c r="WS216" s="5"/>
      <c r="WT216" s="5"/>
      <c r="WU216" s="5"/>
      <c r="WV216" s="5"/>
      <c r="WW216" s="5"/>
      <c r="WX216" s="5"/>
      <c r="WY216" s="5"/>
      <c r="WZ216" s="5"/>
      <c r="XA216" s="5"/>
      <c r="XB216" s="5"/>
      <c r="XC216" s="5"/>
      <c r="XD216" s="5"/>
      <c r="XE216" s="5"/>
      <c r="XF216" s="5"/>
      <c r="XG216" s="5"/>
      <c r="XH216" s="5"/>
      <c r="XI216" s="5"/>
      <c r="XJ216" s="5"/>
      <c r="XK216" s="5"/>
      <c r="XL216" s="5"/>
      <c r="XM216" s="5"/>
      <c r="XN216" s="5"/>
      <c r="XO216" s="5"/>
      <c r="XP216" s="5"/>
      <c r="XQ216" s="5"/>
      <c r="XR216" s="5"/>
      <c r="XS216" s="5"/>
      <c r="XT216" s="5"/>
      <c r="XU216" s="5"/>
      <c r="XV216" s="5"/>
      <c r="XW216" s="5"/>
      <c r="XX216" s="5"/>
      <c r="XY216" s="5"/>
      <c r="XZ216" s="5"/>
      <c r="YA216" s="5"/>
      <c r="YB216" s="5"/>
      <c r="YC216" s="5"/>
      <c r="YD216" s="5"/>
      <c r="YE216" s="5"/>
      <c r="YF216" s="5"/>
      <c r="YG216" s="5"/>
      <c r="YH216" s="5"/>
      <c r="YI216" s="5"/>
      <c r="YJ216" s="5"/>
      <c r="YK216" s="5"/>
      <c r="YL216" s="5"/>
      <c r="YM216" s="5"/>
      <c r="YN216" s="5"/>
      <c r="YO216" s="5"/>
      <c r="YP216" s="5"/>
      <c r="YQ216" s="5"/>
      <c r="YR216" s="5"/>
      <c r="YS216" s="5"/>
      <c r="YT216" s="5"/>
      <c r="YU216" s="5"/>
      <c r="YV216" s="5"/>
      <c r="YW216" s="5"/>
      <c r="YX216" s="5"/>
      <c r="YY216" s="5"/>
      <c r="YZ216" s="5"/>
    </row>
    <row r="217" spans="1:676">
      <c r="A217" s="7">
        <v>207</v>
      </c>
      <c r="B217" s="7" t="s">
        <v>500</v>
      </c>
      <c r="C217" s="10" t="s">
        <v>501</v>
      </c>
      <c r="D217" s="7" t="s">
        <v>46</v>
      </c>
      <c r="E217" s="7" t="s">
        <v>268</v>
      </c>
      <c r="F217" s="7" t="s">
        <v>403</v>
      </c>
      <c r="G217" s="7"/>
      <c r="H217" s="7"/>
      <c r="I217" s="11">
        <v>2</v>
      </c>
      <c r="J217" s="11">
        <v>3</v>
      </c>
      <c r="K217" s="11">
        <v>0</v>
      </c>
      <c r="L217" s="11">
        <v>0.12</v>
      </c>
      <c r="M217" s="11">
        <v>0.08</v>
      </c>
      <c r="N217" s="11">
        <v>0</v>
      </c>
      <c r="O217" s="11">
        <v>0</v>
      </c>
      <c r="P217" s="11">
        <v>0</v>
      </c>
      <c r="Q217" s="11">
        <v>0.2</v>
      </c>
      <c r="R217" s="11">
        <v>0</v>
      </c>
      <c r="S217" s="11">
        <v>0.2</v>
      </c>
      <c r="T217" s="11">
        <v>0.2</v>
      </c>
      <c r="U217" s="11">
        <v>0</v>
      </c>
      <c r="V217" s="11">
        <v>0</v>
      </c>
      <c r="W217" s="13">
        <v>2</v>
      </c>
      <c r="X217" s="13">
        <v>3</v>
      </c>
      <c r="Y217" s="13" t="str">
        <f>MIN(W217,S217)</f>
        <v>0</v>
      </c>
      <c r="Z217" s="13" t="str">
        <f>MIN(X217,(S217-Y217))</f>
        <v>0</v>
      </c>
      <c r="AA217" s="13" t="str">
        <f>S217-SUM(Y217,Z217)</f>
        <v>0</v>
      </c>
      <c r="AB217" s="15"/>
      <c r="AC217" s="15"/>
      <c r="AD217" s="1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/>
      <c r="MY217" s="5"/>
      <c r="MZ217" s="5"/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5"/>
      <c r="OI217" s="5"/>
      <c r="OJ217" s="5"/>
      <c r="OK217" s="5"/>
      <c r="OL217" s="5"/>
      <c r="OM217" s="5"/>
      <c r="ON217" s="5"/>
      <c r="OO217" s="5"/>
      <c r="OP217" s="5"/>
      <c r="OQ217" s="5"/>
      <c r="OR217" s="5"/>
      <c r="OS217" s="5"/>
      <c r="OT217" s="5"/>
      <c r="OU217" s="5"/>
      <c r="OV217" s="5"/>
      <c r="OW217" s="5"/>
      <c r="OX217" s="5"/>
      <c r="OY217" s="5"/>
      <c r="OZ217" s="5"/>
      <c r="PA217" s="5"/>
      <c r="PB217" s="5"/>
      <c r="PC217" s="5"/>
      <c r="PD217" s="5"/>
      <c r="PE217" s="5"/>
      <c r="PF217" s="5"/>
      <c r="PG217" s="5"/>
      <c r="PH217" s="5"/>
      <c r="PI217" s="5"/>
      <c r="PJ217" s="5"/>
      <c r="PK217" s="5"/>
      <c r="PL217" s="5"/>
      <c r="PM217" s="5"/>
      <c r="PN217" s="5"/>
      <c r="PO217" s="5"/>
      <c r="PP217" s="5"/>
      <c r="PQ217" s="5"/>
      <c r="PR217" s="5"/>
      <c r="PS217" s="5"/>
      <c r="PT217" s="5"/>
      <c r="PU217" s="5"/>
      <c r="PV217" s="5"/>
      <c r="PW217" s="5"/>
      <c r="PX217" s="5"/>
      <c r="PY217" s="5"/>
      <c r="PZ217" s="5"/>
      <c r="QA217" s="5"/>
      <c r="QB217" s="5"/>
      <c r="QC217" s="5"/>
      <c r="QD217" s="5"/>
      <c r="QE217" s="5"/>
      <c r="QF217" s="5"/>
      <c r="QG217" s="5"/>
      <c r="QH217" s="5"/>
      <c r="QI217" s="5"/>
      <c r="QJ217" s="5"/>
      <c r="QK217" s="5"/>
      <c r="QL217" s="5"/>
      <c r="QM217" s="5"/>
      <c r="QN217" s="5"/>
      <c r="QO217" s="5"/>
      <c r="QP217" s="5"/>
      <c r="QQ217" s="5"/>
      <c r="QR217" s="5"/>
      <c r="QS217" s="5"/>
      <c r="QT217" s="5"/>
      <c r="QU217" s="5"/>
      <c r="QV217" s="5"/>
      <c r="QW217" s="5"/>
      <c r="QX217" s="5"/>
      <c r="QY217" s="5"/>
      <c r="QZ217" s="5"/>
      <c r="RA217" s="5"/>
      <c r="RB217" s="5"/>
      <c r="RC217" s="5"/>
      <c r="RD217" s="5"/>
      <c r="RE217" s="5"/>
      <c r="RF217" s="5"/>
      <c r="RG217" s="5"/>
      <c r="RH217" s="5"/>
      <c r="RI217" s="5"/>
      <c r="RJ217" s="5"/>
      <c r="RK217" s="5"/>
      <c r="RL217" s="5"/>
      <c r="RM217" s="5"/>
      <c r="RN217" s="5"/>
      <c r="RO217" s="5"/>
      <c r="RP217" s="5"/>
      <c r="RQ217" s="5"/>
      <c r="RR217" s="5"/>
      <c r="RS217" s="5"/>
      <c r="RT217" s="5"/>
      <c r="RU217" s="5"/>
      <c r="RV217" s="5"/>
      <c r="RW217" s="5"/>
      <c r="RX217" s="5"/>
      <c r="RY217" s="5"/>
      <c r="RZ217" s="5"/>
      <c r="SA217" s="5"/>
      <c r="SB217" s="5"/>
      <c r="SC217" s="5"/>
      <c r="SD217" s="5"/>
      <c r="SE217" s="5"/>
      <c r="SF217" s="5"/>
      <c r="SG217" s="5"/>
      <c r="SH217" s="5"/>
      <c r="SI217" s="5"/>
      <c r="SJ217" s="5"/>
      <c r="SK217" s="5"/>
      <c r="SL217" s="5"/>
      <c r="SM217" s="5"/>
      <c r="SN217" s="5"/>
      <c r="SO217" s="5"/>
      <c r="SP217" s="5"/>
      <c r="SQ217" s="5"/>
      <c r="SR217" s="5"/>
      <c r="SS217" s="5"/>
      <c r="ST217" s="5"/>
      <c r="SU217" s="5"/>
      <c r="SV217" s="5"/>
      <c r="SW217" s="5"/>
      <c r="SX217" s="5"/>
      <c r="SY217" s="5"/>
      <c r="SZ217" s="5"/>
      <c r="TA217" s="5"/>
      <c r="TB217" s="5"/>
      <c r="TC217" s="5"/>
      <c r="TD217" s="5"/>
      <c r="TE217" s="5"/>
      <c r="TF217" s="5"/>
      <c r="TG217" s="5"/>
      <c r="TH217" s="5"/>
      <c r="TI217" s="5"/>
      <c r="TJ217" s="5"/>
      <c r="TK217" s="5"/>
      <c r="TL217" s="5"/>
      <c r="TM217" s="5"/>
      <c r="TN217" s="5"/>
      <c r="TO217" s="5"/>
      <c r="TP217" s="5"/>
      <c r="TQ217" s="5"/>
      <c r="TR217" s="5"/>
      <c r="TS217" s="5"/>
      <c r="TT217" s="5"/>
      <c r="TU217" s="5"/>
      <c r="TV217" s="5"/>
      <c r="TW217" s="5"/>
      <c r="TX217" s="5"/>
      <c r="TY217" s="5"/>
      <c r="TZ217" s="5"/>
      <c r="UA217" s="5"/>
      <c r="UB217" s="5"/>
      <c r="UC217" s="5"/>
      <c r="UD217" s="5"/>
      <c r="UE217" s="5"/>
      <c r="UF217" s="5"/>
      <c r="UG217" s="5"/>
      <c r="UH217" s="5"/>
      <c r="UI217" s="5"/>
      <c r="UJ217" s="5"/>
      <c r="UK217" s="5"/>
      <c r="UL217" s="5"/>
      <c r="UM217" s="5"/>
      <c r="UN217" s="5"/>
      <c r="UO217" s="5"/>
      <c r="UP217" s="5"/>
      <c r="UQ217" s="5"/>
      <c r="UR217" s="5"/>
      <c r="US217" s="5"/>
      <c r="UT217" s="5"/>
      <c r="UU217" s="5"/>
      <c r="UV217" s="5"/>
      <c r="UW217" s="5"/>
      <c r="UX217" s="5"/>
      <c r="UY217" s="5"/>
      <c r="UZ217" s="5"/>
      <c r="VA217" s="5"/>
      <c r="VB217" s="5"/>
      <c r="VC217" s="5"/>
      <c r="VD217" s="5"/>
      <c r="VE217" s="5"/>
      <c r="VF217" s="5"/>
      <c r="VG217" s="5"/>
      <c r="VH217" s="5"/>
      <c r="VI217" s="5"/>
      <c r="VJ217" s="5"/>
      <c r="VK217" s="5"/>
      <c r="VL217" s="5"/>
      <c r="VM217" s="5"/>
      <c r="VN217" s="5"/>
      <c r="VO217" s="5"/>
      <c r="VP217" s="5"/>
      <c r="VQ217" s="5"/>
      <c r="VR217" s="5"/>
      <c r="VS217" s="5"/>
      <c r="VT217" s="5"/>
      <c r="VU217" s="5"/>
      <c r="VV217" s="5"/>
      <c r="VW217" s="5"/>
      <c r="VX217" s="5"/>
      <c r="VY217" s="5"/>
      <c r="VZ217" s="5"/>
      <c r="WA217" s="5"/>
      <c r="WB217" s="5"/>
      <c r="WC217" s="5"/>
      <c r="WD217" s="5"/>
      <c r="WE217" s="5"/>
      <c r="WF217" s="5"/>
      <c r="WG217" s="5"/>
      <c r="WH217" s="5"/>
      <c r="WI217" s="5"/>
      <c r="WJ217" s="5"/>
      <c r="WK217" s="5"/>
      <c r="WL217" s="5"/>
      <c r="WM217" s="5"/>
      <c r="WN217" s="5"/>
      <c r="WO217" s="5"/>
      <c r="WP217" s="5"/>
      <c r="WQ217" s="5"/>
      <c r="WR217" s="5"/>
      <c r="WS217" s="5"/>
      <c r="WT217" s="5"/>
      <c r="WU217" s="5"/>
      <c r="WV217" s="5"/>
      <c r="WW217" s="5"/>
      <c r="WX217" s="5"/>
      <c r="WY217" s="5"/>
      <c r="WZ217" s="5"/>
      <c r="XA217" s="5"/>
      <c r="XB217" s="5"/>
      <c r="XC217" s="5"/>
      <c r="XD217" s="5"/>
      <c r="XE217" s="5"/>
      <c r="XF217" s="5"/>
      <c r="XG217" s="5"/>
      <c r="XH217" s="5"/>
      <c r="XI217" s="5"/>
      <c r="XJ217" s="5"/>
      <c r="XK217" s="5"/>
      <c r="XL217" s="5"/>
      <c r="XM217" s="5"/>
      <c r="XN217" s="5"/>
      <c r="XO217" s="5"/>
      <c r="XP217" s="5"/>
      <c r="XQ217" s="5"/>
      <c r="XR217" s="5"/>
      <c r="XS217" s="5"/>
      <c r="XT217" s="5"/>
      <c r="XU217" s="5"/>
      <c r="XV217" s="5"/>
      <c r="XW217" s="5"/>
      <c r="XX217" s="5"/>
      <c r="XY217" s="5"/>
      <c r="XZ217" s="5"/>
      <c r="YA217" s="5"/>
      <c r="YB217" s="5"/>
      <c r="YC217" s="5"/>
      <c r="YD217" s="5"/>
      <c r="YE217" s="5"/>
      <c r="YF217" s="5"/>
      <c r="YG217" s="5"/>
      <c r="YH217" s="5"/>
      <c r="YI217" s="5"/>
      <c r="YJ217" s="5"/>
      <c r="YK217" s="5"/>
      <c r="YL217" s="5"/>
      <c r="YM217" s="5"/>
      <c r="YN217" s="5"/>
      <c r="YO217" s="5"/>
      <c r="YP217" s="5"/>
      <c r="YQ217" s="5"/>
      <c r="YR217" s="5"/>
      <c r="YS217" s="5"/>
      <c r="YT217" s="5"/>
      <c r="YU217" s="5"/>
      <c r="YV217" s="5"/>
      <c r="YW217" s="5"/>
      <c r="YX217" s="5"/>
      <c r="YY217" s="5"/>
      <c r="YZ217" s="5"/>
    </row>
    <row r="218" spans="1:676">
      <c r="A218" s="7">
        <v>208</v>
      </c>
      <c r="B218" s="7" t="s">
        <v>502</v>
      </c>
      <c r="C218" s="10" t="s">
        <v>503</v>
      </c>
      <c r="D218" s="7" t="s">
        <v>267</v>
      </c>
      <c r="E218" s="7" t="s">
        <v>268</v>
      </c>
      <c r="F218" s="7" t="s">
        <v>403</v>
      </c>
      <c r="G218" s="7"/>
      <c r="H218" s="7"/>
      <c r="I218" s="11">
        <v>2</v>
      </c>
      <c r="J218" s="11">
        <v>3</v>
      </c>
      <c r="K218" s="11">
        <v>0</v>
      </c>
      <c r="L218" s="11">
        <v>0</v>
      </c>
      <c r="M218" s="11">
        <v>0</v>
      </c>
      <c r="N218" s="11">
        <v>0</v>
      </c>
      <c r="O218" s="11">
        <v>0.12</v>
      </c>
      <c r="P218" s="11">
        <v>0</v>
      </c>
      <c r="Q218" s="11">
        <v>0.12</v>
      </c>
      <c r="R218" s="11">
        <v>0</v>
      </c>
      <c r="S218" s="11">
        <v>0.12</v>
      </c>
      <c r="T218" s="11">
        <v>0.12</v>
      </c>
      <c r="U218" s="11">
        <v>0</v>
      </c>
      <c r="V218" s="11">
        <v>0</v>
      </c>
      <c r="W218" s="13">
        <v>2</v>
      </c>
      <c r="X218" s="13">
        <v>3</v>
      </c>
      <c r="Y218" s="13" t="str">
        <f>MIN(W218,S218)</f>
        <v>0</v>
      </c>
      <c r="Z218" s="13" t="str">
        <f>MIN(X218,(S218-Y218))</f>
        <v>0</v>
      </c>
      <c r="AA218" s="13" t="str">
        <f>S218-SUM(Y218,Z218)</f>
        <v>0</v>
      </c>
      <c r="AB218" s="15"/>
      <c r="AC218" s="15"/>
      <c r="AD218" s="1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/>
      <c r="MY218" s="5"/>
      <c r="MZ218" s="5"/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5"/>
      <c r="OI218" s="5"/>
      <c r="OJ218" s="5"/>
      <c r="OK218" s="5"/>
      <c r="OL218" s="5"/>
      <c r="OM218" s="5"/>
      <c r="ON218" s="5"/>
      <c r="OO218" s="5"/>
      <c r="OP218" s="5"/>
      <c r="OQ218" s="5"/>
      <c r="OR218" s="5"/>
      <c r="OS218" s="5"/>
      <c r="OT218" s="5"/>
      <c r="OU218" s="5"/>
      <c r="OV218" s="5"/>
      <c r="OW218" s="5"/>
      <c r="OX218" s="5"/>
      <c r="OY218" s="5"/>
      <c r="OZ218" s="5"/>
      <c r="PA218" s="5"/>
      <c r="PB218" s="5"/>
      <c r="PC218" s="5"/>
      <c r="PD218" s="5"/>
      <c r="PE218" s="5"/>
      <c r="PF218" s="5"/>
      <c r="PG218" s="5"/>
      <c r="PH218" s="5"/>
      <c r="PI218" s="5"/>
      <c r="PJ218" s="5"/>
      <c r="PK218" s="5"/>
      <c r="PL218" s="5"/>
      <c r="PM218" s="5"/>
      <c r="PN218" s="5"/>
      <c r="PO218" s="5"/>
      <c r="PP218" s="5"/>
      <c r="PQ218" s="5"/>
      <c r="PR218" s="5"/>
      <c r="PS218" s="5"/>
      <c r="PT218" s="5"/>
      <c r="PU218" s="5"/>
      <c r="PV218" s="5"/>
      <c r="PW218" s="5"/>
      <c r="PX218" s="5"/>
      <c r="PY218" s="5"/>
      <c r="PZ218" s="5"/>
      <c r="QA218" s="5"/>
      <c r="QB218" s="5"/>
      <c r="QC218" s="5"/>
      <c r="QD218" s="5"/>
      <c r="QE218" s="5"/>
      <c r="QF218" s="5"/>
      <c r="QG218" s="5"/>
      <c r="QH218" s="5"/>
      <c r="QI218" s="5"/>
      <c r="QJ218" s="5"/>
      <c r="QK218" s="5"/>
      <c r="QL218" s="5"/>
      <c r="QM218" s="5"/>
      <c r="QN218" s="5"/>
      <c r="QO218" s="5"/>
      <c r="QP218" s="5"/>
      <c r="QQ218" s="5"/>
      <c r="QR218" s="5"/>
      <c r="QS218" s="5"/>
      <c r="QT218" s="5"/>
      <c r="QU218" s="5"/>
      <c r="QV218" s="5"/>
      <c r="QW218" s="5"/>
      <c r="QX218" s="5"/>
      <c r="QY218" s="5"/>
      <c r="QZ218" s="5"/>
      <c r="RA218" s="5"/>
      <c r="RB218" s="5"/>
      <c r="RC218" s="5"/>
      <c r="RD218" s="5"/>
      <c r="RE218" s="5"/>
      <c r="RF218" s="5"/>
      <c r="RG218" s="5"/>
      <c r="RH218" s="5"/>
      <c r="RI218" s="5"/>
      <c r="RJ218" s="5"/>
      <c r="RK218" s="5"/>
      <c r="RL218" s="5"/>
      <c r="RM218" s="5"/>
      <c r="RN218" s="5"/>
      <c r="RO218" s="5"/>
      <c r="RP218" s="5"/>
      <c r="RQ218" s="5"/>
      <c r="RR218" s="5"/>
      <c r="RS218" s="5"/>
      <c r="RT218" s="5"/>
      <c r="RU218" s="5"/>
      <c r="RV218" s="5"/>
      <c r="RW218" s="5"/>
      <c r="RX218" s="5"/>
      <c r="RY218" s="5"/>
      <c r="RZ218" s="5"/>
      <c r="SA218" s="5"/>
      <c r="SB218" s="5"/>
      <c r="SC218" s="5"/>
      <c r="SD218" s="5"/>
      <c r="SE218" s="5"/>
      <c r="SF218" s="5"/>
      <c r="SG218" s="5"/>
      <c r="SH218" s="5"/>
      <c r="SI218" s="5"/>
      <c r="SJ218" s="5"/>
      <c r="SK218" s="5"/>
      <c r="SL218" s="5"/>
      <c r="SM218" s="5"/>
      <c r="SN218" s="5"/>
      <c r="SO218" s="5"/>
      <c r="SP218" s="5"/>
      <c r="SQ218" s="5"/>
      <c r="SR218" s="5"/>
      <c r="SS218" s="5"/>
      <c r="ST218" s="5"/>
      <c r="SU218" s="5"/>
      <c r="SV218" s="5"/>
      <c r="SW218" s="5"/>
      <c r="SX218" s="5"/>
      <c r="SY218" s="5"/>
      <c r="SZ218" s="5"/>
      <c r="TA218" s="5"/>
      <c r="TB218" s="5"/>
      <c r="TC218" s="5"/>
      <c r="TD218" s="5"/>
      <c r="TE218" s="5"/>
      <c r="TF218" s="5"/>
      <c r="TG218" s="5"/>
      <c r="TH218" s="5"/>
      <c r="TI218" s="5"/>
      <c r="TJ218" s="5"/>
      <c r="TK218" s="5"/>
      <c r="TL218" s="5"/>
      <c r="TM218" s="5"/>
      <c r="TN218" s="5"/>
      <c r="TO218" s="5"/>
      <c r="TP218" s="5"/>
      <c r="TQ218" s="5"/>
      <c r="TR218" s="5"/>
      <c r="TS218" s="5"/>
      <c r="TT218" s="5"/>
      <c r="TU218" s="5"/>
      <c r="TV218" s="5"/>
      <c r="TW218" s="5"/>
      <c r="TX218" s="5"/>
      <c r="TY218" s="5"/>
      <c r="TZ218" s="5"/>
      <c r="UA218" s="5"/>
      <c r="UB218" s="5"/>
      <c r="UC218" s="5"/>
      <c r="UD218" s="5"/>
      <c r="UE218" s="5"/>
      <c r="UF218" s="5"/>
      <c r="UG218" s="5"/>
      <c r="UH218" s="5"/>
      <c r="UI218" s="5"/>
      <c r="UJ218" s="5"/>
      <c r="UK218" s="5"/>
      <c r="UL218" s="5"/>
      <c r="UM218" s="5"/>
      <c r="UN218" s="5"/>
      <c r="UO218" s="5"/>
      <c r="UP218" s="5"/>
      <c r="UQ218" s="5"/>
      <c r="UR218" s="5"/>
      <c r="US218" s="5"/>
      <c r="UT218" s="5"/>
      <c r="UU218" s="5"/>
      <c r="UV218" s="5"/>
      <c r="UW218" s="5"/>
      <c r="UX218" s="5"/>
      <c r="UY218" s="5"/>
      <c r="UZ218" s="5"/>
      <c r="VA218" s="5"/>
      <c r="VB218" s="5"/>
      <c r="VC218" s="5"/>
      <c r="VD218" s="5"/>
      <c r="VE218" s="5"/>
      <c r="VF218" s="5"/>
      <c r="VG218" s="5"/>
      <c r="VH218" s="5"/>
      <c r="VI218" s="5"/>
      <c r="VJ218" s="5"/>
      <c r="VK218" s="5"/>
      <c r="VL218" s="5"/>
      <c r="VM218" s="5"/>
      <c r="VN218" s="5"/>
      <c r="VO218" s="5"/>
      <c r="VP218" s="5"/>
      <c r="VQ218" s="5"/>
      <c r="VR218" s="5"/>
      <c r="VS218" s="5"/>
      <c r="VT218" s="5"/>
      <c r="VU218" s="5"/>
      <c r="VV218" s="5"/>
      <c r="VW218" s="5"/>
      <c r="VX218" s="5"/>
      <c r="VY218" s="5"/>
      <c r="VZ218" s="5"/>
      <c r="WA218" s="5"/>
      <c r="WB218" s="5"/>
      <c r="WC218" s="5"/>
      <c r="WD218" s="5"/>
      <c r="WE218" s="5"/>
      <c r="WF218" s="5"/>
      <c r="WG218" s="5"/>
      <c r="WH218" s="5"/>
      <c r="WI218" s="5"/>
      <c r="WJ218" s="5"/>
      <c r="WK218" s="5"/>
      <c r="WL218" s="5"/>
      <c r="WM218" s="5"/>
      <c r="WN218" s="5"/>
      <c r="WO218" s="5"/>
      <c r="WP218" s="5"/>
      <c r="WQ218" s="5"/>
      <c r="WR218" s="5"/>
      <c r="WS218" s="5"/>
      <c r="WT218" s="5"/>
      <c r="WU218" s="5"/>
      <c r="WV218" s="5"/>
      <c r="WW218" s="5"/>
      <c r="WX218" s="5"/>
      <c r="WY218" s="5"/>
      <c r="WZ218" s="5"/>
      <c r="XA218" s="5"/>
      <c r="XB218" s="5"/>
      <c r="XC218" s="5"/>
      <c r="XD218" s="5"/>
      <c r="XE218" s="5"/>
      <c r="XF218" s="5"/>
      <c r="XG218" s="5"/>
      <c r="XH218" s="5"/>
      <c r="XI218" s="5"/>
      <c r="XJ218" s="5"/>
      <c r="XK218" s="5"/>
      <c r="XL218" s="5"/>
      <c r="XM218" s="5"/>
      <c r="XN218" s="5"/>
      <c r="XO218" s="5"/>
      <c r="XP218" s="5"/>
      <c r="XQ218" s="5"/>
      <c r="XR218" s="5"/>
      <c r="XS218" s="5"/>
      <c r="XT218" s="5"/>
      <c r="XU218" s="5"/>
      <c r="XV218" s="5"/>
      <c r="XW218" s="5"/>
      <c r="XX218" s="5"/>
      <c r="XY218" s="5"/>
      <c r="XZ218" s="5"/>
      <c r="YA218" s="5"/>
      <c r="YB218" s="5"/>
      <c r="YC218" s="5"/>
      <c r="YD218" s="5"/>
      <c r="YE218" s="5"/>
      <c r="YF218" s="5"/>
      <c r="YG218" s="5"/>
      <c r="YH218" s="5"/>
      <c r="YI218" s="5"/>
      <c r="YJ218" s="5"/>
      <c r="YK218" s="5"/>
      <c r="YL218" s="5"/>
      <c r="YM218" s="5"/>
      <c r="YN218" s="5"/>
      <c r="YO218" s="5"/>
      <c r="YP218" s="5"/>
      <c r="YQ218" s="5"/>
      <c r="YR218" s="5"/>
      <c r="YS218" s="5"/>
      <c r="YT218" s="5"/>
      <c r="YU218" s="5"/>
      <c r="YV218" s="5"/>
      <c r="YW218" s="5"/>
      <c r="YX218" s="5"/>
      <c r="YY218" s="5"/>
      <c r="YZ218" s="5"/>
    </row>
    <row r="219" spans="1:676">
      <c r="A219" s="7">
        <v>209</v>
      </c>
      <c r="B219" s="7" t="s">
        <v>504</v>
      </c>
      <c r="C219" s="10" t="s">
        <v>505</v>
      </c>
      <c r="D219" s="7" t="s">
        <v>71</v>
      </c>
      <c r="E219" s="7" t="s">
        <v>268</v>
      </c>
      <c r="F219" s="7" t="s">
        <v>403</v>
      </c>
      <c r="G219" s="7"/>
      <c r="H219" s="7"/>
      <c r="I219" s="11">
        <v>2</v>
      </c>
      <c r="J219" s="11">
        <v>3</v>
      </c>
      <c r="K219" s="11">
        <v>0</v>
      </c>
      <c r="L219" s="11">
        <v>0.48</v>
      </c>
      <c r="M219" s="11">
        <v>0.16</v>
      </c>
      <c r="N219" s="11">
        <v>0</v>
      </c>
      <c r="O219" s="11">
        <v>0</v>
      </c>
      <c r="P219" s="11">
        <v>0</v>
      </c>
      <c r="Q219" s="11">
        <v>0.64</v>
      </c>
      <c r="R219" s="11">
        <v>0</v>
      </c>
      <c r="S219" s="11">
        <v>0.64</v>
      </c>
      <c r="T219" s="11">
        <v>0.64</v>
      </c>
      <c r="U219" s="11">
        <v>0</v>
      </c>
      <c r="V219" s="11">
        <v>0</v>
      </c>
      <c r="W219" s="13">
        <v>2</v>
      </c>
      <c r="X219" s="13">
        <v>3</v>
      </c>
      <c r="Y219" s="13" t="str">
        <f>MIN(W219,S219)</f>
        <v>0</v>
      </c>
      <c r="Z219" s="13" t="str">
        <f>MIN(X219,(S219-Y219))</f>
        <v>0</v>
      </c>
      <c r="AA219" s="13" t="str">
        <f>S219-SUM(Y219,Z219)</f>
        <v>0</v>
      </c>
      <c r="AB219" s="15"/>
      <c r="AC219" s="15"/>
      <c r="AD219" s="1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/>
      <c r="MY219" s="5"/>
      <c r="MZ219" s="5"/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5"/>
      <c r="OI219" s="5"/>
      <c r="OJ219" s="5"/>
      <c r="OK219" s="5"/>
      <c r="OL219" s="5"/>
      <c r="OM219" s="5"/>
      <c r="ON219" s="5"/>
      <c r="OO219" s="5"/>
      <c r="OP219" s="5"/>
      <c r="OQ219" s="5"/>
      <c r="OR219" s="5"/>
      <c r="OS219" s="5"/>
      <c r="OT219" s="5"/>
      <c r="OU219" s="5"/>
      <c r="OV219" s="5"/>
      <c r="OW219" s="5"/>
      <c r="OX219" s="5"/>
      <c r="OY219" s="5"/>
      <c r="OZ219" s="5"/>
      <c r="PA219" s="5"/>
      <c r="PB219" s="5"/>
      <c r="PC219" s="5"/>
      <c r="PD219" s="5"/>
      <c r="PE219" s="5"/>
      <c r="PF219" s="5"/>
      <c r="PG219" s="5"/>
      <c r="PH219" s="5"/>
      <c r="PI219" s="5"/>
      <c r="PJ219" s="5"/>
      <c r="PK219" s="5"/>
      <c r="PL219" s="5"/>
      <c r="PM219" s="5"/>
      <c r="PN219" s="5"/>
      <c r="PO219" s="5"/>
      <c r="PP219" s="5"/>
      <c r="PQ219" s="5"/>
      <c r="PR219" s="5"/>
      <c r="PS219" s="5"/>
      <c r="PT219" s="5"/>
      <c r="PU219" s="5"/>
      <c r="PV219" s="5"/>
      <c r="PW219" s="5"/>
      <c r="PX219" s="5"/>
      <c r="PY219" s="5"/>
      <c r="PZ219" s="5"/>
      <c r="QA219" s="5"/>
      <c r="QB219" s="5"/>
      <c r="QC219" s="5"/>
      <c r="QD219" s="5"/>
      <c r="QE219" s="5"/>
      <c r="QF219" s="5"/>
      <c r="QG219" s="5"/>
      <c r="QH219" s="5"/>
      <c r="QI219" s="5"/>
      <c r="QJ219" s="5"/>
      <c r="QK219" s="5"/>
      <c r="QL219" s="5"/>
      <c r="QM219" s="5"/>
      <c r="QN219" s="5"/>
      <c r="QO219" s="5"/>
      <c r="QP219" s="5"/>
      <c r="QQ219" s="5"/>
      <c r="QR219" s="5"/>
      <c r="QS219" s="5"/>
      <c r="QT219" s="5"/>
      <c r="QU219" s="5"/>
      <c r="QV219" s="5"/>
      <c r="QW219" s="5"/>
      <c r="QX219" s="5"/>
      <c r="QY219" s="5"/>
      <c r="QZ219" s="5"/>
      <c r="RA219" s="5"/>
      <c r="RB219" s="5"/>
      <c r="RC219" s="5"/>
      <c r="RD219" s="5"/>
      <c r="RE219" s="5"/>
      <c r="RF219" s="5"/>
      <c r="RG219" s="5"/>
      <c r="RH219" s="5"/>
      <c r="RI219" s="5"/>
      <c r="RJ219" s="5"/>
      <c r="RK219" s="5"/>
      <c r="RL219" s="5"/>
      <c r="RM219" s="5"/>
      <c r="RN219" s="5"/>
      <c r="RO219" s="5"/>
      <c r="RP219" s="5"/>
      <c r="RQ219" s="5"/>
      <c r="RR219" s="5"/>
      <c r="RS219" s="5"/>
      <c r="RT219" s="5"/>
      <c r="RU219" s="5"/>
      <c r="RV219" s="5"/>
      <c r="RW219" s="5"/>
      <c r="RX219" s="5"/>
      <c r="RY219" s="5"/>
      <c r="RZ219" s="5"/>
      <c r="SA219" s="5"/>
      <c r="SB219" s="5"/>
      <c r="SC219" s="5"/>
      <c r="SD219" s="5"/>
      <c r="SE219" s="5"/>
      <c r="SF219" s="5"/>
      <c r="SG219" s="5"/>
      <c r="SH219" s="5"/>
      <c r="SI219" s="5"/>
      <c r="SJ219" s="5"/>
      <c r="SK219" s="5"/>
      <c r="SL219" s="5"/>
      <c r="SM219" s="5"/>
      <c r="SN219" s="5"/>
      <c r="SO219" s="5"/>
      <c r="SP219" s="5"/>
      <c r="SQ219" s="5"/>
      <c r="SR219" s="5"/>
      <c r="SS219" s="5"/>
      <c r="ST219" s="5"/>
      <c r="SU219" s="5"/>
      <c r="SV219" s="5"/>
      <c r="SW219" s="5"/>
      <c r="SX219" s="5"/>
      <c r="SY219" s="5"/>
      <c r="SZ219" s="5"/>
      <c r="TA219" s="5"/>
      <c r="TB219" s="5"/>
      <c r="TC219" s="5"/>
      <c r="TD219" s="5"/>
      <c r="TE219" s="5"/>
      <c r="TF219" s="5"/>
      <c r="TG219" s="5"/>
      <c r="TH219" s="5"/>
      <c r="TI219" s="5"/>
      <c r="TJ219" s="5"/>
      <c r="TK219" s="5"/>
      <c r="TL219" s="5"/>
      <c r="TM219" s="5"/>
      <c r="TN219" s="5"/>
      <c r="TO219" s="5"/>
      <c r="TP219" s="5"/>
      <c r="TQ219" s="5"/>
      <c r="TR219" s="5"/>
      <c r="TS219" s="5"/>
      <c r="TT219" s="5"/>
      <c r="TU219" s="5"/>
      <c r="TV219" s="5"/>
      <c r="TW219" s="5"/>
      <c r="TX219" s="5"/>
      <c r="TY219" s="5"/>
      <c r="TZ219" s="5"/>
      <c r="UA219" s="5"/>
      <c r="UB219" s="5"/>
      <c r="UC219" s="5"/>
      <c r="UD219" s="5"/>
      <c r="UE219" s="5"/>
      <c r="UF219" s="5"/>
      <c r="UG219" s="5"/>
      <c r="UH219" s="5"/>
      <c r="UI219" s="5"/>
      <c r="UJ219" s="5"/>
      <c r="UK219" s="5"/>
      <c r="UL219" s="5"/>
      <c r="UM219" s="5"/>
      <c r="UN219" s="5"/>
      <c r="UO219" s="5"/>
      <c r="UP219" s="5"/>
      <c r="UQ219" s="5"/>
      <c r="UR219" s="5"/>
      <c r="US219" s="5"/>
      <c r="UT219" s="5"/>
      <c r="UU219" s="5"/>
      <c r="UV219" s="5"/>
      <c r="UW219" s="5"/>
      <c r="UX219" s="5"/>
      <c r="UY219" s="5"/>
      <c r="UZ219" s="5"/>
      <c r="VA219" s="5"/>
      <c r="VB219" s="5"/>
      <c r="VC219" s="5"/>
      <c r="VD219" s="5"/>
      <c r="VE219" s="5"/>
      <c r="VF219" s="5"/>
      <c r="VG219" s="5"/>
      <c r="VH219" s="5"/>
      <c r="VI219" s="5"/>
      <c r="VJ219" s="5"/>
      <c r="VK219" s="5"/>
      <c r="VL219" s="5"/>
      <c r="VM219" s="5"/>
      <c r="VN219" s="5"/>
      <c r="VO219" s="5"/>
      <c r="VP219" s="5"/>
      <c r="VQ219" s="5"/>
      <c r="VR219" s="5"/>
      <c r="VS219" s="5"/>
      <c r="VT219" s="5"/>
      <c r="VU219" s="5"/>
      <c r="VV219" s="5"/>
      <c r="VW219" s="5"/>
      <c r="VX219" s="5"/>
      <c r="VY219" s="5"/>
      <c r="VZ219" s="5"/>
      <c r="WA219" s="5"/>
      <c r="WB219" s="5"/>
      <c r="WC219" s="5"/>
      <c r="WD219" s="5"/>
      <c r="WE219" s="5"/>
      <c r="WF219" s="5"/>
      <c r="WG219" s="5"/>
      <c r="WH219" s="5"/>
      <c r="WI219" s="5"/>
      <c r="WJ219" s="5"/>
      <c r="WK219" s="5"/>
      <c r="WL219" s="5"/>
      <c r="WM219" s="5"/>
      <c r="WN219" s="5"/>
      <c r="WO219" s="5"/>
      <c r="WP219" s="5"/>
      <c r="WQ219" s="5"/>
      <c r="WR219" s="5"/>
      <c r="WS219" s="5"/>
      <c r="WT219" s="5"/>
      <c r="WU219" s="5"/>
      <c r="WV219" s="5"/>
      <c r="WW219" s="5"/>
      <c r="WX219" s="5"/>
      <c r="WY219" s="5"/>
      <c r="WZ219" s="5"/>
      <c r="XA219" s="5"/>
      <c r="XB219" s="5"/>
      <c r="XC219" s="5"/>
      <c r="XD219" s="5"/>
      <c r="XE219" s="5"/>
      <c r="XF219" s="5"/>
      <c r="XG219" s="5"/>
      <c r="XH219" s="5"/>
      <c r="XI219" s="5"/>
      <c r="XJ219" s="5"/>
      <c r="XK219" s="5"/>
      <c r="XL219" s="5"/>
      <c r="XM219" s="5"/>
      <c r="XN219" s="5"/>
      <c r="XO219" s="5"/>
      <c r="XP219" s="5"/>
      <c r="XQ219" s="5"/>
      <c r="XR219" s="5"/>
      <c r="XS219" s="5"/>
      <c r="XT219" s="5"/>
      <c r="XU219" s="5"/>
      <c r="XV219" s="5"/>
      <c r="XW219" s="5"/>
      <c r="XX219" s="5"/>
      <c r="XY219" s="5"/>
      <c r="XZ219" s="5"/>
      <c r="YA219" s="5"/>
      <c r="YB219" s="5"/>
      <c r="YC219" s="5"/>
      <c r="YD219" s="5"/>
      <c r="YE219" s="5"/>
      <c r="YF219" s="5"/>
      <c r="YG219" s="5"/>
      <c r="YH219" s="5"/>
      <c r="YI219" s="5"/>
      <c r="YJ219" s="5"/>
      <c r="YK219" s="5"/>
      <c r="YL219" s="5"/>
      <c r="YM219" s="5"/>
      <c r="YN219" s="5"/>
      <c r="YO219" s="5"/>
      <c r="YP219" s="5"/>
      <c r="YQ219" s="5"/>
      <c r="YR219" s="5"/>
      <c r="YS219" s="5"/>
      <c r="YT219" s="5"/>
      <c r="YU219" s="5"/>
      <c r="YV219" s="5"/>
      <c r="YW219" s="5"/>
      <c r="YX219" s="5"/>
      <c r="YY219" s="5"/>
      <c r="YZ219" s="5"/>
    </row>
    <row r="220" spans="1:676">
      <c r="A220" s="7">
        <v>210</v>
      </c>
      <c r="B220" s="7" t="s">
        <v>506</v>
      </c>
      <c r="C220" s="10" t="s">
        <v>507</v>
      </c>
      <c r="D220" s="7" t="s">
        <v>99</v>
      </c>
      <c r="E220" s="7" t="s">
        <v>268</v>
      </c>
      <c r="F220" s="7" t="s">
        <v>403</v>
      </c>
      <c r="G220" s="7"/>
      <c r="H220" s="7"/>
      <c r="I220" s="11">
        <v>2</v>
      </c>
      <c r="J220" s="11">
        <v>3</v>
      </c>
      <c r="K220" s="11">
        <v>0</v>
      </c>
      <c r="L220" s="11">
        <v>0</v>
      </c>
      <c r="M220" s="11">
        <v>0</v>
      </c>
      <c r="N220" s="11">
        <v>0</v>
      </c>
      <c r="O220" s="11">
        <v>0.14</v>
      </c>
      <c r="P220" s="11">
        <v>0</v>
      </c>
      <c r="Q220" s="11">
        <v>0.14</v>
      </c>
      <c r="R220" s="11">
        <v>0</v>
      </c>
      <c r="S220" s="11">
        <v>0.14</v>
      </c>
      <c r="T220" s="11">
        <v>0.14</v>
      </c>
      <c r="U220" s="11">
        <v>0</v>
      </c>
      <c r="V220" s="11">
        <v>0</v>
      </c>
      <c r="W220" s="13">
        <v>2</v>
      </c>
      <c r="X220" s="13">
        <v>3</v>
      </c>
      <c r="Y220" s="13" t="str">
        <f>MIN(W220,S220)</f>
        <v>0</v>
      </c>
      <c r="Z220" s="13" t="str">
        <f>MIN(X220,(S220-Y220))</f>
        <v>0</v>
      </c>
      <c r="AA220" s="13" t="str">
        <f>S220-SUM(Y220,Z220)</f>
        <v>0</v>
      </c>
      <c r="AB220" s="15"/>
      <c r="AC220" s="15"/>
      <c r="AD220" s="1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/>
      <c r="MY220" s="5"/>
      <c r="MZ220" s="5"/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5"/>
      <c r="OI220" s="5"/>
      <c r="OJ220" s="5"/>
      <c r="OK220" s="5"/>
      <c r="OL220" s="5"/>
      <c r="OM220" s="5"/>
      <c r="ON220" s="5"/>
      <c r="OO220" s="5"/>
      <c r="OP220" s="5"/>
      <c r="OQ220" s="5"/>
      <c r="OR220" s="5"/>
      <c r="OS220" s="5"/>
      <c r="OT220" s="5"/>
      <c r="OU220" s="5"/>
      <c r="OV220" s="5"/>
      <c r="OW220" s="5"/>
      <c r="OX220" s="5"/>
      <c r="OY220" s="5"/>
      <c r="OZ220" s="5"/>
      <c r="PA220" s="5"/>
      <c r="PB220" s="5"/>
      <c r="PC220" s="5"/>
      <c r="PD220" s="5"/>
      <c r="PE220" s="5"/>
      <c r="PF220" s="5"/>
      <c r="PG220" s="5"/>
      <c r="PH220" s="5"/>
      <c r="PI220" s="5"/>
      <c r="PJ220" s="5"/>
      <c r="PK220" s="5"/>
      <c r="PL220" s="5"/>
      <c r="PM220" s="5"/>
      <c r="PN220" s="5"/>
      <c r="PO220" s="5"/>
      <c r="PP220" s="5"/>
      <c r="PQ220" s="5"/>
      <c r="PR220" s="5"/>
      <c r="PS220" s="5"/>
      <c r="PT220" s="5"/>
      <c r="PU220" s="5"/>
      <c r="PV220" s="5"/>
      <c r="PW220" s="5"/>
      <c r="PX220" s="5"/>
      <c r="PY220" s="5"/>
      <c r="PZ220" s="5"/>
      <c r="QA220" s="5"/>
      <c r="QB220" s="5"/>
      <c r="QC220" s="5"/>
      <c r="QD220" s="5"/>
      <c r="QE220" s="5"/>
      <c r="QF220" s="5"/>
      <c r="QG220" s="5"/>
      <c r="QH220" s="5"/>
      <c r="QI220" s="5"/>
      <c r="QJ220" s="5"/>
      <c r="QK220" s="5"/>
      <c r="QL220" s="5"/>
      <c r="QM220" s="5"/>
      <c r="QN220" s="5"/>
      <c r="QO220" s="5"/>
      <c r="QP220" s="5"/>
      <c r="QQ220" s="5"/>
      <c r="QR220" s="5"/>
      <c r="QS220" s="5"/>
      <c r="QT220" s="5"/>
      <c r="QU220" s="5"/>
      <c r="QV220" s="5"/>
      <c r="QW220" s="5"/>
      <c r="QX220" s="5"/>
      <c r="QY220" s="5"/>
      <c r="QZ220" s="5"/>
      <c r="RA220" s="5"/>
      <c r="RB220" s="5"/>
      <c r="RC220" s="5"/>
      <c r="RD220" s="5"/>
      <c r="RE220" s="5"/>
      <c r="RF220" s="5"/>
      <c r="RG220" s="5"/>
      <c r="RH220" s="5"/>
      <c r="RI220" s="5"/>
      <c r="RJ220" s="5"/>
      <c r="RK220" s="5"/>
      <c r="RL220" s="5"/>
      <c r="RM220" s="5"/>
      <c r="RN220" s="5"/>
      <c r="RO220" s="5"/>
      <c r="RP220" s="5"/>
      <c r="RQ220" s="5"/>
      <c r="RR220" s="5"/>
      <c r="RS220" s="5"/>
      <c r="RT220" s="5"/>
      <c r="RU220" s="5"/>
      <c r="RV220" s="5"/>
      <c r="RW220" s="5"/>
      <c r="RX220" s="5"/>
      <c r="RY220" s="5"/>
      <c r="RZ220" s="5"/>
      <c r="SA220" s="5"/>
      <c r="SB220" s="5"/>
      <c r="SC220" s="5"/>
      <c r="SD220" s="5"/>
      <c r="SE220" s="5"/>
      <c r="SF220" s="5"/>
      <c r="SG220" s="5"/>
      <c r="SH220" s="5"/>
      <c r="SI220" s="5"/>
      <c r="SJ220" s="5"/>
      <c r="SK220" s="5"/>
      <c r="SL220" s="5"/>
      <c r="SM220" s="5"/>
      <c r="SN220" s="5"/>
      <c r="SO220" s="5"/>
      <c r="SP220" s="5"/>
      <c r="SQ220" s="5"/>
      <c r="SR220" s="5"/>
      <c r="SS220" s="5"/>
      <c r="ST220" s="5"/>
      <c r="SU220" s="5"/>
      <c r="SV220" s="5"/>
      <c r="SW220" s="5"/>
      <c r="SX220" s="5"/>
      <c r="SY220" s="5"/>
      <c r="SZ220" s="5"/>
      <c r="TA220" s="5"/>
      <c r="TB220" s="5"/>
      <c r="TC220" s="5"/>
      <c r="TD220" s="5"/>
      <c r="TE220" s="5"/>
      <c r="TF220" s="5"/>
      <c r="TG220" s="5"/>
      <c r="TH220" s="5"/>
      <c r="TI220" s="5"/>
      <c r="TJ220" s="5"/>
      <c r="TK220" s="5"/>
      <c r="TL220" s="5"/>
      <c r="TM220" s="5"/>
      <c r="TN220" s="5"/>
      <c r="TO220" s="5"/>
      <c r="TP220" s="5"/>
      <c r="TQ220" s="5"/>
      <c r="TR220" s="5"/>
      <c r="TS220" s="5"/>
      <c r="TT220" s="5"/>
      <c r="TU220" s="5"/>
      <c r="TV220" s="5"/>
      <c r="TW220" s="5"/>
      <c r="TX220" s="5"/>
      <c r="TY220" s="5"/>
      <c r="TZ220" s="5"/>
      <c r="UA220" s="5"/>
      <c r="UB220" s="5"/>
      <c r="UC220" s="5"/>
      <c r="UD220" s="5"/>
      <c r="UE220" s="5"/>
      <c r="UF220" s="5"/>
      <c r="UG220" s="5"/>
      <c r="UH220" s="5"/>
      <c r="UI220" s="5"/>
      <c r="UJ220" s="5"/>
      <c r="UK220" s="5"/>
      <c r="UL220" s="5"/>
      <c r="UM220" s="5"/>
      <c r="UN220" s="5"/>
      <c r="UO220" s="5"/>
      <c r="UP220" s="5"/>
      <c r="UQ220" s="5"/>
      <c r="UR220" s="5"/>
      <c r="US220" s="5"/>
      <c r="UT220" s="5"/>
      <c r="UU220" s="5"/>
      <c r="UV220" s="5"/>
      <c r="UW220" s="5"/>
      <c r="UX220" s="5"/>
      <c r="UY220" s="5"/>
      <c r="UZ220" s="5"/>
      <c r="VA220" s="5"/>
      <c r="VB220" s="5"/>
      <c r="VC220" s="5"/>
      <c r="VD220" s="5"/>
      <c r="VE220" s="5"/>
      <c r="VF220" s="5"/>
      <c r="VG220" s="5"/>
      <c r="VH220" s="5"/>
      <c r="VI220" s="5"/>
      <c r="VJ220" s="5"/>
      <c r="VK220" s="5"/>
      <c r="VL220" s="5"/>
      <c r="VM220" s="5"/>
      <c r="VN220" s="5"/>
      <c r="VO220" s="5"/>
      <c r="VP220" s="5"/>
      <c r="VQ220" s="5"/>
      <c r="VR220" s="5"/>
      <c r="VS220" s="5"/>
      <c r="VT220" s="5"/>
      <c r="VU220" s="5"/>
      <c r="VV220" s="5"/>
      <c r="VW220" s="5"/>
      <c r="VX220" s="5"/>
      <c r="VY220" s="5"/>
      <c r="VZ220" s="5"/>
      <c r="WA220" s="5"/>
      <c r="WB220" s="5"/>
      <c r="WC220" s="5"/>
      <c r="WD220" s="5"/>
      <c r="WE220" s="5"/>
      <c r="WF220" s="5"/>
      <c r="WG220" s="5"/>
      <c r="WH220" s="5"/>
      <c r="WI220" s="5"/>
      <c r="WJ220" s="5"/>
      <c r="WK220" s="5"/>
      <c r="WL220" s="5"/>
      <c r="WM220" s="5"/>
      <c r="WN220" s="5"/>
      <c r="WO220" s="5"/>
      <c r="WP220" s="5"/>
      <c r="WQ220" s="5"/>
      <c r="WR220" s="5"/>
      <c r="WS220" s="5"/>
      <c r="WT220" s="5"/>
      <c r="WU220" s="5"/>
      <c r="WV220" s="5"/>
      <c r="WW220" s="5"/>
      <c r="WX220" s="5"/>
      <c r="WY220" s="5"/>
      <c r="WZ220" s="5"/>
      <c r="XA220" s="5"/>
      <c r="XB220" s="5"/>
      <c r="XC220" s="5"/>
      <c r="XD220" s="5"/>
      <c r="XE220" s="5"/>
      <c r="XF220" s="5"/>
      <c r="XG220" s="5"/>
      <c r="XH220" s="5"/>
      <c r="XI220" s="5"/>
      <c r="XJ220" s="5"/>
      <c r="XK220" s="5"/>
      <c r="XL220" s="5"/>
      <c r="XM220" s="5"/>
      <c r="XN220" s="5"/>
      <c r="XO220" s="5"/>
      <c r="XP220" s="5"/>
      <c r="XQ220" s="5"/>
      <c r="XR220" s="5"/>
      <c r="XS220" s="5"/>
      <c r="XT220" s="5"/>
      <c r="XU220" s="5"/>
      <c r="XV220" s="5"/>
      <c r="XW220" s="5"/>
      <c r="XX220" s="5"/>
      <c r="XY220" s="5"/>
      <c r="XZ220" s="5"/>
      <c r="YA220" s="5"/>
      <c r="YB220" s="5"/>
      <c r="YC220" s="5"/>
      <c r="YD220" s="5"/>
      <c r="YE220" s="5"/>
      <c r="YF220" s="5"/>
      <c r="YG220" s="5"/>
      <c r="YH220" s="5"/>
      <c r="YI220" s="5"/>
      <c r="YJ220" s="5"/>
      <c r="YK220" s="5"/>
      <c r="YL220" s="5"/>
      <c r="YM220" s="5"/>
      <c r="YN220" s="5"/>
      <c r="YO220" s="5"/>
      <c r="YP220" s="5"/>
      <c r="YQ220" s="5"/>
      <c r="YR220" s="5"/>
      <c r="YS220" s="5"/>
      <c r="YT220" s="5"/>
      <c r="YU220" s="5"/>
      <c r="YV220" s="5"/>
      <c r="YW220" s="5"/>
      <c r="YX220" s="5"/>
      <c r="YY220" s="5"/>
      <c r="YZ220" s="5"/>
    </row>
    <row r="221" spans="1:676">
      <c r="A221" s="7">
        <v>211</v>
      </c>
      <c r="B221" s="7" t="s">
        <v>508</v>
      </c>
      <c r="C221" s="10" t="s">
        <v>509</v>
      </c>
      <c r="D221" s="7" t="s">
        <v>60</v>
      </c>
      <c r="E221" s="7" t="s">
        <v>268</v>
      </c>
      <c r="F221" s="7" t="s">
        <v>403</v>
      </c>
      <c r="G221" s="7"/>
      <c r="H221" s="7"/>
      <c r="I221" s="11">
        <v>2</v>
      </c>
      <c r="J221" s="11">
        <v>3</v>
      </c>
      <c r="K221" s="11">
        <v>0</v>
      </c>
      <c r="L221" s="11">
        <v>0</v>
      </c>
      <c r="M221" s="11">
        <v>0.24</v>
      </c>
      <c r="N221" s="11">
        <v>0</v>
      </c>
      <c r="O221" s="11">
        <v>0.8999999999999999</v>
      </c>
      <c r="P221" s="11">
        <v>0</v>
      </c>
      <c r="Q221" s="11">
        <v>1.14</v>
      </c>
      <c r="R221" s="11">
        <v>0</v>
      </c>
      <c r="S221" s="11">
        <v>1.14</v>
      </c>
      <c r="T221" s="11">
        <v>1.14</v>
      </c>
      <c r="U221" s="11">
        <v>0</v>
      </c>
      <c r="V221" s="11">
        <v>0</v>
      </c>
      <c r="W221" s="13">
        <v>2</v>
      </c>
      <c r="X221" s="13">
        <v>3</v>
      </c>
      <c r="Y221" s="13" t="str">
        <f>MIN(W221,S221)</f>
        <v>0</v>
      </c>
      <c r="Z221" s="13" t="str">
        <f>MIN(X221,(S221-Y221))</f>
        <v>0</v>
      </c>
      <c r="AA221" s="13" t="str">
        <f>S221-SUM(Y221,Z221)</f>
        <v>0</v>
      </c>
      <c r="AB221" s="15"/>
      <c r="AC221" s="15"/>
      <c r="AD221" s="1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/>
      <c r="MY221" s="5"/>
      <c r="MZ221" s="5"/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5"/>
      <c r="OI221" s="5"/>
      <c r="OJ221" s="5"/>
      <c r="OK221" s="5"/>
      <c r="OL221" s="5"/>
      <c r="OM221" s="5"/>
      <c r="ON221" s="5"/>
      <c r="OO221" s="5"/>
      <c r="OP221" s="5"/>
      <c r="OQ221" s="5"/>
      <c r="OR221" s="5"/>
      <c r="OS221" s="5"/>
      <c r="OT221" s="5"/>
      <c r="OU221" s="5"/>
      <c r="OV221" s="5"/>
      <c r="OW221" s="5"/>
      <c r="OX221" s="5"/>
      <c r="OY221" s="5"/>
      <c r="OZ221" s="5"/>
      <c r="PA221" s="5"/>
      <c r="PB221" s="5"/>
      <c r="PC221" s="5"/>
      <c r="PD221" s="5"/>
      <c r="PE221" s="5"/>
      <c r="PF221" s="5"/>
      <c r="PG221" s="5"/>
      <c r="PH221" s="5"/>
      <c r="PI221" s="5"/>
      <c r="PJ221" s="5"/>
      <c r="PK221" s="5"/>
      <c r="PL221" s="5"/>
      <c r="PM221" s="5"/>
      <c r="PN221" s="5"/>
      <c r="PO221" s="5"/>
      <c r="PP221" s="5"/>
      <c r="PQ221" s="5"/>
      <c r="PR221" s="5"/>
      <c r="PS221" s="5"/>
      <c r="PT221" s="5"/>
      <c r="PU221" s="5"/>
      <c r="PV221" s="5"/>
      <c r="PW221" s="5"/>
      <c r="PX221" s="5"/>
      <c r="PY221" s="5"/>
      <c r="PZ221" s="5"/>
      <c r="QA221" s="5"/>
      <c r="QB221" s="5"/>
      <c r="QC221" s="5"/>
      <c r="QD221" s="5"/>
      <c r="QE221" s="5"/>
      <c r="QF221" s="5"/>
      <c r="QG221" s="5"/>
      <c r="QH221" s="5"/>
      <c r="QI221" s="5"/>
      <c r="QJ221" s="5"/>
      <c r="QK221" s="5"/>
      <c r="QL221" s="5"/>
      <c r="QM221" s="5"/>
      <c r="QN221" s="5"/>
      <c r="QO221" s="5"/>
      <c r="QP221" s="5"/>
      <c r="QQ221" s="5"/>
      <c r="QR221" s="5"/>
      <c r="QS221" s="5"/>
      <c r="QT221" s="5"/>
      <c r="QU221" s="5"/>
      <c r="QV221" s="5"/>
      <c r="QW221" s="5"/>
      <c r="QX221" s="5"/>
      <c r="QY221" s="5"/>
      <c r="QZ221" s="5"/>
      <c r="RA221" s="5"/>
      <c r="RB221" s="5"/>
      <c r="RC221" s="5"/>
      <c r="RD221" s="5"/>
      <c r="RE221" s="5"/>
      <c r="RF221" s="5"/>
      <c r="RG221" s="5"/>
      <c r="RH221" s="5"/>
      <c r="RI221" s="5"/>
      <c r="RJ221" s="5"/>
      <c r="RK221" s="5"/>
      <c r="RL221" s="5"/>
      <c r="RM221" s="5"/>
      <c r="RN221" s="5"/>
      <c r="RO221" s="5"/>
      <c r="RP221" s="5"/>
      <c r="RQ221" s="5"/>
      <c r="RR221" s="5"/>
      <c r="RS221" s="5"/>
      <c r="RT221" s="5"/>
      <c r="RU221" s="5"/>
      <c r="RV221" s="5"/>
      <c r="RW221" s="5"/>
      <c r="RX221" s="5"/>
      <c r="RY221" s="5"/>
      <c r="RZ221" s="5"/>
      <c r="SA221" s="5"/>
      <c r="SB221" s="5"/>
      <c r="SC221" s="5"/>
      <c r="SD221" s="5"/>
      <c r="SE221" s="5"/>
      <c r="SF221" s="5"/>
      <c r="SG221" s="5"/>
      <c r="SH221" s="5"/>
      <c r="SI221" s="5"/>
      <c r="SJ221" s="5"/>
      <c r="SK221" s="5"/>
      <c r="SL221" s="5"/>
      <c r="SM221" s="5"/>
      <c r="SN221" s="5"/>
      <c r="SO221" s="5"/>
      <c r="SP221" s="5"/>
      <c r="SQ221" s="5"/>
      <c r="SR221" s="5"/>
      <c r="SS221" s="5"/>
      <c r="ST221" s="5"/>
      <c r="SU221" s="5"/>
      <c r="SV221" s="5"/>
      <c r="SW221" s="5"/>
      <c r="SX221" s="5"/>
      <c r="SY221" s="5"/>
      <c r="SZ221" s="5"/>
      <c r="TA221" s="5"/>
      <c r="TB221" s="5"/>
      <c r="TC221" s="5"/>
      <c r="TD221" s="5"/>
      <c r="TE221" s="5"/>
      <c r="TF221" s="5"/>
      <c r="TG221" s="5"/>
      <c r="TH221" s="5"/>
      <c r="TI221" s="5"/>
      <c r="TJ221" s="5"/>
      <c r="TK221" s="5"/>
      <c r="TL221" s="5"/>
      <c r="TM221" s="5"/>
      <c r="TN221" s="5"/>
      <c r="TO221" s="5"/>
      <c r="TP221" s="5"/>
      <c r="TQ221" s="5"/>
      <c r="TR221" s="5"/>
      <c r="TS221" s="5"/>
      <c r="TT221" s="5"/>
      <c r="TU221" s="5"/>
      <c r="TV221" s="5"/>
      <c r="TW221" s="5"/>
      <c r="TX221" s="5"/>
      <c r="TY221" s="5"/>
      <c r="TZ221" s="5"/>
      <c r="UA221" s="5"/>
      <c r="UB221" s="5"/>
      <c r="UC221" s="5"/>
      <c r="UD221" s="5"/>
      <c r="UE221" s="5"/>
      <c r="UF221" s="5"/>
      <c r="UG221" s="5"/>
      <c r="UH221" s="5"/>
      <c r="UI221" s="5"/>
      <c r="UJ221" s="5"/>
      <c r="UK221" s="5"/>
      <c r="UL221" s="5"/>
      <c r="UM221" s="5"/>
      <c r="UN221" s="5"/>
      <c r="UO221" s="5"/>
      <c r="UP221" s="5"/>
      <c r="UQ221" s="5"/>
      <c r="UR221" s="5"/>
      <c r="US221" s="5"/>
      <c r="UT221" s="5"/>
      <c r="UU221" s="5"/>
      <c r="UV221" s="5"/>
      <c r="UW221" s="5"/>
      <c r="UX221" s="5"/>
      <c r="UY221" s="5"/>
      <c r="UZ221" s="5"/>
      <c r="VA221" s="5"/>
      <c r="VB221" s="5"/>
      <c r="VC221" s="5"/>
      <c r="VD221" s="5"/>
      <c r="VE221" s="5"/>
      <c r="VF221" s="5"/>
      <c r="VG221" s="5"/>
      <c r="VH221" s="5"/>
      <c r="VI221" s="5"/>
      <c r="VJ221" s="5"/>
      <c r="VK221" s="5"/>
      <c r="VL221" s="5"/>
      <c r="VM221" s="5"/>
      <c r="VN221" s="5"/>
      <c r="VO221" s="5"/>
      <c r="VP221" s="5"/>
      <c r="VQ221" s="5"/>
      <c r="VR221" s="5"/>
      <c r="VS221" s="5"/>
      <c r="VT221" s="5"/>
      <c r="VU221" s="5"/>
      <c r="VV221" s="5"/>
      <c r="VW221" s="5"/>
      <c r="VX221" s="5"/>
      <c r="VY221" s="5"/>
      <c r="VZ221" s="5"/>
      <c r="WA221" s="5"/>
      <c r="WB221" s="5"/>
      <c r="WC221" s="5"/>
      <c r="WD221" s="5"/>
      <c r="WE221" s="5"/>
      <c r="WF221" s="5"/>
      <c r="WG221" s="5"/>
      <c r="WH221" s="5"/>
      <c r="WI221" s="5"/>
      <c r="WJ221" s="5"/>
      <c r="WK221" s="5"/>
      <c r="WL221" s="5"/>
      <c r="WM221" s="5"/>
      <c r="WN221" s="5"/>
      <c r="WO221" s="5"/>
      <c r="WP221" s="5"/>
      <c r="WQ221" s="5"/>
      <c r="WR221" s="5"/>
      <c r="WS221" s="5"/>
      <c r="WT221" s="5"/>
      <c r="WU221" s="5"/>
      <c r="WV221" s="5"/>
      <c r="WW221" s="5"/>
      <c r="WX221" s="5"/>
      <c r="WY221" s="5"/>
      <c r="WZ221" s="5"/>
      <c r="XA221" s="5"/>
      <c r="XB221" s="5"/>
      <c r="XC221" s="5"/>
      <c r="XD221" s="5"/>
      <c r="XE221" s="5"/>
      <c r="XF221" s="5"/>
      <c r="XG221" s="5"/>
      <c r="XH221" s="5"/>
      <c r="XI221" s="5"/>
      <c r="XJ221" s="5"/>
      <c r="XK221" s="5"/>
      <c r="XL221" s="5"/>
      <c r="XM221" s="5"/>
      <c r="XN221" s="5"/>
      <c r="XO221" s="5"/>
      <c r="XP221" s="5"/>
      <c r="XQ221" s="5"/>
      <c r="XR221" s="5"/>
      <c r="XS221" s="5"/>
      <c r="XT221" s="5"/>
      <c r="XU221" s="5"/>
      <c r="XV221" s="5"/>
      <c r="XW221" s="5"/>
      <c r="XX221" s="5"/>
      <c r="XY221" s="5"/>
      <c r="XZ221" s="5"/>
      <c r="YA221" s="5"/>
      <c r="YB221" s="5"/>
      <c r="YC221" s="5"/>
      <c r="YD221" s="5"/>
      <c r="YE221" s="5"/>
      <c r="YF221" s="5"/>
      <c r="YG221" s="5"/>
      <c r="YH221" s="5"/>
      <c r="YI221" s="5"/>
      <c r="YJ221" s="5"/>
      <c r="YK221" s="5"/>
      <c r="YL221" s="5"/>
      <c r="YM221" s="5"/>
      <c r="YN221" s="5"/>
      <c r="YO221" s="5"/>
      <c r="YP221" s="5"/>
      <c r="YQ221" s="5"/>
      <c r="YR221" s="5"/>
      <c r="YS221" s="5"/>
      <c r="YT221" s="5"/>
      <c r="YU221" s="5"/>
      <c r="YV221" s="5"/>
      <c r="YW221" s="5"/>
      <c r="YX221" s="5"/>
      <c r="YY221" s="5"/>
      <c r="YZ221" s="5"/>
    </row>
    <row r="222" spans="1:676">
      <c r="A222" s="7">
        <v>212</v>
      </c>
      <c r="B222" s="7" t="s">
        <v>510</v>
      </c>
      <c r="C222" s="10" t="s">
        <v>511</v>
      </c>
      <c r="D222" s="7" t="s">
        <v>298</v>
      </c>
      <c r="E222" s="7" t="s">
        <v>268</v>
      </c>
      <c r="F222" s="7" t="s">
        <v>406</v>
      </c>
      <c r="G222" s="7"/>
      <c r="H222" s="7" t="s">
        <v>48</v>
      </c>
      <c r="I222" s="11">
        <v>2</v>
      </c>
      <c r="J222" s="11">
        <v>3</v>
      </c>
      <c r="K222" s="11">
        <v>0</v>
      </c>
      <c r="L222" s="11">
        <v>4.869999999999997</v>
      </c>
      <c r="M222" s="11">
        <v>0.16</v>
      </c>
      <c r="N222" s="11">
        <v>0</v>
      </c>
      <c r="O222" s="11">
        <v>1.26</v>
      </c>
      <c r="P222" s="11">
        <v>0.8</v>
      </c>
      <c r="Q222" s="11">
        <v>7.089999999999997</v>
      </c>
      <c r="R222" s="11">
        <v>0</v>
      </c>
      <c r="S222" s="11">
        <v>7.089999999999997</v>
      </c>
      <c r="T222" s="11">
        <v>2</v>
      </c>
      <c r="U222" s="11">
        <v>3</v>
      </c>
      <c r="V222" s="11">
        <v>2.089999999999997</v>
      </c>
      <c r="W222" s="13">
        <v>2</v>
      </c>
      <c r="X222" s="13">
        <v>3</v>
      </c>
      <c r="Y222" s="13" t="str">
        <f>MIN(W222,S222)</f>
        <v>0</v>
      </c>
      <c r="Z222" s="13" t="str">
        <f>MIN(X222,(S222-Y222))</f>
        <v>0</v>
      </c>
      <c r="AA222" s="13" t="str">
        <f>S222-SUM(Y222,Z222)</f>
        <v>0</v>
      </c>
      <c r="AB222" s="15"/>
      <c r="AC222" s="15"/>
      <c r="AD222" s="1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/>
      <c r="MY222" s="5"/>
      <c r="MZ222" s="5"/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5"/>
      <c r="OI222" s="5"/>
      <c r="OJ222" s="5"/>
      <c r="OK222" s="5"/>
      <c r="OL222" s="5"/>
      <c r="OM222" s="5"/>
      <c r="ON222" s="5"/>
      <c r="OO222" s="5"/>
      <c r="OP222" s="5"/>
      <c r="OQ222" s="5"/>
      <c r="OR222" s="5"/>
      <c r="OS222" s="5"/>
      <c r="OT222" s="5"/>
      <c r="OU222" s="5"/>
      <c r="OV222" s="5"/>
      <c r="OW222" s="5"/>
      <c r="OX222" s="5"/>
      <c r="OY222" s="5"/>
      <c r="OZ222" s="5"/>
      <c r="PA222" s="5"/>
      <c r="PB222" s="5"/>
      <c r="PC222" s="5"/>
      <c r="PD222" s="5"/>
      <c r="PE222" s="5"/>
      <c r="PF222" s="5"/>
      <c r="PG222" s="5"/>
      <c r="PH222" s="5"/>
      <c r="PI222" s="5"/>
      <c r="PJ222" s="5"/>
      <c r="PK222" s="5"/>
      <c r="PL222" s="5"/>
      <c r="PM222" s="5"/>
      <c r="PN222" s="5"/>
      <c r="PO222" s="5"/>
      <c r="PP222" s="5"/>
      <c r="PQ222" s="5"/>
      <c r="PR222" s="5"/>
      <c r="PS222" s="5"/>
      <c r="PT222" s="5"/>
      <c r="PU222" s="5"/>
      <c r="PV222" s="5"/>
      <c r="PW222" s="5"/>
      <c r="PX222" s="5"/>
      <c r="PY222" s="5"/>
      <c r="PZ222" s="5"/>
      <c r="QA222" s="5"/>
      <c r="QB222" s="5"/>
      <c r="QC222" s="5"/>
      <c r="QD222" s="5"/>
      <c r="QE222" s="5"/>
      <c r="QF222" s="5"/>
      <c r="QG222" s="5"/>
      <c r="QH222" s="5"/>
      <c r="QI222" s="5"/>
      <c r="QJ222" s="5"/>
      <c r="QK222" s="5"/>
      <c r="QL222" s="5"/>
      <c r="QM222" s="5"/>
      <c r="QN222" s="5"/>
      <c r="QO222" s="5"/>
      <c r="QP222" s="5"/>
      <c r="QQ222" s="5"/>
      <c r="QR222" s="5"/>
      <c r="QS222" s="5"/>
      <c r="QT222" s="5"/>
      <c r="QU222" s="5"/>
      <c r="QV222" s="5"/>
      <c r="QW222" s="5"/>
      <c r="QX222" s="5"/>
      <c r="QY222" s="5"/>
      <c r="QZ222" s="5"/>
      <c r="RA222" s="5"/>
      <c r="RB222" s="5"/>
      <c r="RC222" s="5"/>
      <c r="RD222" s="5"/>
      <c r="RE222" s="5"/>
      <c r="RF222" s="5"/>
      <c r="RG222" s="5"/>
      <c r="RH222" s="5"/>
      <c r="RI222" s="5"/>
      <c r="RJ222" s="5"/>
      <c r="RK222" s="5"/>
      <c r="RL222" s="5"/>
      <c r="RM222" s="5"/>
      <c r="RN222" s="5"/>
      <c r="RO222" s="5"/>
      <c r="RP222" s="5"/>
      <c r="RQ222" s="5"/>
      <c r="RR222" s="5"/>
      <c r="RS222" s="5"/>
      <c r="RT222" s="5"/>
      <c r="RU222" s="5"/>
      <c r="RV222" s="5"/>
      <c r="RW222" s="5"/>
      <c r="RX222" s="5"/>
      <c r="RY222" s="5"/>
      <c r="RZ222" s="5"/>
      <c r="SA222" s="5"/>
      <c r="SB222" s="5"/>
      <c r="SC222" s="5"/>
      <c r="SD222" s="5"/>
      <c r="SE222" s="5"/>
      <c r="SF222" s="5"/>
      <c r="SG222" s="5"/>
      <c r="SH222" s="5"/>
      <c r="SI222" s="5"/>
      <c r="SJ222" s="5"/>
      <c r="SK222" s="5"/>
      <c r="SL222" s="5"/>
      <c r="SM222" s="5"/>
      <c r="SN222" s="5"/>
      <c r="SO222" s="5"/>
      <c r="SP222" s="5"/>
      <c r="SQ222" s="5"/>
      <c r="SR222" s="5"/>
      <c r="SS222" s="5"/>
      <c r="ST222" s="5"/>
      <c r="SU222" s="5"/>
      <c r="SV222" s="5"/>
      <c r="SW222" s="5"/>
      <c r="SX222" s="5"/>
      <c r="SY222" s="5"/>
      <c r="SZ222" s="5"/>
      <c r="TA222" s="5"/>
      <c r="TB222" s="5"/>
      <c r="TC222" s="5"/>
      <c r="TD222" s="5"/>
      <c r="TE222" s="5"/>
      <c r="TF222" s="5"/>
      <c r="TG222" s="5"/>
      <c r="TH222" s="5"/>
      <c r="TI222" s="5"/>
      <c r="TJ222" s="5"/>
      <c r="TK222" s="5"/>
      <c r="TL222" s="5"/>
      <c r="TM222" s="5"/>
      <c r="TN222" s="5"/>
      <c r="TO222" s="5"/>
      <c r="TP222" s="5"/>
      <c r="TQ222" s="5"/>
      <c r="TR222" s="5"/>
      <c r="TS222" s="5"/>
      <c r="TT222" s="5"/>
      <c r="TU222" s="5"/>
      <c r="TV222" s="5"/>
      <c r="TW222" s="5"/>
      <c r="TX222" s="5"/>
      <c r="TY222" s="5"/>
      <c r="TZ222" s="5"/>
      <c r="UA222" s="5"/>
      <c r="UB222" s="5"/>
      <c r="UC222" s="5"/>
      <c r="UD222" s="5"/>
      <c r="UE222" s="5"/>
      <c r="UF222" s="5"/>
      <c r="UG222" s="5"/>
      <c r="UH222" s="5"/>
      <c r="UI222" s="5"/>
      <c r="UJ222" s="5"/>
      <c r="UK222" s="5"/>
      <c r="UL222" s="5"/>
      <c r="UM222" s="5"/>
      <c r="UN222" s="5"/>
      <c r="UO222" s="5"/>
      <c r="UP222" s="5"/>
      <c r="UQ222" s="5"/>
      <c r="UR222" s="5"/>
      <c r="US222" s="5"/>
      <c r="UT222" s="5"/>
      <c r="UU222" s="5"/>
      <c r="UV222" s="5"/>
      <c r="UW222" s="5"/>
      <c r="UX222" s="5"/>
      <c r="UY222" s="5"/>
      <c r="UZ222" s="5"/>
      <c r="VA222" s="5"/>
      <c r="VB222" s="5"/>
      <c r="VC222" s="5"/>
      <c r="VD222" s="5"/>
      <c r="VE222" s="5"/>
      <c r="VF222" s="5"/>
      <c r="VG222" s="5"/>
      <c r="VH222" s="5"/>
      <c r="VI222" s="5"/>
      <c r="VJ222" s="5"/>
      <c r="VK222" s="5"/>
      <c r="VL222" s="5"/>
      <c r="VM222" s="5"/>
      <c r="VN222" s="5"/>
      <c r="VO222" s="5"/>
      <c r="VP222" s="5"/>
      <c r="VQ222" s="5"/>
      <c r="VR222" s="5"/>
      <c r="VS222" s="5"/>
      <c r="VT222" s="5"/>
      <c r="VU222" s="5"/>
      <c r="VV222" s="5"/>
      <c r="VW222" s="5"/>
      <c r="VX222" s="5"/>
      <c r="VY222" s="5"/>
      <c r="VZ222" s="5"/>
      <c r="WA222" s="5"/>
      <c r="WB222" s="5"/>
      <c r="WC222" s="5"/>
      <c r="WD222" s="5"/>
      <c r="WE222" s="5"/>
      <c r="WF222" s="5"/>
      <c r="WG222" s="5"/>
      <c r="WH222" s="5"/>
      <c r="WI222" s="5"/>
      <c r="WJ222" s="5"/>
      <c r="WK222" s="5"/>
      <c r="WL222" s="5"/>
      <c r="WM222" s="5"/>
      <c r="WN222" s="5"/>
      <c r="WO222" s="5"/>
      <c r="WP222" s="5"/>
      <c r="WQ222" s="5"/>
      <c r="WR222" s="5"/>
      <c r="WS222" s="5"/>
      <c r="WT222" s="5"/>
      <c r="WU222" s="5"/>
      <c r="WV222" s="5"/>
      <c r="WW222" s="5"/>
      <c r="WX222" s="5"/>
      <c r="WY222" s="5"/>
      <c r="WZ222" s="5"/>
      <c r="XA222" s="5"/>
      <c r="XB222" s="5"/>
      <c r="XC222" s="5"/>
      <c r="XD222" s="5"/>
      <c r="XE222" s="5"/>
      <c r="XF222" s="5"/>
      <c r="XG222" s="5"/>
      <c r="XH222" s="5"/>
      <c r="XI222" s="5"/>
      <c r="XJ222" s="5"/>
      <c r="XK222" s="5"/>
      <c r="XL222" s="5"/>
      <c r="XM222" s="5"/>
      <c r="XN222" s="5"/>
      <c r="XO222" s="5"/>
      <c r="XP222" s="5"/>
      <c r="XQ222" s="5"/>
      <c r="XR222" s="5"/>
      <c r="XS222" s="5"/>
      <c r="XT222" s="5"/>
      <c r="XU222" s="5"/>
      <c r="XV222" s="5"/>
      <c r="XW222" s="5"/>
      <c r="XX222" s="5"/>
      <c r="XY222" s="5"/>
      <c r="XZ222" s="5"/>
      <c r="YA222" s="5"/>
      <c r="YB222" s="5"/>
      <c r="YC222" s="5"/>
      <c r="YD222" s="5"/>
      <c r="YE222" s="5"/>
      <c r="YF222" s="5"/>
      <c r="YG222" s="5"/>
      <c r="YH222" s="5"/>
      <c r="YI222" s="5"/>
      <c r="YJ222" s="5"/>
      <c r="YK222" s="5"/>
      <c r="YL222" s="5"/>
      <c r="YM222" s="5"/>
      <c r="YN222" s="5"/>
      <c r="YO222" s="5"/>
      <c r="YP222" s="5"/>
      <c r="YQ222" s="5"/>
      <c r="YR222" s="5"/>
      <c r="YS222" s="5"/>
      <c r="YT222" s="5"/>
      <c r="YU222" s="5"/>
      <c r="YV222" s="5"/>
      <c r="YW222" s="5"/>
      <c r="YX222" s="5"/>
      <c r="YY222" s="5"/>
      <c r="YZ222" s="5"/>
    </row>
    <row r="223" spans="1:676">
      <c r="A223" s="7">
        <v>213</v>
      </c>
      <c r="B223" s="7" t="s">
        <v>512</v>
      </c>
      <c r="C223" s="10" t="s">
        <v>513</v>
      </c>
      <c r="D223" s="7" t="s">
        <v>380</v>
      </c>
      <c r="E223" s="7" t="s">
        <v>335</v>
      </c>
      <c r="F223" s="7" t="s">
        <v>415</v>
      </c>
      <c r="G223" s="7"/>
      <c r="H223" s="7" t="s">
        <v>48</v>
      </c>
      <c r="I223" s="11">
        <v>2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3">
        <v>2</v>
      </c>
      <c r="X223" s="13">
        <v>0</v>
      </c>
      <c r="Y223" s="13" t="str">
        <f>MIN(W223,S223)</f>
        <v>0</v>
      </c>
      <c r="Z223" s="13" t="str">
        <f>MIN(X223,(S223-Y223))</f>
        <v>0</v>
      </c>
      <c r="AA223" s="13" t="str">
        <f>S223-SUM(Y223,Z223)</f>
        <v>0</v>
      </c>
      <c r="AB223" s="15"/>
      <c r="AC223" s="15"/>
      <c r="AD223" s="1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5"/>
      <c r="OI223" s="5"/>
      <c r="OJ223" s="5"/>
      <c r="OK223" s="5"/>
      <c r="OL223" s="5"/>
      <c r="OM223" s="5"/>
      <c r="ON223" s="5"/>
      <c r="OO223" s="5"/>
      <c r="OP223" s="5"/>
      <c r="OQ223" s="5"/>
      <c r="OR223" s="5"/>
      <c r="OS223" s="5"/>
      <c r="OT223" s="5"/>
      <c r="OU223" s="5"/>
      <c r="OV223" s="5"/>
      <c r="OW223" s="5"/>
      <c r="OX223" s="5"/>
      <c r="OY223" s="5"/>
      <c r="OZ223" s="5"/>
      <c r="PA223" s="5"/>
      <c r="PB223" s="5"/>
      <c r="PC223" s="5"/>
      <c r="PD223" s="5"/>
      <c r="PE223" s="5"/>
      <c r="PF223" s="5"/>
      <c r="PG223" s="5"/>
      <c r="PH223" s="5"/>
      <c r="PI223" s="5"/>
      <c r="PJ223" s="5"/>
      <c r="PK223" s="5"/>
      <c r="PL223" s="5"/>
      <c r="PM223" s="5"/>
      <c r="PN223" s="5"/>
      <c r="PO223" s="5"/>
      <c r="PP223" s="5"/>
      <c r="PQ223" s="5"/>
      <c r="PR223" s="5"/>
      <c r="PS223" s="5"/>
      <c r="PT223" s="5"/>
      <c r="PU223" s="5"/>
      <c r="PV223" s="5"/>
      <c r="PW223" s="5"/>
      <c r="PX223" s="5"/>
      <c r="PY223" s="5"/>
      <c r="PZ223" s="5"/>
      <c r="QA223" s="5"/>
      <c r="QB223" s="5"/>
      <c r="QC223" s="5"/>
      <c r="QD223" s="5"/>
      <c r="QE223" s="5"/>
      <c r="QF223" s="5"/>
      <c r="QG223" s="5"/>
      <c r="QH223" s="5"/>
      <c r="QI223" s="5"/>
      <c r="QJ223" s="5"/>
      <c r="QK223" s="5"/>
      <c r="QL223" s="5"/>
      <c r="QM223" s="5"/>
      <c r="QN223" s="5"/>
      <c r="QO223" s="5"/>
      <c r="QP223" s="5"/>
      <c r="QQ223" s="5"/>
      <c r="QR223" s="5"/>
      <c r="QS223" s="5"/>
      <c r="QT223" s="5"/>
      <c r="QU223" s="5"/>
      <c r="QV223" s="5"/>
      <c r="QW223" s="5"/>
      <c r="QX223" s="5"/>
      <c r="QY223" s="5"/>
      <c r="QZ223" s="5"/>
      <c r="RA223" s="5"/>
      <c r="RB223" s="5"/>
      <c r="RC223" s="5"/>
      <c r="RD223" s="5"/>
      <c r="RE223" s="5"/>
      <c r="RF223" s="5"/>
      <c r="RG223" s="5"/>
      <c r="RH223" s="5"/>
      <c r="RI223" s="5"/>
      <c r="RJ223" s="5"/>
      <c r="RK223" s="5"/>
      <c r="RL223" s="5"/>
      <c r="RM223" s="5"/>
      <c r="RN223" s="5"/>
      <c r="RO223" s="5"/>
      <c r="RP223" s="5"/>
      <c r="RQ223" s="5"/>
      <c r="RR223" s="5"/>
      <c r="RS223" s="5"/>
      <c r="RT223" s="5"/>
      <c r="RU223" s="5"/>
      <c r="RV223" s="5"/>
      <c r="RW223" s="5"/>
      <c r="RX223" s="5"/>
      <c r="RY223" s="5"/>
      <c r="RZ223" s="5"/>
      <c r="SA223" s="5"/>
      <c r="SB223" s="5"/>
      <c r="SC223" s="5"/>
      <c r="SD223" s="5"/>
      <c r="SE223" s="5"/>
      <c r="SF223" s="5"/>
      <c r="SG223" s="5"/>
      <c r="SH223" s="5"/>
      <c r="SI223" s="5"/>
      <c r="SJ223" s="5"/>
      <c r="SK223" s="5"/>
      <c r="SL223" s="5"/>
      <c r="SM223" s="5"/>
      <c r="SN223" s="5"/>
      <c r="SO223" s="5"/>
      <c r="SP223" s="5"/>
      <c r="SQ223" s="5"/>
      <c r="SR223" s="5"/>
      <c r="SS223" s="5"/>
      <c r="ST223" s="5"/>
      <c r="SU223" s="5"/>
      <c r="SV223" s="5"/>
      <c r="SW223" s="5"/>
      <c r="SX223" s="5"/>
      <c r="SY223" s="5"/>
      <c r="SZ223" s="5"/>
      <c r="TA223" s="5"/>
      <c r="TB223" s="5"/>
      <c r="TC223" s="5"/>
      <c r="TD223" s="5"/>
      <c r="TE223" s="5"/>
      <c r="TF223" s="5"/>
      <c r="TG223" s="5"/>
      <c r="TH223" s="5"/>
      <c r="TI223" s="5"/>
      <c r="TJ223" s="5"/>
      <c r="TK223" s="5"/>
      <c r="TL223" s="5"/>
      <c r="TM223" s="5"/>
      <c r="TN223" s="5"/>
      <c r="TO223" s="5"/>
      <c r="TP223" s="5"/>
      <c r="TQ223" s="5"/>
      <c r="TR223" s="5"/>
      <c r="TS223" s="5"/>
      <c r="TT223" s="5"/>
      <c r="TU223" s="5"/>
      <c r="TV223" s="5"/>
      <c r="TW223" s="5"/>
      <c r="TX223" s="5"/>
      <c r="TY223" s="5"/>
      <c r="TZ223" s="5"/>
      <c r="UA223" s="5"/>
      <c r="UB223" s="5"/>
      <c r="UC223" s="5"/>
      <c r="UD223" s="5"/>
      <c r="UE223" s="5"/>
      <c r="UF223" s="5"/>
      <c r="UG223" s="5"/>
      <c r="UH223" s="5"/>
      <c r="UI223" s="5"/>
      <c r="UJ223" s="5"/>
      <c r="UK223" s="5"/>
      <c r="UL223" s="5"/>
      <c r="UM223" s="5"/>
      <c r="UN223" s="5"/>
      <c r="UO223" s="5"/>
      <c r="UP223" s="5"/>
      <c r="UQ223" s="5"/>
      <c r="UR223" s="5"/>
      <c r="US223" s="5"/>
      <c r="UT223" s="5"/>
      <c r="UU223" s="5"/>
      <c r="UV223" s="5"/>
      <c r="UW223" s="5"/>
      <c r="UX223" s="5"/>
      <c r="UY223" s="5"/>
      <c r="UZ223" s="5"/>
      <c r="VA223" s="5"/>
      <c r="VB223" s="5"/>
      <c r="VC223" s="5"/>
      <c r="VD223" s="5"/>
      <c r="VE223" s="5"/>
      <c r="VF223" s="5"/>
      <c r="VG223" s="5"/>
      <c r="VH223" s="5"/>
      <c r="VI223" s="5"/>
      <c r="VJ223" s="5"/>
      <c r="VK223" s="5"/>
      <c r="VL223" s="5"/>
      <c r="VM223" s="5"/>
      <c r="VN223" s="5"/>
      <c r="VO223" s="5"/>
      <c r="VP223" s="5"/>
      <c r="VQ223" s="5"/>
      <c r="VR223" s="5"/>
      <c r="VS223" s="5"/>
      <c r="VT223" s="5"/>
      <c r="VU223" s="5"/>
      <c r="VV223" s="5"/>
      <c r="VW223" s="5"/>
      <c r="VX223" s="5"/>
      <c r="VY223" s="5"/>
      <c r="VZ223" s="5"/>
      <c r="WA223" s="5"/>
      <c r="WB223" s="5"/>
      <c r="WC223" s="5"/>
      <c r="WD223" s="5"/>
      <c r="WE223" s="5"/>
      <c r="WF223" s="5"/>
      <c r="WG223" s="5"/>
      <c r="WH223" s="5"/>
      <c r="WI223" s="5"/>
      <c r="WJ223" s="5"/>
      <c r="WK223" s="5"/>
      <c r="WL223" s="5"/>
      <c r="WM223" s="5"/>
      <c r="WN223" s="5"/>
      <c r="WO223" s="5"/>
      <c r="WP223" s="5"/>
      <c r="WQ223" s="5"/>
      <c r="WR223" s="5"/>
      <c r="WS223" s="5"/>
      <c r="WT223" s="5"/>
      <c r="WU223" s="5"/>
      <c r="WV223" s="5"/>
      <c r="WW223" s="5"/>
      <c r="WX223" s="5"/>
      <c r="WY223" s="5"/>
      <c r="WZ223" s="5"/>
      <c r="XA223" s="5"/>
      <c r="XB223" s="5"/>
      <c r="XC223" s="5"/>
      <c r="XD223" s="5"/>
      <c r="XE223" s="5"/>
      <c r="XF223" s="5"/>
      <c r="XG223" s="5"/>
      <c r="XH223" s="5"/>
      <c r="XI223" s="5"/>
      <c r="XJ223" s="5"/>
      <c r="XK223" s="5"/>
      <c r="XL223" s="5"/>
      <c r="XM223" s="5"/>
      <c r="XN223" s="5"/>
      <c r="XO223" s="5"/>
      <c r="XP223" s="5"/>
      <c r="XQ223" s="5"/>
      <c r="XR223" s="5"/>
      <c r="XS223" s="5"/>
      <c r="XT223" s="5"/>
      <c r="XU223" s="5"/>
      <c r="XV223" s="5"/>
      <c r="XW223" s="5"/>
      <c r="XX223" s="5"/>
      <c r="XY223" s="5"/>
      <c r="XZ223" s="5"/>
      <c r="YA223" s="5"/>
      <c r="YB223" s="5"/>
      <c r="YC223" s="5"/>
      <c r="YD223" s="5"/>
      <c r="YE223" s="5"/>
      <c r="YF223" s="5"/>
      <c r="YG223" s="5"/>
      <c r="YH223" s="5"/>
      <c r="YI223" s="5"/>
      <c r="YJ223" s="5"/>
      <c r="YK223" s="5"/>
      <c r="YL223" s="5"/>
      <c r="YM223" s="5"/>
      <c r="YN223" s="5"/>
      <c r="YO223" s="5"/>
      <c r="YP223" s="5"/>
      <c r="YQ223" s="5"/>
      <c r="YR223" s="5"/>
      <c r="YS223" s="5"/>
      <c r="YT223" s="5"/>
      <c r="YU223" s="5"/>
      <c r="YV223" s="5"/>
      <c r="YW223" s="5"/>
      <c r="YX223" s="5"/>
      <c r="YY223" s="5"/>
      <c r="YZ223" s="5"/>
    </row>
    <row r="227" spans="1:676">
      <c r="A227" s="16"/>
      <c r="B227" s="16" t="s">
        <v>514</v>
      </c>
      <c r="C227" s="16"/>
      <c r="D227" s="16"/>
      <c r="E227" s="16"/>
      <c r="F227" s="16"/>
      <c r="G227" s="16"/>
      <c r="H227" s="16"/>
      <c r="I227" s="16" t="s">
        <v>515</v>
      </c>
      <c r="J227" s="16"/>
      <c r="K227" s="16"/>
      <c r="L227" s="16"/>
      <c r="M227" s="16"/>
      <c r="N227" s="16"/>
      <c r="O227" s="16"/>
      <c r="P227" s="16"/>
      <c r="Q227" s="16"/>
    </row>
    <row r="228" spans="1:676">
      <c r="A228" s="16"/>
      <c r="B228" s="16" t="s">
        <v>516</v>
      </c>
      <c r="C228" s="16"/>
      <c r="D228" s="16"/>
      <c r="E228" s="16"/>
      <c r="F228" s="16"/>
      <c r="G228" s="16"/>
      <c r="H228" s="16"/>
      <c r="I228" s="16" t="s">
        <v>517</v>
      </c>
      <c r="J228" s="16"/>
      <c r="K228" s="16"/>
      <c r="L228" s="16"/>
      <c r="M228" s="16"/>
      <c r="N228" s="16"/>
      <c r="O228" s="16"/>
      <c r="P228" s="16"/>
      <c r="Q228" s="16"/>
    </row>
    <row r="229" spans="1:67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</row>
    <row r="230" spans="1:67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</row>
    <row r="231" spans="1:67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</row>
    <row r="232" spans="1:67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</row>
    <row r="233" spans="1:676">
      <c r="A233" s="16"/>
      <c r="B233" s="16" t="s">
        <v>518</v>
      </c>
      <c r="C233" s="16"/>
      <c r="D233" s="16"/>
      <c r="E233" s="16"/>
      <c r="F233" s="16"/>
      <c r="G233" s="16"/>
      <c r="H233" s="16"/>
      <c r="I233" s="16" t="s">
        <v>519</v>
      </c>
      <c r="J233" s="16"/>
      <c r="K233" s="16"/>
      <c r="L233" s="16"/>
      <c r="M233" s="16"/>
      <c r="N233" s="16"/>
      <c r="O233" s="16"/>
      <c r="P233" s="16"/>
      <c r="Q233" s="16"/>
    </row>
    <row r="234" spans="1:676">
      <c r="A234" s="16"/>
      <c r="B234" s="16" t="s">
        <v>520</v>
      </c>
      <c r="C234" s="16"/>
      <c r="D234" s="16"/>
      <c r="E234" s="16"/>
      <c r="F234" s="16"/>
      <c r="G234" s="16"/>
      <c r="H234" s="16"/>
      <c r="I234" s="16" t="s">
        <v>520</v>
      </c>
      <c r="J234" s="16"/>
      <c r="K234" s="16"/>
      <c r="L234" s="16"/>
      <c r="M234" s="16"/>
      <c r="N234" s="16"/>
      <c r="O234" s="16"/>
      <c r="P234" s="16"/>
      <c r="Q2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2020-03-12T11:58:25+07:00</dcterms:created>
  <dcterms:modified xsi:type="dcterms:W3CDTF">2020-03-12T11:58:25+07:00</dcterms:modified>
  <dc:title>Untitled Spreadsheet</dc:title>
  <dc:description/>
  <dc:subject/>
  <cp:keywords/>
  <cp:category/>
</cp:coreProperties>
</file>