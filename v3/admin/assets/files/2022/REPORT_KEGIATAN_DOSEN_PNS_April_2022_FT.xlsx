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<sst xmlns="http://schemas.openxmlformats.org/spreadsheetml/2006/main" uniqueCount="418">
  <si>
    <t>KEMENTERIAN RISET, TEKNOLOGI DAN PENDIDIKAN TINGGI</t>
  </si>
  <si>
    <t>UNIVERSITAS RIAU</t>
  </si>
  <si>
    <t>FAKULTAS TEKNIK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</si>
  <si>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</si>
  <si>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</si>
  <si>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</si>
  <si>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</si>
  <si>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April 2022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</si>
  <si>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</si>
  <si>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</si>
  <si>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</si>
  <si>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</si>
  <si>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</si>
  <si>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</si>
  <si>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</si>
  <si>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</si>
  <si>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</si>
  <si>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</si>
  <si>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</si>
  <si>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</si>
  <si>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</si>
  <si>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</si>
  <si>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</si>
  <si>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</si>
  <si>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</si>
  <si>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</si>
  <si>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</si>
  <si>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</si>
  <si>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</si>
  <si>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</si>
  <si>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</si>
  <si>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</si>
  <si>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</si>
  <si>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</si>
  <si>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</si>
  <si>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</si>
  <si>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</si>
  <si>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</si>
  <si>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195810181987031001</t>
  </si>
  <si>
    <t>PROF. DR. ADRIANTO AHMAD, MT</t>
  </si>
  <si>
    <t>S2 Teknik Kimia</t>
  </si>
  <si>
    <t>IV/e</t>
  </si>
  <si>
    <t>Profesor</t>
  </si>
  <si>
    <t>Tidak ada jabatan struktural</t>
  </si>
  <si>
    <t>196808041997031003</t>
  </si>
  <si>
    <t>PROF. DR.IR. BAHRUDDIN, MT</t>
  </si>
  <si>
    <t>IV/a</t>
  </si>
  <si>
    <t>Koordinator Program Studi B</t>
  </si>
  <si>
    <t>196801271995121001</t>
  </si>
  <si>
    <t>PROF. Dr. Ir. ARI SANDYAHVITRI, M.SC</t>
  </si>
  <si>
    <t>Teknik Sipil</t>
  </si>
  <si>
    <t>IV/b</t>
  </si>
  <si>
    <t>197201312000031001</t>
  </si>
  <si>
    <t>Prof. Dr. AMUN AMRI, ST, MT</t>
  </si>
  <si>
    <t>Teknik Kimia</t>
  </si>
  <si>
    <t>IV/d</t>
  </si>
  <si>
    <t>197301291999031002</t>
  </si>
  <si>
    <t>Prof. Dr. EDY SAPUTRA, ST, MT</t>
  </si>
  <si>
    <t>197105192000031002</t>
  </si>
  <si>
    <t>Prof. Dr. Eng. AZRIDJAL AZIZ, ST, MT</t>
  </si>
  <si>
    <t>Teknik Mesin</t>
  </si>
  <si>
    <t>Dekan A Gol. IV</t>
  </si>
  <si>
    <t>196001031986031003</t>
  </si>
  <si>
    <t>Prof. Dr. SYAIFUL BAHRI, M.SI</t>
  </si>
  <si>
    <t>IV/c</t>
  </si>
  <si>
    <t>Wakil Rektor 4 Gol. IV</t>
  </si>
  <si>
    <t>196911241998032001</t>
  </si>
  <si>
    <t>Prof. Dr. ZUCHRA HELWANI, ST, MT</t>
  </si>
  <si>
    <t>Wakil Dekan I A Gol. IV</t>
  </si>
  <si>
    <t>197012191997032001</t>
  </si>
  <si>
    <t>ANITA SUSILAWATI, ST, M.SC, Ph.D</t>
  </si>
  <si>
    <t>III/c</t>
  </si>
  <si>
    <t>Lektor Kepala Gol. III</t>
  </si>
  <si>
    <t>196804131998031002</t>
  </si>
  <si>
    <t>BAMBANG SUJATMOKO, ST ,MT</t>
  </si>
  <si>
    <t>Lektor Kepala Gol. IV</t>
  </si>
  <si>
    <t>198002052003121001</t>
  </si>
  <si>
    <t>DR. FRI MURDIYA, ST , MT</t>
  </si>
  <si>
    <t>D3 Teknik Elektronika</t>
  </si>
  <si>
    <t>Sekretaris Jurusan B</t>
  </si>
  <si>
    <t>196607311997021001</t>
  </si>
  <si>
    <t>DR. IR. ANTONIUS RAJA GUKGUK, MT</t>
  </si>
  <si>
    <t>Teknik Elektro</t>
  </si>
  <si>
    <t>197108271997022001</t>
  </si>
  <si>
    <t>DR. LITA DARMAYANTI, ST, MT</t>
  </si>
  <si>
    <t>197306161999031002</t>
  </si>
  <si>
    <t>DR. PADIL, ST, MT</t>
  </si>
  <si>
    <t>196809271998031003</t>
  </si>
  <si>
    <t>DR. S. ZUL AMRAINI, ST ,MT</t>
  </si>
  <si>
    <t>Teknolgi Pulp dan Kertas</t>
  </si>
  <si>
    <t>195908231987022001</t>
  </si>
  <si>
    <t>DRA. DRASTINAWATI, M.SI</t>
  </si>
  <si>
    <t>D3 Teknik Kimia</t>
  </si>
  <si>
    <t>196010121987022001</t>
  </si>
  <si>
    <t>DRA. KHAIRAT, M.SI</t>
  </si>
  <si>
    <t>196008251986092002</t>
  </si>
  <si>
    <t>DRA. NIRWANA, MT</t>
  </si>
  <si>
    <t>195908241987022001</t>
  </si>
  <si>
    <t>DRA. SILVIA RENI YETTI, M.SI</t>
  </si>
  <si>
    <t>195901291987022001</t>
  </si>
  <si>
    <t>DRA. WISRAYETTI, M.Si</t>
  </si>
  <si>
    <t>196307031990022001</t>
  </si>
  <si>
    <t>DRA. YELMIDA A, M.SI</t>
  </si>
  <si>
    <t>196011251985032002</t>
  </si>
  <si>
    <t>DRA. YENITA MORENA, M.SI</t>
  </si>
  <si>
    <t>D3 Teknik Sipil</t>
  </si>
  <si>
    <t>196206121988032002</t>
  </si>
  <si>
    <t>DRA. YUSNIMAR, M.SI.M.Phil</t>
  </si>
  <si>
    <t>196305041989032001</t>
  </si>
  <si>
    <t>DRA. ZULTINIAR, M.SI</t>
  </si>
  <si>
    <t>195704151986091001</t>
  </si>
  <si>
    <t>DRS. IRDONI, SH, MS</t>
  </si>
  <si>
    <t>196402081992031002</t>
  </si>
  <si>
    <t>DRS. MARDANI SEBAYANG, MT</t>
  </si>
  <si>
    <t>195805151985031002</t>
  </si>
  <si>
    <t>DRS. SUPRASMAN, MM</t>
  </si>
  <si>
    <t>196010031988031003</t>
  </si>
  <si>
    <t>DRS. SYAMSU HERMAN, MT</t>
  </si>
  <si>
    <t>197203012000031003</t>
  </si>
  <si>
    <t>Dr. AWALUDIN MARTIN, ST, MT</t>
  </si>
  <si>
    <t>III/d</t>
  </si>
  <si>
    <t>196805031997021002</t>
  </si>
  <si>
    <t>Dr. IMAM SUPRAYOGI, MT</t>
  </si>
  <si>
    <t>197305291999031002</t>
  </si>
  <si>
    <t>Dr. JHON ARMEDI PINEM, ST ,MT</t>
  </si>
  <si>
    <t>197007201997022002</t>
  </si>
  <si>
    <t>Dr. Joleha ST, MM</t>
  </si>
  <si>
    <t>197506132001122001</t>
  </si>
  <si>
    <t>Dr. MONITA OLIVIA, ST, M.SC</t>
  </si>
  <si>
    <t>Koordinator Pusat</t>
  </si>
  <si>
    <t>197307271998032003</t>
  </si>
  <si>
    <t>Dr. RENI SURYANITA, ST, MT</t>
  </si>
  <si>
    <t>197208171998031002</t>
  </si>
  <si>
    <t>Dr. SUNARNO, ST, MT</t>
  </si>
  <si>
    <t>197402242000032001</t>
  </si>
  <si>
    <t>ERY SAFRIANTI, ST, MT</t>
  </si>
  <si>
    <t>197503142001122001</t>
  </si>
  <si>
    <t>EVELYN, ST, M.SC., Ph.D</t>
  </si>
  <si>
    <t>196710201997031003</t>
  </si>
  <si>
    <t>HORAS SAUT M. MARPAUNG ,ST, MT</t>
  </si>
  <si>
    <t>195804021989031005</t>
  </si>
  <si>
    <t>IR. ALFIAN MALIK, MM., MT</t>
  </si>
  <si>
    <t>196603211997022002</t>
  </si>
  <si>
    <t>IR. ERMIYATI, MT</t>
  </si>
  <si>
    <t>196202161990022001</t>
  </si>
  <si>
    <t>IR. ROZANNA SRI IRIANTI. M.SI</t>
  </si>
  <si>
    <t>196504151997021001</t>
  </si>
  <si>
    <t>MUHAMMAD SHALAHUDDIN, ST, MT</t>
  </si>
  <si>
    <t>197204211999031002</t>
  </si>
  <si>
    <t>NAZARUDDIN, ST, MT</t>
  </si>
  <si>
    <t>197311271999032002</t>
  </si>
  <si>
    <t>NOVERI LYSBETTI M, ST, M.SC</t>
  </si>
  <si>
    <t>Teknik Informatika</t>
  </si>
  <si>
    <t>197304011999032003</t>
  </si>
  <si>
    <t>PROF. AZRIYENNI, ST, M.ENG, Ph.D</t>
  </si>
  <si>
    <t>Wakil Dekan III A Gol. IV</t>
  </si>
  <si>
    <t>197108072000031002</t>
  </si>
  <si>
    <t>SOEWIGNJO AGUS NUGROHO, ST, MT</t>
  </si>
  <si>
    <t>196611021999031002</t>
  </si>
  <si>
    <t>SUWITNO, ST ,MT</t>
  </si>
  <si>
    <t>197507052002121003</t>
  </si>
  <si>
    <t>AMIR HAMZAH, ST.MT</t>
  </si>
  <si>
    <t>Lektor Gol. III</t>
  </si>
  <si>
    <t>196907171998031002</t>
  </si>
  <si>
    <t>ANDY HENDRI, ST, MT</t>
  </si>
  <si>
    <t>Koordinator Program Studi A</t>
  </si>
  <si>
    <t>197604092002121002</t>
  </si>
  <si>
    <t>ANHAR, ST, MT</t>
  </si>
  <si>
    <t>Ketua Jurusan B Gol. III</t>
  </si>
  <si>
    <t>198606122012121003</t>
  </si>
  <si>
    <t>ARYO SASMITA,ST,MT</t>
  </si>
  <si>
    <t>Teknik Lingkungan</t>
  </si>
  <si>
    <t>197203051998021001</t>
  </si>
  <si>
    <t>ASRAL, ST , M.Eng, Ph.D</t>
  </si>
  <si>
    <t>196808281997021001</t>
  </si>
  <si>
    <t>AZHARI, ST, MT</t>
  </si>
  <si>
    <t>198905012019031013</t>
  </si>
  <si>
    <t>BENNY HAMDI RHOMA PUTRA, S.T., M.T</t>
  </si>
  <si>
    <t>III/b</t>
  </si>
  <si>
    <t>197005101997021001</t>
  </si>
  <si>
    <t>BOCHARI, ST, MT</t>
  </si>
  <si>
    <t>Ketua SPI</t>
  </si>
  <si>
    <t>197111141998031001</t>
  </si>
  <si>
    <t>CHAIRUL, ST, MT</t>
  </si>
  <si>
    <t>198002212008121001</t>
  </si>
  <si>
    <t>DEDI ROSA PUTRA CUPU,ST.,MT., Ph.D</t>
  </si>
  <si>
    <t>197612072003121002</t>
  </si>
  <si>
    <t>DEDY MASNUR, ST, M.Eng</t>
  </si>
  <si>
    <t>197909042005012002</t>
  </si>
  <si>
    <t>DEWI FITRIA, S.T., M.T., Ph.D</t>
  </si>
  <si>
    <t>197803082003121001</t>
  </si>
  <si>
    <t>DIAN YAYAN SUKMA, ST., MT</t>
  </si>
  <si>
    <t>197812022008011007</t>
  </si>
  <si>
    <t>DODI SOFYAN ARIEF, ST., MT</t>
  </si>
  <si>
    <t>197204222006041001</t>
  </si>
  <si>
    <t>DR. DAHLIYUSMANTO, S.KOM., M.SC</t>
  </si>
  <si>
    <t>198010042005011003</t>
  </si>
  <si>
    <t>DR. DAVID ANDRIO, ST, M.SI</t>
  </si>
  <si>
    <t>Sekretaris Jurusan A</t>
  </si>
  <si>
    <t>197112141998032001</t>
  </si>
  <si>
    <t>DR. DESI HELTINA, ST, MT</t>
  </si>
  <si>
    <t>197404282002121003</t>
  </si>
  <si>
    <t>DR. FERI CANDRA, ST, MT</t>
  </si>
  <si>
    <t>197104291998032001</t>
  </si>
  <si>
    <t>DR. IDA ZAHRINA, ST ,MT</t>
  </si>
  <si>
    <t>Lektor Gol. IV</t>
  </si>
  <si>
    <t>197403072002121002</t>
  </si>
  <si>
    <t>DR. INDRA YASRI, ST, MT</t>
  </si>
  <si>
    <t>197807152003121006</t>
  </si>
  <si>
    <t>DR. ISWADI HR, ST, MT</t>
  </si>
  <si>
    <t>Kepala UPT</t>
  </si>
  <si>
    <t>197101281997012001</t>
  </si>
  <si>
    <t>DR. MARIA PERATENTA S. ST, MT</t>
  </si>
  <si>
    <t>197504272005011002</t>
  </si>
  <si>
    <t>DR. MUHAMMAD RIJAL, ST, MT</t>
  </si>
  <si>
    <t>Arsitektur</t>
  </si>
  <si>
    <t>196502181995121001</t>
  </si>
  <si>
    <t>DR. NURDIN, ST, MT</t>
  </si>
  <si>
    <t>197511042005012001</t>
  </si>
  <si>
    <t>DR. YUSNITA RAHAYU, ST, M.ENG</t>
  </si>
  <si>
    <t>197310251998031002</t>
  </si>
  <si>
    <t>Dr. AHMAD FADLI, ST ,MT</t>
  </si>
  <si>
    <t>197308301999031001</t>
  </si>
  <si>
    <t>Dr. Eng. Alex Kurniawandy</t>
  </si>
  <si>
    <t>197406161999031004</t>
  </si>
  <si>
    <t>Dr. Eng. Sigit sutikno</t>
  </si>
  <si>
    <t>196407101995121001</t>
  </si>
  <si>
    <t>Dr. FERRY FATNANTA, MT</t>
  </si>
  <si>
    <t>196809191995121001</t>
  </si>
  <si>
    <t>Dr. Fakhri, ST., MT</t>
  </si>
  <si>
    <t>197406262001121006</t>
  </si>
  <si>
    <t>Dr. Gunawan Wibisono</t>
  </si>
  <si>
    <t>Ketua Jurusan A Gol. III</t>
  </si>
  <si>
    <t>197102131999031001</t>
  </si>
  <si>
    <t>Dr. IDRAL, ST, MT</t>
  </si>
  <si>
    <t>197203081998031003</t>
  </si>
  <si>
    <t>Dr. MANYUK FAUZI, MT</t>
  </si>
  <si>
    <t>197507012001121002</t>
  </si>
  <si>
    <t>Dr. MUHAMMAD YUSA, ST ,MT</t>
  </si>
  <si>
    <t>197203092001121001</t>
  </si>
  <si>
    <t>Dr. MUHARDI, ST, M.SC</t>
  </si>
  <si>
    <t>197307081999031002</t>
  </si>
  <si>
    <t>Dr. RIDWAN, ST, MT</t>
  </si>
  <si>
    <t>196709081999031001</t>
  </si>
  <si>
    <t>EDDY HAMDANI, ST, MT</t>
  </si>
  <si>
    <t>196807221997022002</t>
  </si>
  <si>
    <t>ELIANORA, ST, M.ENG</t>
  </si>
  <si>
    <t>197004081997022001</t>
  </si>
  <si>
    <t>ELVIE YENIE, ST, M.Eng</t>
  </si>
  <si>
    <t>198002192003121001</t>
  </si>
  <si>
    <t>FEBLIL HUDA, ST, MT, Ph.D</t>
  </si>
  <si>
    <t>197802222002121003</t>
  </si>
  <si>
    <t>FEBRIZAL, ST , MT</t>
  </si>
  <si>
    <t>197302012005012002</t>
  </si>
  <si>
    <t>FERANITA, ST ,MT</t>
  </si>
  <si>
    <t>197210111999032001</t>
  </si>
  <si>
    <t>HAFIDAWATI, S.TP. MT</t>
  </si>
  <si>
    <t>196808171997021001</t>
  </si>
  <si>
    <t>HAJI GUSSYAFRI, ST , MT</t>
  </si>
  <si>
    <t>196708171995121001</t>
  </si>
  <si>
    <t>IR. AGUS IKA PUTRA, DIPL. ENG</t>
  </si>
  <si>
    <t>196806251995121001</t>
  </si>
  <si>
    <t>IR. ALFIAN KAMALDI, MT</t>
  </si>
  <si>
    <t>197208132000121001</t>
  </si>
  <si>
    <t>IR. BUDHI ANTO, MT</t>
  </si>
  <si>
    <t>195806131991031002</t>
  </si>
  <si>
    <t>IR. DRS. TRIMAIJON, MT</t>
  </si>
  <si>
    <t>196412151997021001</t>
  </si>
  <si>
    <t>IR. EDY ERVIANTO, MT</t>
  </si>
  <si>
    <t>196505171992031014</t>
  </si>
  <si>
    <t>IR. ENNO YUNIARTO, MT</t>
  </si>
  <si>
    <t>196602051997021001</t>
  </si>
  <si>
    <t>IR. HERISISWANTO, MT</t>
  </si>
  <si>
    <t>196206271990021001</t>
  </si>
  <si>
    <t>IR. RIAN TRI KOMARA, MT</t>
  </si>
  <si>
    <t>196207141989031003</t>
  </si>
  <si>
    <t>IR. SISWANTO, MT</t>
  </si>
  <si>
    <t>196506251997022001</t>
  </si>
  <si>
    <t>IR. SRI DJUNIATI, MT</t>
  </si>
  <si>
    <t>198005102005011003</t>
  </si>
  <si>
    <t>IRSAN TAUFIK ALI, ST., MT</t>
  </si>
  <si>
    <t>197505242001121003</t>
  </si>
  <si>
    <t>ISKANDAR ROMEY SITOMPUL, ST, M.SC</t>
  </si>
  <si>
    <t>197709162005011002</t>
  </si>
  <si>
    <t>JECKY ASMURA, ST, MT</t>
  </si>
  <si>
    <t>198806062015041002</t>
  </si>
  <si>
    <t>KASPUL ANUAR , S.Pd . M.T</t>
  </si>
  <si>
    <t>197101141998032001</t>
  </si>
  <si>
    <t>KOMALASARI, ST, MT</t>
  </si>
  <si>
    <t>197910152006042002</t>
  </si>
  <si>
    <t>LINNA OKTAVIANA SARI, ST., MT.</t>
  </si>
  <si>
    <t>196906111997021001</t>
  </si>
  <si>
    <t>M. DALIL, ST, MT</t>
  </si>
  <si>
    <t>197107051998031003</t>
  </si>
  <si>
    <t>MUDJIATKO, ST, MT</t>
  </si>
  <si>
    <t>198007282005011003</t>
  </si>
  <si>
    <t>MUFTIL BADRI M, ST , MT</t>
  </si>
  <si>
    <t>197011131999031002</t>
  </si>
  <si>
    <t>MUHAMMAD IWAN FERMI, ST, MT</t>
  </si>
  <si>
    <t>197702062012121002</t>
  </si>
  <si>
    <t>MUHAMMAD REZA , S.T , M.Sc</t>
  </si>
  <si>
    <t>198310042008121001</t>
  </si>
  <si>
    <t>MUSTHAFA AKBAR, ST , MT</t>
  </si>
  <si>
    <t>197408202002121001</t>
  </si>
  <si>
    <t>NURHALIM, ST, MT</t>
  </si>
  <si>
    <t>196706011997031003</t>
  </si>
  <si>
    <t>PANCA SETIA UTAMA, ST, MT, Ph.D</t>
  </si>
  <si>
    <t>197706062003122003</t>
  </si>
  <si>
    <t>R. LISA SURYANI, S.T., M. T</t>
  </si>
  <si>
    <t>198602222008031001</t>
  </si>
  <si>
    <t>RAHMAT IMAN MAINIL, S.T, MT</t>
  </si>
  <si>
    <t>196707231999031001</t>
  </si>
  <si>
    <t>RAHYUL AMRI, ST, MT</t>
  </si>
  <si>
    <t>197209282003122002</t>
  </si>
  <si>
    <t>RATNA AMANATI, ST, MT</t>
  </si>
  <si>
    <t>197101091998031002</t>
  </si>
  <si>
    <t>RINALDI, ST, MT</t>
  </si>
  <si>
    <t>197507242005011001</t>
  </si>
  <si>
    <t>ROMY, ST, M.Eng</t>
  </si>
  <si>
    <t>198607052010122005</t>
  </si>
  <si>
    <t>SHINTA ELYSTIA, ST, M.SI</t>
  </si>
  <si>
    <t>197405262000032003</t>
  </si>
  <si>
    <t>SRI HELIANTY, ST, MT</t>
  </si>
  <si>
    <t>198203312008121002</t>
  </si>
  <si>
    <t>SYAFRI,S.T.,MT</t>
  </si>
  <si>
    <t>197906122005011003</t>
  </si>
  <si>
    <t>WAHYU HIDAYAT, ST, MURP</t>
  </si>
  <si>
    <t>197208051999031003</t>
  </si>
  <si>
    <t>WARMAN FATRA, ST, MT</t>
  </si>
  <si>
    <t>196901181997021001</t>
  </si>
  <si>
    <t>YOHANES, ST.,MT</t>
  </si>
  <si>
    <t>197301262000032003</t>
  </si>
  <si>
    <t>YOHANNA LILIS HANDAYANI, ST, MT</t>
  </si>
  <si>
    <t>197602132003121005</t>
  </si>
  <si>
    <t>YOHANNES FIRZAL, ST, MT, Ph.D</t>
  </si>
  <si>
    <t>Wakil Dekan II A Gol. III</t>
  </si>
  <si>
    <t>197405272000032001</t>
  </si>
  <si>
    <t>YOSI ALWINDA, ST ,MT</t>
  </si>
  <si>
    <t>196902221997031001</t>
  </si>
  <si>
    <t>ZULFANSYAH, ST, MT</t>
  </si>
  <si>
    <t>197511271999031001</t>
  </si>
  <si>
    <t>ANDRE NOVAN, ST, MT</t>
  </si>
  <si>
    <t>III/a</t>
  </si>
  <si>
    <t>Asisten Ahli Gol. III</t>
  </si>
  <si>
    <t>199007112020122018</t>
  </si>
  <si>
    <t>ANISA MUTAMIMA, B.Eng., M.Eng</t>
  </si>
  <si>
    <t>Dosen belum punya Jabatan Gol. III</t>
  </si>
  <si>
    <t>198805052020122012</t>
  </si>
  <si>
    <t>DIAN RAMADHANI, S.T., M.T</t>
  </si>
  <si>
    <t>197208121997022001</t>
  </si>
  <si>
    <t>DINNI AGUSTINA, ST, MT</t>
  </si>
  <si>
    <t>Dosen Tugas Belajar Gol. III</t>
  </si>
  <si>
    <t>195910221987021001</t>
  </si>
  <si>
    <t>DRS. EDWARD. HS, MS</t>
  </si>
  <si>
    <t>195712231987021001</t>
  </si>
  <si>
    <t>DRS. H. RAHMAD, MT</t>
  </si>
  <si>
    <t>197408062000031001</t>
  </si>
  <si>
    <t>Dr. Leo Sentosa</t>
  </si>
  <si>
    <t>197612312002051001</t>
  </si>
  <si>
    <t>Dr.SYAWAL SATIBI , M.Sc</t>
  </si>
  <si>
    <t>199110292019031010</t>
  </si>
  <si>
    <t>EDI SUSILO, S.Pd., M.Kom</t>
  </si>
  <si>
    <t>199104052019031024</t>
  </si>
  <si>
    <t>EDI YUSUF ADIMAN, S.T., M.Sc</t>
  </si>
  <si>
    <t>197007061999031003</t>
  </si>
  <si>
    <t>EFI AFRIZAL, ST, MT.,Ph.D</t>
  </si>
  <si>
    <t>198910212019032016</t>
  </si>
  <si>
    <t>ESTY OCTIANAN SARI, S.Si., M.T</t>
  </si>
  <si>
    <t>197705102005011002</t>
  </si>
  <si>
    <t>FIRDAUS, ST, MT</t>
  </si>
  <si>
    <t>198810312014041001</t>
  </si>
  <si>
    <t>GUN FAISAL, ST, MSc</t>
  </si>
  <si>
    <t>199209062019031012</t>
  </si>
  <si>
    <t>GUNADI PRIYAMBADA, S.T., M.T</t>
  </si>
  <si>
    <t>197501272001121004</t>
  </si>
  <si>
    <t>HENDRA TAUFIK, ST, M.SC</t>
  </si>
  <si>
    <t>196503121998021001</t>
  </si>
  <si>
    <t>IR. SYARFI, MT</t>
  </si>
  <si>
    <t>197001231999031001</t>
  </si>
  <si>
    <t>ISMEDDIYANTO, ST</t>
  </si>
  <si>
    <t>198404202012122001</t>
  </si>
  <si>
    <t>IVNAINI ANDESGUR, ST,M.Sc</t>
  </si>
  <si>
    <t>197905242005011002</t>
  </si>
  <si>
    <t>IWAN KURNIAWAN, ST., MT</t>
  </si>
  <si>
    <t>197903082005012002</t>
  </si>
  <si>
    <t>MIRA DHARMA SUSILAWATI, ST, MT</t>
  </si>
  <si>
    <t>198711092020121007</t>
  </si>
  <si>
    <t>MORIAN SASPRIATNADI, S.T., M.Ars</t>
  </si>
  <si>
    <t>198801202019031012</t>
  </si>
  <si>
    <t>MUHAMMAD RILLY AKA YOGI, S.T., M.T</t>
  </si>
  <si>
    <t>199109202018031001</t>
  </si>
  <si>
    <t>MUHD. ARIEF AL HUSAINI, S.T., M.T</t>
  </si>
  <si>
    <t>197609072006042002</t>
  </si>
  <si>
    <t>NURFATIHAYATI, S.T., M.T</t>
  </si>
  <si>
    <t>197507032005012003</t>
  </si>
  <si>
    <t>PEDIA ALDY, ST, MSc</t>
  </si>
  <si>
    <t>197805112012122001</t>
  </si>
  <si>
    <t>PUTRI NAWANGSARI,ST,M.Eng</t>
  </si>
  <si>
    <t>198312032019031006</t>
  </si>
  <si>
    <t>RAHMAT RIZAL ANDHI, S.T., M.T</t>
  </si>
  <si>
    <t>198611112009121006</t>
  </si>
  <si>
    <t>SALHAZAN NASUTION, S.KOM., MIT</t>
  </si>
  <si>
    <t>197705092009122002</t>
  </si>
  <si>
    <t>SRI REZEKI MURIA, ST.MP.M.Sc</t>
  </si>
  <si>
    <t>198407122012122001</t>
  </si>
  <si>
    <t>SYELVIA PUTRI UTAMI, ST, M.Eng</t>
  </si>
  <si>
    <t>197207122000121001</t>
  </si>
  <si>
    <t>T. YUDI HADIWANDRA, S.Kom., M.Kom</t>
  </si>
  <si>
    <t xml:space="preserve">Asisten Ahli Gol. IV </t>
  </si>
  <si>
    <t>197301312000031001</t>
  </si>
  <si>
    <t>YOGIE RINALDY  GINTING, ST.,MT., Ph.D</t>
  </si>
  <si>
    <t>Menyetujui,</t>
  </si>
  <si>
    <t>Pekanbaru, 11 Mei 2022</t>
  </si>
  <si>
    <t>Wakil Dekan Bidang Akademik</t>
  </si>
  <si>
    <t>Admin Fakultas</t>
  </si>
  <si>
    <t>(..............................................)</t>
  </si>
  <si>
    <t>( Admin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</si>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</sst>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a846029ed92500a1e4152de78b828c42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85"/>
  <sheetViews>
    <sheetView tabSelected="1" workbookViewId="0" showGridLines="true" showRowColHeaders="1">
      <selection activeCell="A178" sqref="A178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6.569999999999999</v>
      </c>
      <c r="M11" s="11">
        <v>0</v>
      </c>
      <c r="N11" s="11">
        <v>0</v>
      </c>
      <c r="O11" s="11">
        <v>0</v>
      </c>
      <c r="P11" s="11">
        <v>0.83</v>
      </c>
      <c r="Q11" s="11">
        <v>7.399999999999996</v>
      </c>
      <c r="R11" s="11">
        <v>19.00999999999999</v>
      </c>
      <c r="S11" s="11">
        <v>26.40999999999999</v>
      </c>
      <c r="T11" s="11">
        <v>2.67</v>
      </c>
      <c r="U11" s="11">
        <v>3</v>
      </c>
      <c r="V11" s="11">
        <v>20.73999999999999</v>
      </c>
      <c r="W11" s="13">
        <v>10.68</v>
      </c>
      <c r="X11" s="13">
        <v>12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47</v>
      </c>
      <c r="I12" s="11">
        <v>2.67</v>
      </c>
      <c r="J12" s="11">
        <v>3</v>
      </c>
      <c r="K12" s="11">
        <v>0.95</v>
      </c>
      <c r="L12" s="11">
        <v>4.220000000000002</v>
      </c>
      <c r="M12" s="11">
        <v>0.83</v>
      </c>
      <c r="N12" s="11">
        <v>0</v>
      </c>
      <c r="O12" s="11">
        <v>0.84</v>
      </c>
      <c r="P12" s="11">
        <v>1.6</v>
      </c>
      <c r="Q12" s="11">
        <v>8.439999999999998</v>
      </c>
      <c r="R12" s="11">
        <v>18.31</v>
      </c>
      <c r="S12" s="11">
        <v>26.74999999999999</v>
      </c>
      <c r="T12" s="11">
        <v>2.67</v>
      </c>
      <c r="U12" s="11">
        <v>3</v>
      </c>
      <c r="V12" s="11">
        <v>21.07999999999999</v>
      </c>
      <c r="W12" s="13">
        <v>10.68</v>
      </c>
      <c r="X12" s="13">
        <v>12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50</v>
      </c>
      <c r="E13" s="7" t="s">
        <v>51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4.65</v>
      </c>
      <c r="M13" s="11">
        <v>0.08</v>
      </c>
      <c r="N13" s="11">
        <v>0</v>
      </c>
      <c r="O13" s="11">
        <v>0.2</v>
      </c>
      <c r="P13" s="11">
        <v>0.8</v>
      </c>
      <c r="Q13" s="11">
        <v>5.73</v>
      </c>
      <c r="R13" s="11">
        <v>21.81000000000001</v>
      </c>
      <c r="S13" s="11">
        <v>27.54000000000001</v>
      </c>
      <c r="T13" s="11">
        <v>2.67</v>
      </c>
      <c r="U13" s="11">
        <v>3</v>
      </c>
      <c r="V13" s="11">
        <v>21.87</v>
      </c>
      <c r="W13" s="13">
        <v>10.68</v>
      </c>
      <c r="X13" s="13">
        <v>12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52</v>
      </c>
      <c r="C14" s="10" t="s">
        <v>53</v>
      </c>
      <c r="D14" s="7" t="s">
        <v>54</v>
      </c>
      <c r="E14" s="7" t="s">
        <v>55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5.48</v>
      </c>
      <c r="M14" s="11">
        <v>0.08</v>
      </c>
      <c r="N14" s="11">
        <v>0</v>
      </c>
      <c r="O14" s="11">
        <v>0.6599999999999999</v>
      </c>
      <c r="P14" s="11">
        <v>0.8</v>
      </c>
      <c r="Q14" s="11">
        <v>7.019999999999998</v>
      </c>
      <c r="R14" s="11">
        <v>12.86</v>
      </c>
      <c r="S14" s="11">
        <v>19.88</v>
      </c>
      <c r="T14" s="11">
        <v>2.67</v>
      </c>
      <c r="U14" s="11">
        <v>3</v>
      </c>
      <c r="V14" s="11">
        <v>14.21</v>
      </c>
      <c r="W14" s="13">
        <v>10.68</v>
      </c>
      <c r="X14" s="13">
        <v>12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56</v>
      </c>
      <c r="C15" s="10" t="s">
        <v>57</v>
      </c>
      <c r="D15" s="7" t="s">
        <v>54</v>
      </c>
      <c r="E15" s="7" t="s">
        <v>55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5.459999999999998</v>
      </c>
      <c r="M15" s="11">
        <v>0</v>
      </c>
      <c r="N15" s="11">
        <v>0</v>
      </c>
      <c r="O15" s="11">
        <v>0.42</v>
      </c>
      <c r="P15" s="11">
        <v>0</v>
      </c>
      <c r="Q15" s="11">
        <v>5.879999999999998</v>
      </c>
      <c r="R15" s="11">
        <v>16.56</v>
      </c>
      <c r="S15" s="11">
        <v>22.43999999999999</v>
      </c>
      <c r="T15" s="11">
        <v>2.67</v>
      </c>
      <c r="U15" s="11">
        <v>3</v>
      </c>
      <c r="V15" s="11">
        <v>16.77</v>
      </c>
      <c r="W15" s="13">
        <v>10.68</v>
      </c>
      <c r="X15" s="13">
        <v>12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58</v>
      </c>
      <c r="C16" s="10" t="s">
        <v>59</v>
      </c>
      <c r="D16" s="7" t="s">
        <v>60</v>
      </c>
      <c r="E16" s="7" t="s">
        <v>51</v>
      </c>
      <c r="F16" s="7" t="s">
        <v>42</v>
      </c>
      <c r="G16" s="7"/>
      <c r="H16" s="7" t="s">
        <v>61</v>
      </c>
      <c r="I16" s="11">
        <v>2.67</v>
      </c>
      <c r="J16" s="11">
        <v>3</v>
      </c>
      <c r="K16" s="11">
        <v>1.67</v>
      </c>
      <c r="L16" s="11">
        <v>4.549999999999998</v>
      </c>
      <c r="M16" s="11">
        <v>0</v>
      </c>
      <c r="N16" s="11">
        <v>0</v>
      </c>
      <c r="O16" s="11">
        <v>0.9500000000000001</v>
      </c>
      <c r="P16" s="11">
        <v>0.8</v>
      </c>
      <c r="Q16" s="11">
        <v>7.97</v>
      </c>
      <c r="R16" s="11">
        <v>16.03</v>
      </c>
      <c r="S16" s="11">
        <v>24</v>
      </c>
      <c r="T16" s="11">
        <v>2.67</v>
      </c>
      <c r="U16" s="11">
        <v>3</v>
      </c>
      <c r="V16" s="11">
        <v>18.33</v>
      </c>
      <c r="W16" s="13">
        <v>10.68</v>
      </c>
      <c r="X16" s="13">
        <v>12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62</v>
      </c>
      <c r="C17" s="10" t="s">
        <v>63</v>
      </c>
      <c r="D17" s="7" t="s">
        <v>40</v>
      </c>
      <c r="E17" s="7" t="s">
        <v>64</v>
      </c>
      <c r="F17" s="7" t="s">
        <v>42</v>
      </c>
      <c r="G17" s="7"/>
      <c r="H17" s="7" t="s">
        <v>65</v>
      </c>
      <c r="I17" s="11">
        <v>2.67</v>
      </c>
      <c r="J17" s="11">
        <v>3</v>
      </c>
      <c r="K17" s="11">
        <v>1.67</v>
      </c>
      <c r="L17" s="11">
        <v>0.8100000000000001</v>
      </c>
      <c r="M17" s="11">
        <v>0</v>
      </c>
      <c r="N17" s="11">
        <v>0</v>
      </c>
      <c r="O17" s="11">
        <v>0.18</v>
      </c>
      <c r="P17" s="11">
        <v>0</v>
      </c>
      <c r="Q17" s="11">
        <v>2.66</v>
      </c>
      <c r="R17" s="11">
        <v>7.72</v>
      </c>
      <c r="S17" s="11">
        <v>10.38</v>
      </c>
      <c r="T17" s="11">
        <v>2.67</v>
      </c>
      <c r="U17" s="11">
        <v>3</v>
      </c>
      <c r="V17" s="11">
        <v>4.709999999999999</v>
      </c>
      <c r="W17" s="13">
        <v>10.68</v>
      </c>
      <c r="X17" s="13">
        <v>12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66</v>
      </c>
      <c r="C18" s="10" t="s">
        <v>67</v>
      </c>
      <c r="D18" s="7" t="s">
        <v>54</v>
      </c>
      <c r="E18" s="7" t="s">
        <v>46</v>
      </c>
      <c r="F18" s="7" t="s">
        <v>42</v>
      </c>
      <c r="G18" s="7"/>
      <c r="H18" s="7" t="s">
        <v>68</v>
      </c>
      <c r="I18" s="11">
        <v>2.67</v>
      </c>
      <c r="J18" s="11">
        <v>3</v>
      </c>
      <c r="K18" s="11">
        <v>1.33</v>
      </c>
      <c r="L18" s="11">
        <v>4.450000000000002</v>
      </c>
      <c r="M18" s="11">
        <v>0.66</v>
      </c>
      <c r="N18" s="11">
        <v>0</v>
      </c>
      <c r="O18" s="11">
        <v>1.74</v>
      </c>
      <c r="P18" s="11">
        <v>1.63</v>
      </c>
      <c r="Q18" s="11">
        <v>9.809999999999999</v>
      </c>
      <c r="R18" s="11">
        <v>26.65</v>
      </c>
      <c r="S18" s="11">
        <v>36.45999999999999</v>
      </c>
      <c r="T18" s="11">
        <v>2.67</v>
      </c>
      <c r="U18" s="11">
        <v>3</v>
      </c>
      <c r="V18" s="11">
        <v>30.78999999999999</v>
      </c>
      <c r="W18" s="13">
        <v>10.68</v>
      </c>
      <c r="X18" s="13">
        <v>12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69</v>
      </c>
      <c r="C19" s="10" t="s">
        <v>70</v>
      </c>
      <c r="D19" s="7" t="s">
        <v>60</v>
      </c>
      <c r="E19" s="7" t="s">
        <v>71</v>
      </c>
      <c r="F19" s="7" t="s">
        <v>72</v>
      </c>
      <c r="G19" s="7"/>
      <c r="H19" s="7" t="s">
        <v>47</v>
      </c>
      <c r="I19" s="11">
        <v>2</v>
      </c>
      <c r="J19" s="11">
        <v>3</v>
      </c>
      <c r="K19" s="11">
        <v>0.95</v>
      </c>
      <c r="L19" s="11">
        <v>5.879999999999999</v>
      </c>
      <c r="M19" s="11">
        <v>0</v>
      </c>
      <c r="N19" s="11">
        <v>0</v>
      </c>
      <c r="O19" s="11">
        <v>0.39</v>
      </c>
      <c r="P19" s="11">
        <v>1.66</v>
      </c>
      <c r="Q19" s="11">
        <v>8.879999999999995</v>
      </c>
      <c r="R19" s="11">
        <v>21.50999999999999</v>
      </c>
      <c r="S19" s="11">
        <v>30.38999999999999</v>
      </c>
      <c r="T19" s="11">
        <v>2</v>
      </c>
      <c r="U19" s="11">
        <v>3</v>
      </c>
      <c r="V19" s="11">
        <v>25.38999999999999</v>
      </c>
      <c r="W19" s="13">
        <v>8</v>
      </c>
      <c r="X19" s="13">
        <v>12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73</v>
      </c>
      <c r="C20" s="10" t="s">
        <v>74</v>
      </c>
      <c r="D20" s="7" t="s">
        <v>50</v>
      </c>
      <c r="E20" s="7" t="s">
        <v>46</v>
      </c>
      <c r="F20" s="7" t="s">
        <v>75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4.19</v>
      </c>
      <c r="M20" s="11">
        <v>0</v>
      </c>
      <c r="N20" s="11">
        <v>0</v>
      </c>
      <c r="O20" s="11">
        <v>0</v>
      </c>
      <c r="P20" s="11">
        <v>0.8</v>
      </c>
      <c r="Q20" s="11">
        <v>4.99</v>
      </c>
      <c r="R20" s="11">
        <v>15.5</v>
      </c>
      <c r="S20" s="11">
        <v>20.49</v>
      </c>
      <c r="T20" s="11">
        <v>2</v>
      </c>
      <c r="U20" s="11">
        <v>3</v>
      </c>
      <c r="V20" s="11">
        <v>15.49</v>
      </c>
      <c r="W20" s="13">
        <v>8</v>
      </c>
      <c r="X20" s="13">
        <v>12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76</v>
      </c>
      <c r="C21" s="10" t="s">
        <v>77</v>
      </c>
      <c r="D21" s="7" t="s">
        <v>78</v>
      </c>
      <c r="E21" s="7" t="s">
        <v>71</v>
      </c>
      <c r="F21" s="7" t="s">
        <v>72</v>
      </c>
      <c r="G21" s="7"/>
      <c r="H21" s="7" t="s">
        <v>79</v>
      </c>
      <c r="I21" s="11">
        <v>2</v>
      </c>
      <c r="J21" s="11">
        <v>3</v>
      </c>
      <c r="K21" s="11">
        <v>0.95</v>
      </c>
      <c r="L21" s="11">
        <v>2.840000000000001</v>
      </c>
      <c r="M21" s="11">
        <v>0.16</v>
      </c>
      <c r="N21" s="11">
        <v>0</v>
      </c>
      <c r="O21" s="11">
        <v>1.21</v>
      </c>
      <c r="P21" s="11">
        <v>0.83</v>
      </c>
      <c r="Q21" s="11">
        <v>5.990000000000001</v>
      </c>
      <c r="R21" s="11">
        <v>17.6</v>
      </c>
      <c r="S21" s="11">
        <v>23.59</v>
      </c>
      <c r="T21" s="11">
        <v>2</v>
      </c>
      <c r="U21" s="11">
        <v>3</v>
      </c>
      <c r="V21" s="11">
        <v>18.59</v>
      </c>
      <c r="W21" s="13">
        <v>8</v>
      </c>
      <c r="X21" s="13">
        <v>12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80</v>
      </c>
      <c r="C22" s="10" t="s">
        <v>81</v>
      </c>
      <c r="D22" s="7" t="s">
        <v>82</v>
      </c>
      <c r="E22" s="7" t="s">
        <v>46</v>
      </c>
      <c r="F22" s="7" t="s">
        <v>75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2.200000000000001</v>
      </c>
      <c r="M22" s="11">
        <v>0.32</v>
      </c>
      <c r="N22" s="11">
        <v>0</v>
      </c>
      <c r="O22" s="11">
        <v>0.36</v>
      </c>
      <c r="P22" s="11">
        <v>1.66</v>
      </c>
      <c r="Q22" s="11">
        <v>4.54</v>
      </c>
      <c r="R22" s="11">
        <v>14.16</v>
      </c>
      <c r="S22" s="11">
        <v>18.7</v>
      </c>
      <c r="T22" s="11">
        <v>2</v>
      </c>
      <c r="U22" s="11">
        <v>3</v>
      </c>
      <c r="V22" s="11">
        <v>13.7</v>
      </c>
      <c r="W22" s="13">
        <v>8</v>
      </c>
      <c r="X22" s="13">
        <v>12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83</v>
      </c>
      <c r="C23" s="10" t="s">
        <v>84</v>
      </c>
      <c r="D23" s="7" t="s">
        <v>50</v>
      </c>
      <c r="E23" s="7" t="s">
        <v>46</v>
      </c>
      <c r="F23" s="7" t="s">
        <v>75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5.34</v>
      </c>
      <c r="M23" s="11">
        <v>0.4</v>
      </c>
      <c r="N23" s="11">
        <v>0</v>
      </c>
      <c r="O23" s="11">
        <v>0.36</v>
      </c>
      <c r="P23" s="11">
        <v>0</v>
      </c>
      <c r="Q23" s="11">
        <v>6.1</v>
      </c>
      <c r="R23" s="11">
        <v>14.55</v>
      </c>
      <c r="S23" s="11">
        <v>20.65</v>
      </c>
      <c r="T23" s="11">
        <v>2</v>
      </c>
      <c r="U23" s="11">
        <v>3</v>
      </c>
      <c r="V23" s="11">
        <v>15.65</v>
      </c>
      <c r="W23" s="13">
        <v>8</v>
      </c>
      <c r="X23" s="13">
        <v>12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85</v>
      </c>
      <c r="C24" s="10" t="s">
        <v>86</v>
      </c>
      <c r="D24" s="7" t="s">
        <v>54</v>
      </c>
      <c r="E24" s="7" t="s">
        <v>64</v>
      </c>
      <c r="F24" s="7" t="s">
        <v>75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6.359999999999999</v>
      </c>
      <c r="M24" s="11">
        <v>0</v>
      </c>
      <c r="N24" s="11">
        <v>0</v>
      </c>
      <c r="O24" s="11">
        <v>0.18</v>
      </c>
      <c r="P24" s="11">
        <v>0</v>
      </c>
      <c r="Q24" s="11">
        <v>6.539999999999998</v>
      </c>
      <c r="R24" s="11">
        <v>16.04</v>
      </c>
      <c r="S24" s="11">
        <v>22.57999999999999</v>
      </c>
      <c r="T24" s="11">
        <v>2</v>
      </c>
      <c r="U24" s="11">
        <v>3</v>
      </c>
      <c r="V24" s="11">
        <v>17.57999999999999</v>
      </c>
      <c r="W24" s="13">
        <v>8</v>
      </c>
      <c r="X24" s="13">
        <v>12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87</v>
      </c>
      <c r="C25" s="10" t="s">
        <v>88</v>
      </c>
      <c r="D25" s="7" t="s">
        <v>89</v>
      </c>
      <c r="E25" s="7" t="s">
        <v>46</v>
      </c>
      <c r="F25" s="7" t="s">
        <v>75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6.779999999999997</v>
      </c>
      <c r="M25" s="11">
        <v>0</v>
      </c>
      <c r="N25" s="11">
        <v>0</v>
      </c>
      <c r="O25" s="11">
        <v>1.02</v>
      </c>
      <c r="P25" s="11">
        <v>1.6</v>
      </c>
      <c r="Q25" s="11">
        <v>9.399999999999993</v>
      </c>
      <c r="R25" s="11">
        <v>19.12</v>
      </c>
      <c r="S25" s="11">
        <v>28.51999999999999</v>
      </c>
      <c r="T25" s="11">
        <v>2</v>
      </c>
      <c r="U25" s="11">
        <v>3</v>
      </c>
      <c r="V25" s="11">
        <v>23.51999999999999</v>
      </c>
      <c r="W25" s="13">
        <v>8</v>
      </c>
      <c r="X25" s="13">
        <v>12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90</v>
      </c>
      <c r="C26" s="10" t="s">
        <v>91</v>
      </c>
      <c r="D26" s="7" t="s">
        <v>92</v>
      </c>
      <c r="E26" s="7" t="s">
        <v>51</v>
      </c>
      <c r="F26" s="7" t="s">
        <v>75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4.54</v>
      </c>
      <c r="M26" s="11">
        <v>0.08</v>
      </c>
      <c r="N26" s="11">
        <v>0</v>
      </c>
      <c r="O26" s="11">
        <v>0.36</v>
      </c>
      <c r="P26" s="11">
        <v>0.83</v>
      </c>
      <c r="Q26" s="11">
        <v>5.81</v>
      </c>
      <c r="R26" s="11">
        <v>10.59</v>
      </c>
      <c r="S26" s="11">
        <v>16.4</v>
      </c>
      <c r="T26" s="11">
        <v>2</v>
      </c>
      <c r="U26" s="11">
        <v>3</v>
      </c>
      <c r="V26" s="11">
        <v>11.4</v>
      </c>
      <c r="W26" s="13">
        <v>8</v>
      </c>
      <c r="X26" s="13">
        <v>12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93</v>
      </c>
      <c r="C27" s="10" t="s">
        <v>94</v>
      </c>
      <c r="D27" s="7" t="s">
        <v>92</v>
      </c>
      <c r="E27" s="7" t="s">
        <v>51</v>
      </c>
      <c r="F27" s="7" t="s">
        <v>75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4.659999999999997</v>
      </c>
      <c r="M27" s="11">
        <v>0.08</v>
      </c>
      <c r="N27" s="11">
        <v>0</v>
      </c>
      <c r="O27" s="11">
        <v>0.21</v>
      </c>
      <c r="P27" s="11">
        <v>0</v>
      </c>
      <c r="Q27" s="11">
        <v>4.949999999999998</v>
      </c>
      <c r="R27" s="11">
        <v>13.14</v>
      </c>
      <c r="S27" s="11">
        <v>18.09</v>
      </c>
      <c r="T27" s="11">
        <v>2</v>
      </c>
      <c r="U27" s="11">
        <v>3</v>
      </c>
      <c r="V27" s="11">
        <v>13.09</v>
      </c>
      <c r="W27" s="13">
        <v>8</v>
      </c>
      <c r="X27" s="13">
        <v>12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95</v>
      </c>
      <c r="C28" s="10" t="s">
        <v>96</v>
      </c>
      <c r="D28" s="7" t="s">
        <v>54</v>
      </c>
      <c r="E28" s="7" t="s">
        <v>51</v>
      </c>
      <c r="F28" s="7" t="s">
        <v>75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2.950000000000001</v>
      </c>
      <c r="M28" s="11">
        <v>0</v>
      </c>
      <c r="N28" s="11">
        <v>0</v>
      </c>
      <c r="O28" s="11">
        <v>0</v>
      </c>
      <c r="P28" s="11">
        <v>0</v>
      </c>
      <c r="Q28" s="11">
        <v>2.950000000000001</v>
      </c>
      <c r="R28" s="11">
        <v>3.840000000000001</v>
      </c>
      <c r="S28" s="11">
        <v>6.790000000000001</v>
      </c>
      <c r="T28" s="11">
        <v>2</v>
      </c>
      <c r="U28" s="11">
        <v>3</v>
      </c>
      <c r="V28" s="11">
        <v>1.790000000000001</v>
      </c>
      <c r="W28" s="13">
        <v>8</v>
      </c>
      <c r="X28" s="13">
        <v>12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97</v>
      </c>
      <c r="C29" s="10" t="s">
        <v>98</v>
      </c>
      <c r="D29" s="7" t="s">
        <v>92</v>
      </c>
      <c r="E29" s="7" t="s">
        <v>64</v>
      </c>
      <c r="F29" s="7" t="s">
        <v>75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4.120000000000001</v>
      </c>
      <c r="M29" s="11">
        <v>0</v>
      </c>
      <c r="N29" s="11">
        <v>0</v>
      </c>
      <c r="O29" s="11">
        <v>0.23</v>
      </c>
      <c r="P29" s="11">
        <v>0.83</v>
      </c>
      <c r="Q29" s="11">
        <v>5.18</v>
      </c>
      <c r="R29" s="11">
        <v>13.23</v>
      </c>
      <c r="S29" s="11">
        <v>18.41</v>
      </c>
      <c r="T29" s="11">
        <v>2</v>
      </c>
      <c r="U29" s="11">
        <v>3</v>
      </c>
      <c r="V29" s="11">
        <v>13.41</v>
      </c>
      <c r="W29" s="13">
        <v>8</v>
      </c>
      <c r="X29" s="13">
        <v>12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99</v>
      </c>
      <c r="C30" s="10" t="s">
        <v>100</v>
      </c>
      <c r="D30" s="7" t="s">
        <v>92</v>
      </c>
      <c r="E30" s="7" t="s">
        <v>46</v>
      </c>
      <c r="F30" s="7" t="s">
        <v>72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3.760000000000002</v>
      </c>
      <c r="M30" s="11">
        <v>0</v>
      </c>
      <c r="N30" s="11">
        <v>0</v>
      </c>
      <c r="O30" s="11">
        <v>0.18</v>
      </c>
      <c r="P30" s="11">
        <v>0.8</v>
      </c>
      <c r="Q30" s="11">
        <v>4.74</v>
      </c>
      <c r="R30" s="11">
        <v>13.29000000000001</v>
      </c>
      <c r="S30" s="11">
        <v>18.03000000000001</v>
      </c>
      <c r="T30" s="11">
        <v>2</v>
      </c>
      <c r="U30" s="11">
        <v>3</v>
      </c>
      <c r="V30" s="11">
        <v>13.03000000000001</v>
      </c>
      <c r="W30" s="13">
        <v>8</v>
      </c>
      <c r="X30" s="13">
        <v>12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101</v>
      </c>
      <c r="C31" s="10" t="s">
        <v>102</v>
      </c>
      <c r="D31" s="7" t="s">
        <v>92</v>
      </c>
      <c r="E31" s="7" t="s">
        <v>46</v>
      </c>
      <c r="F31" s="7" t="s">
        <v>75</v>
      </c>
      <c r="G31" s="7"/>
      <c r="H31" s="7" t="s">
        <v>47</v>
      </c>
      <c r="I31" s="11">
        <v>2</v>
      </c>
      <c r="J31" s="11">
        <v>3</v>
      </c>
      <c r="K31" s="11">
        <v>0.95</v>
      </c>
      <c r="L31" s="11">
        <v>5.439999999999996</v>
      </c>
      <c r="M31" s="11">
        <v>0.08</v>
      </c>
      <c r="N31" s="11">
        <v>0</v>
      </c>
      <c r="O31" s="11">
        <v>0.86</v>
      </c>
      <c r="P31" s="11">
        <v>0.8</v>
      </c>
      <c r="Q31" s="11">
        <v>8.129999999999995</v>
      </c>
      <c r="R31" s="11">
        <v>19.90999999999999</v>
      </c>
      <c r="S31" s="11">
        <v>28.03999999999998</v>
      </c>
      <c r="T31" s="11">
        <v>2</v>
      </c>
      <c r="U31" s="11">
        <v>3</v>
      </c>
      <c r="V31" s="11">
        <v>23.03999999999998</v>
      </c>
      <c r="W31" s="13">
        <v>8</v>
      </c>
      <c r="X31" s="13">
        <v>12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103</v>
      </c>
      <c r="C32" s="10" t="s">
        <v>104</v>
      </c>
      <c r="D32" s="7" t="s">
        <v>105</v>
      </c>
      <c r="E32" s="7" t="s">
        <v>51</v>
      </c>
      <c r="F32" s="7" t="s">
        <v>75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2.870000000000001</v>
      </c>
      <c r="M32" s="11">
        <v>0</v>
      </c>
      <c r="N32" s="11">
        <v>0</v>
      </c>
      <c r="O32" s="11">
        <v>0</v>
      </c>
      <c r="P32" s="11">
        <v>0.83</v>
      </c>
      <c r="Q32" s="11">
        <v>3.700000000000001</v>
      </c>
      <c r="R32" s="11">
        <v>10.5</v>
      </c>
      <c r="S32" s="11">
        <v>14.2</v>
      </c>
      <c r="T32" s="11">
        <v>2</v>
      </c>
      <c r="U32" s="11">
        <v>3</v>
      </c>
      <c r="V32" s="11">
        <v>9.200000000000003</v>
      </c>
      <c r="W32" s="13">
        <v>8</v>
      </c>
      <c r="X32" s="13">
        <v>12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106</v>
      </c>
      <c r="C33" s="10" t="s">
        <v>107</v>
      </c>
      <c r="D33" s="7" t="s">
        <v>89</v>
      </c>
      <c r="E33" s="7" t="s">
        <v>64</v>
      </c>
      <c r="F33" s="7" t="s">
        <v>75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2.810000000000001</v>
      </c>
      <c r="M33" s="11">
        <v>0.24</v>
      </c>
      <c r="N33" s="11">
        <v>0</v>
      </c>
      <c r="O33" s="11">
        <v>0.8399999999999999</v>
      </c>
      <c r="P33" s="11">
        <v>0.83</v>
      </c>
      <c r="Q33" s="11">
        <v>4.720000000000002</v>
      </c>
      <c r="R33" s="11">
        <v>17.6</v>
      </c>
      <c r="S33" s="11">
        <v>22.32</v>
      </c>
      <c r="T33" s="11">
        <v>2</v>
      </c>
      <c r="U33" s="11">
        <v>3</v>
      </c>
      <c r="V33" s="11">
        <v>17.32</v>
      </c>
      <c r="W33" s="13">
        <v>8</v>
      </c>
      <c r="X33" s="13">
        <v>12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108</v>
      </c>
      <c r="C34" s="10" t="s">
        <v>109</v>
      </c>
      <c r="D34" s="7" t="s">
        <v>92</v>
      </c>
      <c r="E34" s="7" t="s">
        <v>51</v>
      </c>
      <c r="F34" s="7" t="s">
        <v>75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4.300000000000001</v>
      </c>
      <c r="M34" s="11">
        <v>0</v>
      </c>
      <c r="N34" s="11">
        <v>0</v>
      </c>
      <c r="O34" s="11">
        <v>0.18</v>
      </c>
      <c r="P34" s="11">
        <v>0.83</v>
      </c>
      <c r="Q34" s="11">
        <v>5.309999999999998</v>
      </c>
      <c r="R34" s="11">
        <v>16.07</v>
      </c>
      <c r="S34" s="11">
        <v>21.38</v>
      </c>
      <c r="T34" s="11">
        <v>2</v>
      </c>
      <c r="U34" s="11">
        <v>3</v>
      </c>
      <c r="V34" s="11">
        <v>16.38</v>
      </c>
      <c r="W34" s="13">
        <v>8</v>
      </c>
      <c r="X34" s="13">
        <v>12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110</v>
      </c>
      <c r="C35" s="10" t="s">
        <v>111</v>
      </c>
      <c r="D35" s="7" t="s">
        <v>54</v>
      </c>
      <c r="E35" s="7" t="s">
        <v>51</v>
      </c>
      <c r="F35" s="7" t="s">
        <v>75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3.190000000000001</v>
      </c>
      <c r="M35" s="11">
        <v>0</v>
      </c>
      <c r="N35" s="11">
        <v>0</v>
      </c>
      <c r="O35" s="11">
        <v>0.36</v>
      </c>
      <c r="P35" s="11">
        <v>0.83</v>
      </c>
      <c r="Q35" s="11">
        <v>4.380000000000002</v>
      </c>
      <c r="R35" s="11">
        <v>11.18</v>
      </c>
      <c r="S35" s="11">
        <v>15.56</v>
      </c>
      <c r="T35" s="11">
        <v>2</v>
      </c>
      <c r="U35" s="11">
        <v>3</v>
      </c>
      <c r="V35" s="11">
        <v>10.56</v>
      </c>
      <c r="W35" s="13">
        <v>8</v>
      </c>
      <c r="X35" s="13">
        <v>12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112</v>
      </c>
      <c r="C36" s="10" t="s">
        <v>113</v>
      </c>
      <c r="D36" s="7" t="s">
        <v>50</v>
      </c>
      <c r="E36" s="7" t="s">
        <v>46</v>
      </c>
      <c r="F36" s="7" t="s">
        <v>75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5.32</v>
      </c>
      <c r="M36" s="11">
        <v>0</v>
      </c>
      <c r="N36" s="11">
        <v>0</v>
      </c>
      <c r="O36" s="11">
        <v>0</v>
      </c>
      <c r="P36" s="11">
        <v>0</v>
      </c>
      <c r="Q36" s="11">
        <v>5.32</v>
      </c>
      <c r="R36" s="11">
        <v>12.96</v>
      </c>
      <c r="S36" s="11">
        <v>18.28</v>
      </c>
      <c r="T36" s="11">
        <v>2</v>
      </c>
      <c r="U36" s="11">
        <v>3</v>
      </c>
      <c r="V36" s="11">
        <v>13.28</v>
      </c>
      <c r="W36" s="13">
        <v>8</v>
      </c>
      <c r="X36" s="13">
        <v>12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114</v>
      </c>
      <c r="C37" s="10" t="s">
        <v>115</v>
      </c>
      <c r="D37" s="7" t="s">
        <v>105</v>
      </c>
      <c r="E37" s="7" t="s">
        <v>46</v>
      </c>
      <c r="F37" s="7" t="s">
        <v>75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4.850000000000001</v>
      </c>
      <c r="M37" s="11">
        <v>0</v>
      </c>
      <c r="N37" s="11">
        <v>0</v>
      </c>
      <c r="O37" s="11">
        <v>0</v>
      </c>
      <c r="P37" s="11">
        <v>0.83</v>
      </c>
      <c r="Q37" s="11">
        <v>5.680000000000001</v>
      </c>
      <c r="R37" s="11">
        <v>14.31</v>
      </c>
      <c r="S37" s="11">
        <v>19.99</v>
      </c>
      <c r="T37" s="11">
        <v>2</v>
      </c>
      <c r="U37" s="11">
        <v>3</v>
      </c>
      <c r="V37" s="11">
        <v>14.99</v>
      </c>
      <c r="W37" s="13">
        <v>8</v>
      </c>
      <c r="X37" s="13">
        <v>12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116</v>
      </c>
      <c r="C38" s="10" t="s">
        <v>117</v>
      </c>
      <c r="D38" s="7" t="s">
        <v>92</v>
      </c>
      <c r="E38" s="7" t="s">
        <v>51</v>
      </c>
      <c r="F38" s="7" t="s">
        <v>72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3.560000000000001</v>
      </c>
      <c r="M38" s="11">
        <v>0.08</v>
      </c>
      <c r="N38" s="11">
        <v>0</v>
      </c>
      <c r="O38" s="11">
        <v>0.54</v>
      </c>
      <c r="P38" s="11">
        <v>0</v>
      </c>
      <c r="Q38" s="11">
        <v>4.180000000000001</v>
      </c>
      <c r="R38" s="11">
        <v>11.26</v>
      </c>
      <c r="S38" s="11">
        <v>15.44</v>
      </c>
      <c r="T38" s="11">
        <v>2</v>
      </c>
      <c r="U38" s="11">
        <v>3</v>
      </c>
      <c r="V38" s="11">
        <v>10.44</v>
      </c>
      <c r="W38" s="13">
        <v>8</v>
      </c>
      <c r="X38" s="13">
        <v>12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118</v>
      </c>
      <c r="C39" s="10" t="s">
        <v>119</v>
      </c>
      <c r="D39" s="7" t="s">
        <v>60</v>
      </c>
      <c r="E39" s="7" t="s">
        <v>120</v>
      </c>
      <c r="F39" s="7" t="s">
        <v>72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3.480000000000001</v>
      </c>
      <c r="M39" s="11">
        <v>0.32</v>
      </c>
      <c r="N39" s="11">
        <v>0</v>
      </c>
      <c r="O39" s="11">
        <v>1.01</v>
      </c>
      <c r="P39" s="11">
        <v>0.83</v>
      </c>
      <c r="Q39" s="11">
        <v>5.640000000000001</v>
      </c>
      <c r="R39" s="11">
        <v>15.59</v>
      </c>
      <c r="S39" s="11">
        <v>21.23</v>
      </c>
      <c r="T39" s="11">
        <v>2</v>
      </c>
      <c r="U39" s="11">
        <v>3</v>
      </c>
      <c r="V39" s="11">
        <v>16.23</v>
      </c>
      <c r="W39" s="13">
        <v>8</v>
      </c>
      <c r="X39" s="13">
        <v>12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121</v>
      </c>
      <c r="C40" s="10" t="s">
        <v>122</v>
      </c>
      <c r="D40" s="7" t="s">
        <v>105</v>
      </c>
      <c r="E40" s="7" t="s">
        <v>46</v>
      </c>
      <c r="F40" s="7" t="s">
        <v>75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6.359999999999999</v>
      </c>
      <c r="M40" s="11">
        <v>0</v>
      </c>
      <c r="N40" s="11">
        <v>0</v>
      </c>
      <c r="O40" s="11">
        <v>0</v>
      </c>
      <c r="P40" s="11">
        <v>0</v>
      </c>
      <c r="Q40" s="11">
        <v>6.359999999999999</v>
      </c>
      <c r="R40" s="11">
        <v>15.3</v>
      </c>
      <c r="S40" s="11">
        <v>21.66</v>
      </c>
      <c r="T40" s="11">
        <v>2</v>
      </c>
      <c r="U40" s="11">
        <v>3</v>
      </c>
      <c r="V40" s="11">
        <v>16.66</v>
      </c>
      <c r="W40" s="13">
        <v>8</v>
      </c>
      <c r="X40" s="13">
        <v>12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123</v>
      </c>
      <c r="C41" s="10" t="s">
        <v>124</v>
      </c>
      <c r="D41" s="7" t="s">
        <v>54</v>
      </c>
      <c r="E41" s="7" t="s">
        <v>46</v>
      </c>
      <c r="F41" s="7" t="s">
        <v>75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3">
        <v>8</v>
      </c>
      <c r="X41" s="13">
        <v>12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125</v>
      </c>
      <c r="C42" s="10" t="s">
        <v>126</v>
      </c>
      <c r="D42" s="7" t="s">
        <v>105</v>
      </c>
      <c r="E42" s="7" t="s">
        <v>46</v>
      </c>
      <c r="F42" s="7" t="s">
        <v>75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2.52</v>
      </c>
      <c r="M42" s="11">
        <v>0</v>
      </c>
      <c r="N42" s="11">
        <v>0</v>
      </c>
      <c r="O42" s="11">
        <v>0</v>
      </c>
      <c r="P42" s="11">
        <v>0.8</v>
      </c>
      <c r="Q42" s="11">
        <v>3.32</v>
      </c>
      <c r="R42" s="11">
        <v>12.4</v>
      </c>
      <c r="S42" s="11">
        <v>15.72</v>
      </c>
      <c r="T42" s="11">
        <v>2</v>
      </c>
      <c r="U42" s="11">
        <v>3</v>
      </c>
      <c r="V42" s="11">
        <v>10.72</v>
      </c>
      <c r="W42" s="13">
        <v>8</v>
      </c>
      <c r="X42" s="13">
        <v>12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127</v>
      </c>
      <c r="C43" s="10" t="s">
        <v>128</v>
      </c>
      <c r="D43" s="7" t="s">
        <v>50</v>
      </c>
      <c r="E43" s="7" t="s">
        <v>46</v>
      </c>
      <c r="F43" s="7" t="s">
        <v>75</v>
      </c>
      <c r="G43" s="7"/>
      <c r="H43" s="7" t="s">
        <v>129</v>
      </c>
      <c r="I43" s="11">
        <v>2</v>
      </c>
      <c r="J43" s="11">
        <v>3</v>
      </c>
      <c r="K43" s="11">
        <v>0.95</v>
      </c>
      <c r="L43" s="11">
        <v>5.580000000000003</v>
      </c>
      <c r="M43" s="11">
        <v>0</v>
      </c>
      <c r="N43" s="11">
        <v>0</v>
      </c>
      <c r="O43" s="11">
        <v>0.38</v>
      </c>
      <c r="P43" s="11">
        <v>1.33</v>
      </c>
      <c r="Q43" s="11">
        <v>8.24</v>
      </c>
      <c r="R43" s="11">
        <v>23.88999999999999</v>
      </c>
      <c r="S43" s="11">
        <v>32.13</v>
      </c>
      <c r="T43" s="11">
        <v>2</v>
      </c>
      <c r="U43" s="11">
        <v>3</v>
      </c>
      <c r="V43" s="11">
        <v>27.13</v>
      </c>
      <c r="W43" s="13">
        <v>8</v>
      </c>
      <c r="X43" s="13">
        <v>12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130</v>
      </c>
      <c r="C44" s="10" t="s">
        <v>131</v>
      </c>
      <c r="D44" s="7" t="s">
        <v>50</v>
      </c>
      <c r="E44" s="7" t="s">
        <v>46</v>
      </c>
      <c r="F44" s="7" t="s">
        <v>75</v>
      </c>
      <c r="G44" s="7"/>
      <c r="H44" s="7" t="s">
        <v>129</v>
      </c>
      <c r="I44" s="11">
        <v>2</v>
      </c>
      <c r="J44" s="11">
        <v>3</v>
      </c>
      <c r="K44" s="11">
        <v>0.95</v>
      </c>
      <c r="L44" s="11">
        <v>3.750000000000001</v>
      </c>
      <c r="M44" s="11">
        <v>0</v>
      </c>
      <c r="N44" s="11">
        <v>0</v>
      </c>
      <c r="O44" s="11">
        <v>0.18</v>
      </c>
      <c r="P44" s="11">
        <v>0</v>
      </c>
      <c r="Q44" s="11">
        <v>4.880000000000002</v>
      </c>
      <c r="R44" s="11">
        <v>12.62</v>
      </c>
      <c r="S44" s="11">
        <v>17.5</v>
      </c>
      <c r="T44" s="11">
        <v>2</v>
      </c>
      <c r="U44" s="11">
        <v>3</v>
      </c>
      <c r="V44" s="11">
        <v>12.5</v>
      </c>
      <c r="W44" s="13">
        <v>8</v>
      </c>
      <c r="X44" s="13">
        <v>12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132</v>
      </c>
      <c r="C45" s="10" t="s">
        <v>133</v>
      </c>
      <c r="D45" s="7" t="s">
        <v>54</v>
      </c>
      <c r="E45" s="7" t="s">
        <v>51</v>
      </c>
      <c r="F45" s="7" t="s">
        <v>75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4.34</v>
      </c>
      <c r="M45" s="11">
        <v>0</v>
      </c>
      <c r="N45" s="11">
        <v>0</v>
      </c>
      <c r="O45" s="11">
        <v>0.76</v>
      </c>
      <c r="P45" s="11">
        <v>0.83</v>
      </c>
      <c r="Q45" s="11">
        <v>5.93</v>
      </c>
      <c r="R45" s="11">
        <v>16.57</v>
      </c>
      <c r="S45" s="11">
        <v>22.5</v>
      </c>
      <c r="T45" s="11">
        <v>2</v>
      </c>
      <c r="U45" s="11">
        <v>3</v>
      </c>
      <c r="V45" s="11">
        <v>17.5</v>
      </c>
      <c r="W45" s="13">
        <v>8</v>
      </c>
      <c r="X45" s="13">
        <v>12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134</v>
      </c>
      <c r="C46" s="10" t="s">
        <v>135</v>
      </c>
      <c r="D46" s="7" t="s">
        <v>82</v>
      </c>
      <c r="E46" s="7" t="s">
        <v>51</v>
      </c>
      <c r="F46" s="7" t="s">
        <v>75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4.440000000000001</v>
      </c>
      <c r="M46" s="11">
        <v>0</v>
      </c>
      <c r="N46" s="11">
        <v>0</v>
      </c>
      <c r="O46" s="11">
        <v>0.76</v>
      </c>
      <c r="P46" s="11">
        <v>0.83</v>
      </c>
      <c r="Q46" s="11">
        <v>6.029999999999999</v>
      </c>
      <c r="R46" s="11">
        <v>12.79</v>
      </c>
      <c r="S46" s="11">
        <v>18.82</v>
      </c>
      <c r="T46" s="11">
        <v>2</v>
      </c>
      <c r="U46" s="11">
        <v>3</v>
      </c>
      <c r="V46" s="11">
        <v>13.82</v>
      </c>
      <c r="W46" s="13">
        <v>8</v>
      </c>
      <c r="X46" s="13">
        <v>12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136</v>
      </c>
      <c r="C47" s="10" t="s">
        <v>137</v>
      </c>
      <c r="D47" s="7" t="s">
        <v>89</v>
      </c>
      <c r="E47" s="7" t="s">
        <v>71</v>
      </c>
      <c r="F47" s="7" t="s">
        <v>72</v>
      </c>
      <c r="G47" s="7"/>
      <c r="H47" s="7" t="s">
        <v>47</v>
      </c>
      <c r="I47" s="11">
        <v>2</v>
      </c>
      <c r="J47" s="11">
        <v>3</v>
      </c>
      <c r="K47" s="11">
        <v>0.95</v>
      </c>
      <c r="L47" s="11">
        <v>5.309999999999999</v>
      </c>
      <c r="M47" s="11">
        <v>0.24</v>
      </c>
      <c r="N47" s="11">
        <v>0</v>
      </c>
      <c r="O47" s="11">
        <v>0.8999999999999999</v>
      </c>
      <c r="P47" s="11">
        <v>1.66</v>
      </c>
      <c r="Q47" s="11">
        <v>9.059999999999995</v>
      </c>
      <c r="R47" s="11">
        <v>25.81999999999999</v>
      </c>
      <c r="S47" s="11">
        <v>34.87999999999998</v>
      </c>
      <c r="T47" s="11">
        <v>2</v>
      </c>
      <c r="U47" s="11">
        <v>3</v>
      </c>
      <c r="V47" s="11">
        <v>29.87999999999998</v>
      </c>
      <c r="W47" s="13">
        <v>8</v>
      </c>
      <c r="X47" s="13">
        <v>12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138</v>
      </c>
      <c r="C48" s="10" t="s">
        <v>139</v>
      </c>
      <c r="D48" s="7" t="s">
        <v>105</v>
      </c>
      <c r="E48" s="7" t="s">
        <v>46</v>
      </c>
      <c r="F48" s="7" t="s">
        <v>75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3.550000000000001</v>
      </c>
      <c r="M48" s="11">
        <v>0</v>
      </c>
      <c r="N48" s="11">
        <v>0</v>
      </c>
      <c r="O48" s="11">
        <v>0</v>
      </c>
      <c r="P48" s="11">
        <v>0</v>
      </c>
      <c r="Q48" s="11">
        <v>3.550000000000001</v>
      </c>
      <c r="R48" s="11">
        <v>9.279999999999999</v>
      </c>
      <c r="S48" s="11">
        <v>12.83</v>
      </c>
      <c r="T48" s="11">
        <v>2</v>
      </c>
      <c r="U48" s="11">
        <v>3</v>
      </c>
      <c r="V48" s="11">
        <v>7.83</v>
      </c>
      <c r="W48" s="13">
        <v>8</v>
      </c>
      <c r="X48" s="13">
        <v>12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140</v>
      </c>
      <c r="C49" s="10" t="s">
        <v>141</v>
      </c>
      <c r="D49" s="7" t="s">
        <v>105</v>
      </c>
      <c r="E49" s="7" t="s">
        <v>46</v>
      </c>
      <c r="F49" s="7" t="s">
        <v>75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4.91</v>
      </c>
      <c r="M49" s="11">
        <v>0</v>
      </c>
      <c r="N49" s="11">
        <v>0</v>
      </c>
      <c r="O49" s="11">
        <v>0.2</v>
      </c>
      <c r="P49" s="11">
        <v>0.83</v>
      </c>
      <c r="Q49" s="11">
        <v>5.94</v>
      </c>
      <c r="R49" s="11">
        <v>20.12999999999999</v>
      </c>
      <c r="S49" s="11">
        <v>26.06999999999999</v>
      </c>
      <c r="T49" s="11">
        <v>2</v>
      </c>
      <c r="U49" s="11">
        <v>3</v>
      </c>
      <c r="V49" s="11">
        <v>21.06999999999999</v>
      </c>
      <c r="W49" s="13">
        <v>8</v>
      </c>
      <c r="X49" s="13">
        <v>12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142</v>
      </c>
      <c r="C50" s="10" t="s">
        <v>143</v>
      </c>
      <c r="D50" s="7" t="s">
        <v>105</v>
      </c>
      <c r="E50" s="7" t="s">
        <v>46</v>
      </c>
      <c r="F50" s="7" t="s">
        <v>75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4.630000000000003</v>
      </c>
      <c r="M50" s="11">
        <v>0</v>
      </c>
      <c r="N50" s="11">
        <v>0</v>
      </c>
      <c r="O50" s="11">
        <v>0</v>
      </c>
      <c r="P50" s="11">
        <v>1.63</v>
      </c>
      <c r="Q50" s="11">
        <v>6.260000000000003</v>
      </c>
      <c r="R50" s="11">
        <v>16.33</v>
      </c>
      <c r="S50" s="11">
        <v>22.59</v>
      </c>
      <c r="T50" s="11">
        <v>2</v>
      </c>
      <c r="U50" s="11">
        <v>3</v>
      </c>
      <c r="V50" s="11">
        <v>17.59</v>
      </c>
      <c r="W50" s="13">
        <v>8</v>
      </c>
      <c r="X50" s="13">
        <v>12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144</v>
      </c>
      <c r="C51" s="10" t="s">
        <v>145</v>
      </c>
      <c r="D51" s="7" t="s">
        <v>92</v>
      </c>
      <c r="E51" s="7" t="s">
        <v>51</v>
      </c>
      <c r="F51" s="7" t="s">
        <v>75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4.31</v>
      </c>
      <c r="M51" s="11">
        <v>0</v>
      </c>
      <c r="N51" s="11">
        <v>0</v>
      </c>
      <c r="O51" s="11">
        <v>0.18</v>
      </c>
      <c r="P51" s="11">
        <v>0.83</v>
      </c>
      <c r="Q51" s="11">
        <v>5.319999999999999</v>
      </c>
      <c r="R51" s="11">
        <v>15.2</v>
      </c>
      <c r="S51" s="11">
        <v>20.52</v>
      </c>
      <c r="T51" s="11">
        <v>2</v>
      </c>
      <c r="U51" s="11">
        <v>3</v>
      </c>
      <c r="V51" s="11">
        <v>15.52</v>
      </c>
      <c r="W51" s="13">
        <v>8</v>
      </c>
      <c r="X51" s="13">
        <v>12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146</v>
      </c>
      <c r="C52" s="10" t="s">
        <v>147</v>
      </c>
      <c r="D52" s="7" t="s">
        <v>105</v>
      </c>
      <c r="E52" s="7" t="s">
        <v>46</v>
      </c>
      <c r="F52" s="7" t="s">
        <v>75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2.380000000000001</v>
      </c>
      <c r="M52" s="11">
        <v>0</v>
      </c>
      <c r="N52" s="11">
        <v>0</v>
      </c>
      <c r="O52" s="11">
        <v>0</v>
      </c>
      <c r="P52" s="11">
        <v>0.8</v>
      </c>
      <c r="Q52" s="11">
        <v>3.180000000000001</v>
      </c>
      <c r="R52" s="11">
        <v>12</v>
      </c>
      <c r="S52" s="11">
        <v>15.18</v>
      </c>
      <c r="T52" s="11">
        <v>2</v>
      </c>
      <c r="U52" s="11">
        <v>3</v>
      </c>
      <c r="V52" s="11">
        <v>10.18</v>
      </c>
      <c r="W52" s="13">
        <v>8</v>
      </c>
      <c r="X52" s="13">
        <v>12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148</v>
      </c>
      <c r="C53" s="10" t="s">
        <v>149</v>
      </c>
      <c r="D53" s="7" t="s">
        <v>60</v>
      </c>
      <c r="E53" s="7" t="s">
        <v>46</v>
      </c>
      <c r="F53" s="7" t="s">
        <v>75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9.879999999999999</v>
      </c>
      <c r="M53" s="11">
        <v>0.08</v>
      </c>
      <c r="N53" s="11">
        <v>0</v>
      </c>
      <c r="O53" s="11">
        <v>0.57</v>
      </c>
      <c r="P53" s="11">
        <v>0</v>
      </c>
      <c r="Q53" s="11">
        <v>10.53</v>
      </c>
      <c r="R53" s="11">
        <v>18.82999999999999</v>
      </c>
      <c r="S53" s="11">
        <v>29.35999999999999</v>
      </c>
      <c r="T53" s="11">
        <v>2</v>
      </c>
      <c r="U53" s="11">
        <v>3</v>
      </c>
      <c r="V53" s="11">
        <v>24.35999999999999</v>
      </c>
      <c r="W53" s="13">
        <v>8</v>
      </c>
      <c r="X53" s="13">
        <v>12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150</v>
      </c>
      <c r="C54" s="10" t="s">
        <v>151</v>
      </c>
      <c r="D54" s="7" t="s">
        <v>152</v>
      </c>
      <c r="E54" s="7" t="s">
        <v>64</v>
      </c>
      <c r="F54" s="7" t="s">
        <v>75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7.699999999999998</v>
      </c>
      <c r="M54" s="11">
        <v>0.08</v>
      </c>
      <c r="N54" s="11">
        <v>0</v>
      </c>
      <c r="O54" s="11">
        <v>0.61</v>
      </c>
      <c r="P54" s="11">
        <v>0.83</v>
      </c>
      <c r="Q54" s="11">
        <v>9.219999999999997</v>
      </c>
      <c r="R54" s="11">
        <v>27.27999999999999</v>
      </c>
      <c r="S54" s="11">
        <v>36.49999999999999</v>
      </c>
      <c r="T54" s="11">
        <v>2</v>
      </c>
      <c r="U54" s="11">
        <v>3</v>
      </c>
      <c r="V54" s="11">
        <v>31.49999999999999</v>
      </c>
      <c r="W54" s="13">
        <v>8</v>
      </c>
      <c r="X54" s="13">
        <v>12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153</v>
      </c>
      <c r="C55" s="10" t="s">
        <v>154</v>
      </c>
      <c r="D55" s="7" t="s">
        <v>82</v>
      </c>
      <c r="E55" s="7" t="s">
        <v>46</v>
      </c>
      <c r="F55" s="7" t="s">
        <v>75</v>
      </c>
      <c r="G55" s="7"/>
      <c r="H55" s="7" t="s">
        <v>155</v>
      </c>
      <c r="I55" s="11">
        <v>2</v>
      </c>
      <c r="J55" s="11">
        <v>3</v>
      </c>
      <c r="K55" s="11">
        <v>1.33</v>
      </c>
      <c r="L55" s="11">
        <v>1.25</v>
      </c>
      <c r="M55" s="11">
        <v>0</v>
      </c>
      <c r="N55" s="11">
        <v>0</v>
      </c>
      <c r="O55" s="11">
        <v>1.05</v>
      </c>
      <c r="P55" s="11">
        <v>0.8</v>
      </c>
      <c r="Q55" s="11">
        <v>4.430000000000001</v>
      </c>
      <c r="R55" s="11">
        <v>16.15</v>
      </c>
      <c r="S55" s="11">
        <v>20.58</v>
      </c>
      <c r="T55" s="11">
        <v>2</v>
      </c>
      <c r="U55" s="11">
        <v>3</v>
      </c>
      <c r="V55" s="11">
        <v>15.58</v>
      </c>
      <c r="W55" s="13">
        <v>8</v>
      </c>
      <c r="X55" s="13">
        <v>12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156</v>
      </c>
      <c r="C56" s="10" t="s">
        <v>157</v>
      </c>
      <c r="D56" s="7" t="s">
        <v>50</v>
      </c>
      <c r="E56" s="7" t="s">
        <v>46</v>
      </c>
      <c r="F56" s="7" t="s">
        <v>75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2.640000000000001</v>
      </c>
      <c r="M56" s="11">
        <v>0</v>
      </c>
      <c r="N56" s="11">
        <v>0</v>
      </c>
      <c r="O56" s="11">
        <v>0</v>
      </c>
      <c r="P56" s="11">
        <v>0.8</v>
      </c>
      <c r="Q56" s="11">
        <v>3.440000000000002</v>
      </c>
      <c r="R56" s="11">
        <v>6.580000000000002</v>
      </c>
      <c r="S56" s="11">
        <v>10.02</v>
      </c>
      <c r="T56" s="11">
        <v>2</v>
      </c>
      <c r="U56" s="11">
        <v>3</v>
      </c>
      <c r="V56" s="11">
        <v>5.020000000000003</v>
      </c>
      <c r="W56" s="13">
        <v>8</v>
      </c>
      <c r="X56" s="13">
        <v>12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158</v>
      </c>
      <c r="C57" s="10" t="s">
        <v>159</v>
      </c>
      <c r="D57" s="7" t="s">
        <v>82</v>
      </c>
      <c r="E57" s="7" t="s">
        <v>51</v>
      </c>
      <c r="F57" s="7" t="s">
        <v>75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3.370000000000001</v>
      </c>
      <c r="M57" s="11">
        <v>0.16</v>
      </c>
      <c r="N57" s="11">
        <v>0</v>
      </c>
      <c r="O57" s="11">
        <v>0.74</v>
      </c>
      <c r="P57" s="11">
        <v>2</v>
      </c>
      <c r="Q57" s="11">
        <v>6.27</v>
      </c>
      <c r="R57" s="11">
        <v>16.49</v>
      </c>
      <c r="S57" s="11">
        <v>22.76</v>
      </c>
      <c r="T57" s="11">
        <v>2</v>
      </c>
      <c r="U57" s="11">
        <v>3</v>
      </c>
      <c r="V57" s="11">
        <v>17.76</v>
      </c>
      <c r="W57" s="13">
        <v>8</v>
      </c>
      <c r="X57" s="13">
        <v>12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160</v>
      </c>
      <c r="C58" s="10" t="s">
        <v>161</v>
      </c>
      <c r="D58" s="7" t="s">
        <v>78</v>
      </c>
      <c r="E58" s="7" t="s">
        <v>71</v>
      </c>
      <c r="F58" s="7" t="s">
        <v>162</v>
      </c>
      <c r="G58" s="7"/>
      <c r="H58" s="7" t="s">
        <v>47</v>
      </c>
      <c r="I58" s="11">
        <v>2</v>
      </c>
      <c r="J58" s="11">
        <v>3</v>
      </c>
      <c r="K58" s="11">
        <v>0.95</v>
      </c>
      <c r="L58" s="11">
        <v>3.2</v>
      </c>
      <c r="M58" s="11">
        <v>0</v>
      </c>
      <c r="N58" s="11">
        <v>0</v>
      </c>
      <c r="O58" s="11">
        <v>0.36</v>
      </c>
      <c r="P58" s="11">
        <v>0.83</v>
      </c>
      <c r="Q58" s="11">
        <v>5.34</v>
      </c>
      <c r="R58" s="11">
        <v>18.45</v>
      </c>
      <c r="S58" s="11">
        <v>23.79</v>
      </c>
      <c r="T58" s="11">
        <v>2</v>
      </c>
      <c r="U58" s="11">
        <v>3</v>
      </c>
      <c r="V58" s="11">
        <v>18.79</v>
      </c>
      <c r="W58" s="13">
        <v>8</v>
      </c>
      <c r="X58" s="13">
        <v>12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163</v>
      </c>
      <c r="C59" s="10" t="s">
        <v>164</v>
      </c>
      <c r="D59" s="7" t="s">
        <v>50</v>
      </c>
      <c r="E59" s="7" t="s">
        <v>71</v>
      </c>
      <c r="F59" s="7" t="s">
        <v>162</v>
      </c>
      <c r="G59" s="7"/>
      <c r="H59" s="7" t="s">
        <v>165</v>
      </c>
      <c r="I59" s="11">
        <v>2</v>
      </c>
      <c r="J59" s="11">
        <v>3</v>
      </c>
      <c r="K59" s="11">
        <v>0.95</v>
      </c>
      <c r="L59" s="11">
        <v>3.330000000000001</v>
      </c>
      <c r="M59" s="11">
        <v>0</v>
      </c>
      <c r="N59" s="11">
        <v>0</v>
      </c>
      <c r="O59" s="11">
        <v>0</v>
      </c>
      <c r="P59" s="11">
        <v>0.83</v>
      </c>
      <c r="Q59" s="11">
        <v>5.110000000000001</v>
      </c>
      <c r="R59" s="11">
        <v>14.04</v>
      </c>
      <c r="S59" s="11">
        <v>19.15</v>
      </c>
      <c r="T59" s="11">
        <v>2</v>
      </c>
      <c r="U59" s="11">
        <v>3</v>
      </c>
      <c r="V59" s="11">
        <v>14.15</v>
      </c>
      <c r="W59" s="13">
        <v>8</v>
      </c>
      <c r="X59" s="13">
        <v>12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166</v>
      </c>
      <c r="C60" s="10" t="s">
        <v>167</v>
      </c>
      <c r="D60" s="7" t="s">
        <v>82</v>
      </c>
      <c r="E60" s="7" t="s">
        <v>71</v>
      </c>
      <c r="F60" s="7" t="s">
        <v>162</v>
      </c>
      <c r="G60" s="7"/>
      <c r="H60" s="7" t="s">
        <v>168</v>
      </c>
      <c r="I60" s="11">
        <v>2</v>
      </c>
      <c r="J60" s="11">
        <v>3</v>
      </c>
      <c r="K60" s="11">
        <v>1</v>
      </c>
      <c r="L60" s="11">
        <v>2.020000000000001</v>
      </c>
      <c r="M60" s="11">
        <v>0.32</v>
      </c>
      <c r="N60" s="11">
        <v>0</v>
      </c>
      <c r="O60" s="11">
        <v>1.17</v>
      </c>
      <c r="P60" s="11">
        <v>1.6</v>
      </c>
      <c r="Q60" s="11">
        <v>6.110000000000001</v>
      </c>
      <c r="R60" s="11">
        <v>14.54</v>
      </c>
      <c r="S60" s="11">
        <v>20.65000000000001</v>
      </c>
      <c r="T60" s="11">
        <v>2</v>
      </c>
      <c r="U60" s="11">
        <v>3</v>
      </c>
      <c r="V60" s="11">
        <v>15.65000000000001</v>
      </c>
      <c r="W60" s="13">
        <v>8</v>
      </c>
      <c r="X60" s="13">
        <v>12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169</v>
      </c>
      <c r="C61" s="10" t="s">
        <v>170</v>
      </c>
      <c r="D61" s="7" t="s">
        <v>171</v>
      </c>
      <c r="E61" s="7" t="s">
        <v>71</v>
      </c>
      <c r="F61" s="7" t="s">
        <v>162</v>
      </c>
      <c r="G61" s="7"/>
      <c r="H61" s="7" t="s">
        <v>47</v>
      </c>
      <c r="I61" s="11">
        <v>2</v>
      </c>
      <c r="J61" s="11">
        <v>3</v>
      </c>
      <c r="K61" s="11">
        <v>0.95</v>
      </c>
      <c r="L61" s="11">
        <v>4.69</v>
      </c>
      <c r="M61" s="11">
        <v>0.16</v>
      </c>
      <c r="N61" s="11">
        <v>0</v>
      </c>
      <c r="O61" s="11">
        <v>0.8799999999999999</v>
      </c>
      <c r="P61" s="11">
        <v>0.83</v>
      </c>
      <c r="Q61" s="11">
        <v>7.509999999999999</v>
      </c>
      <c r="R61" s="11">
        <v>19.86</v>
      </c>
      <c r="S61" s="11">
        <v>27.36999999999999</v>
      </c>
      <c r="T61" s="11">
        <v>2</v>
      </c>
      <c r="U61" s="11">
        <v>3</v>
      </c>
      <c r="V61" s="11">
        <v>22.36999999999999</v>
      </c>
      <c r="W61" s="13">
        <v>8</v>
      </c>
      <c r="X61" s="13">
        <v>12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172</v>
      </c>
      <c r="C62" s="10" t="s">
        <v>173</v>
      </c>
      <c r="D62" s="7" t="s">
        <v>60</v>
      </c>
      <c r="E62" s="7" t="s">
        <v>71</v>
      </c>
      <c r="F62" s="7" t="s">
        <v>162</v>
      </c>
      <c r="G62" s="7"/>
      <c r="H62" s="7" t="s">
        <v>47</v>
      </c>
      <c r="I62" s="11">
        <v>2</v>
      </c>
      <c r="J62" s="11">
        <v>3</v>
      </c>
      <c r="K62" s="11">
        <v>0.95</v>
      </c>
      <c r="L62" s="11">
        <v>4.670000000000002</v>
      </c>
      <c r="M62" s="11">
        <v>0.16</v>
      </c>
      <c r="N62" s="11">
        <v>0</v>
      </c>
      <c r="O62" s="11">
        <v>1.4</v>
      </c>
      <c r="P62" s="11">
        <v>1.66</v>
      </c>
      <c r="Q62" s="11">
        <v>8.839999999999998</v>
      </c>
      <c r="R62" s="11">
        <v>21.47</v>
      </c>
      <c r="S62" s="11">
        <v>30.31</v>
      </c>
      <c r="T62" s="11">
        <v>2</v>
      </c>
      <c r="U62" s="11">
        <v>3</v>
      </c>
      <c r="V62" s="11">
        <v>25.31</v>
      </c>
      <c r="W62" s="13">
        <v>8</v>
      </c>
      <c r="X62" s="13">
        <v>12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174</v>
      </c>
      <c r="C63" s="10" t="s">
        <v>175</v>
      </c>
      <c r="D63" s="7" t="s">
        <v>105</v>
      </c>
      <c r="E63" s="7" t="s">
        <v>71</v>
      </c>
      <c r="F63" s="7" t="s">
        <v>162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2.5</v>
      </c>
      <c r="M63" s="11">
        <v>0</v>
      </c>
      <c r="N63" s="11">
        <v>0</v>
      </c>
      <c r="O63" s="11">
        <v>0</v>
      </c>
      <c r="P63" s="11">
        <v>1.63</v>
      </c>
      <c r="Q63" s="11">
        <v>4.13</v>
      </c>
      <c r="R63" s="11">
        <v>13.21</v>
      </c>
      <c r="S63" s="11">
        <v>17.34</v>
      </c>
      <c r="T63" s="11">
        <v>2</v>
      </c>
      <c r="U63" s="11">
        <v>3</v>
      </c>
      <c r="V63" s="11">
        <v>12.34</v>
      </c>
      <c r="W63" s="13">
        <v>8</v>
      </c>
      <c r="X63" s="13">
        <v>12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176</v>
      </c>
      <c r="C64" s="10" t="s">
        <v>177</v>
      </c>
      <c r="D64" s="7" t="s">
        <v>50</v>
      </c>
      <c r="E64" s="7" t="s">
        <v>178</v>
      </c>
      <c r="F64" s="7" t="s">
        <v>162</v>
      </c>
      <c r="G64" s="7"/>
      <c r="H64" s="7"/>
      <c r="I64" s="11">
        <v>2</v>
      </c>
      <c r="J64" s="11">
        <v>3</v>
      </c>
      <c r="K64" s="11">
        <v>0</v>
      </c>
      <c r="L64" s="11">
        <v>3.630000000000001</v>
      </c>
      <c r="M64" s="11">
        <v>0.08</v>
      </c>
      <c r="N64" s="11">
        <v>0</v>
      </c>
      <c r="O64" s="11">
        <v>0</v>
      </c>
      <c r="P64" s="11">
        <v>0</v>
      </c>
      <c r="Q64" s="11">
        <v>3.710000000000001</v>
      </c>
      <c r="R64" s="11">
        <v>9.490000000000002</v>
      </c>
      <c r="S64" s="11">
        <v>13.2</v>
      </c>
      <c r="T64" s="11">
        <v>2</v>
      </c>
      <c r="U64" s="11">
        <v>3</v>
      </c>
      <c r="V64" s="11">
        <v>8.200000000000003</v>
      </c>
      <c r="W64" s="13">
        <v>8</v>
      </c>
      <c r="X64" s="13">
        <v>12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179</v>
      </c>
      <c r="C65" s="10" t="s">
        <v>180</v>
      </c>
      <c r="D65" s="7" t="s">
        <v>105</v>
      </c>
      <c r="E65" s="7" t="s">
        <v>71</v>
      </c>
      <c r="F65" s="7" t="s">
        <v>162</v>
      </c>
      <c r="G65" s="7"/>
      <c r="H65" s="7" t="s">
        <v>181</v>
      </c>
      <c r="I65" s="11">
        <v>2</v>
      </c>
      <c r="J65" s="11">
        <v>3</v>
      </c>
      <c r="K65" s="11">
        <v>0.95</v>
      </c>
      <c r="L65" s="11">
        <v>3.100000000000001</v>
      </c>
      <c r="M65" s="11">
        <v>0</v>
      </c>
      <c r="N65" s="11">
        <v>0</v>
      </c>
      <c r="O65" s="11">
        <v>0</v>
      </c>
      <c r="P65" s="11">
        <v>0.83</v>
      </c>
      <c r="Q65" s="11">
        <v>4.880000000000002</v>
      </c>
      <c r="R65" s="11">
        <v>11.26</v>
      </c>
      <c r="S65" s="11">
        <v>16.14</v>
      </c>
      <c r="T65" s="11">
        <v>2</v>
      </c>
      <c r="U65" s="11">
        <v>3</v>
      </c>
      <c r="V65" s="11">
        <v>11.14</v>
      </c>
      <c r="W65" s="13">
        <v>8</v>
      </c>
      <c r="X65" s="13">
        <v>12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182</v>
      </c>
      <c r="C66" s="10" t="s">
        <v>183</v>
      </c>
      <c r="D66" s="7" t="s">
        <v>89</v>
      </c>
      <c r="E66" s="7" t="s">
        <v>71</v>
      </c>
      <c r="F66" s="7" t="s">
        <v>162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3.790000000000001</v>
      </c>
      <c r="M66" s="11">
        <v>0.16</v>
      </c>
      <c r="N66" s="11">
        <v>0</v>
      </c>
      <c r="O66" s="11">
        <v>0.98</v>
      </c>
      <c r="P66" s="11">
        <v>3.41</v>
      </c>
      <c r="Q66" s="11">
        <v>8.339999999999998</v>
      </c>
      <c r="R66" s="11">
        <v>23.18999999999999</v>
      </c>
      <c r="S66" s="11">
        <v>31.52999999999999</v>
      </c>
      <c r="T66" s="11">
        <v>2</v>
      </c>
      <c r="U66" s="11">
        <v>3</v>
      </c>
      <c r="V66" s="11">
        <v>26.52999999999999</v>
      </c>
      <c r="W66" s="13">
        <v>8</v>
      </c>
      <c r="X66" s="13">
        <v>12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184</v>
      </c>
      <c r="C67" s="10" t="s">
        <v>185</v>
      </c>
      <c r="D67" s="7" t="s">
        <v>60</v>
      </c>
      <c r="E67" s="7" t="s">
        <v>71</v>
      </c>
      <c r="F67" s="7" t="s">
        <v>162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7.789999999999996</v>
      </c>
      <c r="M67" s="11">
        <v>0.08</v>
      </c>
      <c r="N67" s="11">
        <v>0</v>
      </c>
      <c r="O67" s="11">
        <v>0.9</v>
      </c>
      <c r="P67" s="11">
        <v>1.6</v>
      </c>
      <c r="Q67" s="11">
        <v>10.36999999999999</v>
      </c>
      <c r="R67" s="11">
        <v>21.56</v>
      </c>
      <c r="S67" s="11">
        <v>31.92999999999999</v>
      </c>
      <c r="T67" s="11">
        <v>2</v>
      </c>
      <c r="U67" s="11">
        <v>3</v>
      </c>
      <c r="V67" s="11">
        <v>26.92999999999999</v>
      </c>
      <c r="W67" s="13">
        <v>8</v>
      </c>
      <c r="X67" s="13">
        <v>12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186</v>
      </c>
      <c r="C68" s="10" t="s">
        <v>187</v>
      </c>
      <c r="D68" s="7" t="s">
        <v>60</v>
      </c>
      <c r="E68" s="7" t="s">
        <v>71</v>
      </c>
      <c r="F68" s="7" t="s">
        <v>162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5.150000000000003</v>
      </c>
      <c r="M68" s="11">
        <v>0</v>
      </c>
      <c r="N68" s="11">
        <v>0</v>
      </c>
      <c r="O68" s="11">
        <v>0.5</v>
      </c>
      <c r="P68" s="11">
        <v>0.8</v>
      </c>
      <c r="Q68" s="11">
        <v>6.450000000000002</v>
      </c>
      <c r="R68" s="11">
        <v>14.85</v>
      </c>
      <c r="S68" s="11">
        <v>21.30000000000001</v>
      </c>
      <c r="T68" s="11">
        <v>2</v>
      </c>
      <c r="U68" s="11">
        <v>3</v>
      </c>
      <c r="V68" s="11">
        <v>16.30000000000001</v>
      </c>
      <c r="W68" s="13">
        <v>8</v>
      </c>
      <c r="X68" s="13">
        <v>12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188</v>
      </c>
      <c r="C69" s="10" t="s">
        <v>189</v>
      </c>
      <c r="D69" s="7" t="s">
        <v>171</v>
      </c>
      <c r="E69" s="7" t="s">
        <v>71</v>
      </c>
      <c r="F69" s="7" t="s">
        <v>162</v>
      </c>
      <c r="G69" s="7"/>
      <c r="H69" s="7"/>
      <c r="I69" s="11">
        <v>2</v>
      </c>
      <c r="J69" s="11">
        <v>3</v>
      </c>
      <c r="K69" s="11">
        <v>0</v>
      </c>
      <c r="L69" s="11">
        <v>5.819999999999999</v>
      </c>
      <c r="M69" s="11">
        <v>0.4</v>
      </c>
      <c r="N69" s="11">
        <v>0</v>
      </c>
      <c r="O69" s="11">
        <v>0.6599999999999999</v>
      </c>
      <c r="P69" s="11">
        <v>0</v>
      </c>
      <c r="Q69" s="11">
        <v>6.879999999999998</v>
      </c>
      <c r="R69" s="11">
        <v>13.47</v>
      </c>
      <c r="S69" s="11">
        <v>20.35</v>
      </c>
      <c r="T69" s="11">
        <v>2</v>
      </c>
      <c r="U69" s="11">
        <v>3</v>
      </c>
      <c r="V69" s="11">
        <v>15.35</v>
      </c>
      <c r="W69" s="13">
        <v>8</v>
      </c>
      <c r="X69" s="13">
        <v>12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190</v>
      </c>
      <c r="C70" s="10" t="s">
        <v>191</v>
      </c>
      <c r="D70" s="7" t="s">
        <v>82</v>
      </c>
      <c r="E70" s="7" t="s">
        <v>71</v>
      </c>
      <c r="F70" s="7" t="s">
        <v>162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4.740000000000001</v>
      </c>
      <c r="M70" s="11">
        <v>0.08</v>
      </c>
      <c r="N70" s="11">
        <v>0</v>
      </c>
      <c r="O70" s="11">
        <v>0.6899999999999999</v>
      </c>
      <c r="P70" s="11">
        <v>1.63</v>
      </c>
      <c r="Q70" s="11">
        <v>7.139999999999999</v>
      </c>
      <c r="R70" s="11">
        <v>17.84</v>
      </c>
      <c r="S70" s="11">
        <v>24.98</v>
      </c>
      <c r="T70" s="11">
        <v>2</v>
      </c>
      <c r="U70" s="11">
        <v>3</v>
      </c>
      <c r="V70" s="11">
        <v>19.98</v>
      </c>
      <c r="W70" s="13">
        <v>8</v>
      </c>
      <c r="X70" s="13">
        <v>12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192</v>
      </c>
      <c r="C71" s="10" t="s">
        <v>193</v>
      </c>
      <c r="D71" s="7" t="s">
        <v>60</v>
      </c>
      <c r="E71" s="7" t="s">
        <v>120</v>
      </c>
      <c r="F71" s="7" t="s">
        <v>162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5.34</v>
      </c>
      <c r="M71" s="11">
        <v>0.5</v>
      </c>
      <c r="N71" s="11">
        <v>0</v>
      </c>
      <c r="O71" s="11">
        <v>0.62</v>
      </c>
      <c r="P71" s="11">
        <v>1.63</v>
      </c>
      <c r="Q71" s="11">
        <v>8.089999999999995</v>
      </c>
      <c r="R71" s="11">
        <v>15.32</v>
      </c>
      <c r="S71" s="11">
        <v>23.40999999999999</v>
      </c>
      <c r="T71" s="11">
        <v>2</v>
      </c>
      <c r="U71" s="11">
        <v>3</v>
      </c>
      <c r="V71" s="11">
        <v>18.40999999999999</v>
      </c>
      <c r="W71" s="13">
        <v>8</v>
      </c>
      <c r="X71" s="13">
        <v>12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194</v>
      </c>
      <c r="C72" s="10" t="s">
        <v>195</v>
      </c>
      <c r="D72" s="7" t="s">
        <v>152</v>
      </c>
      <c r="E72" s="7" t="s">
        <v>71</v>
      </c>
      <c r="F72" s="7" t="s">
        <v>162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5.579999999999998</v>
      </c>
      <c r="M72" s="11">
        <v>0</v>
      </c>
      <c r="N72" s="11">
        <v>0</v>
      </c>
      <c r="O72" s="11">
        <v>0.6</v>
      </c>
      <c r="P72" s="11">
        <v>0</v>
      </c>
      <c r="Q72" s="11">
        <v>6.179999999999998</v>
      </c>
      <c r="R72" s="11">
        <v>17.95</v>
      </c>
      <c r="S72" s="11">
        <v>24.13</v>
      </c>
      <c r="T72" s="11">
        <v>2</v>
      </c>
      <c r="U72" s="11">
        <v>3</v>
      </c>
      <c r="V72" s="11">
        <v>19.13</v>
      </c>
      <c r="W72" s="13">
        <v>8</v>
      </c>
      <c r="X72" s="13">
        <v>12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196</v>
      </c>
      <c r="C73" s="10" t="s">
        <v>197</v>
      </c>
      <c r="D73" s="7" t="s">
        <v>171</v>
      </c>
      <c r="E73" s="7" t="s">
        <v>120</v>
      </c>
      <c r="F73" s="7" t="s">
        <v>162</v>
      </c>
      <c r="G73" s="7"/>
      <c r="H73" s="7" t="s">
        <v>198</v>
      </c>
      <c r="I73" s="11">
        <v>2</v>
      </c>
      <c r="J73" s="11">
        <v>3</v>
      </c>
      <c r="K73" s="11">
        <v>0.95</v>
      </c>
      <c r="L73" s="11">
        <v>4.15</v>
      </c>
      <c r="M73" s="11">
        <v>0.16</v>
      </c>
      <c r="N73" s="11">
        <v>0</v>
      </c>
      <c r="O73" s="11">
        <v>2.84</v>
      </c>
      <c r="P73" s="11">
        <v>0.83</v>
      </c>
      <c r="Q73" s="11">
        <v>8.929999999999998</v>
      </c>
      <c r="R73" s="11">
        <v>24.39</v>
      </c>
      <c r="S73" s="11">
        <v>33.32</v>
      </c>
      <c r="T73" s="11">
        <v>2</v>
      </c>
      <c r="U73" s="11">
        <v>3</v>
      </c>
      <c r="V73" s="11">
        <v>28.32</v>
      </c>
      <c r="W73" s="13">
        <v>8</v>
      </c>
      <c r="X73" s="13">
        <v>12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199</v>
      </c>
      <c r="C74" s="10" t="s">
        <v>200</v>
      </c>
      <c r="D74" s="7" t="s">
        <v>54</v>
      </c>
      <c r="E74" s="7" t="s">
        <v>71</v>
      </c>
      <c r="F74" s="7" t="s">
        <v>162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5.120000000000002</v>
      </c>
      <c r="M74" s="11">
        <v>0.16</v>
      </c>
      <c r="N74" s="11">
        <v>0</v>
      </c>
      <c r="O74" s="11">
        <v>0.8999999999999999</v>
      </c>
      <c r="P74" s="11">
        <v>0.83</v>
      </c>
      <c r="Q74" s="11">
        <v>7.010000000000002</v>
      </c>
      <c r="R74" s="11">
        <v>17.46</v>
      </c>
      <c r="S74" s="11">
        <v>24.47</v>
      </c>
      <c r="T74" s="11">
        <v>2</v>
      </c>
      <c r="U74" s="11">
        <v>3</v>
      </c>
      <c r="V74" s="11">
        <v>19.47</v>
      </c>
      <c r="W74" s="13">
        <v>8</v>
      </c>
      <c r="X74" s="13">
        <v>12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201</v>
      </c>
      <c r="C75" s="10" t="s">
        <v>202</v>
      </c>
      <c r="D75" s="7" t="s">
        <v>152</v>
      </c>
      <c r="E75" s="7" t="s">
        <v>71</v>
      </c>
      <c r="F75" s="7" t="s">
        <v>162</v>
      </c>
      <c r="G75" s="7"/>
      <c r="H75" s="7" t="s">
        <v>47</v>
      </c>
      <c r="I75" s="11">
        <v>2</v>
      </c>
      <c r="J75" s="11">
        <v>3</v>
      </c>
      <c r="K75" s="11">
        <v>0.95</v>
      </c>
      <c r="L75" s="11">
        <v>2.84</v>
      </c>
      <c r="M75" s="11">
        <v>0</v>
      </c>
      <c r="N75" s="11">
        <v>0</v>
      </c>
      <c r="O75" s="11">
        <v>0.5800000000000001</v>
      </c>
      <c r="P75" s="11">
        <v>0.83</v>
      </c>
      <c r="Q75" s="11">
        <v>5.2</v>
      </c>
      <c r="R75" s="11">
        <v>15.53</v>
      </c>
      <c r="S75" s="11">
        <v>20.73</v>
      </c>
      <c r="T75" s="11">
        <v>2</v>
      </c>
      <c r="U75" s="11">
        <v>3</v>
      </c>
      <c r="V75" s="11">
        <v>15.73</v>
      </c>
      <c r="W75" s="13">
        <v>8</v>
      </c>
      <c r="X75" s="13">
        <v>12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203</v>
      </c>
      <c r="C76" s="10" t="s">
        <v>204</v>
      </c>
      <c r="D76" s="7" t="s">
        <v>54</v>
      </c>
      <c r="E76" s="7" t="s">
        <v>46</v>
      </c>
      <c r="F76" s="7" t="s">
        <v>205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6.349999999999999</v>
      </c>
      <c r="M76" s="11">
        <v>0.32</v>
      </c>
      <c r="N76" s="11">
        <v>0</v>
      </c>
      <c r="O76" s="11">
        <v>0.72</v>
      </c>
      <c r="P76" s="11">
        <v>0</v>
      </c>
      <c r="Q76" s="11">
        <v>7.389999999999997</v>
      </c>
      <c r="R76" s="11">
        <v>17.36999999999999</v>
      </c>
      <c r="S76" s="11">
        <v>24.75999999999999</v>
      </c>
      <c r="T76" s="11">
        <v>2</v>
      </c>
      <c r="U76" s="11">
        <v>3</v>
      </c>
      <c r="V76" s="11">
        <v>19.75999999999999</v>
      </c>
      <c r="W76" s="13">
        <v>8</v>
      </c>
      <c r="X76" s="13">
        <v>12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206</v>
      </c>
      <c r="C77" s="10" t="s">
        <v>207</v>
      </c>
      <c r="D77" s="7" t="s">
        <v>82</v>
      </c>
      <c r="E77" s="7" t="s">
        <v>120</v>
      </c>
      <c r="F77" s="7" t="s">
        <v>162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2.600000000000001</v>
      </c>
      <c r="M77" s="11">
        <v>0</v>
      </c>
      <c r="N77" s="11">
        <v>0</v>
      </c>
      <c r="O77" s="11">
        <v>0.36</v>
      </c>
      <c r="P77" s="11">
        <v>0</v>
      </c>
      <c r="Q77" s="11">
        <v>2.960000000000001</v>
      </c>
      <c r="R77" s="11">
        <v>8.639999999999999</v>
      </c>
      <c r="S77" s="11">
        <v>11.6</v>
      </c>
      <c r="T77" s="11">
        <v>2</v>
      </c>
      <c r="U77" s="11">
        <v>3</v>
      </c>
      <c r="V77" s="11">
        <v>6.6</v>
      </c>
      <c r="W77" s="13">
        <v>8</v>
      </c>
      <c r="X77" s="13">
        <v>12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208</v>
      </c>
      <c r="C78" s="10" t="s">
        <v>209</v>
      </c>
      <c r="D78" s="7" t="s">
        <v>82</v>
      </c>
      <c r="E78" s="7" t="s">
        <v>71</v>
      </c>
      <c r="F78" s="7" t="s">
        <v>162</v>
      </c>
      <c r="G78" s="7"/>
      <c r="H78" s="7" t="s">
        <v>210</v>
      </c>
      <c r="I78" s="11">
        <v>2</v>
      </c>
      <c r="J78" s="11">
        <v>3</v>
      </c>
      <c r="K78" s="11">
        <v>1</v>
      </c>
      <c r="L78" s="11">
        <v>2.37</v>
      </c>
      <c r="M78" s="11">
        <v>0.08</v>
      </c>
      <c r="N78" s="11">
        <v>0</v>
      </c>
      <c r="O78" s="11">
        <v>0.54</v>
      </c>
      <c r="P78" s="11">
        <v>1.66</v>
      </c>
      <c r="Q78" s="11">
        <v>5.65</v>
      </c>
      <c r="R78" s="11">
        <v>16.26</v>
      </c>
      <c r="S78" s="11">
        <v>21.91</v>
      </c>
      <c r="T78" s="11">
        <v>2</v>
      </c>
      <c r="U78" s="11">
        <v>3</v>
      </c>
      <c r="V78" s="11">
        <v>16.91</v>
      </c>
      <c r="W78" s="13">
        <v>8</v>
      </c>
      <c r="X78" s="13">
        <v>12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211</v>
      </c>
      <c r="C79" s="10" t="s">
        <v>212</v>
      </c>
      <c r="D79" s="7" t="s">
        <v>54</v>
      </c>
      <c r="E79" s="7" t="s">
        <v>120</v>
      </c>
      <c r="F79" s="7" t="s">
        <v>162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5.64</v>
      </c>
      <c r="M79" s="11">
        <v>0</v>
      </c>
      <c r="N79" s="11">
        <v>0</v>
      </c>
      <c r="O79" s="11">
        <v>0.4</v>
      </c>
      <c r="P79" s="11">
        <v>0.8</v>
      </c>
      <c r="Q79" s="11">
        <v>6.84</v>
      </c>
      <c r="R79" s="11">
        <v>14.24</v>
      </c>
      <c r="S79" s="11">
        <v>21.08000000000001</v>
      </c>
      <c r="T79" s="11">
        <v>2</v>
      </c>
      <c r="U79" s="11">
        <v>3</v>
      </c>
      <c r="V79" s="11">
        <v>16.08000000000001</v>
      </c>
      <c r="W79" s="13">
        <v>8</v>
      </c>
      <c r="X79" s="13">
        <v>12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213</v>
      </c>
      <c r="C80" s="10" t="s">
        <v>214</v>
      </c>
      <c r="D80" s="7" t="s">
        <v>215</v>
      </c>
      <c r="E80" s="7" t="s">
        <v>71</v>
      </c>
      <c r="F80" s="7" t="s">
        <v>162</v>
      </c>
      <c r="G80" s="7"/>
      <c r="H80" s="7" t="s">
        <v>79</v>
      </c>
      <c r="I80" s="11">
        <v>2</v>
      </c>
      <c r="J80" s="11">
        <v>3</v>
      </c>
      <c r="K80" s="11">
        <v>0.95</v>
      </c>
      <c r="L80" s="11">
        <v>4.98</v>
      </c>
      <c r="M80" s="11">
        <v>0</v>
      </c>
      <c r="N80" s="11">
        <v>0</v>
      </c>
      <c r="O80" s="11">
        <v>0.42</v>
      </c>
      <c r="P80" s="11">
        <v>2.46</v>
      </c>
      <c r="Q80" s="11">
        <v>8.810000000000002</v>
      </c>
      <c r="R80" s="11">
        <v>21.48</v>
      </c>
      <c r="S80" s="11">
        <v>30.29</v>
      </c>
      <c r="T80" s="11">
        <v>2</v>
      </c>
      <c r="U80" s="11">
        <v>3</v>
      </c>
      <c r="V80" s="11">
        <v>25.29</v>
      </c>
      <c r="W80" s="13">
        <v>8</v>
      </c>
      <c r="X80" s="13">
        <v>12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216</v>
      </c>
      <c r="C81" s="10" t="s">
        <v>217</v>
      </c>
      <c r="D81" s="7" t="s">
        <v>105</v>
      </c>
      <c r="E81" s="7" t="s">
        <v>120</v>
      </c>
      <c r="F81" s="7" t="s">
        <v>162</v>
      </c>
      <c r="G81" s="7"/>
      <c r="H81" s="7" t="s">
        <v>47</v>
      </c>
      <c r="I81" s="11">
        <v>2</v>
      </c>
      <c r="J81" s="11">
        <v>3</v>
      </c>
      <c r="K81" s="11">
        <v>0.95</v>
      </c>
      <c r="L81" s="11">
        <v>3.330000000000001</v>
      </c>
      <c r="M81" s="11">
        <v>0</v>
      </c>
      <c r="N81" s="11">
        <v>0</v>
      </c>
      <c r="O81" s="11">
        <v>0</v>
      </c>
      <c r="P81" s="11">
        <v>0.83</v>
      </c>
      <c r="Q81" s="11">
        <v>5.110000000000001</v>
      </c>
      <c r="R81" s="11">
        <v>13.79</v>
      </c>
      <c r="S81" s="11">
        <v>18.9</v>
      </c>
      <c r="T81" s="11">
        <v>2</v>
      </c>
      <c r="U81" s="11">
        <v>3</v>
      </c>
      <c r="V81" s="11">
        <v>13.9</v>
      </c>
      <c r="W81" s="13">
        <v>8</v>
      </c>
      <c r="X81" s="13">
        <v>12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218</v>
      </c>
      <c r="C82" s="10" t="s">
        <v>219</v>
      </c>
      <c r="D82" s="7" t="s">
        <v>82</v>
      </c>
      <c r="E82" s="7" t="s">
        <v>71</v>
      </c>
      <c r="F82" s="7" t="s">
        <v>162</v>
      </c>
      <c r="G82" s="7"/>
      <c r="H82" s="7" t="s">
        <v>47</v>
      </c>
      <c r="I82" s="11">
        <v>2</v>
      </c>
      <c r="J82" s="11">
        <v>3</v>
      </c>
      <c r="K82" s="11">
        <v>0.95</v>
      </c>
      <c r="L82" s="11">
        <v>4.16</v>
      </c>
      <c r="M82" s="11">
        <v>0.88</v>
      </c>
      <c r="N82" s="11">
        <v>0</v>
      </c>
      <c r="O82" s="11">
        <v>0.78</v>
      </c>
      <c r="P82" s="11">
        <v>0.83</v>
      </c>
      <c r="Q82" s="11">
        <v>7.599999999999999</v>
      </c>
      <c r="R82" s="11">
        <v>18.88</v>
      </c>
      <c r="S82" s="11">
        <v>26.48</v>
      </c>
      <c r="T82" s="11">
        <v>2</v>
      </c>
      <c r="U82" s="11">
        <v>3</v>
      </c>
      <c r="V82" s="11">
        <v>21.48</v>
      </c>
      <c r="W82" s="13">
        <v>8</v>
      </c>
      <c r="X82" s="13">
        <v>12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220</v>
      </c>
      <c r="C83" s="10" t="s">
        <v>221</v>
      </c>
      <c r="D83" s="7" t="s">
        <v>54</v>
      </c>
      <c r="E83" s="7" t="s">
        <v>71</v>
      </c>
      <c r="F83" s="7" t="s">
        <v>162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5.3</v>
      </c>
      <c r="M83" s="11">
        <v>0.83</v>
      </c>
      <c r="N83" s="11">
        <v>0</v>
      </c>
      <c r="O83" s="11">
        <v>0.54</v>
      </c>
      <c r="P83" s="11">
        <v>0</v>
      </c>
      <c r="Q83" s="11">
        <v>6.67</v>
      </c>
      <c r="R83" s="11">
        <v>16.02</v>
      </c>
      <c r="S83" s="11">
        <v>22.69</v>
      </c>
      <c r="T83" s="11">
        <v>2</v>
      </c>
      <c r="U83" s="11">
        <v>3</v>
      </c>
      <c r="V83" s="11">
        <v>17.69</v>
      </c>
      <c r="W83" s="13">
        <v>8</v>
      </c>
      <c r="X83" s="13">
        <v>12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222</v>
      </c>
      <c r="C84" s="10" t="s">
        <v>223</v>
      </c>
      <c r="D84" s="7" t="s">
        <v>50</v>
      </c>
      <c r="E84" s="7" t="s">
        <v>71</v>
      </c>
      <c r="F84" s="7" t="s">
        <v>162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5.480000000000001</v>
      </c>
      <c r="M84" s="11">
        <v>0.16</v>
      </c>
      <c r="N84" s="11">
        <v>0</v>
      </c>
      <c r="O84" s="11">
        <v>0.18</v>
      </c>
      <c r="P84" s="11">
        <v>0.8</v>
      </c>
      <c r="Q84" s="11">
        <v>6.62</v>
      </c>
      <c r="R84" s="11">
        <v>9.560000000000002</v>
      </c>
      <c r="S84" s="11">
        <v>16.18</v>
      </c>
      <c r="T84" s="11">
        <v>2</v>
      </c>
      <c r="U84" s="11">
        <v>3</v>
      </c>
      <c r="V84" s="11">
        <v>11.18</v>
      </c>
      <c r="W84" s="13">
        <v>8</v>
      </c>
      <c r="X84" s="13">
        <v>12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224</v>
      </c>
      <c r="C85" s="10" t="s">
        <v>225</v>
      </c>
      <c r="D85" s="7" t="s">
        <v>50</v>
      </c>
      <c r="E85" s="7" t="s">
        <v>71</v>
      </c>
      <c r="F85" s="7" t="s">
        <v>162</v>
      </c>
      <c r="G85" s="7"/>
      <c r="H85" s="7" t="s">
        <v>129</v>
      </c>
      <c r="I85" s="11">
        <v>2</v>
      </c>
      <c r="J85" s="11">
        <v>3</v>
      </c>
      <c r="K85" s="11">
        <v>0.95</v>
      </c>
      <c r="L85" s="11">
        <v>7.250000000000001</v>
      </c>
      <c r="M85" s="11">
        <v>0</v>
      </c>
      <c r="N85" s="11">
        <v>0</v>
      </c>
      <c r="O85" s="11">
        <v>0</v>
      </c>
      <c r="P85" s="11">
        <v>0</v>
      </c>
      <c r="Q85" s="11">
        <v>8.200000000000001</v>
      </c>
      <c r="R85" s="11">
        <v>16.39</v>
      </c>
      <c r="S85" s="11">
        <v>24.59</v>
      </c>
      <c r="T85" s="11">
        <v>2</v>
      </c>
      <c r="U85" s="11">
        <v>3</v>
      </c>
      <c r="V85" s="11">
        <v>19.59</v>
      </c>
      <c r="W85" s="13">
        <v>8</v>
      </c>
      <c r="X85" s="13">
        <v>12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226</v>
      </c>
      <c r="C86" s="10" t="s">
        <v>227</v>
      </c>
      <c r="D86" s="7" t="s">
        <v>50</v>
      </c>
      <c r="E86" s="7" t="s">
        <v>120</v>
      </c>
      <c r="F86" s="7" t="s">
        <v>162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2.990000000000001</v>
      </c>
      <c r="M86" s="11">
        <v>0</v>
      </c>
      <c r="N86" s="11">
        <v>0</v>
      </c>
      <c r="O86" s="11">
        <v>0</v>
      </c>
      <c r="P86" s="11">
        <v>0</v>
      </c>
      <c r="Q86" s="11">
        <v>2.990000000000001</v>
      </c>
      <c r="R86" s="11">
        <v>5.340000000000002</v>
      </c>
      <c r="S86" s="11">
        <v>8.330000000000002</v>
      </c>
      <c r="T86" s="11">
        <v>2</v>
      </c>
      <c r="U86" s="11">
        <v>3</v>
      </c>
      <c r="V86" s="11">
        <v>3.330000000000002</v>
      </c>
      <c r="W86" s="13">
        <v>8</v>
      </c>
      <c r="X86" s="13">
        <v>12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228</v>
      </c>
      <c r="C87" s="10" t="s">
        <v>229</v>
      </c>
      <c r="D87" s="7" t="s">
        <v>105</v>
      </c>
      <c r="E87" s="7" t="s">
        <v>120</v>
      </c>
      <c r="F87" s="7" t="s">
        <v>162</v>
      </c>
      <c r="G87" s="7"/>
      <c r="H87" s="7" t="s">
        <v>198</v>
      </c>
      <c r="I87" s="11">
        <v>2</v>
      </c>
      <c r="J87" s="11">
        <v>3</v>
      </c>
      <c r="K87" s="11">
        <v>0.95</v>
      </c>
      <c r="L87" s="11">
        <v>2.16</v>
      </c>
      <c r="M87" s="11">
        <v>0</v>
      </c>
      <c r="N87" s="11">
        <v>0</v>
      </c>
      <c r="O87" s="11">
        <v>0</v>
      </c>
      <c r="P87" s="11">
        <v>0.83</v>
      </c>
      <c r="Q87" s="11">
        <v>3.94</v>
      </c>
      <c r="R87" s="11">
        <v>15.88</v>
      </c>
      <c r="S87" s="11">
        <v>19.82</v>
      </c>
      <c r="T87" s="11">
        <v>2</v>
      </c>
      <c r="U87" s="11">
        <v>3</v>
      </c>
      <c r="V87" s="11">
        <v>14.82</v>
      </c>
      <c r="W87" s="13">
        <v>8</v>
      </c>
      <c r="X87" s="13">
        <v>12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230</v>
      </c>
      <c r="C88" s="10" t="s">
        <v>231</v>
      </c>
      <c r="D88" s="7" t="s">
        <v>50</v>
      </c>
      <c r="E88" s="7" t="s">
        <v>71</v>
      </c>
      <c r="F88" s="7" t="s">
        <v>162</v>
      </c>
      <c r="G88" s="7"/>
      <c r="H88" s="7" t="s">
        <v>232</v>
      </c>
      <c r="I88" s="11">
        <v>2</v>
      </c>
      <c r="J88" s="11">
        <v>3</v>
      </c>
      <c r="K88" s="11">
        <v>1</v>
      </c>
      <c r="L88" s="11">
        <v>2.82</v>
      </c>
      <c r="M88" s="11">
        <v>0</v>
      </c>
      <c r="N88" s="11">
        <v>0</v>
      </c>
      <c r="O88" s="11">
        <v>0</v>
      </c>
      <c r="P88" s="11">
        <v>1.6</v>
      </c>
      <c r="Q88" s="11">
        <v>5.420000000000002</v>
      </c>
      <c r="R88" s="11">
        <v>11.23</v>
      </c>
      <c r="S88" s="11">
        <v>16.65</v>
      </c>
      <c r="T88" s="11">
        <v>2</v>
      </c>
      <c r="U88" s="11">
        <v>3</v>
      </c>
      <c r="V88" s="11">
        <v>11.65</v>
      </c>
      <c r="W88" s="13">
        <v>8</v>
      </c>
      <c r="X88" s="13">
        <v>12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233</v>
      </c>
      <c r="C89" s="10" t="s">
        <v>234</v>
      </c>
      <c r="D89" s="7" t="s">
        <v>40</v>
      </c>
      <c r="E89" s="7" t="s">
        <v>178</v>
      </c>
      <c r="F89" s="7" t="s">
        <v>162</v>
      </c>
      <c r="G89" s="7"/>
      <c r="H89" s="7" t="s">
        <v>232</v>
      </c>
      <c r="I89" s="11">
        <v>2</v>
      </c>
      <c r="J89" s="11">
        <v>3</v>
      </c>
      <c r="K89" s="11">
        <v>1</v>
      </c>
      <c r="L89" s="11">
        <v>6.550000000000001</v>
      </c>
      <c r="M89" s="11">
        <v>0</v>
      </c>
      <c r="N89" s="11">
        <v>0</v>
      </c>
      <c r="O89" s="11">
        <v>3.22</v>
      </c>
      <c r="P89" s="11">
        <v>1.6</v>
      </c>
      <c r="Q89" s="11">
        <v>12.37</v>
      </c>
      <c r="R89" s="11">
        <v>24.1</v>
      </c>
      <c r="S89" s="11">
        <v>36.47</v>
      </c>
      <c r="T89" s="11">
        <v>2</v>
      </c>
      <c r="U89" s="11">
        <v>3</v>
      </c>
      <c r="V89" s="11">
        <v>31.47</v>
      </c>
      <c r="W89" s="13">
        <v>8</v>
      </c>
      <c r="X89" s="13">
        <v>12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235</v>
      </c>
      <c r="C90" s="10" t="s">
        <v>236</v>
      </c>
      <c r="D90" s="7" t="s">
        <v>50</v>
      </c>
      <c r="E90" s="7" t="s">
        <v>120</v>
      </c>
      <c r="F90" s="7" t="s">
        <v>162</v>
      </c>
      <c r="G90" s="7"/>
      <c r="H90" s="7" t="s">
        <v>47</v>
      </c>
      <c r="I90" s="11">
        <v>2</v>
      </c>
      <c r="J90" s="11">
        <v>3</v>
      </c>
      <c r="K90" s="11">
        <v>0.95</v>
      </c>
      <c r="L90" s="11">
        <v>8.509999999999998</v>
      </c>
      <c r="M90" s="11">
        <v>0</v>
      </c>
      <c r="N90" s="11">
        <v>0</v>
      </c>
      <c r="O90" s="11">
        <v>0.51</v>
      </c>
      <c r="P90" s="11">
        <v>0.8</v>
      </c>
      <c r="Q90" s="11">
        <v>10.77</v>
      </c>
      <c r="R90" s="11">
        <v>32.78999999999999</v>
      </c>
      <c r="S90" s="11">
        <v>43.55999999999999</v>
      </c>
      <c r="T90" s="11">
        <v>2</v>
      </c>
      <c r="U90" s="11">
        <v>3</v>
      </c>
      <c r="V90" s="11">
        <v>38.55999999999999</v>
      </c>
      <c r="W90" s="13">
        <v>8</v>
      </c>
      <c r="X90" s="13">
        <v>12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237</v>
      </c>
      <c r="C91" s="10" t="s">
        <v>238</v>
      </c>
      <c r="D91" s="7" t="s">
        <v>50</v>
      </c>
      <c r="E91" s="7" t="s">
        <v>71</v>
      </c>
      <c r="F91" s="7" t="s">
        <v>162</v>
      </c>
      <c r="G91" s="7"/>
      <c r="H91" s="7" t="s">
        <v>47</v>
      </c>
      <c r="I91" s="11">
        <v>2</v>
      </c>
      <c r="J91" s="11">
        <v>3</v>
      </c>
      <c r="K91" s="11">
        <v>0.95</v>
      </c>
      <c r="L91" s="11">
        <v>3.010000000000001</v>
      </c>
      <c r="M91" s="11">
        <v>0</v>
      </c>
      <c r="N91" s="11">
        <v>0</v>
      </c>
      <c r="O91" s="11">
        <v>0</v>
      </c>
      <c r="P91" s="11">
        <v>1</v>
      </c>
      <c r="Q91" s="11">
        <v>4.960000000000001</v>
      </c>
      <c r="R91" s="11">
        <v>17.59</v>
      </c>
      <c r="S91" s="11">
        <v>22.55</v>
      </c>
      <c r="T91" s="11">
        <v>2</v>
      </c>
      <c r="U91" s="11">
        <v>3</v>
      </c>
      <c r="V91" s="11">
        <v>17.55</v>
      </c>
      <c r="W91" s="13">
        <v>8</v>
      </c>
      <c r="X91" s="13">
        <v>12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239</v>
      </c>
      <c r="C92" s="10" t="s">
        <v>240</v>
      </c>
      <c r="D92" s="7" t="s">
        <v>50</v>
      </c>
      <c r="E92" s="7" t="s">
        <v>120</v>
      </c>
      <c r="F92" s="7" t="s">
        <v>162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2.57</v>
      </c>
      <c r="M92" s="11">
        <v>0</v>
      </c>
      <c r="N92" s="11">
        <v>0</v>
      </c>
      <c r="O92" s="11">
        <v>0</v>
      </c>
      <c r="P92" s="11">
        <v>0</v>
      </c>
      <c r="Q92" s="11">
        <v>2.57</v>
      </c>
      <c r="R92" s="11">
        <v>5.770000000000001</v>
      </c>
      <c r="S92" s="11">
        <v>8.340000000000002</v>
      </c>
      <c r="T92" s="11">
        <v>2</v>
      </c>
      <c r="U92" s="11">
        <v>3</v>
      </c>
      <c r="V92" s="11">
        <v>3.340000000000002</v>
      </c>
      <c r="W92" s="13">
        <v>8</v>
      </c>
      <c r="X92" s="13">
        <v>12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241</v>
      </c>
      <c r="C93" s="10" t="s">
        <v>242</v>
      </c>
      <c r="D93" s="7" t="s">
        <v>105</v>
      </c>
      <c r="E93" s="7" t="s">
        <v>71</v>
      </c>
      <c r="F93" s="7" t="s">
        <v>162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3.700000000000001</v>
      </c>
      <c r="M93" s="11">
        <v>0.16</v>
      </c>
      <c r="N93" s="11">
        <v>0</v>
      </c>
      <c r="O93" s="11">
        <v>0.17</v>
      </c>
      <c r="P93" s="11">
        <v>0.8</v>
      </c>
      <c r="Q93" s="11">
        <v>4.830000000000001</v>
      </c>
      <c r="R93" s="11">
        <v>12.19</v>
      </c>
      <c r="S93" s="11">
        <v>17.02000000000001</v>
      </c>
      <c r="T93" s="11">
        <v>2</v>
      </c>
      <c r="U93" s="11">
        <v>3</v>
      </c>
      <c r="V93" s="11">
        <v>12.02000000000001</v>
      </c>
      <c r="W93" s="13">
        <v>8</v>
      </c>
      <c r="X93" s="13">
        <v>12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243</v>
      </c>
      <c r="C94" s="10" t="s">
        <v>244</v>
      </c>
      <c r="D94" s="7" t="s">
        <v>78</v>
      </c>
      <c r="E94" s="7" t="s">
        <v>71</v>
      </c>
      <c r="F94" s="7" t="s">
        <v>162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1.31</v>
      </c>
      <c r="M94" s="11">
        <v>0</v>
      </c>
      <c r="N94" s="11">
        <v>0</v>
      </c>
      <c r="O94" s="11">
        <v>0.18</v>
      </c>
      <c r="P94" s="11">
        <v>0.83</v>
      </c>
      <c r="Q94" s="11">
        <v>2.320000000000001</v>
      </c>
      <c r="R94" s="11">
        <v>6.530000000000001</v>
      </c>
      <c r="S94" s="11">
        <v>8.850000000000001</v>
      </c>
      <c r="T94" s="11">
        <v>2</v>
      </c>
      <c r="U94" s="11">
        <v>3</v>
      </c>
      <c r="V94" s="11">
        <v>3.850000000000001</v>
      </c>
      <c r="W94" s="13">
        <v>8</v>
      </c>
      <c r="X94" s="13">
        <v>12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245</v>
      </c>
      <c r="C95" s="10" t="s">
        <v>246</v>
      </c>
      <c r="D95" s="7" t="s">
        <v>105</v>
      </c>
      <c r="E95" s="7" t="s">
        <v>120</v>
      </c>
      <c r="F95" s="7" t="s">
        <v>162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5.160000000000002</v>
      </c>
      <c r="M95" s="11">
        <v>0</v>
      </c>
      <c r="N95" s="11">
        <v>0</v>
      </c>
      <c r="O95" s="11">
        <v>0</v>
      </c>
      <c r="P95" s="11">
        <v>0.8</v>
      </c>
      <c r="Q95" s="11">
        <v>5.959999999999998</v>
      </c>
      <c r="R95" s="11">
        <v>19.64999999999998</v>
      </c>
      <c r="S95" s="11">
        <v>25.60999999999998</v>
      </c>
      <c r="T95" s="11">
        <v>2</v>
      </c>
      <c r="U95" s="11">
        <v>3</v>
      </c>
      <c r="V95" s="11">
        <v>20.60999999999998</v>
      </c>
      <c r="W95" s="13">
        <v>8</v>
      </c>
      <c r="X95" s="13">
        <v>12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247</v>
      </c>
      <c r="C96" s="10" t="s">
        <v>248</v>
      </c>
      <c r="D96" s="7" t="s">
        <v>171</v>
      </c>
      <c r="E96" s="7" t="s">
        <v>120</v>
      </c>
      <c r="F96" s="7" t="s">
        <v>162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5.090000000000002</v>
      </c>
      <c r="M96" s="11">
        <v>0.08</v>
      </c>
      <c r="N96" s="11">
        <v>0</v>
      </c>
      <c r="O96" s="11">
        <v>0.36</v>
      </c>
      <c r="P96" s="11">
        <v>0.83</v>
      </c>
      <c r="Q96" s="11">
        <v>6.360000000000001</v>
      </c>
      <c r="R96" s="11">
        <v>15.63</v>
      </c>
      <c r="S96" s="11">
        <v>21.99</v>
      </c>
      <c r="T96" s="11">
        <v>2</v>
      </c>
      <c r="U96" s="11">
        <v>3</v>
      </c>
      <c r="V96" s="11">
        <v>16.99</v>
      </c>
      <c r="W96" s="13">
        <v>8</v>
      </c>
      <c r="X96" s="13">
        <v>12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249</v>
      </c>
      <c r="C97" s="10" t="s">
        <v>250</v>
      </c>
      <c r="D97" s="7" t="s">
        <v>60</v>
      </c>
      <c r="E97" s="7" t="s">
        <v>71</v>
      </c>
      <c r="F97" s="7" t="s">
        <v>162</v>
      </c>
      <c r="G97" s="7"/>
      <c r="H97" s="7" t="s">
        <v>168</v>
      </c>
      <c r="I97" s="11">
        <v>2</v>
      </c>
      <c r="J97" s="11">
        <v>3</v>
      </c>
      <c r="K97" s="11">
        <v>1</v>
      </c>
      <c r="L97" s="11">
        <v>4.080000000000002</v>
      </c>
      <c r="M97" s="11">
        <v>0.5</v>
      </c>
      <c r="N97" s="11">
        <v>0</v>
      </c>
      <c r="O97" s="11">
        <v>0.8500000000000001</v>
      </c>
      <c r="P97" s="11">
        <v>3.26</v>
      </c>
      <c r="Q97" s="11">
        <v>9.689999999999998</v>
      </c>
      <c r="R97" s="11">
        <v>21.45</v>
      </c>
      <c r="S97" s="11">
        <v>31.14</v>
      </c>
      <c r="T97" s="11">
        <v>2</v>
      </c>
      <c r="U97" s="11">
        <v>3</v>
      </c>
      <c r="V97" s="11">
        <v>26.14</v>
      </c>
      <c r="W97" s="13">
        <v>8</v>
      </c>
      <c r="X97" s="13">
        <v>12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251</v>
      </c>
      <c r="C98" s="10" t="s">
        <v>252</v>
      </c>
      <c r="D98" s="7" t="s">
        <v>82</v>
      </c>
      <c r="E98" s="7" t="s">
        <v>120</v>
      </c>
      <c r="F98" s="7" t="s">
        <v>162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3.500000000000001</v>
      </c>
      <c r="M98" s="11">
        <v>0</v>
      </c>
      <c r="N98" s="11">
        <v>0</v>
      </c>
      <c r="O98" s="11">
        <v>1.46</v>
      </c>
      <c r="P98" s="11">
        <v>1.63</v>
      </c>
      <c r="Q98" s="11">
        <v>6.589999999999998</v>
      </c>
      <c r="R98" s="11">
        <v>12.4</v>
      </c>
      <c r="S98" s="11">
        <v>18.98999999999999</v>
      </c>
      <c r="T98" s="11">
        <v>2</v>
      </c>
      <c r="U98" s="11">
        <v>3</v>
      </c>
      <c r="V98" s="11">
        <v>13.98999999999999</v>
      </c>
      <c r="W98" s="13">
        <v>8</v>
      </c>
      <c r="X98" s="13">
        <v>12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253</v>
      </c>
      <c r="C99" s="10" t="s">
        <v>254</v>
      </c>
      <c r="D99" s="7" t="s">
        <v>82</v>
      </c>
      <c r="E99" s="7" t="s">
        <v>120</v>
      </c>
      <c r="F99" s="7" t="s">
        <v>162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4.899999999999999</v>
      </c>
      <c r="M99" s="11">
        <v>0</v>
      </c>
      <c r="N99" s="11">
        <v>0</v>
      </c>
      <c r="O99" s="11">
        <v>0.76</v>
      </c>
      <c r="P99" s="11">
        <v>0</v>
      </c>
      <c r="Q99" s="11">
        <v>5.659999999999999</v>
      </c>
      <c r="R99" s="11">
        <v>13.96</v>
      </c>
      <c r="S99" s="11">
        <v>19.62</v>
      </c>
      <c r="T99" s="11">
        <v>2</v>
      </c>
      <c r="U99" s="11">
        <v>3</v>
      </c>
      <c r="V99" s="11">
        <v>14.62</v>
      </c>
      <c r="W99" s="13">
        <v>8</v>
      </c>
      <c r="X99" s="13">
        <v>12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255</v>
      </c>
      <c r="C100" s="10" t="s">
        <v>256</v>
      </c>
      <c r="D100" s="7" t="s">
        <v>171</v>
      </c>
      <c r="E100" s="7" t="s">
        <v>120</v>
      </c>
      <c r="F100" s="7" t="s">
        <v>162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2.24</v>
      </c>
      <c r="M100" s="11">
        <v>0.16</v>
      </c>
      <c r="N100" s="11">
        <v>0</v>
      </c>
      <c r="O100" s="11">
        <v>1.02</v>
      </c>
      <c r="P100" s="11">
        <v>0.34</v>
      </c>
      <c r="Q100" s="11">
        <v>3.760000000000001</v>
      </c>
      <c r="R100" s="11">
        <v>14.64</v>
      </c>
      <c r="S100" s="11">
        <v>18.4</v>
      </c>
      <c r="T100" s="11">
        <v>2</v>
      </c>
      <c r="U100" s="11">
        <v>3</v>
      </c>
      <c r="V100" s="11">
        <v>13.4</v>
      </c>
      <c r="W100" s="13">
        <v>8</v>
      </c>
      <c r="X100" s="13">
        <v>12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257</v>
      </c>
      <c r="C101" s="10" t="s">
        <v>258</v>
      </c>
      <c r="D101" s="7" t="s">
        <v>105</v>
      </c>
      <c r="E101" s="7" t="s">
        <v>71</v>
      </c>
      <c r="F101" s="7" t="s">
        <v>162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2.6</v>
      </c>
      <c r="M101" s="11">
        <v>0</v>
      </c>
      <c r="N101" s="11">
        <v>0</v>
      </c>
      <c r="O101" s="11">
        <v>0</v>
      </c>
      <c r="P101" s="11">
        <v>0.83</v>
      </c>
      <c r="Q101" s="11">
        <v>3.43</v>
      </c>
      <c r="R101" s="11">
        <v>11.65</v>
      </c>
      <c r="S101" s="11">
        <v>15.08</v>
      </c>
      <c r="T101" s="11">
        <v>2</v>
      </c>
      <c r="U101" s="11">
        <v>3</v>
      </c>
      <c r="V101" s="11">
        <v>10.08</v>
      </c>
      <c r="W101" s="13">
        <v>8</v>
      </c>
      <c r="X101" s="13">
        <v>12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259</v>
      </c>
      <c r="C102" s="10" t="s">
        <v>260</v>
      </c>
      <c r="D102" s="7" t="s">
        <v>50</v>
      </c>
      <c r="E102" s="7" t="s">
        <v>71</v>
      </c>
      <c r="F102" s="7" t="s">
        <v>162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2.020000000000001</v>
      </c>
      <c r="M102" s="11">
        <v>0.16</v>
      </c>
      <c r="N102" s="11">
        <v>0</v>
      </c>
      <c r="O102" s="11">
        <v>0</v>
      </c>
      <c r="P102" s="11">
        <v>2.43</v>
      </c>
      <c r="Q102" s="11">
        <v>4.610000000000001</v>
      </c>
      <c r="R102" s="11">
        <v>19.06</v>
      </c>
      <c r="S102" s="11">
        <v>23.67</v>
      </c>
      <c r="T102" s="11">
        <v>2</v>
      </c>
      <c r="U102" s="11">
        <v>3</v>
      </c>
      <c r="V102" s="11">
        <v>18.67</v>
      </c>
      <c r="W102" s="13">
        <v>8</v>
      </c>
      <c r="X102" s="13">
        <v>12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261</v>
      </c>
      <c r="C103" s="10" t="s">
        <v>262</v>
      </c>
      <c r="D103" s="7" t="s">
        <v>50</v>
      </c>
      <c r="E103" s="7" t="s">
        <v>71</v>
      </c>
      <c r="F103" s="7" t="s">
        <v>162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1.19</v>
      </c>
      <c r="M103" s="11">
        <v>0</v>
      </c>
      <c r="N103" s="11">
        <v>0</v>
      </c>
      <c r="O103" s="11">
        <v>0</v>
      </c>
      <c r="P103" s="11">
        <v>0</v>
      </c>
      <c r="Q103" s="11">
        <v>1.19</v>
      </c>
      <c r="R103" s="11">
        <v>4.48</v>
      </c>
      <c r="S103" s="11">
        <v>5.67</v>
      </c>
      <c r="T103" s="11">
        <v>2</v>
      </c>
      <c r="U103" s="11">
        <v>3</v>
      </c>
      <c r="V103" s="11">
        <v>0.6699999999999999</v>
      </c>
      <c r="W103" s="13">
        <v>8</v>
      </c>
      <c r="X103" s="13">
        <v>12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263</v>
      </c>
      <c r="C104" s="10" t="s">
        <v>264</v>
      </c>
      <c r="D104" s="7" t="s">
        <v>78</v>
      </c>
      <c r="E104" s="7" t="s">
        <v>120</v>
      </c>
      <c r="F104" s="7" t="s">
        <v>162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4.280000000000001</v>
      </c>
      <c r="M104" s="11">
        <v>0</v>
      </c>
      <c r="N104" s="11">
        <v>0</v>
      </c>
      <c r="O104" s="11">
        <v>0.35</v>
      </c>
      <c r="P104" s="11">
        <v>0</v>
      </c>
      <c r="Q104" s="11">
        <v>4.630000000000001</v>
      </c>
      <c r="R104" s="11">
        <v>12.15</v>
      </c>
      <c r="S104" s="11">
        <v>16.78</v>
      </c>
      <c r="T104" s="11">
        <v>2</v>
      </c>
      <c r="U104" s="11">
        <v>3</v>
      </c>
      <c r="V104" s="11">
        <v>11.78</v>
      </c>
      <c r="W104" s="13">
        <v>8</v>
      </c>
      <c r="X104" s="13">
        <v>12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265</v>
      </c>
      <c r="C105" s="10" t="s">
        <v>266</v>
      </c>
      <c r="D105" s="7" t="s">
        <v>50</v>
      </c>
      <c r="E105" s="7" t="s">
        <v>120</v>
      </c>
      <c r="F105" s="7" t="s">
        <v>162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3.410000000000001</v>
      </c>
      <c r="M105" s="11">
        <v>0</v>
      </c>
      <c r="N105" s="11">
        <v>0</v>
      </c>
      <c r="O105" s="11">
        <v>0</v>
      </c>
      <c r="P105" s="11">
        <v>0</v>
      </c>
      <c r="Q105" s="11">
        <v>3.410000000000001</v>
      </c>
      <c r="R105" s="11">
        <v>6.06</v>
      </c>
      <c r="S105" s="11">
        <v>9.470000000000002</v>
      </c>
      <c r="T105" s="11">
        <v>2</v>
      </c>
      <c r="U105" s="11">
        <v>3</v>
      </c>
      <c r="V105" s="11">
        <v>4.470000000000002</v>
      </c>
      <c r="W105" s="13">
        <v>8</v>
      </c>
      <c r="X105" s="13">
        <v>12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267</v>
      </c>
      <c r="C106" s="10" t="s">
        <v>268</v>
      </c>
      <c r="D106" s="7" t="s">
        <v>78</v>
      </c>
      <c r="E106" s="7" t="s">
        <v>178</v>
      </c>
      <c r="F106" s="7" t="s">
        <v>162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3.250000000000002</v>
      </c>
      <c r="M106" s="11">
        <v>0.08</v>
      </c>
      <c r="N106" s="11">
        <v>0</v>
      </c>
      <c r="O106" s="11">
        <v>0.18</v>
      </c>
      <c r="P106" s="11">
        <v>0.83</v>
      </c>
      <c r="Q106" s="11">
        <v>4.340000000000001</v>
      </c>
      <c r="R106" s="11">
        <v>13.29</v>
      </c>
      <c r="S106" s="11">
        <v>17.63</v>
      </c>
      <c r="T106" s="11">
        <v>2</v>
      </c>
      <c r="U106" s="11">
        <v>3</v>
      </c>
      <c r="V106" s="11">
        <v>12.63</v>
      </c>
      <c r="W106" s="13">
        <v>8</v>
      </c>
      <c r="X106" s="13">
        <v>12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269</v>
      </c>
      <c r="C107" s="10" t="s">
        <v>270</v>
      </c>
      <c r="D107" s="7" t="s">
        <v>50</v>
      </c>
      <c r="E107" s="7" t="s">
        <v>120</v>
      </c>
      <c r="F107" s="7" t="s">
        <v>162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2.680000000000001</v>
      </c>
      <c r="M107" s="11">
        <v>0.08</v>
      </c>
      <c r="N107" s="11">
        <v>0</v>
      </c>
      <c r="O107" s="11">
        <v>0.2</v>
      </c>
      <c r="P107" s="11">
        <v>0</v>
      </c>
      <c r="Q107" s="11">
        <v>2.96</v>
      </c>
      <c r="R107" s="11">
        <v>7.640000000000002</v>
      </c>
      <c r="S107" s="11">
        <v>10.6</v>
      </c>
      <c r="T107" s="11">
        <v>2</v>
      </c>
      <c r="U107" s="11">
        <v>3</v>
      </c>
      <c r="V107" s="11">
        <v>5.600000000000003</v>
      </c>
      <c r="W107" s="13">
        <v>8</v>
      </c>
      <c r="X107" s="13">
        <v>12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271</v>
      </c>
      <c r="C108" s="10" t="s">
        <v>272</v>
      </c>
      <c r="D108" s="7" t="s">
        <v>60</v>
      </c>
      <c r="E108" s="7" t="s">
        <v>71</v>
      </c>
      <c r="F108" s="7" t="s">
        <v>162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7.269999999999996</v>
      </c>
      <c r="M108" s="11">
        <v>0</v>
      </c>
      <c r="N108" s="11">
        <v>0</v>
      </c>
      <c r="O108" s="11">
        <v>0.37</v>
      </c>
      <c r="P108" s="11">
        <v>0.83</v>
      </c>
      <c r="Q108" s="11">
        <v>8.469999999999992</v>
      </c>
      <c r="R108" s="11">
        <v>10.92</v>
      </c>
      <c r="S108" s="11">
        <v>19.38999999999999</v>
      </c>
      <c r="T108" s="11">
        <v>2</v>
      </c>
      <c r="U108" s="11">
        <v>3</v>
      </c>
      <c r="V108" s="11">
        <v>14.38999999999999</v>
      </c>
      <c r="W108" s="13">
        <v>8</v>
      </c>
      <c r="X108" s="13">
        <v>12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273</v>
      </c>
      <c r="C109" s="10" t="s">
        <v>274</v>
      </c>
      <c r="D109" s="7" t="s">
        <v>50</v>
      </c>
      <c r="E109" s="7" t="s">
        <v>71</v>
      </c>
      <c r="F109" s="7" t="s">
        <v>162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3.860000000000001</v>
      </c>
      <c r="M109" s="11">
        <v>0</v>
      </c>
      <c r="N109" s="11">
        <v>0</v>
      </c>
      <c r="O109" s="11">
        <v>0</v>
      </c>
      <c r="P109" s="11">
        <v>0.8</v>
      </c>
      <c r="Q109" s="11">
        <v>4.660000000000002</v>
      </c>
      <c r="R109" s="11">
        <v>8.550000000000002</v>
      </c>
      <c r="S109" s="11">
        <v>13.21</v>
      </c>
      <c r="T109" s="11">
        <v>2</v>
      </c>
      <c r="U109" s="11">
        <v>3</v>
      </c>
      <c r="V109" s="11">
        <v>8.210000000000004</v>
      </c>
      <c r="W109" s="13">
        <v>8</v>
      </c>
      <c r="X109" s="13">
        <v>12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275</v>
      </c>
      <c r="C110" s="10" t="s">
        <v>276</v>
      </c>
      <c r="D110" s="7" t="s">
        <v>50</v>
      </c>
      <c r="E110" s="7" t="s">
        <v>71</v>
      </c>
      <c r="F110" s="7" t="s">
        <v>162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3.940000000000001</v>
      </c>
      <c r="M110" s="11">
        <v>0</v>
      </c>
      <c r="N110" s="11">
        <v>0</v>
      </c>
      <c r="O110" s="11">
        <v>0</v>
      </c>
      <c r="P110" s="11">
        <v>0.83</v>
      </c>
      <c r="Q110" s="11">
        <v>4.769999999999999</v>
      </c>
      <c r="R110" s="11">
        <v>15.15</v>
      </c>
      <c r="S110" s="11">
        <v>19.92</v>
      </c>
      <c r="T110" s="11">
        <v>2</v>
      </c>
      <c r="U110" s="11">
        <v>3</v>
      </c>
      <c r="V110" s="11">
        <v>14.92</v>
      </c>
      <c r="W110" s="13">
        <v>8</v>
      </c>
      <c r="X110" s="13">
        <v>12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277</v>
      </c>
      <c r="C111" s="10" t="s">
        <v>278</v>
      </c>
      <c r="D111" s="7" t="s">
        <v>105</v>
      </c>
      <c r="E111" s="7" t="s">
        <v>71</v>
      </c>
      <c r="F111" s="7" t="s">
        <v>162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3.820000000000001</v>
      </c>
      <c r="M111" s="11">
        <v>0</v>
      </c>
      <c r="N111" s="11">
        <v>0</v>
      </c>
      <c r="O111" s="11">
        <v>0</v>
      </c>
      <c r="P111" s="11">
        <v>0.8</v>
      </c>
      <c r="Q111" s="11">
        <v>4.62</v>
      </c>
      <c r="R111" s="11">
        <v>14.27999999999999</v>
      </c>
      <c r="S111" s="11">
        <v>18.9</v>
      </c>
      <c r="T111" s="11">
        <v>2</v>
      </c>
      <c r="U111" s="11">
        <v>3</v>
      </c>
      <c r="V111" s="11">
        <v>13.9</v>
      </c>
      <c r="W111" s="13">
        <v>8</v>
      </c>
      <c r="X111" s="13">
        <v>12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279</v>
      </c>
      <c r="C112" s="10" t="s">
        <v>280</v>
      </c>
      <c r="D112" s="7" t="s">
        <v>152</v>
      </c>
      <c r="E112" s="7" t="s">
        <v>120</v>
      </c>
      <c r="F112" s="7" t="s">
        <v>162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5.1</v>
      </c>
      <c r="M112" s="11">
        <v>0.5600000000000001</v>
      </c>
      <c r="N112" s="11">
        <v>0</v>
      </c>
      <c r="O112" s="11">
        <v>0.18</v>
      </c>
      <c r="P112" s="11">
        <v>0.8</v>
      </c>
      <c r="Q112" s="11">
        <v>6.639999999999997</v>
      </c>
      <c r="R112" s="11">
        <v>14.25</v>
      </c>
      <c r="S112" s="11">
        <v>20.89</v>
      </c>
      <c r="T112" s="11">
        <v>2</v>
      </c>
      <c r="U112" s="11">
        <v>3</v>
      </c>
      <c r="V112" s="11">
        <v>15.89</v>
      </c>
      <c r="W112" s="13">
        <v>8</v>
      </c>
      <c r="X112" s="13">
        <v>12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281</v>
      </c>
      <c r="C113" s="10" t="s">
        <v>282</v>
      </c>
      <c r="D113" s="7" t="s">
        <v>50</v>
      </c>
      <c r="E113" s="7" t="s">
        <v>71</v>
      </c>
      <c r="F113" s="7" t="s">
        <v>162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1.37</v>
      </c>
      <c r="M113" s="11">
        <v>0.16</v>
      </c>
      <c r="N113" s="11">
        <v>0</v>
      </c>
      <c r="O113" s="11">
        <v>0</v>
      </c>
      <c r="P113" s="11">
        <v>0</v>
      </c>
      <c r="Q113" s="11">
        <v>1.53</v>
      </c>
      <c r="R113" s="11">
        <v>3.660000000000001</v>
      </c>
      <c r="S113" s="11">
        <v>5.19</v>
      </c>
      <c r="T113" s="11">
        <v>2</v>
      </c>
      <c r="U113" s="11">
        <v>3</v>
      </c>
      <c r="V113" s="11">
        <v>0.1900000000000004</v>
      </c>
      <c r="W113" s="13">
        <v>8</v>
      </c>
      <c r="X113" s="13">
        <v>12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283</v>
      </c>
      <c r="C114" s="10" t="s">
        <v>284</v>
      </c>
      <c r="D114" s="7" t="s">
        <v>171</v>
      </c>
      <c r="E114" s="7" t="s">
        <v>71</v>
      </c>
      <c r="F114" s="7" t="s">
        <v>162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3.610000000000001</v>
      </c>
      <c r="M114" s="11">
        <v>0.24</v>
      </c>
      <c r="N114" s="11">
        <v>0</v>
      </c>
      <c r="O114" s="11">
        <v>0.36</v>
      </c>
      <c r="P114" s="11">
        <v>0.83</v>
      </c>
      <c r="Q114" s="11">
        <v>5.040000000000001</v>
      </c>
      <c r="R114" s="11">
        <v>8.94</v>
      </c>
      <c r="S114" s="11">
        <v>13.98</v>
      </c>
      <c r="T114" s="11">
        <v>2</v>
      </c>
      <c r="U114" s="11">
        <v>3</v>
      </c>
      <c r="V114" s="11">
        <v>8.98</v>
      </c>
      <c r="W114" s="13">
        <v>8</v>
      </c>
      <c r="X114" s="13">
        <v>12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285</v>
      </c>
      <c r="C115" s="10" t="s">
        <v>286</v>
      </c>
      <c r="D115" s="7" t="s">
        <v>60</v>
      </c>
      <c r="E115" s="7" t="s">
        <v>178</v>
      </c>
      <c r="F115" s="7" t="s">
        <v>162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7.059999999999998</v>
      </c>
      <c r="M115" s="11">
        <v>0.24</v>
      </c>
      <c r="N115" s="11">
        <v>0</v>
      </c>
      <c r="O115" s="11">
        <v>1.16</v>
      </c>
      <c r="P115" s="11">
        <v>0</v>
      </c>
      <c r="Q115" s="11">
        <v>8.459999999999999</v>
      </c>
      <c r="R115" s="11">
        <v>17.35</v>
      </c>
      <c r="S115" s="11">
        <v>25.81</v>
      </c>
      <c r="T115" s="11">
        <v>2</v>
      </c>
      <c r="U115" s="11">
        <v>3</v>
      </c>
      <c r="V115" s="11">
        <v>20.81</v>
      </c>
      <c r="W115" s="13">
        <v>8</v>
      </c>
      <c r="X115" s="13">
        <v>12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287</v>
      </c>
      <c r="C116" s="10" t="s">
        <v>288</v>
      </c>
      <c r="D116" s="7" t="s">
        <v>54</v>
      </c>
      <c r="E116" s="7" t="s">
        <v>71</v>
      </c>
      <c r="F116" s="7" t="s">
        <v>162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3.830000000000001</v>
      </c>
      <c r="M116" s="11">
        <v>0.08</v>
      </c>
      <c r="N116" s="11">
        <v>0</v>
      </c>
      <c r="O116" s="11">
        <v>0.9199999999999999</v>
      </c>
      <c r="P116" s="11">
        <v>0.83</v>
      </c>
      <c r="Q116" s="11">
        <v>5.659999999999999</v>
      </c>
      <c r="R116" s="11">
        <v>22.41</v>
      </c>
      <c r="S116" s="11">
        <v>28.07</v>
      </c>
      <c r="T116" s="11">
        <v>2</v>
      </c>
      <c r="U116" s="11">
        <v>3</v>
      </c>
      <c r="V116" s="11">
        <v>23.07</v>
      </c>
      <c r="W116" s="13">
        <v>8</v>
      </c>
      <c r="X116" s="13">
        <v>12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289</v>
      </c>
      <c r="C117" s="10" t="s">
        <v>290</v>
      </c>
      <c r="D117" s="7" t="s">
        <v>152</v>
      </c>
      <c r="E117" s="7" t="s">
        <v>120</v>
      </c>
      <c r="F117" s="7" t="s">
        <v>162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6.590000000000003</v>
      </c>
      <c r="M117" s="11">
        <v>0</v>
      </c>
      <c r="N117" s="11">
        <v>0</v>
      </c>
      <c r="O117" s="11">
        <v>0.18</v>
      </c>
      <c r="P117" s="11">
        <v>0.83</v>
      </c>
      <c r="Q117" s="11">
        <v>7.600000000000002</v>
      </c>
      <c r="R117" s="11">
        <v>19.16</v>
      </c>
      <c r="S117" s="11">
        <v>26.76</v>
      </c>
      <c r="T117" s="11">
        <v>2</v>
      </c>
      <c r="U117" s="11">
        <v>3</v>
      </c>
      <c r="V117" s="11">
        <v>21.76</v>
      </c>
      <c r="W117" s="13">
        <v>8</v>
      </c>
      <c r="X117" s="13">
        <v>12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291</v>
      </c>
      <c r="C118" s="10" t="s">
        <v>292</v>
      </c>
      <c r="D118" s="7" t="s">
        <v>60</v>
      </c>
      <c r="E118" s="7" t="s">
        <v>71</v>
      </c>
      <c r="F118" s="7" t="s">
        <v>162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6.189999999999999</v>
      </c>
      <c r="M118" s="11">
        <v>0</v>
      </c>
      <c r="N118" s="11">
        <v>0</v>
      </c>
      <c r="O118" s="11">
        <v>0.41</v>
      </c>
      <c r="P118" s="11">
        <v>0</v>
      </c>
      <c r="Q118" s="11">
        <v>6.599999999999999</v>
      </c>
      <c r="R118" s="11">
        <v>13.23</v>
      </c>
      <c r="S118" s="11">
        <v>19.82999999999999</v>
      </c>
      <c r="T118" s="11">
        <v>2</v>
      </c>
      <c r="U118" s="11">
        <v>3</v>
      </c>
      <c r="V118" s="11">
        <v>14.82999999999999</v>
      </c>
      <c r="W118" s="13">
        <v>8</v>
      </c>
      <c r="X118" s="13">
        <v>12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293</v>
      </c>
      <c r="C119" s="10" t="s">
        <v>294</v>
      </c>
      <c r="D119" s="7" t="s">
        <v>50</v>
      </c>
      <c r="E119" s="7" t="s">
        <v>71</v>
      </c>
      <c r="F119" s="7" t="s">
        <v>162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3.45</v>
      </c>
      <c r="M119" s="11">
        <v>0</v>
      </c>
      <c r="N119" s="11">
        <v>0</v>
      </c>
      <c r="O119" s="11">
        <v>0</v>
      </c>
      <c r="P119" s="11">
        <v>0</v>
      </c>
      <c r="Q119" s="11">
        <v>3.45</v>
      </c>
      <c r="R119" s="11">
        <v>9.339999999999996</v>
      </c>
      <c r="S119" s="11">
        <v>12.79</v>
      </c>
      <c r="T119" s="11">
        <v>2</v>
      </c>
      <c r="U119" s="11">
        <v>3</v>
      </c>
      <c r="V119" s="11">
        <v>7.789999999999996</v>
      </c>
      <c r="W119" s="13">
        <v>8</v>
      </c>
      <c r="X119" s="13">
        <v>12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295</v>
      </c>
      <c r="C120" s="10" t="s">
        <v>296</v>
      </c>
      <c r="D120" s="7" t="s">
        <v>60</v>
      </c>
      <c r="E120" s="7" t="s">
        <v>71</v>
      </c>
      <c r="F120" s="7" t="s">
        <v>162</v>
      </c>
      <c r="G120" s="7"/>
      <c r="H120" s="7" t="s">
        <v>47</v>
      </c>
      <c r="I120" s="11">
        <v>2</v>
      </c>
      <c r="J120" s="11">
        <v>3</v>
      </c>
      <c r="K120" s="11">
        <v>0.95</v>
      </c>
      <c r="L120" s="11">
        <v>2.91</v>
      </c>
      <c r="M120" s="11">
        <v>0</v>
      </c>
      <c r="N120" s="11">
        <v>0</v>
      </c>
      <c r="O120" s="11">
        <v>1.01</v>
      </c>
      <c r="P120" s="11">
        <v>0.83</v>
      </c>
      <c r="Q120" s="11">
        <v>5.7</v>
      </c>
      <c r="R120" s="11">
        <v>18.21</v>
      </c>
      <c r="S120" s="11">
        <v>23.91</v>
      </c>
      <c r="T120" s="11">
        <v>2</v>
      </c>
      <c r="U120" s="11">
        <v>3</v>
      </c>
      <c r="V120" s="11">
        <v>18.91</v>
      </c>
      <c r="W120" s="13">
        <v>8</v>
      </c>
      <c r="X120" s="13">
        <v>12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297</v>
      </c>
      <c r="C121" s="10" t="s">
        <v>298</v>
      </c>
      <c r="D121" s="7" t="s">
        <v>54</v>
      </c>
      <c r="E121" s="7" t="s">
        <v>71</v>
      </c>
      <c r="F121" s="7" t="s">
        <v>162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4.82</v>
      </c>
      <c r="M121" s="11">
        <v>0</v>
      </c>
      <c r="N121" s="11">
        <v>0</v>
      </c>
      <c r="O121" s="11">
        <v>0.6</v>
      </c>
      <c r="P121" s="11">
        <v>0.83</v>
      </c>
      <c r="Q121" s="11">
        <v>6.249999999999998</v>
      </c>
      <c r="R121" s="11">
        <v>11.7</v>
      </c>
      <c r="S121" s="11">
        <v>17.95</v>
      </c>
      <c r="T121" s="11">
        <v>2</v>
      </c>
      <c r="U121" s="11">
        <v>3</v>
      </c>
      <c r="V121" s="11">
        <v>12.95</v>
      </c>
      <c r="W121" s="13">
        <v>8</v>
      </c>
      <c r="X121" s="13">
        <v>12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299</v>
      </c>
      <c r="C122" s="10" t="s">
        <v>300</v>
      </c>
      <c r="D122" s="7" t="s">
        <v>171</v>
      </c>
      <c r="E122" s="7" t="s">
        <v>178</v>
      </c>
      <c r="F122" s="7" t="s">
        <v>162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3.940000000000001</v>
      </c>
      <c r="M122" s="11">
        <v>0.24</v>
      </c>
      <c r="N122" s="11">
        <v>0</v>
      </c>
      <c r="O122" s="11">
        <v>0.36</v>
      </c>
      <c r="P122" s="11">
        <v>0</v>
      </c>
      <c r="Q122" s="11">
        <v>4.540000000000002</v>
      </c>
      <c r="R122" s="11">
        <v>14.57</v>
      </c>
      <c r="S122" s="11">
        <v>19.11</v>
      </c>
      <c r="T122" s="11">
        <v>2</v>
      </c>
      <c r="U122" s="11">
        <v>3</v>
      </c>
      <c r="V122" s="11">
        <v>14.11</v>
      </c>
      <c r="W122" s="13">
        <v>8</v>
      </c>
      <c r="X122" s="13">
        <v>12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301</v>
      </c>
      <c r="C123" s="10" t="s">
        <v>302</v>
      </c>
      <c r="D123" s="7" t="s">
        <v>60</v>
      </c>
      <c r="E123" s="7" t="s">
        <v>120</v>
      </c>
      <c r="F123" s="7" t="s">
        <v>162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2.379999999999999</v>
      </c>
      <c r="M123" s="11">
        <v>0</v>
      </c>
      <c r="N123" s="11">
        <v>0</v>
      </c>
      <c r="O123" s="11">
        <v>1.14</v>
      </c>
      <c r="P123" s="11">
        <v>0</v>
      </c>
      <c r="Q123" s="11">
        <v>3.52</v>
      </c>
      <c r="R123" s="11">
        <v>8.51</v>
      </c>
      <c r="S123" s="11">
        <v>12.03</v>
      </c>
      <c r="T123" s="11">
        <v>2</v>
      </c>
      <c r="U123" s="11">
        <v>3</v>
      </c>
      <c r="V123" s="11">
        <v>7.029999999999999</v>
      </c>
      <c r="W123" s="13">
        <v>8</v>
      </c>
      <c r="X123" s="13">
        <v>12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303</v>
      </c>
      <c r="C124" s="10" t="s">
        <v>304</v>
      </c>
      <c r="D124" s="7" t="s">
        <v>82</v>
      </c>
      <c r="E124" s="7" t="s">
        <v>71</v>
      </c>
      <c r="F124" s="7" t="s">
        <v>162</v>
      </c>
      <c r="G124" s="7"/>
      <c r="H124" s="7" t="s">
        <v>43</v>
      </c>
      <c r="I124" s="11">
        <v>2</v>
      </c>
      <c r="J124" s="11">
        <v>3</v>
      </c>
      <c r="K124" s="11">
        <v>0</v>
      </c>
      <c r="L124" s="11">
        <v>2.36</v>
      </c>
      <c r="M124" s="11">
        <v>0.16</v>
      </c>
      <c r="N124" s="11">
        <v>0</v>
      </c>
      <c r="O124" s="11">
        <v>0.73</v>
      </c>
      <c r="P124" s="11">
        <v>1.83</v>
      </c>
      <c r="Q124" s="11">
        <v>5.08</v>
      </c>
      <c r="R124" s="11">
        <v>16.3</v>
      </c>
      <c r="S124" s="11">
        <v>21.38</v>
      </c>
      <c r="T124" s="11">
        <v>2</v>
      </c>
      <c r="U124" s="11">
        <v>3</v>
      </c>
      <c r="V124" s="11">
        <v>16.38</v>
      </c>
      <c r="W124" s="13">
        <v>8</v>
      </c>
      <c r="X124" s="13">
        <v>12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305</v>
      </c>
      <c r="C125" s="10" t="s">
        <v>306</v>
      </c>
      <c r="D125" s="7" t="s">
        <v>54</v>
      </c>
      <c r="E125" s="7" t="s">
        <v>120</v>
      </c>
      <c r="F125" s="7" t="s">
        <v>162</v>
      </c>
      <c r="G125" s="7"/>
      <c r="H125" s="7" t="s">
        <v>129</v>
      </c>
      <c r="I125" s="11">
        <v>2</v>
      </c>
      <c r="J125" s="11">
        <v>3</v>
      </c>
      <c r="K125" s="11">
        <v>0.95</v>
      </c>
      <c r="L125" s="11">
        <v>4.609999999999999</v>
      </c>
      <c r="M125" s="11">
        <v>0</v>
      </c>
      <c r="N125" s="11">
        <v>0</v>
      </c>
      <c r="O125" s="11">
        <v>0.78</v>
      </c>
      <c r="P125" s="11">
        <v>0</v>
      </c>
      <c r="Q125" s="11">
        <v>6.34</v>
      </c>
      <c r="R125" s="11">
        <v>15.5</v>
      </c>
      <c r="S125" s="11">
        <v>21.84</v>
      </c>
      <c r="T125" s="11">
        <v>2</v>
      </c>
      <c r="U125" s="11">
        <v>3</v>
      </c>
      <c r="V125" s="11">
        <v>16.84</v>
      </c>
      <c r="W125" s="13">
        <v>8</v>
      </c>
      <c r="X125" s="13">
        <v>12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307</v>
      </c>
      <c r="C126" s="10" t="s">
        <v>308</v>
      </c>
      <c r="D126" s="7" t="s">
        <v>215</v>
      </c>
      <c r="E126" s="7" t="s">
        <v>71</v>
      </c>
      <c r="F126" s="7" t="s">
        <v>162</v>
      </c>
      <c r="G126" s="7"/>
      <c r="H126" s="7"/>
      <c r="I126" s="11">
        <v>2</v>
      </c>
      <c r="J126" s="11">
        <v>3</v>
      </c>
      <c r="K126" s="11">
        <v>0</v>
      </c>
      <c r="L126" s="11">
        <v>5.990000000000001</v>
      </c>
      <c r="M126" s="11">
        <v>0</v>
      </c>
      <c r="N126" s="11">
        <v>0</v>
      </c>
      <c r="O126" s="11">
        <v>0.42</v>
      </c>
      <c r="P126" s="11">
        <v>0</v>
      </c>
      <c r="Q126" s="11">
        <v>6.410000000000001</v>
      </c>
      <c r="R126" s="11">
        <v>11.34</v>
      </c>
      <c r="S126" s="11">
        <v>17.75</v>
      </c>
      <c r="T126" s="11">
        <v>2</v>
      </c>
      <c r="U126" s="11">
        <v>3</v>
      </c>
      <c r="V126" s="11">
        <v>12.75</v>
      </c>
      <c r="W126" s="13">
        <v>8</v>
      </c>
      <c r="X126" s="13">
        <v>12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309</v>
      </c>
      <c r="C127" s="10" t="s">
        <v>310</v>
      </c>
      <c r="D127" s="7" t="s">
        <v>60</v>
      </c>
      <c r="E127" s="7" t="s">
        <v>120</v>
      </c>
      <c r="F127" s="7" t="s">
        <v>162</v>
      </c>
      <c r="G127" s="7"/>
      <c r="H127" s="7" t="s">
        <v>43</v>
      </c>
      <c r="I127" s="11">
        <v>2</v>
      </c>
      <c r="J127" s="11">
        <v>3</v>
      </c>
      <c r="K127" s="11">
        <v>0</v>
      </c>
      <c r="L127" s="11">
        <v>5.48</v>
      </c>
      <c r="M127" s="11">
        <v>0</v>
      </c>
      <c r="N127" s="11">
        <v>0</v>
      </c>
      <c r="O127" s="11">
        <v>0.66</v>
      </c>
      <c r="P127" s="11">
        <v>0.83</v>
      </c>
      <c r="Q127" s="11">
        <v>6.970000000000001</v>
      </c>
      <c r="R127" s="11">
        <v>15.22</v>
      </c>
      <c r="S127" s="11">
        <v>22.19</v>
      </c>
      <c r="T127" s="11">
        <v>2</v>
      </c>
      <c r="U127" s="11">
        <v>3</v>
      </c>
      <c r="V127" s="11">
        <v>17.19</v>
      </c>
      <c r="W127" s="13">
        <v>8</v>
      </c>
      <c r="X127" s="13">
        <v>12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311</v>
      </c>
      <c r="C128" s="10" t="s">
        <v>312</v>
      </c>
      <c r="D128" s="7" t="s">
        <v>152</v>
      </c>
      <c r="E128" s="7" t="s">
        <v>71</v>
      </c>
      <c r="F128" s="7" t="s">
        <v>162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4.080000000000001</v>
      </c>
      <c r="M128" s="11">
        <v>0.08</v>
      </c>
      <c r="N128" s="11">
        <v>0</v>
      </c>
      <c r="O128" s="11">
        <v>0.18</v>
      </c>
      <c r="P128" s="11">
        <v>0.83</v>
      </c>
      <c r="Q128" s="11">
        <v>5.169999999999999</v>
      </c>
      <c r="R128" s="11">
        <v>14.01</v>
      </c>
      <c r="S128" s="11">
        <v>19.18</v>
      </c>
      <c r="T128" s="11">
        <v>2</v>
      </c>
      <c r="U128" s="11">
        <v>3</v>
      </c>
      <c r="V128" s="11">
        <v>14.18</v>
      </c>
      <c r="W128" s="13">
        <v>8</v>
      </c>
      <c r="X128" s="13">
        <v>12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313</v>
      </c>
      <c r="C129" s="10" t="s">
        <v>314</v>
      </c>
      <c r="D129" s="7" t="s">
        <v>215</v>
      </c>
      <c r="E129" s="7" t="s">
        <v>120</v>
      </c>
      <c r="F129" s="7" t="s">
        <v>162</v>
      </c>
      <c r="G129" s="7"/>
      <c r="H129" s="7" t="s">
        <v>43</v>
      </c>
      <c r="I129" s="11">
        <v>2</v>
      </c>
      <c r="J129" s="11">
        <v>3</v>
      </c>
      <c r="K129" s="11">
        <v>0</v>
      </c>
      <c r="L129" s="11">
        <v>3.66</v>
      </c>
      <c r="M129" s="11">
        <v>0</v>
      </c>
      <c r="N129" s="11">
        <v>0</v>
      </c>
      <c r="O129" s="11">
        <v>0</v>
      </c>
      <c r="P129" s="11">
        <v>0</v>
      </c>
      <c r="Q129" s="11">
        <v>3.66</v>
      </c>
      <c r="R129" s="11">
        <v>4.619999999999999</v>
      </c>
      <c r="S129" s="11">
        <v>8.279999999999999</v>
      </c>
      <c r="T129" s="11">
        <v>2</v>
      </c>
      <c r="U129" s="11">
        <v>3</v>
      </c>
      <c r="V129" s="11">
        <v>3.279999999999999</v>
      </c>
      <c r="W129" s="13">
        <v>8</v>
      </c>
      <c r="X129" s="13">
        <v>12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315</v>
      </c>
      <c r="C130" s="10" t="s">
        <v>316</v>
      </c>
      <c r="D130" s="7" t="s">
        <v>50</v>
      </c>
      <c r="E130" s="7" t="s">
        <v>71</v>
      </c>
      <c r="F130" s="7" t="s">
        <v>162</v>
      </c>
      <c r="G130" s="7"/>
      <c r="H130" s="7" t="s">
        <v>43</v>
      </c>
      <c r="I130" s="11">
        <v>2</v>
      </c>
      <c r="J130" s="11">
        <v>3</v>
      </c>
      <c r="K130" s="11">
        <v>0</v>
      </c>
      <c r="L130" s="11">
        <v>4.49</v>
      </c>
      <c r="M130" s="11">
        <v>0</v>
      </c>
      <c r="N130" s="11">
        <v>0</v>
      </c>
      <c r="O130" s="11">
        <v>0</v>
      </c>
      <c r="P130" s="11">
        <v>0.8</v>
      </c>
      <c r="Q130" s="11">
        <v>5.289999999999999</v>
      </c>
      <c r="R130" s="11">
        <v>14.45</v>
      </c>
      <c r="S130" s="11">
        <v>19.74</v>
      </c>
      <c r="T130" s="11">
        <v>2</v>
      </c>
      <c r="U130" s="11">
        <v>3</v>
      </c>
      <c r="V130" s="11">
        <v>14.74</v>
      </c>
      <c r="W130" s="13">
        <v>8</v>
      </c>
      <c r="X130" s="13">
        <v>12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317</v>
      </c>
      <c r="C131" s="10" t="s">
        <v>318</v>
      </c>
      <c r="D131" s="7" t="s">
        <v>60</v>
      </c>
      <c r="E131" s="7" t="s">
        <v>71</v>
      </c>
      <c r="F131" s="7" t="s">
        <v>162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5.269999999999994</v>
      </c>
      <c r="M131" s="11">
        <v>0</v>
      </c>
      <c r="N131" s="11">
        <v>0</v>
      </c>
      <c r="O131" s="11">
        <v>0.68</v>
      </c>
      <c r="P131" s="11">
        <v>0</v>
      </c>
      <c r="Q131" s="11">
        <v>5.949999999999994</v>
      </c>
      <c r="R131" s="11">
        <v>12.36</v>
      </c>
      <c r="S131" s="11">
        <v>18.31</v>
      </c>
      <c r="T131" s="11">
        <v>2</v>
      </c>
      <c r="U131" s="11">
        <v>3</v>
      </c>
      <c r="V131" s="11">
        <v>13.31</v>
      </c>
      <c r="W131" s="13">
        <v>8</v>
      </c>
      <c r="X131" s="13">
        <v>12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319</v>
      </c>
      <c r="C132" s="10" t="s">
        <v>320</v>
      </c>
      <c r="D132" s="7" t="s">
        <v>171</v>
      </c>
      <c r="E132" s="7" t="s">
        <v>71</v>
      </c>
      <c r="F132" s="7" t="s">
        <v>162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4.629999999999999</v>
      </c>
      <c r="M132" s="11">
        <v>0.16</v>
      </c>
      <c r="N132" s="11">
        <v>0</v>
      </c>
      <c r="O132" s="11">
        <v>0.78</v>
      </c>
      <c r="P132" s="11">
        <v>0.9700000000000001</v>
      </c>
      <c r="Q132" s="11">
        <v>6.539999999999998</v>
      </c>
      <c r="R132" s="11">
        <v>16.57</v>
      </c>
      <c r="S132" s="11">
        <v>23.11</v>
      </c>
      <c r="T132" s="11">
        <v>2</v>
      </c>
      <c r="U132" s="11">
        <v>3</v>
      </c>
      <c r="V132" s="11">
        <v>18.11</v>
      </c>
      <c r="W132" s="13">
        <v>8</v>
      </c>
      <c r="X132" s="13">
        <v>12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321</v>
      </c>
      <c r="C133" s="10" t="s">
        <v>322</v>
      </c>
      <c r="D133" s="7" t="s">
        <v>54</v>
      </c>
      <c r="E133" s="7" t="s">
        <v>71</v>
      </c>
      <c r="F133" s="7" t="s">
        <v>162</v>
      </c>
      <c r="G133" s="7"/>
      <c r="H133" s="7" t="s">
        <v>43</v>
      </c>
      <c r="I133" s="11">
        <v>2</v>
      </c>
      <c r="J133" s="11">
        <v>3</v>
      </c>
      <c r="K133" s="11">
        <v>0</v>
      </c>
      <c r="L133" s="11">
        <v>3.56</v>
      </c>
      <c r="M133" s="11">
        <v>0</v>
      </c>
      <c r="N133" s="11">
        <v>0</v>
      </c>
      <c r="O133" s="11">
        <v>0</v>
      </c>
      <c r="P133" s="11">
        <v>0</v>
      </c>
      <c r="Q133" s="11">
        <v>3.56</v>
      </c>
      <c r="R133" s="11">
        <v>4.750000000000001</v>
      </c>
      <c r="S133" s="11">
        <v>8.310000000000002</v>
      </c>
      <c r="T133" s="11">
        <v>2</v>
      </c>
      <c r="U133" s="11">
        <v>3</v>
      </c>
      <c r="V133" s="11">
        <v>3.310000000000002</v>
      </c>
      <c r="W133" s="13">
        <v>8</v>
      </c>
      <c r="X133" s="13">
        <v>12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323</v>
      </c>
      <c r="C134" s="10" t="s">
        <v>324</v>
      </c>
      <c r="D134" s="7" t="s">
        <v>60</v>
      </c>
      <c r="E134" s="7" t="s">
        <v>71</v>
      </c>
      <c r="F134" s="7" t="s">
        <v>162</v>
      </c>
      <c r="G134" s="7"/>
      <c r="H134" s="7" t="s">
        <v>79</v>
      </c>
      <c r="I134" s="11">
        <v>2</v>
      </c>
      <c r="J134" s="11">
        <v>3</v>
      </c>
      <c r="K134" s="11">
        <v>0.95</v>
      </c>
      <c r="L134" s="11">
        <v>3.970000000000001</v>
      </c>
      <c r="M134" s="11">
        <v>0.16</v>
      </c>
      <c r="N134" s="11">
        <v>0</v>
      </c>
      <c r="O134" s="11">
        <v>1.21</v>
      </c>
      <c r="P134" s="11">
        <v>1.66</v>
      </c>
      <c r="Q134" s="11">
        <v>7.949999999999997</v>
      </c>
      <c r="R134" s="11">
        <v>15.91</v>
      </c>
      <c r="S134" s="11">
        <v>23.86</v>
      </c>
      <c r="T134" s="11">
        <v>2</v>
      </c>
      <c r="U134" s="11">
        <v>3</v>
      </c>
      <c r="V134" s="11">
        <v>18.86</v>
      </c>
      <c r="W134" s="13">
        <v>8</v>
      </c>
      <c r="X134" s="13">
        <v>12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325</v>
      </c>
      <c r="C135" s="10" t="s">
        <v>326</v>
      </c>
      <c r="D135" s="7" t="s">
        <v>215</v>
      </c>
      <c r="E135" s="7" t="s">
        <v>71</v>
      </c>
      <c r="F135" s="7" t="s">
        <v>162</v>
      </c>
      <c r="G135" s="7"/>
      <c r="H135" s="7" t="s">
        <v>168</v>
      </c>
      <c r="I135" s="11">
        <v>2</v>
      </c>
      <c r="J135" s="11">
        <v>3</v>
      </c>
      <c r="K135" s="11">
        <v>1</v>
      </c>
      <c r="L135" s="11">
        <v>3.54</v>
      </c>
      <c r="M135" s="11">
        <v>0</v>
      </c>
      <c r="N135" s="11">
        <v>0</v>
      </c>
      <c r="O135" s="11">
        <v>0.54</v>
      </c>
      <c r="P135" s="11">
        <v>1.63</v>
      </c>
      <c r="Q135" s="11">
        <v>6.71</v>
      </c>
      <c r="R135" s="11">
        <v>14.84</v>
      </c>
      <c r="S135" s="11">
        <v>21.55</v>
      </c>
      <c r="T135" s="11">
        <v>2</v>
      </c>
      <c r="U135" s="11">
        <v>3</v>
      </c>
      <c r="V135" s="11">
        <v>16.55</v>
      </c>
      <c r="W135" s="13">
        <v>8</v>
      </c>
      <c r="X135" s="13">
        <v>12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327</v>
      </c>
      <c r="C136" s="10" t="s">
        <v>328</v>
      </c>
      <c r="D136" s="7" t="s">
        <v>60</v>
      </c>
      <c r="E136" s="7" t="s">
        <v>120</v>
      </c>
      <c r="F136" s="7" t="s">
        <v>162</v>
      </c>
      <c r="G136" s="7"/>
      <c r="H136" s="7" t="s">
        <v>43</v>
      </c>
      <c r="I136" s="11">
        <v>2</v>
      </c>
      <c r="J136" s="11">
        <v>3</v>
      </c>
      <c r="K136" s="11">
        <v>0</v>
      </c>
      <c r="L136" s="11">
        <v>3.830000000000001</v>
      </c>
      <c r="M136" s="11">
        <v>0.16</v>
      </c>
      <c r="N136" s="11">
        <v>0</v>
      </c>
      <c r="O136" s="11">
        <v>0.77</v>
      </c>
      <c r="P136" s="11">
        <v>0.83</v>
      </c>
      <c r="Q136" s="11">
        <v>5.590000000000002</v>
      </c>
      <c r="R136" s="11">
        <v>16.52</v>
      </c>
      <c r="S136" s="11">
        <v>22.11</v>
      </c>
      <c r="T136" s="11">
        <v>2</v>
      </c>
      <c r="U136" s="11">
        <v>3</v>
      </c>
      <c r="V136" s="11">
        <v>17.11</v>
      </c>
      <c r="W136" s="13">
        <v>8</v>
      </c>
      <c r="X136" s="13">
        <v>12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329</v>
      </c>
      <c r="C137" s="10" t="s">
        <v>330</v>
      </c>
      <c r="D137" s="7" t="s">
        <v>60</v>
      </c>
      <c r="E137" s="7" t="s">
        <v>178</v>
      </c>
      <c r="F137" s="7" t="s">
        <v>162</v>
      </c>
      <c r="G137" s="7"/>
      <c r="H137" s="7" t="s">
        <v>43</v>
      </c>
      <c r="I137" s="11">
        <v>2</v>
      </c>
      <c r="J137" s="11">
        <v>3</v>
      </c>
      <c r="K137" s="11">
        <v>0</v>
      </c>
      <c r="L137" s="11">
        <v>5.479999999999999</v>
      </c>
      <c r="M137" s="11">
        <v>0</v>
      </c>
      <c r="N137" s="11">
        <v>0</v>
      </c>
      <c r="O137" s="11">
        <v>0.37</v>
      </c>
      <c r="P137" s="11">
        <v>0.8</v>
      </c>
      <c r="Q137" s="11">
        <v>6.649999999999997</v>
      </c>
      <c r="R137" s="11">
        <v>13.15</v>
      </c>
      <c r="S137" s="11">
        <v>19.79999999999999</v>
      </c>
      <c r="T137" s="11">
        <v>2</v>
      </c>
      <c r="U137" s="11">
        <v>3</v>
      </c>
      <c r="V137" s="11">
        <v>14.79999999999999</v>
      </c>
      <c r="W137" s="13">
        <v>8</v>
      </c>
      <c r="X137" s="13">
        <v>12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331</v>
      </c>
      <c r="C138" s="10" t="s">
        <v>332</v>
      </c>
      <c r="D138" s="7" t="s">
        <v>50</v>
      </c>
      <c r="E138" s="7" t="s">
        <v>71</v>
      </c>
      <c r="F138" s="7" t="s">
        <v>162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3.700000000000002</v>
      </c>
      <c r="M138" s="11">
        <v>0</v>
      </c>
      <c r="N138" s="11">
        <v>0</v>
      </c>
      <c r="O138" s="11">
        <v>0</v>
      </c>
      <c r="P138" s="11">
        <v>0.8</v>
      </c>
      <c r="Q138" s="11">
        <v>4.500000000000002</v>
      </c>
      <c r="R138" s="11">
        <v>11.72</v>
      </c>
      <c r="S138" s="11">
        <v>16.22</v>
      </c>
      <c r="T138" s="11">
        <v>2</v>
      </c>
      <c r="U138" s="11">
        <v>3</v>
      </c>
      <c r="V138" s="11">
        <v>11.22</v>
      </c>
      <c r="W138" s="13">
        <v>8</v>
      </c>
      <c r="X138" s="13">
        <v>12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333</v>
      </c>
      <c r="C139" s="10" t="s">
        <v>334</v>
      </c>
      <c r="D139" s="7" t="s">
        <v>215</v>
      </c>
      <c r="E139" s="7" t="s">
        <v>120</v>
      </c>
      <c r="F139" s="7" t="s">
        <v>162</v>
      </c>
      <c r="G139" s="7"/>
      <c r="H139" s="7" t="s">
        <v>335</v>
      </c>
      <c r="I139" s="11">
        <v>2</v>
      </c>
      <c r="J139" s="11">
        <v>3</v>
      </c>
      <c r="K139" s="11">
        <v>1.33</v>
      </c>
      <c r="L139" s="11">
        <v>2.75</v>
      </c>
      <c r="M139" s="11">
        <v>0</v>
      </c>
      <c r="N139" s="11">
        <v>0</v>
      </c>
      <c r="O139" s="11">
        <v>1.2</v>
      </c>
      <c r="P139" s="11">
        <v>1.63</v>
      </c>
      <c r="Q139" s="11">
        <v>6.91</v>
      </c>
      <c r="R139" s="11">
        <v>17.63</v>
      </c>
      <c r="S139" s="11">
        <v>24.54</v>
      </c>
      <c r="T139" s="11">
        <v>2</v>
      </c>
      <c r="U139" s="11">
        <v>3</v>
      </c>
      <c r="V139" s="11">
        <v>19.54</v>
      </c>
      <c r="W139" s="13">
        <v>8</v>
      </c>
      <c r="X139" s="13">
        <v>12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336</v>
      </c>
      <c r="C140" s="10" t="s">
        <v>337</v>
      </c>
      <c r="D140" s="7" t="s">
        <v>50</v>
      </c>
      <c r="E140" s="7" t="s">
        <v>71</v>
      </c>
      <c r="F140" s="7" t="s">
        <v>162</v>
      </c>
      <c r="G140" s="7"/>
      <c r="H140" s="7" t="s">
        <v>43</v>
      </c>
      <c r="I140" s="11">
        <v>2</v>
      </c>
      <c r="J140" s="11">
        <v>3</v>
      </c>
      <c r="K140" s="11">
        <v>0</v>
      </c>
      <c r="L140" s="11">
        <v>4.010000000000002</v>
      </c>
      <c r="M140" s="11">
        <v>0</v>
      </c>
      <c r="N140" s="11">
        <v>0</v>
      </c>
      <c r="O140" s="11">
        <v>0</v>
      </c>
      <c r="P140" s="11">
        <v>0.8</v>
      </c>
      <c r="Q140" s="11">
        <v>4.810000000000001</v>
      </c>
      <c r="R140" s="11">
        <v>14.29999999999999</v>
      </c>
      <c r="S140" s="11">
        <v>19.11</v>
      </c>
      <c r="T140" s="11">
        <v>2</v>
      </c>
      <c r="U140" s="11">
        <v>3</v>
      </c>
      <c r="V140" s="11">
        <v>14.11</v>
      </c>
      <c r="W140" s="13">
        <v>8</v>
      </c>
      <c r="X140" s="13">
        <v>12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338</v>
      </c>
      <c r="C141" s="10" t="s">
        <v>339</v>
      </c>
      <c r="D141" s="7" t="s">
        <v>54</v>
      </c>
      <c r="E141" s="7" t="s">
        <v>71</v>
      </c>
      <c r="F141" s="7" t="s">
        <v>162</v>
      </c>
      <c r="G141" s="7"/>
      <c r="H141" s="7" t="s">
        <v>165</v>
      </c>
      <c r="I141" s="11">
        <v>2</v>
      </c>
      <c r="J141" s="11">
        <v>3</v>
      </c>
      <c r="K141" s="11">
        <v>0.95</v>
      </c>
      <c r="L141" s="11">
        <v>5.74</v>
      </c>
      <c r="M141" s="11">
        <v>0.58</v>
      </c>
      <c r="N141" s="11">
        <v>0</v>
      </c>
      <c r="O141" s="11">
        <v>0.78</v>
      </c>
      <c r="P141" s="11">
        <v>1.66</v>
      </c>
      <c r="Q141" s="11">
        <v>9.709999999999996</v>
      </c>
      <c r="R141" s="11">
        <v>20.96</v>
      </c>
      <c r="S141" s="11">
        <v>30.66999999999999</v>
      </c>
      <c r="T141" s="11">
        <v>2</v>
      </c>
      <c r="U141" s="11">
        <v>3</v>
      </c>
      <c r="V141" s="11">
        <v>25.66999999999999</v>
      </c>
      <c r="W141" s="13">
        <v>8</v>
      </c>
      <c r="X141" s="13">
        <v>12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340</v>
      </c>
      <c r="C142" s="10" t="s">
        <v>341</v>
      </c>
      <c r="D142" s="7" t="s">
        <v>105</v>
      </c>
      <c r="E142" s="7" t="s">
        <v>342</v>
      </c>
      <c r="F142" s="7" t="s">
        <v>343</v>
      </c>
      <c r="G142" s="7"/>
      <c r="H142" s="7" t="s">
        <v>43</v>
      </c>
      <c r="I142" s="11">
        <v>2</v>
      </c>
      <c r="J142" s="11">
        <v>3</v>
      </c>
      <c r="K142" s="11">
        <v>0</v>
      </c>
      <c r="L142" s="11">
        <v>2.21</v>
      </c>
      <c r="M142" s="11">
        <v>0</v>
      </c>
      <c r="N142" s="11">
        <v>0</v>
      </c>
      <c r="O142" s="11">
        <v>0.18</v>
      </c>
      <c r="P142" s="11">
        <v>0.83</v>
      </c>
      <c r="Q142" s="11">
        <v>3.22</v>
      </c>
      <c r="R142" s="11">
        <v>10.89</v>
      </c>
      <c r="S142" s="11">
        <v>14.11</v>
      </c>
      <c r="T142" s="11">
        <v>2</v>
      </c>
      <c r="U142" s="11">
        <v>3</v>
      </c>
      <c r="V142" s="11">
        <v>9.110000000000001</v>
      </c>
      <c r="W142" s="13">
        <v>8</v>
      </c>
      <c r="X142" s="13">
        <v>12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344</v>
      </c>
      <c r="C143" s="10" t="s">
        <v>345</v>
      </c>
      <c r="D143" s="7" t="s">
        <v>54</v>
      </c>
      <c r="E143" s="7" t="s">
        <v>178</v>
      </c>
      <c r="F143" s="7" t="s">
        <v>346</v>
      </c>
      <c r="G143" s="7"/>
      <c r="H143" s="7"/>
      <c r="I143" s="11">
        <v>2</v>
      </c>
      <c r="J143" s="11">
        <v>3</v>
      </c>
      <c r="K143" s="11">
        <v>0</v>
      </c>
      <c r="L143" s="11">
        <v>2.940000000000001</v>
      </c>
      <c r="M143" s="11">
        <v>0</v>
      </c>
      <c r="N143" s="11">
        <v>0</v>
      </c>
      <c r="O143" s="11">
        <v>0.5600000000000001</v>
      </c>
      <c r="P143" s="11">
        <v>0</v>
      </c>
      <c r="Q143" s="11">
        <v>3.500000000000001</v>
      </c>
      <c r="R143" s="11">
        <v>5.300000000000001</v>
      </c>
      <c r="S143" s="11">
        <v>8.800000000000001</v>
      </c>
      <c r="T143" s="11">
        <v>2</v>
      </c>
      <c r="U143" s="11">
        <v>3</v>
      </c>
      <c r="V143" s="11">
        <v>3.800000000000001</v>
      </c>
      <c r="W143" s="13">
        <v>8</v>
      </c>
      <c r="X143" s="13">
        <v>12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347</v>
      </c>
      <c r="C144" s="10" t="s">
        <v>348</v>
      </c>
      <c r="D144" s="7" t="s">
        <v>82</v>
      </c>
      <c r="E144" s="7" t="s">
        <v>178</v>
      </c>
      <c r="F144" s="7" t="s">
        <v>346</v>
      </c>
      <c r="G144" s="7"/>
      <c r="H144" s="7"/>
      <c r="I144" s="11">
        <v>2</v>
      </c>
      <c r="J144" s="11">
        <v>3</v>
      </c>
      <c r="K144" s="11">
        <v>0</v>
      </c>
      <c r="L144" s="11">
        <v>2.4</v>
      </c>
      <c r="M144" s="11">
        <v>0</v>
      </c>
      <c r="N144" s="11">
        <v>0</v>
      </c>
      <c r="O144" s="11">
        <v>0.42</v>
      </c>
      <c r="P144" s="11">
        <v>0</v>
      </c>
      <c r="Q144" s="11">
        <v>2.82</v>
      </c>
      <c r="R144" s="11">
        <v>6.670000000000001</v>
      </c>
      <c r="S144" s="11">
        <v>9.490000000000002</v>
      </c>
      <c r="T144" s="11">
        <v>2</v>
      </c>
      <c r="U144" s="11">
        <v>3</v>
      </c>
      <c r="V144" s="11">
        <v>4.490000000000002</v>
      </c>
      <c r="W144" s="13">
        <v>8</v>
      </c>
      <c r="X144" s="13">
        <v>12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349</v>
      </c>
      <c r="C145" s="10" t="s">
        <v>350</v>
      </c>
      <c r="D145" s="7" t="s">
        <v>60</v>
      </c>
      <c r="E145" s="7" t="s">
        <v>120</v>
      </c>
      <c r="F145" s="7" t="s">
        <v>351</v>
      </c>
      <c r="G145" s="7"/>
      <c r="H145" s="7"/>
      <c r="I145" s="11">
        <v>2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3">
        <v>8</v>
      </c>
      <c r="X145" s="13">
        <v>0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352</v>
      </c>
      <c r="C146" s="10" t="s">
        <v>353</v>
      </c>
      <c r="D146" s="7" t="s">
        <v>171</v>
      </c>
      <c r="E146" s="7" t="s">
        <v>120</v>
      </c>
      <c r="F146" s="7" t="s">
        <v>346</v>
      </c>
      <c r="G146" s="7"/>
      <c r="H146" s="7" t="s">
        <v>43</v>
      </c>
      <c r="I146" s="11">
        <v>2</v>
      </c>
      <c r="J146" s="11">
        <v>3</v>
      </c>
      <c r="K146" s="11">
        <v>0</v>
      </c>
      <c r="L146" s="11">
        <v>2.2</v>
      </c>
      <c r="M146" s="11">
        <v>0.08</v>
      </c>
      <c r="N146" s="11">
        <v>0</v>
      </c>
      <c r="O146" s="11">
        <v>0.36</v>
      </c>
      <c r="P146" s="11">
        <v>1.63</v>
      </c>
      <c r="Q146" s="11">
        <v>4.270000000000001</v>
      </c>
      <c r="R146" s="11">
        <v>11.82</v>
      </c>
      <c r="S146" s="11">
        <v>16.09</v>
      </c>
      <c r="T146" s="11">
        <v>2</v>
      </c>
      <c r="U146" s="11">
        <v>3</v>
      </c>
      <c r="V146" s="11">
        <v>11.09</v>
      </c>
      <c r="W146" s="13">
        <v>8</v>
      </c>
      <c r="X146" s="13">
        <v>12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354</v>
      </c>
      <c r="C147" s="10" t="s">
        <v>355</v>
      </c>
      <c r="D147" s="7" t="s">
        <v>54</v>
      </c>
      <c r="E147" s="7" t="s">
        <v>46</v>
      </c>
      <c r="F147" s="7" t="s">
        <v>346</v>
      </c>
      <c r="G147" s="7"/>
      <c r="H147" s="7" t="s">
        <v>43</v>
      </c>
      <c r="I147" s="11">
        <v>2</v>
      </c>
      <c r="J147" s="11">
        <v>3</v>
      </c>
      <c r="K147" s="11">
        <v>0</v>
      </c>
      <c r="L147" s="11">
        <v>0.34</v>
      </c>
      <c r="M147" s="11">
        <v>0</v>
      </c>
      <c r="N147" s="11">
        <v>0</v>
      </c>
      <c r="O147" s="11">
        <v>0.18</v>
      </c>
      <c r="P147" s="11">
        <v>0</v>
      </c>
      <c r="Q147" s="11">
        <v>0.52</v>
      </c>
      <c r="R147" s="11">
        <v>0.66</v>
      </c>
      <c r="S147" s="11">
        <v>1.18</v>
      </c>
      <c r="T147" s="11">
        <v>1.18</v>
      </c>
      <c r="U147" s="11">
        <v>0</v>
      </c>
      <c r="V147" s="11">
        <v>0</v>
      </c>
      <c r="W147" s="13">
        <v>8</v>
      </c>
      <c r="X147" s="13">
        <v>12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356</v>
      </c>
      <c r="C148" s="10" t="s">
        <v>357</v>
      </c>
      <c r="D148" s="7" t="s">
        <v>50</v>
      </c>
      <c r="E148" s="7" t="s">
        <v>71</v>
      </c>
      <c r="F148" s="7" t="s">
        <v>351</v>
      </c>
      <c r="G148" s="7"/>
      <c r="H148" s="7" t="s">
        <v>43</v>
      </c>
      <c r="I148" s="11">
        <v>2</v>
      </c>
      <c r="J148" s="11">
        <v>0</v>
      </c>
      <c r="K148" s="11">
        <v>0</v>
      </c>
      <c r="L148" s="11">
        <v>2.59</v>
      </c>
      <c r="M148" s="11">
        <v>0</v>
      </c>
      <c r="N148" s="11">
        <v>0</v>
      </c>
      <c r="O148" s="11">
        <v>0</v>
      </c>
      <c r="P148" s="11">
        <v>0</v>
      </c>
      <c r="Q148" s="11">
        <v>2.59</v>
      </c>
      <c r="R148" s="11">
        <v>8.020000000000003</v>
      </c>
      <c r="S148" s="11">
        <v>10.61</v>
      </c>
      <c r="T148" s="11">
        <v>2</v>
      </c>
      <c r="U148" s="11">
        <v>0</v>
      </c>
      <c r="V148" s="11">
        <v>8.610000000000003</v>
      </c>
      <c r="W148" s="13">
        <v>8</v>
      </c>
      <c r="X148" s="13">
        <v>0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358</v>
      </c>
      <c r="C149" s="10" t="s">
        <v>359</v>
      </c>
      <c r="D149" s="7" t="s">
        <v>50</v>
      </c>
      <c r="E149" s="7" t="s">
        <v>342</v>
      </c>
      <c r="F149" s="7" t="s">
        <v>343</v>
      </c>
      <c r="G149" s="7"/>
      <c r="H149" s="7" t="s">
        <v>43</v>
      </c>
      <c r="I149" s="11">
        <v>2</v>
      </c>
      <c r="J149" s="11">
        <v>3</v>
      </c>
      <c r="K149" s="11">
        <v>0</v>
      </c>
      <c r="L149" s="11">
        <v>2.670000000000001</v>
      </c>
      <c r="M149" s="11">
        <v>0</v>
      </c>
      <c r="N149" s="11">
        <v>0</v>
      </c>
      <c r="O149" s="11">
        <v>0</v>
      </c>
      <c r="P149" s="11">
        <v>0.83</v>
      </c>
      <c r="Q149" s="11">
        <v>3.500000000000001</v>
      </c>
      <c r="R149" s="11">
        <v>4.96</v>
      </c>
      <c r="S149" s="11">
        <v>8.460000000000001</v>
      </c>
      <c r="T149" s="11">
        <v>2</v>
      </c>
      <c r="U149" s="11">
        <v>3</v>
      </c>
      <c r="V149" s="11">
        <v>3.460000000000001</v>
      </c>
      <c r="W149" s="13">
        <v>8</v>
      </c>
      <c r="X149" s="13">
        <v>12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360</v>
      </c>
      <c r="C150" s="10" t="s">
        <v>361</v>
      </c>
      <c r="D150" s="7" t="s">
        <v>82</v>
      </c>
      <c r="E150" s="7" t="s">
        <v>178</v>
      </c>
      <c r="F150" s="7" t="s">
        <v>343</v>
      </c>
      <c r="G150" s="7"/>
      <c r="H150" s="7"/>
      <c r="I150" s="11">
        <v>2</v>
      </c>
      <c r="J150" s="11">
        <v>3</v>
      </c>
      <c r="K150" s="11">
        <v>0</v>
      </c>
      <c r="L150" s="11">
        <v>6.010000000000002</v>
      </c>
      <c r="M150" s="11">
        <v>0</v>
      </c>
      <c r="N150" s="11">
        <v>0</v>
      </c>
      <c r="O150" s="11">
        <v>0.71</v>
      </c>
      <c r="P150" s="11">
        <v>0.8</v>
      </c>
      <c r="Q150" s="11">
        <v>7.519999999999999</v>
      </c>
      <c r="R150" s="11">
        <v>19.3</v>
      </c>
      <c r="S150" s="11">
        <v>26.82</v>
      </c>
      <c r="T150" s="11">
        <v>2</v>
      </c>
      <c r="U150" s="11">
        <v>3</v>
      </c>
      <c r="V150" s="11">
        <v>21.82</v>
      </c>
      <c r="W150" s="13">
        <v>8</v>
      </c>
      <c r="X150" s="13">
        <v>12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362</v>
      </c>
      <c r="C151" s="10" t="s">
        <v>363</v>
      </c>
      <c r="D151" s="7" t="s">
        <v>50</v>
      </c>
      <c r="E151" s="7" t="s">
        <v>178</v>
      </c>
      <c r="F151" s="7" t="s">
        <v>343</v>
      </c>
      <c r="G151" s="7"/>
      <c r="H151" s="7" t="s">
        <v>43</v>
      </c>
      <c r="I151" s="11">
        <v>2</v>
      </c>
      <c r="J151" s="11">
        <v>3</v>
      </c>
      <c r="K151" s="11">
        <v>0</v>
      </c>
      <c r="L151" s="11">
        <v>2.21</v>
      </c>
      <c r="M151" s="11">
        <v>0.16</v>
      </c>
      <c r="N151" s="11">
        <v>0</v>
      </c>
      <c r="O151" s="11">
        <v>0</v>
      </c>
      <c r="P151" s="11">
        <v>0.8</v>
      </c>
      <c r="Q151" s="11">
        <v>3.170000000000001</v>
      </c>
      <c r="R151" s="11">
        <v>5.640000000000001</v>
      </c>
      <c r="S151" s="11">
        <v>8.810000000000002</v>
      </c>
      <c r="T151" s="11">
        <v>2</v>
      </c>
      <c r="U151" s="11">
        <v>3</v>
      </c>
      <c r="V151" s="11">
        <v>3.810000000000002</v>
      </c>
      <c r="W151" s="13">
        <v>8</v>
      </c>
      <c r="X151" s="13">
        <v>12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364</v>
      </c>
      <c r="C152" s="10" t="s">
        <v>365</v>
      </c>
      <c r="D152" s="7" t="s">
        <v>60</v>
      </c>
      <c r="E152" s="7" t="s">
        <v>342</v>
      </c>
      <c r="F152" s="7" t="s">
        <v>343</v>
      </c>
      <c r="G152" s="7"/>
      <c r="H152" s="7" t="s">
        <v>43</v>
      </c>
      <c r="I152" s="11">
        <v>2</v>
      </c>
      <c r="J152" s="11">
        <v>3</v>
      </c>
      <c r="K152" s="11">
        <v>0</v>
      </c>
      <c r="L152" s="11">
        <v>4.930000000000003</v>
      </c>
      <c r="M152" s="11">
        <v>0</v>
      </c>
      <c r="N152" s="11">
        <v>0</v>
      </c>
      <c r="O152" s="11">
        <v>0.42</v>
      </c>
      <c r="P152" s="11">
        <v>0</v>
      </c>
      <c r="Q152" s="11">
        <v>5.350000000000003</v>
      </c>
      <c r="R152" s="11">
        <v>12.17</v>
      </c>
      <c r="S152" s="11">
        <v>17.52000000000001</v>
      </c>
      <c r="T152" s="11">
        <v>2</v>
      </c>
      <c r="U152" s="11">
        <v>3</v>
      </c>
      <c r="V152" s="11">
        <v>12.52000000000001</v>
      </c>
      <c r="W152" s="13">
        <v>8</v>
      </c>
      <c r="X152" s="13">
        <v>12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366</v>
      </c>
      <c r="C153" s="10" t="s">
        <v>367</v>
      </c>
      <c r="D153" s="7" t="s">
        <v>54</v>
      </c>
      <c r="E153" s="7" t="s">
        <v>178</v>
      </c>
      <c r="F153" s="7" t="s">
        <v>351</v>
      </c>
      <c r="G153" s="7"/>
      <c r="H153" s="7"/>
      <c r="I153" s="11">
        <v>2</v>
      </c>
      <c r="J153" s="11">
        <v>0</v>
      </c>
      <c r="K153" s="11">
        <v>0</v>
      </c>
      <c r="L153" s="11">
        <v>0</v>
      </c>
      <c r="M153" s="11">
        <v>0</v>
      </c>
      <c r="N153" s="11">
        <v>0</v>
      </c>
      <c r="O153" s="11">
        <v>0</v>
      </c>
      <c r="P153" s="11">
        <v>0.83</v>
      </c>
      <c r="Q153" s="11">
        <v>0.83</v>
      </c>
      <c r="R153" s="11">
        <v>3.34</v>
      </c>
      <c r="S153" s="11">
        <v>4.17</v>
      </c>
      <c r="T153" s="11">
        <v>2</v>
      </c>
      <c r="U153" s="11">
        <v>0</v>
      </c>
      <c r="V153" s="11">
        <v>2.17</v>
      </c>
      <c r="W153" s="13">
        <v>8</v>
      </c>
      <c r="X153" s="13">
        <v>0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368</v>
      </c>
      <c r="C154" s="10" t="s">
        <v>369</v>
      </c>
      <c r="D154" s="7" t="s">
        <v>78</v>
      </c>
      <c r="E154" s="7" t="s">
        <v>178</v>
      </c>
      <c r="F154" s="7" t="s">
        <v>343</v>
      </c>
      <c r="G154" s="7"/>
      <c r="H154" s="7" t="s">
        <v>43</v>
      </c>
      <c r="I154" s="11">
        <v>2</v>
      </c>
      <c r="J154" s="11">
        <v>3</v>
      </c>
      <c r="K154" s="11">
        <v>0</v>
      </c>
      <c r="L154" s="11">
        <v>3.470000000000001</v>
      </c>
      <c r="M154" s="11">
        <v>0</v>
      </c>
      <c r="N154" s="11">
        <v>0</v>
      </c>
      <c r="O154" s="11">
        <v>0.36</v>
      </c>
      <c r="P154" s="11">
        <v>0.83</v>
      </c>
      <c r="Q154" s="11">
        <v>4.660000000000001</v>
      </c>
      <c r="R154" s="11">
        <v>13.76</v>
      </c>
      <c r="S154" s="11">
        <v>18.42</v>
      </c>
      <c r="T154" s="11">
        <v>2</v>
      </c>
      <c r="U154" s="11">
        <v>3</v>
      </c>
      <c r="V154" s="11">
        <v>13.42</v>
      </c>
      <c r="W154" s="13">
        <v>8</v>
      </c>
      <c r="X154" s="13">
        <v>12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370</v>
      </c>
      <c r="C155" s="10" t="s">
        <v>371</v>
      </c>
      <c r="D155" s="7" t="s">
        <v>215</v>
      </c>
      <c r="E155" s="7" t="s">
        <v>71</v>
      </c>
      <c r="F155" s="7" t="s">
        <v>351</v>
      </c>
      <c r="G155" s="7"/>
      <c r="H155" s="7" t="s">
        <v>43</v>
      </c>
      <c r="I155" s="11">
        <v>2</v>
      </c>
      <c r="J155" s="11">
        <v>0</v>
      </c>
      <c r="K155" s="11">
        <v>0</v>
      </c>
      <c r="L155" s="11">
        <v>0</v>
      </c>
      <c r="M155" s="11">
        <v>0</v>
      </c>
      <c r="N155" s="11">
        <v>0</v>
      </c>
      <c r="O155" s="11">
        <v>0</v>
      </c>
      <c r="P155" s="11">
        <v>0</v>
      </c>
      <c r="Q155" s="11">
        <v>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13">
        <v>8</v>
      </c>
      <c r="X155" s="13">
        <v>0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372</v>
      </c>
      <c r="C156" s="10" t="s">
        <v>373</v>
      </c>
      <c r="D156" s="7" t="s">
        <v>171</v>
      </c>
      <c r="E156" s="7" t="s">
        <v>178</v>
      </c>
      <c r="F156" s="7" t="s">
        <v>346</v>
      </c>
      <c r="G156" s="7"/>
      <c r="H156" s="7"/>
      <c r="I156" s="11">
        <v>2</v>
      </c>
      <c r="J156" s="11">
        <v>3</v>
      </c>
      <c r="K156" s="11">
        <v>0</v>
      </c>
      <c r="L156" s="11">
        <v>5.040000000000002</v>
      </c>
      <c r="M156" s="11">
        <v>0.08</v>
      </c>
      <c r="N156" s="11">
        <v>0</v>
      </c>
      <c r="O156" s="11">
        <v>0.9399999999999999</v>
      </c>
      <c r="P156" s="11">
        <v>0.9700000000000001</v>
      </c>
      <c r="Q156" s="11">
        <v>7.030000000000001</v>
      </c>
      <c r="R156" s="11">
        <v>19.00999999999999</v>
      </c>
      <c r="S156" s="11">
        <v>26.03999999999999</v>
      </c>
      <c r="T156" s="11">
        <v>2</v>
      </c>
      <c r="U156" s="11">
        <v>3</v>
      </c>
      <c r="V156" s="11">
        <v>21.03999999999999</v>
      </c>
      <c r="W156" s="13">
        <v>8</v>
      </c>
      <c r="X156" s="13">
        <v>12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374</v>
      </c>
      <c r="C157" s="10" t="s">
        <v>375</v>
      </c>
      <c r="D157" s="7" t="s">
        <v>50</v>
      </c>
      <c r="E157" s="7" t="s">
        <v>178</v>
      </c>
      <c r="F157" s="7" t="s">
        <v>343</v>
      </c>
      <c r="G157" s="7"/>
      <c r="H157" s="7" t="s">
        <v>43</v>
      </c>
      <c r="I157" s="11">
        <v>2</v>
      </c>
      <c r="J157" s="11">
        <v>3</v>
      </c>
      <c r="K157" s="11">
        <v>0</v>
      </c>
      <c r="L157" s="11">
        <v>3.890000000000002</v>
      </c>
      <c r="M157" s="11">
        <v>0.08</v>
      </c>
      <c r="N157" s="11">
        <v>0</v>
      </c>
      <c r="O157" s="11">
        <v>0</v>
      </c>
      <c r="P157" s="11">
        <v>1.75</v>
      </c>
      <c r="Q157" s="11">
        <v>5.720000000000001</v>
      </c>
      <c r="R157" s="11">
        <v>15.47</v>
      </c>
      <c r="S157" s="11">
        <v>21.19</v>
      </c>
      <c r="T157" s="11">
        <v>2</v>
      </c>
      <c r="U157" s="11">
        <v>3</v>
      </c>
      <c r="V157" s="11">
        <v>16.19</v>
      </c>
      <c r="W157" s="13">
        <v>8</v>
      </c>
      <c r="X157" s="13">
        <v>12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376</v>
      </c>
      <c r="C158" s="10" t="s">
        <v>377</v>
      </c>
      <c r="D158" s="7" t="s">
        <v>171</v>
      </c>
      <c r="E158" s="7" t="s">
        <v>71</v>
      </c>
      <c r="F158" s="7" t="s">
        <v>346</v>
      </c>
      <c r="G158" s="7"/>
      <c r="H158" s="7"/>
      <c r="I158" s="11">
        <v>2</v>
      </c>
      <c r="J158" s="11">
        <v>3</v>
      </c>
      <c r="K158" s="11">
        <v>0</v>
      </c>
      <c r="L158" s="11">
        <v>1.820000000000001</v>
      </c>
      <c r="M158" s="11">
        <v>0</v>
      </c>
      <c r="N158" s="11">
        <v>0</v>
      </c>
      <c r="O158" s="11">
        <v>0.36</v>
      </c>
      <c r="P158" s="11">
        <v>0</v>
      </c>
      <c r="Q158" s="11">
        <v>2.180000000000001</v>
      </c>
      <c r="R158" s="11">
        <v>9.310000000000002</v>
      </c>
      <c r="S158" s="11">
        <v>11.49</v>
      </c>
      <c r="T158" s="11">
        <v>2</v>
      </c>
      <c r="U158" s="11">
        <v>3</v>
      </c>
      <c r="V158" s="11">
        <v>6.490000000000002</v>
      </c>
      <c r="W158" s="13">
        <v>8</v>
      </c>
      <c r="X158" s="13">
        <v>12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378</v>
      </c>
      <c r="C159" s="10" t="s">
        <v>379</v>
      </c>
      <c r="D159" s="7" t="s">
        <v>50</v>
      </c>
      <c r="E159" s="7" t="s">
        <v>342</v>
      </c>
      <c r="F159" s="7" t="s">
        <v>343</v>
      </c>
      <c r="G159" s="7"/>
      <c r="H159" s="7" t="s">
        <v>43</v>
      </c>
      <c r="I159" s="11">
        <v>2</v>
      </c>
      <c r="J159" s="11">
        <v>3</v>
      </c>
      <c r="K159" s="11">
        <v>0</v>
      </c>
      <c r="L159" s="11">
        <v>1.26</v>
      </c>
      <c r="M159" s="11">
        <v>0</v>
      </c>
      <c r="N159" s="11">
        <v>0</v>
      </c>
      <c r="O159" s="11">
        <v>0</v>
      </c>
      <c r="P159" s="11">
        <v>0</v>
      </c>
      <c r="Q159" s="11">
        <v>1.26</v>
      </c>
      <c r="R159" s="11">
        <v>3.42</v>
      </c>
      <c r="S159" s="11">
        <v>4.68</v>
      </c>
      <c r="T159" s="11">
        <v>2</v>
      </c>
      <c r="U159" s="11">
        <v>2.68</v>
      </c>
      <c r="V159" s="11">
        <v>0</v>
      </c>
      <c r="W159" s="13">
        <v>8</v>
      </c>
      <c r="X159" s="13">
        <v>12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380</v>
      </c>
      <c r="C160" s="10" t="s">
        <v>381</v>
      </c>
      <c r="D160" s="7" t="s">
        <v>171</v>
      </c>
      <c r="E160" s="7" t="s">
        <v>71</v>
      </c>
      <c r="F160" s="7" t="s">
        <v>351</v>
      </c>
      <c r="G160" s="7"/>
      <c r="H160" s="7" t="s">
        <v>43</v>
      </c>
      <c r="I160" s="11">
        <v>2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3">
        <v>8</v>
      </c>
      <c r="X160" s="13">
        <v>0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382</v>
      </c>
      <c r="C161" s="10" t="s">
        <v>383</v>
      </c>
      <c r="D161" s="7" t="s">
        <v>60</v>
      </c>
      <c r="E161" s="7" t="s">
        <v>342</v>
      </c>
      <c r="F161" s="7" t="s">
        <v>343</v>
      </c>
      <c r="G161" s="7"/>
      <c r="H161" s="7" t="s">
        <v>43</v>
      </c>
      <c r="I161" s="11">
        <v>2</v>
      </c>
      <c r="J161" s="11">
        <v>3</v>
      </c>
      <c r="K161" s="11">
        <v>0</v>
      </c>
      <c r="L161" s="11">
        <v>4.25</v>
      </c>
      <c r="M161" s="11">
        <v>0.08</v>
      </c>
      <c r="N161" s="11">
        <v>0</v>
      </c>
      <c r="O161" s="11">
        <v>0.38</v>
      </c>
      <c r="P161" s="11">
        <v>1.63</v>
      </c>
      <c r="Q161" s="11">
        <v>6.339999999999996</v>
      </c>
      <c r="R161" s="11">
        <v>14.83</v>
      </c>
      <c r="S161" s="11">
        <v>21.16999999999999</v>
      </c>
      <c r="T161" s="11">
        <v>2</v>
      </c>
      <c r="U161" s="11">
        <v>3</v>
      </c>
      <c r="V161" s="11">
        <v>16.16999999999999</v>
      </c>
      <c r="W161" s="13">
        <v>8</v>
      </c>
      <c r="X161" s="13">
        <v>12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384</v>
      </c>
      <c r="C162" s="10" t="s">
        <v>385</v>
      </c>
      <c r="D162" s="7" t="s">
        <v>215</v>
      </c>
      <c r="E162" s="7" t="s">
        <v>342</v>
      </c>
      <c r="F162" s="7" t="s">
        <v>343</v>
      </c>
      <c r="G162" s="7"/>
      <c r="H162" s="7" t="s">
        <v>43</v>
      </c>
      <c r="I162" s="11">
        <v>2</v>
      </c>
      <c r="J162" s="11">
        <v>3</v>
      </c>
      <c r="K162" s="11">
        <v>0</v>
      </c>
      <c r="L162" s="11">
        <v>4.48</v>
      </c>
      <c r="M162" s="11">
        <v>0</v>
      </c>
      <c r="N162" s="11">
        <v>0</v>
      </c>
      <c r="O162" s="11">
        <v>0.38</v>
      </c>
      <c r="P162" s="11">
        <v>0.83</v>
      </c>
      <c r="Q162" s="11">
        <v>5.69</v>
      </c>
      <c r="R162" s="11">
        <v>11.25</v>
      </c>
      <c r="S162" s="11">
        <v>16.94</v>
      </c>
      <c r="T162" s="11">
        <v>2</v>
      </c>
      <c r="U162" s="11">
        <v>3</v>
      </c>
      <c r="V162" s="11">
        <v>11.94</v>
      </c>
      <c r="W162" s="13">
        <v>8</v>
      </c>
      <c r="X162" s="13">
        <v>12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386</v>
      </c>
      <c r="C163" s="10" t="s">
        <v>387</v>
      </c>
      <c r="D163" s="7" t="s">
        <v>215</v>
      </c>
      <c r="E163" s="7" t="s">
        <v>178</v>
      </c>
      <c r="F163" s="7" t="s">
        <v>346</v>
      </c>
      <c r="G163" s="7"/>
      <c r="H163" s="7"/>
      <c r="I163" s="11">
        <v>2</v>
      </c>
      <c r="J163" s="11">
        <v>3</v>
      </c>
      <c r="K163" s="11">
        <v>0</v>
      </c>
      <c r="L163" s="11">
        <v>5.52</v>
      </c>
      <c r="M163" s="11">
        <v>0</v>
      </c>
      <c r="N163" s="11">
        <v>0</v>
      </c>
      <c r="O163" s="11">
        <v>0.36</v>
      </c>
      <c r="P163" s="11">
        <v>0</v>
      </c>
      <c r="Q163" s="11">
        <v>5.88</v>
      </c>
      <c r="R163" s="11">
        <v>9.6</v>
      </c>
      <c r="S163" s="11">
        <v>15.48</v>
      </c>
      <c r="T163" s="11">
        <v>2</v>
      </c>
      <c r="U163" s="11">
        <v>3</v>
      </c>
      <c r="V163" s="11">
        <v>10.48</v>
      </c>
      <c r="W163" s="13">
        <v>8</v>
      </c>
      <c r="X163" s="13">
        <v>12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4" spans="1:676">
      <c r="A164" s="7">
        <v>154</v>
      </c>
      <c r="B164" s="7" t="s">
        <v>388</v>
      </c>
      <c r="C164" s="10" t="s">
        <v>389</v>
      </c>
      <c r="D164" s="7" t="s">
        <v>50</v>
      </c>
      <c r="E164" s="7" t="s">
        <v>178</v>
      </c>
      <c r="F164" s="7" t="s">
        <v>346</v>
      </c>
      <c r="G164" s="7"/>
      <c r="H164" s="7"/>
      <c r="I164" s="11">
        <v>2</v>
      </c>
      <c r="J164" s="11">
        <v>3</v>
      </c>
      <c r="K164" s="11">
        <v>0</v>
      </c>
      <c r="L164" s="11">
        <v>2.080000000000001</v>
      </c>
      <c r="M164" s="11">
        <v>0.08</v>
      </c>
      <c r="N164" s="11">
        <v>0</v>
      </c>
      <c r="O164" s="11">
        <v>0</v>
      </c>
      <c r="P164" s="11">
        <v>0.8</v>
      </c>
      <c r="Q164" s="11">
        <v>2.960000000000001</v>
      </c>
      <c r="R164" s="11">
        <v>6.410000000000001</v>
      </c>
      <c r="S164" s="11">
        <v>9.370000000000003</v>
      </c>
      <c r="T164" s="11">
        <v>2</v>
      </c>
      <c r="U164" s="11">
        <v>3</v>
      </c>
      <c r="V164" s="11">
        <v>4.370000000000003</v>
      </c>
      <c r="W164" s="13">
        <v>8</v>
      </c>
      <c r="X164" s="13">
        <v>12</v>
      </c>
      <c r="Y164" s="13" t="str">
        <f>MIN(W164,S164)</f>
        <v>0</v>
      </c>
      <c r="Z164" s="13" t="str">
        <f>MIN(X164,(S164-Y164))</f>
        <v>0</v>
      </c>
      <c r="AA164" s="13" t="str">
        <f>S164-SUM(Y164,Z164)</f>
        <v>0</v>
      </c>
      <c r="AB164" s="15"/>
      <c r="AC164" s="15"/>
      <c r="AD164" s="1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/>
      <c r="SM164" s="5"/>
      <c r="SN164" s="5"/>
      <c r="SO164" s="5"/>
      <c r="SP164" s="5"/>
      <c r="SQ164" s="5"/>
      <c r="SR164" s="5"/>
      <c r="SS164" s="5"/>
      <c r="ST164" s="5"/>
      <c r="SU164" s="5"/>
      <c r="SV164" s="5"/>
      <c r="SW164" s="5"/>
      <c r="SX164" s="5"/>
      <c r="SY164" s="5"/>
      <c r="SZ164" s="5"/>
      <c r="TA164" s="5"/>
      <c r="TB164" s="5"/>
      <c r="TC164" s="5"/>
      <c r="TD164" s="5"/>
      <c r="TE164" s="5"/>
      <c r="TF164" s="5"/>
      <c r="TG164" s="5"/>
      <c r="TH164" s="5"/>
      <c r="TI164" s="5"/>
      <c r="TJ164" s="5"/>
      <c r="TK164" s="5"/>
      <c r="TL164" s="5"/>
      <c r="TM164" s="5"/>
      <c r="TN164" s="5"/>
      <c r="TO164" s="5"/>
      <c r="TP164" s="5"/>
      <c r="TQ164" s="5"/>
      <c r="TR164" s="5"/>
      <c r="TS164" s="5"/>
      <c r="TT164" s="5"/>
      <c r="TU164" s="5"/>
      <c r="TV164" s="5"/>
      <c r="TW164" s="5"/>
      <c r="TX164" s="5"/>
      <c r="TY164" s="5"/>
      <c r="TZ164" s="5"/>
      <c r="UA164" s="5"/>
      <c r="UB164" s="5"/>
      <c r="UC164" s="5"/>
      <c r="UD164" s="5"/>
      <c r="UE164" s="5"/>
      <c r="UF164" s="5"/>
      <c r="UG164" s="5"/>
      <c r="UH164" s="5"/>
      <c r="UI164" s="5"/>
      <c r="UJ164" s="5"/>
      <c r="UK164" s="5"/>
      <c r="UL164" s="5"/>
      <c r="UM164" s="5"/>
      <c r="UN164" s="5"/>
      <c r="UO164" s="5"/>
      <c r="UP164" s="5"/>
      <c r="UQ164" s="5"/>
      <c r="UR164" s="5"/>
      <c r="US164" s="5"/>
      <c r="UT164" s="5"/>
      <c r="UU164" s="5"/>
      <c r="UV164" s="5"/>
      <c r="UW164" s="5"/>
      <c r="UX164" s="5"/>
      <c r="UY164" s="5"/>
      <c r="UZ164" s="5"/>
      <c r="VA164" s="5"/>
      <c r="VB164" s="5"/>
      <c r="VC164" s="5"/>
      <c r="VD164" s="5"/>
      <c r="VE164" s="5"/>
      <c r="VF164" s="5"/>
      <c r="VG164" s="5"/>
      <c r="VH164" s="5"/>
      <c r="VI164" s="5"/>
      <c r="VJ164" s="5"/>
      <c r="VK164" s="5"/>
      <c r="VL164" s="5"/>
      <c r="VM164" s="5"/>
      <c r="VN164" s="5"/>
      <c r="VO164" s="5"/>
      <c r="VP164" s="5"/>
      <c r="VQ164" s="5"/>
      <c r="VR164" s="5"/>
      <c r="VS164" s="5"/>
      <c r="VT164" s="5"/>
      <c r="VU164" s="5"/>
      <c r="VV164" s="5"/>
      <c r="VW164" s="5"/>
      <c r="VX164" s="5"/>
      <c r="VY164" s="5"/>
      <c r="VZ164" s="5"/>
      <c r="WA164" s="5"/>
      <c r="WB164" s="5"/>
      <c r="WC164" s="5"/>
      <c r="WD164" s="5"/>
      <c r="WE164" s="5"/>
      <c r="WF164" s="5"/>
      <c r="WG164" s="5"/>
      <c r="WH164" s="5"/>
      <c r="WI164" s="5"/>
      <c r="WJ164" s="5"/>
      <c r="WK164" s="5"/>
      <c r="WL164" s="5"/>
      <c r="WM164" s="5"/>
      <c r="WN164" s="5"/>
      <c r="WO164" s="5"/>
      <c r="WP164" s="5"/>
      <c r="WQ164" s="5"/>
      <c r="WR164" s="5"/>
      <c r="WS164" s="5"/>
      <c r="WT164" s="5"/>
      <c r="WU164" s="5"/>
      <c r="WV164" s="5"/>
      <c r="WW164" s="5"/>
      <c r="WX164" s="5"/>
      <c r="WY164" s="5"/>
      <c r="WZ164" s="5"/>
      <c r="XA164" s="5"/>
      <c r="XB164" s="5"/>
      <c r="XC164" s="5"/>
      <c r="XD164" s="5"/>
      <c r="XE164" s="5"/>
      <c r="XF164" s="5"/>
      <c r="XG164" s="5"/>
      <c r="XH164" s="5"/>
      <c r="XI164" s="5"/>
      <c r="XJ164" s="5"/>
      <c r="XK164" s="5"/>
      <c r="XL164" s="5"/>
      <c r="XM164" s="5"/>
      <c r="XN164" s="5"/>
      <c r="XO164" s="5"/>
      <c r="XP164" s="5"/>
      <c r="XQ164" s="5"/>
      <c r="XR164" s="5"/>
      <c r="XS164" s="5"/>
      <c r="XT164" s="5"/>
      <c r="XU164" s="5"/>
      <c r="XV164" s="5"/>
      <c r="XW164" s="5"/>
      <c r="XX164" s="5"/>
      <c r="XY164" s="5"/>
      <c r="XZ164" s="5"/>
      <c r="YA164" s="5"/>
      <c r="YB164" s="5"/>
      <c r="YC164" s="5"/>
      <c r="YD164" s="5"/>
      <c r="YE164" s="5"/>
      <c r="YF164" s="5"/>
      <c r="YG164" s="5"/>
      <c r="YH164" s="5"/>
      <c r="YI164" s="5"/>
      <c r="YJ164" s="5"/>
      <c r="YK164" s="5"/>
      <c r="YL164" s="5"/>
      <c r="YM164" s="5"/>
      <c r="YN164" s="5"/>
      <c r="YO164" s="5"/>
      <c r="YP164" s="5"/>
      <c r="YQ164" s="5"/>
      <c r="YR164" s="5"/>
      <c r="YS164" s="5"/>
      <c r="YT164" s="5"/>
      <c r="YU164" s="5"/>
      <c r="YV164" s="5"/>
      <c r="YW164" s="5"/>
      <c r="YX164" s="5"/>
      <c r="YY164" s="5"/>
      <c r="YZ164" s="5"/>
    </row>
    <row r="165" spans="1:676">
      <c r="A165" s="7">
        <v>155</v>
      </c>
      <c r="B165" s="7" t="s">
        <v>390</v>
      </c>
      <c r="C165" s="10" t="s">
        <v>391</v>
      </c>
      <c r="D165" s="7" t="s">
        <v>215</v>
      </c>
      <c r="E165" s="7" t="s">
        <v>178</v>
      </c>
      <c r="F165" s="7" t="s">
        <v>343</v>
      </c>
      <c r="G165" s="7"/>
      <c r="H165" s="7" t="s">
        <v>43</v>
      </c>
      <c r="I165" s="11">
        <v>2</v>
      </c>
      <c r="J165" s="11">
        <v>3</v>
      </c>
      <c r="K165" s="11">
        <v>0</v>
      </c>
      <c r="L165" s="11">
        <v>4.36</v>
      </c>
      <c r="M165" s="11">
        <v>0</v>
      </c>
      <c r="N165" s="11">
        <v>0</v>
      </c>
      <c r="O165" s="11">
        <v>0.5800000000000001</v>
      </c>
      <c r="P165" s="11">
        <v>2.43</v>
      </c>
      <c r="Q165" s="11">
        <v>7.370000000000002</v>
      </c>
      <c r="R165" s="11">
        <v>17.68</v>
      </c>
      <c r="S165" s="11">
        <v>25.05</v>
      </c>
      <c r="T165" s="11">
        <v>2</v>
      </c>
      <c r="U165" s="11">
        <v>3</v>
      </c>
      <c r="V165" s="11">
        <v>20.05</v>
      </c>
      <c r="W165" s="13">
        <v>8</v>
      </c>
      <c r="X165" s="13">
        <v>12</v>
      </c>
      <c r="Y165" s="13" t="str">
        <f>MIN(W165,S165)</f>
        <v>0</v>
      </c>
      <c r="Z165" s="13" t="str">
        <f>MIN(X165,(S165-Y165))</f>
        <v>0</v>
      </c>
      <c r="AA165" s="13" t="str">
        <f>S165-SUM(Y165,Z165)</f>
        <v>0</v>
      </c>
      <c r="AB165" s="15"/>
      <c r="AC165" s="15"/>
      <c r="AD165" s="1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  <c r="PX165" s="5"/>
      <c r="PY165" s="5"/>
      <c r="PZ165" s="5"/>
      <c r="QA165" s="5"/>
      <c r="QB165" s="5"/>
      <c r="QC165" s="5"/>
      <c r="QD165" s="5"/>
      <c r="QE165" s="5"/>
      <c r="QF165" s="5"/>
      <c r="QG165" s="5"/>
      <c r="QH165" s="5"/>
      <c r="QI165" s="5"/>
      <c r="QJ165" s="5"/>
      <c r="QK165" s="5"/>
      <c r="QL165" s="5"/>
      <c r="QM165" s="5"/>
      <c r="QN165" s="5"/>
      <c r="QO165" s="5"/>
      <c r="QP165" s="5"/>
      <c r="QQ165" s="5"/>
      <c r="QR165" s="5"/>
      <c r="QS165" s="5"/>
      <c r="QT165" s="5"/>
      <c r="QU165" s="5"/>
      <c r="QV165" s="5"/>
      <c r="QW165" s="5"/>
      <c r="QX165" s="5"/>
      <c r="QY165" s="5"/>
      <c r="QZ165" s="5"/>
      <c r="RA165" s="5"/>
      <c r="RB165" s="5"/>
      <c r="RC165" s="5"/>
      <c r="RD165" s="5"/>
      <c r="RE165" s="5"/>
      <c r="RF165" s="5"/>
      <c r="RG165" s="5"/>
      <c r="RH165" s="5"/>
      <c r="RI165" s="5"/>
      <c r="RJ165" s="5"/>
      <c r="RK165" s="5"/>
      <c r="RL165" s="5"/>
      <c r="RM165" s="5"/>
      <c r="RN165" s="5"/>
      <c r="RO165" s="5"/>
      <c r="RP165" s="5"/>
      <c r="RQ165" s="5"/>
      <c r="RR165" s="5"/>
      <c r="RS165" s="5"/>
      <c r="RT165" s="5"/>
      <c r="RU165" s="5"/>
      <c r="RV165" s="5"/>
      <c r="RW165" s="5"/>
      <c r="RX165" s="5"/>
      <c r="RY165" s="5"/>
      <c r="RZ165" s="5"/>
      <c r="SA165" s="5"/>
      <c r="SB165" s="5"/>
      <c r="SC165" s="5"/>
      <c r="SD165" s="5"/>
      <c r="SE165" s="5"/>
      <c r="SF165" s="5"/>
      <c r="SG165" s="5"/>
      <c r="SH165" s="5"/>
      <c r="SI165" s="5"/>
      <c r="SJ165" s="5"/>
      <c r="SK165" s="5"/>
      <c r="SL165" s="5"/>
      <c r="SM165" s="5"/>
      <c r="SN165" s="5"/>
      <c r="SO165" s="5"/>
      <c r="SP165" s="5"/>
      <c r="SQ165" s="5"/>
      <c r="SR165" s="5"/>
      <c r="SS165" s="5"/>
      <c r="ST165" s="5"/>
      <c r="SU165" s="5"/>
      <c r="SV165" s="5"/>
      <c r="SW165" s="5"/>
      <c r="SX165" s="5"/>
      <c r="SY165" s="5"/>
      <c r="SZ165" s="5"/>
      <c r="TA165" s="5"/>
      <c r="TB165" s="5"/>
      <c r="TC165" s="5"/>
      <c r="TD165" s="5"/>
      <c r="TE165" s="5"/>
      <c r="TF165" s="5"/>
      <c r="TG165" s="5"/>
      <c r="TH165" s="5"/>
      <c r="TI165" s="5"/>
      <c r="TJ165" s="5"/>
      <c r="TK165" s="5"/>
      <c r="TL165" s="5"/>
      <c r="TM165" s="5"/>
      <c r="TN165" s="5"/>
      <c r="TO165" s="5"/>
      <c r="TP165" s="5"/>
      <c r="TQ165" s="5"/>
      <c r="TR165" s="5"/>
      <c r="TS165" s="5"/>
      <c r="TT165" s="5"/>
      <c r="TU165" s="5"/>
      <c r="TV165" s="5"/>
      <c r="TW165" s="5"/>
      <c r="TX165" s="5"/>
      <c r="TY165" s="5"/>
      <c r="TZ165" s="5"/>
      <c r="UA165" s="5"/>
      <c r="UB165" s="5"/>
      <c r="UC165" s="5"/>
      <c r="UD165" s="5"/>
      <c r="UE165" s="5"/>
      <c r="UF165" s="5"/>
      <c r="UG165" s="5"/>
      <c r="UH165" s="5"/>
      <c r="UI165" s="5"/>
      <c r="UJ165" s="5"/>
      <c r="UK165" s="5"/>
      <c r="UL165" s="5"/>
      <c r="UM165" s="5"/>
      <c r="UN165" s="5"/>
      <c r="UO165" s="5"/>
      <c r="UP165" s="5"/>
      <c r="UQ165" s="5"/>
      <c r="UR165" s="5"/>
      <c r="US165" s="5"/>
      <c r="UT165" s="5"/>
      <c r="UU165" s="5"/>
      <c r="UV165" s="5"/>
      <c r="UW165" s="5"/>
      <c r="UX165" s="5"/>
      <c r="UY165" s="5"/>
      <c r="UZ165" s="5"/>
      <c r="VA165" s="5"/>
      <c r="VB165" s="5"/>
      <c r="VC165" s="5"/>
      <c r="VD165" s="5"/>
      <c r="VE165" s="5"/>
      <c r="VF165" s="5"/>
      <c r="VG165" s="5"/>
      <c r="VH165" s="5"/>
      <c r="VI165" s="5"/>
      <c r="VJ165" s="5"/>
      <c r="VK165" s="5"/>
      <c r="VL165" s="5"/>
      <c r="VM165" s="5"/>
      <c r="VN165" s="5"/>
      <c r="VO165" s="5"/>
      <c r="VP165" s="5"/>
      <c r="VQ165" s="5"/>
      <c r="VR165" s="5"/>
      <c r="VS165" s="5"/>
      <c r="VT165" s="5"/>
      <c r="VU165" s="5"/>
      <c r="VV165" s="5"/>
      <c r="VW165" s="5"/>
      <c r="VX165" s="5"/>
      <c r="VY165" s="5"/>
      <c r="VZ165" s="5"/>
      <c r="WA165" s="5"/>
      <c r="WB165" s="5"/>
      <c r="WC165" s="5"/>
      <c r="WD165" s="5"/>
      <c r="WE165" s="5"/>
      <c r="WF165" s="5"/>
      <c r="WG165" s="5"/>
      <c r="WH165" s="5"/>
      <c r="WI165" s="5"/>
      <c r="WJ165" s="5"/>
      <c r="WK165" s="5"/>
      <c r="WL165" s="5"/>
      <c r="WM165" s="5"/>
      <c r="WN165" s="5"/>
      <c r="WO165" s="5"/>
      <c r="WP165" s="5"/>
      <c r="WQ165" s="5"/>
      <c r="WR165" s="5"/>
      <c r="WS165" s="5"/>
      <c r="WT165" s="5"/>
      <c r="WU165" s="5"/>
      <c r="WV165" s="5"/>
      <c r="WW165" s="5"/>
      <c r="WX165" s="5"/>
      <c r="WY165" s="5"/>
      <c r="WZ165" s="5"/>
      <c r="XA165" s="5"/>
      <c r="XB165" s="5"/>
      <c r="XC165" s="5"/>
      <c r="XD165" s="5"/>
      <c r="XE165" s="5"/>
      <c r="XF165" s="5"/>
      <c r="XG165" s="5"/>
      <c r="XH165" s="5"/>
      <c r="XI165" s="5"/>
      <c r="XJ165" s="5"/>
      <c r="XK165" s="5"/>
      <c r="XL165" s="5"/>
      <c r="XM165" s="5"/>
      <c r="XN165" s="5"/>
      <c r="XO165" s="5"/>
      <c r="XP165" s="5"/>
      <c r="XQ165" s="5"/>
      <c r="XR165" s="5"/>
      <c r="XS165" s="5"/>
      <c r="XT165" s="5"/>
      <c r="XU165" s="5"/>
      <c r="XV165" s="5"/>
      <c r="XW165" s="5"/>
      <c r="XX165" s="5"/>
      <c r="XY165" s="5"/>
      <c r="XZ165" s="5"/>
      <c r="YA165" s="5"/>
      <c r="YB165" s="5"/>
      <c r="YC165" s="5"/>
      <c r="YD165" s="5"/>
      <c r="YE165" s="5"/>
      <c r="YF165" s="5"/>
      <c r="YG165" s="5"/>
      <c r="YH165" s="5"/>
      <c r="YI165" s="5"/>
      <c r="YJ165" s="5"/>
      <c r="YK165" s="5"/>
      <c r="YL165" s="5"/>
      <c r="YM165" s="5"/>
      <c r="YN165" s="5"/>
      <c r="YO165" s="5"/>
      <c r="YP165" s="5"/>
      <c r="YQ165" s="5"/>
      <c r="YR165" s="5"/>
      <c r="YS165" s="5"/>
      <c r="YT165" s="5"/>
      <c r="YU165" s="5"/>
      <c r="YV165" s="5"/>
      <c r="YW165" s="5"/>
      <c r="YX165" s="5"/>
      <c r="YY165" s="5"/>
      <c r="YZ165" s="5"/>
    </row>
    <row r="166" spans="1:676">
      <c r="A166" s="7">
        <v>156</v>
      </c>
      <c r="B166" s="7" t="s">
        <v>392</v>
      </c>
      <c r="C166" s="10" t="s">
        <v>393</v>
      </c>
      <c r="D166" s="7" t="s">
        <v>92</v>
      </c>
      <c r="E166" s="7" t="s">
        <v>120</v>
      </c>
      <c r="F166" s="7" t="s">
        <v>346</v>
      </c>
      <c r="G166" s="7"/>
      <c r="H166" s="7"/>
      <c r="I166" s="11">
        <v>2</v>
      </c>
      <c r="J166" s="11">
        <v>3</v>
      </c>
      <c r="K166" s="11">
        <v>0</v>
      </c>
      <c r="L166" s="11">
        <v>2.669999999999999</v>
      </c>
      <c r="M166" s="11">
        <v>0</v>
      </c>
      <c r="N166" s="11">
        <v>0</v>
      </c>
      <c r="O166" s="11">
        <v>0.8</v>
      </c>
      <c r="P166" s="11">
        <v>0.83</v>
      </c>
      <c r="Q166" s="11">
        <v>4.3</v>
      </c>
      <c r="R166" s="11">
        <v>9.609999999999999</v>
      </c>
      <c r="S166" s="11">
        <v>13.91</v>
      </c>
      <c r="T166" s="11">
        <v>2</v>
      </c>
      <c r="U166" s="11">
        <v>3</v>
      </c>
      <c r="V166" s="11">
        <v>8.91</v>
      </c>
      <c r="W166" s="13">
        <v>8</v>
      </c>
      <c r="X166" s="13">
        <v>12</v>
      </c>
      <c r="Y166" s="13" t="str">
        <f>MIN(W166,S166)</f>
        <v>0</v>
      </c>
      <c r="Z166" s="13" t="str">
        <f>MIN(X166,(S166-Y166))</f>
        <v>0</v>
      </c>
      <c r="AA166" s="13" t="str">
        <f>S166-SUM(Y166,Z166)</f>
        <v>0</v>
      </c>
      <c r="AB166" s="15"/>
      <c r="AC166" s="15"/>
      <c r="AD166" s="1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  <c r="JI166" s="5"/>
      <c r="JJ166" s="5"/>
      <c r="JK166" s="5"/>
      <c r="JL166" s="5"/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/>
      <c r="JX166" s="5"/>
      <c r="JY166" s="5"/>
      <c r="JZ166" s="5"/>
      <c r="KA166" s="5"/>
      <c r="KB166" s="5"/>
      <c r="KC166" s="5"/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  <c r="KO166" s="5"/>
      <c r="KP166" s="5"/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5"/>
      <c r="LB166" s="5"/>
      <c r="LC166" s="5"/>
      <c r="LD166" s="5"/>
      <c r="LE166" s="5"/>
      <c r="LF166" s="5"/>
      <c r="LG166" s="5"/>
      <c r="LH166" s="5"/>
      <c r="LI166" s="5"/>
      <c r="LJ166" s="5"/>
      <c r="LK166" s="5"/>
      <c r="LL166" s="5"/>
      <c r="LM166" s="5"/>
      <c r="LN166" s="5"/>
      <c r="LO166" s="5"/>
      <c r="LP166" s="5"/>
      <c r="LQ166" s="5"/>
      <c r="LR166" s="5"/>
      <c r="LS166" s="5"/>
      <c r="LT166" s="5"/>
      <c r="LU166" s="5"/>
      <c r="LV166" s="5"/>
      <c r="LW166" s="5"/>
      <c r="LX166" s="5"/>
      <c r="LY166" s="5"/>
      <c r="LZ166" s="5"/>
      <c r="MA166" s="5"/>
      <c r="MB166" s="5"/>
      <c r="MC166" s="5"/>
      <c r="MD166" s="5"/>
      <c r="ME166" s="5"/>
      <c r="MF166" s="5"/>
      <c r="MG166" s="5"/>
      <c r="MH166" s="5"/>
      <c r="MI166" s="5"/>
      <c r="MJ166" s="5"/>
      <c r="MK166" s="5"/>
      <c r="ML166" s="5"/>
      <c r="MM166" s="5"/>
      <c r="MN166" s="5"/>
      <c r="MO166" s="5"/>
      <c r="MP166" s="5"/>
      <c r="MQ166" s="5"/>
      <c r="MR166" s="5"/>
      <c r="MS166" s="5"/>
      <c r="MT166" s="5"/>
      <c r="MU166" s="5"/>
      <c r="MV166" s="5"/>
      <c r="MW166" s="5"/>
      <c r="MX166" s="5"/>
      <c r="MY166" s="5"/>
      <c r="MZ166" s="5"/>
      <c r="NA166" s="5"/>
      <c r="NB166" s="5"/>
      <c r="NC166" s="5"/>
      <c r="ND166" s="5"/>
      <c r="NE166" s="5"/>
      <c r="NF166" s="5"/>
      <c r="NG166" s="5"/>
      <c r="NH166" s="5"/>
      <c r="NI166" s="5"/>
      <c r="NJ166" s="5"/>
      <c r="NK166" s="5"/>
      <c r="NL166" s="5"/>
      <c r="NM166" s="5"/>
      <c r="NN166" s="5"/>
      <c r="NO166" s="5"/>
      <c r="NP166" s="5"/>
      <c r="NQ166" s="5"/>
      <c r="NR166" s="5"/>
      <c r="NS166" s="5"/>
      <c r="NT166" s="5"/>
      <c r="NU166" s="5"/>
      <c r="NV166" s="5"/>
      <c r="NW166" s="5"/>
      <c r="NX166" s="5"/>
      <c r="NY166" s="5"/>
      <c r="NZ166" s="5"/>
      <c r="OA166" s="5"/>
      <c r="OB166" s="5"/>
      <c r="OC166" s="5"/>
      <c r="OD166" s="5"/>
      <c r="OE166" s="5"/>
      <c r="OF166" s="5"/>
      <c r="OG166" s="5"/>
      <c r="OH166" s="5"/>
      <c r="OI166" s="5"/>
      <c r="OJ166" s="5"/>
      <c r="OK166" s="5"/>
      <c r="OL166" s="5"/>
      <c r="OM166" s="5"/>
      <c r="ON166" s="5"/>
      <c r="OO166" s="5"/>
      <c r="OP166" s="5"/>
      <c r="OQ166" s="5"/>
      <c r="OR166" s="5"/>
      <c r="OS166" s="5"/>
      <c r="OT166" s="5"/>
      <c r="OU166" s="5"/>
      <c r="OV166" s="5"/>
      <c r="OW166" s="5"/>
      <c r="OX166" s="5"/>
      <c r="OY166" s="5"/>
      <c r="OZ166" s="5"/>
      <c r="PA166" s="5"/>
      <c r="PB166" s="5"/>
      <c r="PC166" s="5"/>
      <c r="PD166" s="5"/>
      <c r="PE166" s="5"/>
      <c r="PF166" s="5"/>
      <c r="PG166" s="5"/>
      <c r="PH166" s="5"/>
      <c r="PI166" s="5"/>
      <c r="PJ166" s="5"/>
      <c r="PK166" s="5"/>
      <c r="PL166" s="5"/>
      <c r="PM166" s="5"/>
      <c r="PN166" s="5"/>
      <c r="PO166" s="5"/>
      <c r="PP166" s="5"/>
      <c r="PQ166" s="5"/>
      <c r="PR166" s="5"/>
      <c r="PS166" s="5"/>
      <c r="PT166" s="5"/>
      <c r="PU166" s="5"/>
      <c r="PV166" s="5"/>
      <c r="PW166" s="5"/>
      <c r="PX166" s="5"/>
      <c r="PY166" s="5"/>
      <c r="PZ166" s="5"/>
      <c r="QA166" s="5"/>
      <c r="QB166" s="5"/>
      <c r="QC166" s="5"/>
      <c r="QD166" s="5"/>
      <c r="QE166" s="5"/>
      <c r="QF166" s="5"/>
      <c r="QG166" s="5"/>
      <c r="QH166" s="5"/>
      <c r="QI166" s="5"/>
      <c r="QJ166" s="5"/>
      <c r="QK166" s="5"/>
      <c r="QL166" s="5"/>
      <c r="QM166" s="5"/>
      <c r="QN166" s="5"/>
      <c r="QO166" s="5"/>
      <c r="QP166" s="5"/>
      <c r="QQ166" s="5"/>
      <c r="QR166" s="5"/>
      <c r="QS166" s="5"/>
      <c r="QT166" s="5"/>
      <c r="QU166" s="5"/>
      <c r="QV166" s="5"/>
      <c r="QW166" s="5"/>
      <c r="QX166" s="5"/>
      <c r="QY166" s="5"/>
      <c r="QZ166" s="5"/>
      <c r="RA166" s="5"/>
      <c r="RB166" s="5"/>
      <c r="RC166" s="5"/>
      <c r="RD166" s="5"/>
      <c r="RE166" s="5"/>
      <c r="RF166" s="5"/>
      <c r="RG166" s="5"/>
      <c r="RH166" s="5"/>
      <c r="RI166" s="5"/>
      <c r="RJ166" s="5"/>
      <c r="RK166" s="5"/>
      <c r="RL166" s="5"/>
      <c r="RM166" s="5"/>
      <c r="RN166" s="5"/>
      <c r="RO166" s="5"/>
      <c r="RP166" s="5"/>
      <c r="RQ166" s="5"/>
      <c r="RR166" s="5"/>
      <c r="RS166" s="5"/>
      <c r="RT166" s="5"/>
      <c r="RU166" s="5"/>
      <c r="RV166" s="5"/>
      <c r="RW166" s="5"/>
      <c r="RX166" s="5"/>
      <c r="RY166" s="5"/>
      <c r="RZ166" s="5"/>
      <c r="SA166" s="5"/>
      <c r="SB166" s="5"/>
      <c r="SC166" s="5"/>
      <c r="SD166" s="5"/>
      <c r="SE166" s="5"/>
      <c r="SF166" s="5"/>
      <c r="SG166" s="5"/>
      <c r="SH166" s="5"/>
      <c r="SI166" s="5"/>
      <c r="SJ166" s="5"/>
      <c r="SK166" s="5"/>
      <c r="SL166" s="5"/>
      <c r="SM166" s="5"/>
      <c r="SN166" s="5"/>
      <c r="SO166" s="5"/>
      <c r="SP166" s="5"/>
      <c r="SQ166" s="5"/>
      <c r="SR166" s="5"/>
      <c r="SS166" s="5"/>
      <c r="ST166" s="5"/>
      <c r="SU166" s="5"/>
      <c r="SV166" s="5"/>
      <c r="SW166" s="5"/>
      <c r="SX166" s="5"/>
      <c r="SY166" s="5"/>
      <c r="SZ166" s="5"/>
      <c r="TA166" s="5"/>
      <c r="TB166" s="5"/>
      <c r="TC166" s="5"/>
      <c r="TD166" s="5"/>
      <c r="TE166" s="5"/>
      <c r="TF166" s="5"/>
      <c r="TG166" s="5"/>
      <c r="TH166" s="5"/>
      <c r="TI166" s="5"/>
      <c r="TJ166" s="5"/>
      <c r="TK166" s="5"/>
      <c r="TL166" s="5"/>
      <c r="TM166" s="5"/>
      <c r="TN166" s="5"/>
      <c r="TO166" s="5"/>
      <c r="TP166" s="5"/>
      <c r="TQ166" s="5"/>
      <c r="TR166" s="5"/>
      <c r="TS166" s="5"/>
      <c r="TT166" s="5"/>
      <c r="TU166" s="5"/>
      <c r="TV166" s="5"/>
      <c r="TW166" s="5"/>
      <c r="TX166" s="5"/>
      <c r="TY166" s="5"/>
      <c r="TZ166" s="5"/>
      <c r="UA166" s="5"/>
      <c r="UB166" s="5"/>
      <c r="UC166" s="5"/>
      <c r="UD166" s="5"/>
      <c r="UE166" s="5"/>
      <c r="UF166" s="5"/>
      <c r="UG166" s="5"/>
      <c r="UH166" s="5"/>
      <c r="UI166" s="5"/>
      <c r="UJ166" s="5"/>
      <c r="UK166" s="5"/>
      <c r="UL166" s="5"/>
      <c r="UM166" s="5"/>
      <c r="UN166" s="5"/>
      <c r="UO166" s="5"/>
      <c r="UP166" s="5"/>
      <c r="UQ166" s="5"/>
      <c r="UR166" s="5"/>
      <c r="US166" s="5"/>
      <c r="UT166" s="5"/>
      <c r="UU166" s="5"/>
      <c r="UV166" s="5"/>
      <c r="UW166" s="5"/>
      <c r="UX166" s="5"/>
      <c r="UY166" s="5"/>
      <c r="UZ166" s="5"/>
      <c r="VA166" s="5"/>
      <c r="VB166" s="5"/>
      <c r="VC166" s="5"/>
      <c r="VD166" s="5"/>
      <c r="VE166" s="5"/>
      <c r="VF166" s="5"/>
      <c r="VG166" s="5"/>
      <c r="VH166" s="5"/>
      <c r="VI166" s="5"/>
      <c r="VJ166" s="5"/>
      <c r="VK166" s="5"/>
      <c r="VL166" s="5"/>
      <c r="VM166" s="5"/>
      <c r="VN166" s="5"/>
      <c r="VO166" s="5"/>
      <c r="VP166" s="5"/>
      <c r="VQ166" s="5"/>
      <c r="VR166" s="5"/>
      <c r="VS166" s="5"/>
      <c r="VT166" s="5"/>
      <c r="VU166" s="5"/>
      <c r="VV166" s="5"/>
      <c r="VW166" s="5"/>
      <c r="VX166" s="5"/>
      <c r="VY166" s="5"/>
      <c r="VZ166" s="5"/>
      <c r="WA166" s="5"/>
      <c r="WB166" s="5"/>
      <c r="WC166" s="5"/>
      <c r="WD166" s="5"/>
      <c r="WE166" s="5"/>
      <c r="WF166" s="5"/>
      <c r="WG166" s="5"/>
      <c r="WH166" s="5"/>
      <c r="WI166" s="5"/>
      <c r="WJ166" s="5"/>
      <c r="WK166" s="5"/>
      <c r="WL166" s="5"/>
      <c r="WM166" s="5"/>
      <c r="WN166" s="5"/>
      <c r="WO166" s="5"/>
      <c r="WP166" s="5"/>
      <c r="WQ166" s="5"/>
      <c r="WR166" s="5"/>
      <c r="WS166" s="5"/>
      <c r="WT166" s="5"/>
      <c r="WU166" s="5"/>
      <c r="WV166" s="5"/>
      <c r="WW166" s="5"/>
      <c r="WX166" s="5"/>
      <c r="WY166" s="5"/>
      <c r="WZ166" s="5"/>
      <c r="XA166" s="5"/>
      <c r="XB166" s="5"/>
      <c r="XC166" s="5"/>
      <c r="XD166" s="5"/>
      <c r="XE166" s="5"/>
      <c r="XF166" s="5"/>
      <c r="XG166" s="5"/>
      <c r="XH166" s="5"/>
      <c r="XI166" s="5"/>
      <c r="XJ166" s="5"/>
      <c r="XK166" s="5"/>
      <c r="XL166" s="5"/>
      <c r="XM166" s="5"/>
      <c r="XN166" s="5"/>
      <c r="XO166" s="5"/>
      <c r="XP166" s="5"/>
      <c r="XQ166" s="5"/>
      <c r="XR166" s="5"/>
      <c r="XS166" s="5"/>
      <c r="XT166" s="5"/>
      <c r="XU166" s="5"/>
      <c r="XV166" s="5"/>
      <c r="XW166" s="5"/>
      <c r="XX166" s="5"/>
      <c r="XY166" s="5"/>
      <c r="XZ166" s="5"/>
      <c r="YA166" s="5"/>
      <c r="YB166" s="5"/>
      <c r="YC166" s="5"/>
      <c r="YD166" s="5"/>
      <c r="YE166" s="5"/>
      <c r="YF166" s="5"/>
      <c r="YG166" s="5"/>
      <c r="YH166" s="5"/>
      <c r="YI166" s="5"/>
      <c r="YJ166" s="5"/>
      <c r="YK166" s="5"/>
      <c r="YL166" s="5"/>
      <c r="YM166" s="5"/>
      <c r="YN166" s="5"/>
      <c r="YO166" s="5"/>
      <c r="YP166" s="5"/>
      <c r="YQ166" s="5"/>
      <c r="YR166" s="5"/>
      <c r="YS166" s="5"/>
      <c r="YT166" s="5"/>
      <c r="YU166" s="5"/>
      <c r="YV166" s="5"/>
      <c r="YW166" s="5"/>
      <c r="YX166" s="5"/>
      <c r="YY166" s="5"/>
      <c r="YZ166" s="5"/>
    </row>
    <row r="167" spans="1:676">
      <c r="A167" s="7">
        <v>157</v>
      </c>
      <c r="B167" s="7" t="s">
        <v>394</v>
      </c>
      <c r="C167" s="10" t="s">
        <v>395</v>
      </c>
      <c r="D167" s="7" t="s">
        <v>215</v>
      </c>
      <c r="E167" s="7" t="s">
        <v>71</v>
      </c>
      <c r="F167" s="7" t="s">
        <v>351</v>
      </c>
      <c r="G167" s="7"/>
      <c r="H167" s="7" t="s">
        <v>43</v>
      </c>
      <c r="I167" s="11">
        <v>2</v>
      </c>
      <c r="J167" s="11">
        <v>0</v>
      </c>
      <c r="K167" s="11">
        <v>0</v>
      </c>
      <c r="L167" s="11">
        <v>4.34</v>
      </c>
      <c r="M167" s="11">
        <v>0</v>
      </c>
      <c r="N167" s="11">
        <v>0</v>
      </c>
      <c r="O167" s="11">
        <v>0.36</v>
      </c>
      <c r="P167" s="11">
        <v>0</v>
      </c>
      <c r="Q167" s="11">
        <v>4.7</v>
      </c>
      <c r="R167" s="11">
        <v>9.390000000000001</v>
      </c>
      <c r="S167" s="11">
        <v>14.09</v>
      </c>
      <c r="T167" s="11">
        <v>2</v>
      </c>
      <c r="U167" s="11">
        <v>0</v>
      </c>
      <c r="V167" s="11">
        <v>12.09</v>
      </c>
      <c r="W167" s="13">
        <v>8</v>
      </c>
      <c r="X167" s="13">
        <v>0</v>
      </c>
      <c r="Y167" s="13" t="str">
        <f>MIN(W167,S167)</f>
        <v>0</v>
      </c>
      <c r="Z167" s="13" t="str">
        <f>MIN(X167,(S167-Y167))</f>
        <v>0</v>
      </c>
      <c r="AA167" s="13" t="str">
        <f>S167-SUM(Y167,Z167)</f>
        <v>0</v>
      </c>
      <c r="AB167" s="15"/>
      <c r="AC167" s="15"/>
      <c r="AD167" s="1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  <c r="KO167" s="5"/>
      <c r="KP167" s="5"/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5"/>
      <c r="LB167" s="5"/>
      <c r="LC167" s="5"/>
      <c r="LD167" s="5"/>
      <c r="LE167" s="5"/>
      <c r="LF167" s="5"/>
      <c r="LG167" s="5"/>
      <c r="LH167" s="5"/>
      <c r="LI167" s="5"/>
      <c r="LJ167" s="5"/>
      <c r="LK167" s="5"/>
      <c r="LL167" s="5"/>
      <c r="LM167" s="5"/>
      <c r="LN167" s="5"/>
      <c r="LO167" s="5"/>
      <c r="LP167" s="5"/>
      <c r="LQ167" s="5"/>
      <c r="LR167" s="5"/>
      <c r="LS167" s="5"/>
      <c r="LT167" s="5"/>
      <c r="LU167" s="5"/>
      <c r="LV167" s="5"/>
      <c r="LW167" s="5"/>
      <c r="LX167" s="5"/>
      <c r="LY167" s="5"/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  <c r="ML167" s="5"/>
      <c r="MM167" s="5"/>
      <c r="MN167" s="5"/>
      <c r="MO167" s="5"/>
      <c r="MP167" s="5"/>
      <c r="MQ167" s="5"/>
      <c r="MR167" s="5"/>
      <c r="MS167" s="5"/>
      <c r="MT167" s="5"/>
      <c r="MU167" s="5"/>
      <c r="MV167" s="5"/>
      <c r="MW167" s="5"/>
      <c r="MX167" s="5"/>
      <c r="MY167" s="5"/>
      <c r="MZ167" s="5"/>
      <c r="NA167" s="5"/>
      <c r="NB167" s="5"/>
      <c r="NC167" s="5"/>
      <c r="ND167" s="5"/>
      <c r="NE167" s="5"/>
      <c r="NF167" s="5"/>
      <c r="NG167" s="5"/>
      <c r="NH167" s="5"/>
      <c r="NI167" s="5"/>
      <c r="NJ167" s="5"/>
      <c r="NK167" s="5"/>
      <c r="NL167" s="5"/>
      <c r="NM167" s="5"/>
      <c r="NN167" s="5"/>
      <c r="NO167" s="5"/>
      <c r="NP167" s="5"/>
      <c r="NQ167" s="5"/>
      <c r="NR167" s="5"/>
      <c r="NS167" s="5"/>
      <c r="NT167" s="5"/>
      <c r="NU167" s="5"/>
      <c r="NV167" s="5"/>
      <c r="NW167" s="5"/>
      <c r="NX167" s="5"/>
      <c r="NY167" s="5"/>
      <c r="NZ167" s="5"/>
      <c r="OA167" s="5"/>
      <c r="OB167" s="5"/>
      <c r="OC167" s="5"/>
      <c r="OD167" s="5"/>
      <c r="OE167" s="5"/>
      <c r="OF167" s="5"/>
      <c r="OG167" s="5"/>
      <c r="OH167" s="5"/>
      <c r="OI167" s="5"/>
      <c r="OJ167" s="5"/>
      <c r="OK167" s="5"/>
      <c r="OL167" s="5"/>
      <c r="OM167" s="5"/>
      <c r="ON167" s="5"/>
      <c r="OO167" s="5"/>
      <c r="OP167" s="5"/>
      <c r="OQ167" s="5"/>
      <c r="OR167" s="5"/>
      <c r="OS167" s="5"/>
      <c r="OT167" s="5"/>
      <c r="OU167" s="5"/>
      <c r="OV167" s="5"/>
      <c r="OW167" s="5"/>
      <c r="OX167" s="5"/>
      <c r="OY167" s="5"/>
      <c r="OZ167" s="5"/>
      <c r="PA167" s="5"/>
      <c r="PB167" s="5"/>
      <c r="PC167" s="5"/>
      <c r="PD167" s="5"/>
      <c r="PE167" s="5"/>
      <c r="PF167" s="5"/>
      <c r="PG167" s="5"/>
      <c r="PH167" s="5"/>
      <c r="PI167" s="5"/>
      <c r="PJ167" s="5"/>
      <c r="PK167" s="5"/>
      <c r="PL167" s="5"/>
      <c r="PM167" s="5"/>
      <c r="PN167" s="5"/>
      <c r="PO167" s="5"/>
      <c r="PP167" s="5"/>
      <c r="PQ167" s="5"/>
      <c r="PR167" s="5"/>
      <c r="PS167" s="5"/>
      <c r="PT167" s="5"/>
      <c r="PU167" s="5"/>
      <c r="PV167" s="5"/>
      <c r="PW167" s="5"/>
      <c r="PX167" s="5"/>
      <c r="PY167" s="5"/>
      <c r="PZ167" s="5"/>
      <c r="QA167" s="5"/>
      <c r="QB167" s="5"/>
      <c r="QC167" s="5"/>
      <c r="QD167" s="5"/>
      <c r="QE167" s="5"/>
      <c r="QF167" s="5"/>
      <c r="QG167" s="5"/>
      <c r="QH167" s="5"/>
      <c r="QI167" s="5"/>
      <c r="QJ167" s="5"/>
      <c r="QK167" s="5"/>
      <c r="QL167" s="5"/>
      <c r="QM167" s="5"/>
      <c r="QN167" s="5"/>
      <c r="QO167" s="5"/>
      <c r="QP167" s="5"/>
      <c r="QQ167" s="5"/>
      <c r="QR167" s="5"/>
      <c r="QS167" s="5"/>
      <c r="QT167" s="5"/>
      <c r="QU167" s="5"/>
      <c r="QV167" s="5"/>
      <c r="QW167" s="5"/>
      <c r="QX167" s="5"/>
      <c r="QY167" s="5"/>
      <c r="QZ167" s="5"/>
      <c r="RA167" s="5"/>
      <c r="RB167" s="5"/>
      <c r="RC167" s="5"/>
      <c r="RD167" s="5"/>
      <c r="RE167" s="5"/>
      <c r="RF167" s="5"/>
      <c r="RG167" s="5"/>
      <c r="RH167" s="5"/>
      <c r="RI167" s="5"/>
      <c r="RJ167" s="5"/>
      <c r="RK167" s="5"/>
      <c r="RL167" s="5"/>
      <c r="RM167" s="5"/>
      <c r="RN167" s="5"/>
      <c r="RO167" s="5"/>
      <c r="RP167" s="5"/>
      <c r="RQ167" s="5"/>
      <c r="RR167" s="5"/>
      <c r="RS167" s="5"/>
      <c r="RT167" s="5"/>
      <c r="RU167" s="5"/>
      <c r="RV167" s="5"/>
      <c r="RW167" s="5"/>
      <c r="RX167" s="5"/>
      <c r="RY167" s="5"/>
      <c r="RZ167" s="5"/>
      <c r="SA167" s="5"/>
      <c r="SB167" s="5"/>
      <c r="SC167" s="5"/>
      <c r="SD167" s="5"/>
      <c r="SE167" s="5"/>
      <c r="SF167" s="5"/>
      <c r="SG167" s="5"/>
      <c r="SH167" s="5"/>
      <c r="SI167" s="5"/>
      <c r="SJ167" s="5"/>
      <c r="SK167" s="5"/>
      <c r="SL167" s="5"/>
      <c r="SM167" s="5"/>
      <c r="SN167" s="5"/>
      <c r="SO167" s="5"/>
      <c r="SP167" s="5"/>
      <c r="SQ167" s="5"/>
      <c r="SR167" s="5"/>
      <c r="SS167" s="5"/>
      <c r="ST167" s="5"/>
      <c r="SU167" s="5"/>
      <c r="SV167" s="5"/>
      <c r="SW167" s="5"/>
      <c r="SX167" s="5"/>
      <c r="SY167" s="5"/>
      <c r="SZ167" s="5"/>
      <c r="TA167" s="5"/>
      <c r="TB167" s="5"/>
      <c r="TC167" s="5"/>
      <c r="TD167" s="5"/>
      <c r="TE167" s="5"/>
      <c r="TF167" s="5"/>
      <c r="TG167" s="5"/>
      <c r="TH167" s="5"/>
      <c r="TI167" s="5"/>
      <c r="TJ167" s="5"/>
      <c r="TK167" s="5"/>
      <c r="TL167" s="5"/>
      <c r="TM167" s="5"/>
      <c r="TN167" s="5"/>
      <c r="TO167" s="5"/>
      <c r="TP167" s="5"/>
      <c r="TQ167" s="5"/>
      <c r="TR167" s="5"/>
      <c r="TS167" s="5"/>
      <c r="TT167" s="5"/>
      <c r="TU167" s="5"/>
      <c r="TV167" s="5"/>
      <c r="TW167" s="5"/>
      <c r="TX167" s="5"/>
      <c r="TY167" s="5"/>
      <c r="TZ167" s="5"/>
      <c r="UA167" s="5"/>
      <c r="UB167" s="5"/>
      <c r="UC167" s="5"/>
      <c r="UD167" s="5"/>
      <c r="UE167" s="5"/>
      <c r="UF167" s="5"/>
      <c r="UG167" s="5"/>
      <c r="UH167" s="5"/>
      <c r="UI167" s="5"/>
      <c r="UJ167" s="5"/>
      <c r="UK167" s="5"/>
      <c r="UL167" s="5"/>
      <c r="UM167" s="5"/>
      <c r="UN167" s="5"/>
      <c r="UO167" s="5"/>
      <c r="UP167" s="5"/>
      <c r="UQ167" s="5"/>
      <c r="UR167" s="5"/>
      <c r="US167" s="5"/>
      <c r="UT167" s="5"/>
      <c r="UU167" s="5"/>
      <c r="UV167" s="5"/>
      <c r="UW167" s="5"/>
      <c r="UX167" s="5"/>
      <c r="UY167" s="5"/>
      <c r="UZ167" s="5"/>
      <c r="VA167" s="5"/>
      <c r="VB167" s="5"/>
      <c r="VC167" s="5"/>
      <c r="VD167" s="5"/>
      <c r="VE167" s="5"/>
      <c r="VF167" s="5"/>
      <c r="VG167" s="5"/>
      <c r="VH167" s="5"/>
      <c r="VI167" s="5"/>
      <c r="VJ167" s="5"/>
      <c r="VK167" s="5"/>
      <c r="VL167" s="5"/>
      <c r="VM167" s="5"/>
      <c r="VN167" s="5"/>
      <c r="VO167" s="5"/>
      <c r="VP167" s="5"/>
      <c r="VQ167" s="5"/>
      <c r="VR167" s="5"/>
      <c r="VS167" s="5"/>
      <c r="VT167" s="5"/>
      <c r="VU167" s="5"/>
      <c r="VV167" s="5"/>
      <c r="VW167" s="5"/>
      <c r="VX167" s="5"/>
      <c r="VY167" s="5"/>
      <c r="VZ167" s="5"/>
      <c r="WA167" s="5"/>
      <c r="WB167" s="5"/>
      <c r="WC167" s="5"/>
      <c r="WD167" s="5"/>
      <c r="WE167" s="5"/>
      <c r="WF167" s="5"/>
      <c r="WG167" s="5"/>
      <c r="WH167" s="5"/>
      <c r="WI167" s="5"/>
      <c r="WJ167" s="5"/>
      <c r="WK167" s="5"/>
      <c r="WL167" s="5"/>
      <c r="WM167" s="5"/>
      <c r="WN167" s="5"/>
      <c r="WO167" s="5"/>
      <c r="WP167" s="5"/>
      <c r="WQ167" s="5"/>
      <c r="WR167" s="5"/>
      <c r="WS167" s="5"/>
      <c r="WT167" s="5"/>
      <c r="WU167" s="5"/>
      <c r="WV167" s="5"/>
      <c r="WW167" s="5"/>
      <c r="WX167" s="5"/>
      <c r="WY167" s="5"/>
      <c r="WZ167" s="5"/>
      <c r="XA167" s="5"/>
      <c r="XB167" s="5"/>
      <c r="XC167" s="5"/>
      <c r="XD167" s="5"/>
      <c r="XE167" s="5"/>
      <c r="XF167" s="5"/>
      <c r="XG167" s="5"/>
      <c r="XH167" s="5"/>
      <c r="XI167" s="5"/>
      <c r="XJ167" s="5"/>
      <c r="XK167" s="5"/>
      <c r="XL167" s="5"/>
      <c r="XM167" s="5"/>
      <c r="XN167" s="5"/>
      <c r="XO167" s="5"/>
      <c r="XP167" s="5"/>
      <c r="XQ167" s="5"/>
      <c r="XR167" s="5"/>
      <c r="XS167" s="5"/>
      <c r="XT167" s="5"/>
      <c r="XU167" s="5"/>
      <c r="XV167" s="5"/>
      <c r="XW167" s="5"/>
      <c r="XX167" s="5"/>
      <c r="XY167" s="5"/>
      <c r="XZ167" s="5"/>
      <c r="YA167" s="5"/>
      <c r="YB167" s="5"/>
      <c r="YC167" s="5"/>
      <c r="YD167" s="5"/>
      <c r="YE167" s="5"/>
      <c r="YF167" s="5"/>
      <c r="YG167" s="5"/>
      <c r="YH167" s="5"/>
      <c r="YI167" s="5"/>
      <c r="YJ167" s="5"/>
      <c r="YK167" s="5"/>
      <c r="YL167" s="5"/>
      <c r="YM167" s="5"/>
      <c r="YN167" s="5"/>
      <c r="YO167" s="5"/>
      <c r="YP167" s="5"/>
      <c r="YQ167" s="5"/>
      <c r="YR167" s="5"/>
      <c r="YS167" s="5"/>
      <c r="YT167" s="5"/>
      <c r="YU167" s="5"/>
      <c r="YV167" s="5"/>
      <c r="YW167" s="5"/>
      <c r="YX167" s="5"/>
      <c r="YY167" s="5"/>
      <c r="YZ167" s="5"/>
    </row>
    <row r="168" spans="1:676">
      <c r="A168" s="7">
        <v>158</v>
      </c>
      <c r="B168" s="7" t="s">
        <v>396</v>
      </c>
      <c r="C168" s="10" t="s">
        <v>397</v>
      </c>
      <c r="D168" s="7" t="s">
        <v>60</v>
      </c>
      <c r="E168" s="7" t="s">
        <v>178</v>
      </c>
      <c r="F168" s="7" t="s">
        <v>343</v>
      </c>
      <c r="G168" s="7"/>
      <c r="H168" s="7" t="s">
        <v>43</v>
      </c>
      <c r="I168" s="11">
        <v>2</v>
      </c>
      <c r="J168" s="11">
        <v>3</v>
      </c>
      <c r="K168" s="11">
        <v>0</v>
      </c>
      <c r="L168" s="11">
        <v>5.69</v>
      </c>
      <c r="M168" s="11">
        <v>0</v>
      </c>
      <c r="N168" s="11">
        <v>0</v>
      </c>
      <c r="O168" s="11">
        <v>0.66</v>
      </c>
      <c r="P168" s="11">
        <v>0.8</v>
      </c>
      <c r="Q168" s="11">
        <v>7.149999999999999</v>
      </c>
      <c r="R168" s="11">
        <v>14.04</v>
      </c>
      <c r="S168" s="11">
        <v>21.19</v>
      </c>
      <c r="T168" s="11">
        <v>2</v>
      </c>
      <c r="U168" s="11">
        <v>3</v>
      </c>
      <c r="V168" s="11">
        <v>16.19</v>
      </c>
      <c r="W168" s="13">
        <v>8</v>
      </c>
      <c r="X168" s="13">
        <v>12</v>
      </c>
      <c r="Y168" s="13" t="str">
        <f>MIN(W168,S168)</f>
        <v>0</v>
      </c>
      <c r="Z168" s="13" t="str">
        <f>MIN(X168,(S168-Y168))</f>
        <v>0</v>
      </c>
      <c r="AA168" s="13" t="str">
        <f>S168-SUM(Y168,Z168)</f>
        <v>0</v>
      </c>
      <c r="AB168" s="15"/>
      <c r="AC168" s="15"/>
      <c r="AD168" s="1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  <c r="IZ168" s="5"/>
      <c r="JA168" s="5"/>
      <c r="JB168" s="5"/>
      <c r="JC168" s="5"/>
      <c r="JD168" s="5"/>
      <c r="JE168" s="5"/>
      <c r="JF168" s="5"/>
      <c r="JG168" s="5"/>
      <c r="JH168" s="5"/>
      <c r="JI168" s="5"/>
      <c r="JJ168" s="5"/>
      <c r="JK168" s="5"/>
      <c r="JL168" s="5"/>
      <c r="JM168" s="5"/>
      <c r="JN168" s="5"/>
      <c r="JO168" s="5"/>
      <c r="JP168" s="5"/>
      <c r="JQ168" s="5"/>
      <c r="JR168" s="5"/>
      <c r="JS168" s="5"/>
      <c r="JT168" s="5"/>
      <c r="JU168" s="5"/>
      <c r="JV168" s="5"/>
      <c r="JW168" s="5"/>
      <c r="JX168" s="5"/>
      <c r="JY168" s="5"/>
      <c r="JZ168" s="5"/>
      <c r="KA168" s="5"/>
      <c r="KB168" s="5"/>
      <c r="KC168" s="5"/>
      <c r="KD168" s="5"/>
      <c r="KE168" s="5"/>
      <c r="KF168" s="5"/>
      <c r="KG168" s="5"/>
      <c r="KH168" s="5"/>
      <c r="KI168" s="5"/>
      <c r="KJ168" s="5"/>
      <c r="KK168" s="5"/>
      <c r="KL168" s="5"/>
      <c r="KM168" s="5"/>
      <c r="KN168" s="5"/>
      <c r="KO168" s="5"/>
      <c r="KP168" s="5"/>
      <c r="KQ168" s="5"/>
      <c r="KR168" s="5"/>
      <c r="KS168" s="5"/>
      <c r="KT168" s="5"/>
      <c r="KU168" s="5"/>
      <c r="KV168" s="5"/>
      <c r="KW168" s="5"/>
      <c r="KX168" s="5"/>
      <c r="KY168" s="5"/>
      <c r="KZ168" s="5"/>
      <c r="LA168" s="5"/>
      <c r="LB168" s="5"/>
      <c r="LC168" s="5"/>
      <c r="LD168" s="5"/>
      <c r="LE168" s="5"/>
      <c r="LF168" s="5"/>
      <c r="LG168" s="5"/>
      <c r="LH168" s="5"/>
      <c r="LI168" s="5"/>
      <c r="LJ168" s="5"/>
      <c r="LK168" s="5"/>
      <c r="LL168" s="5"/>
      <c r="LM168" s="5"/>
      <c r="LN168" s="5"/>
      <c r="LO168" s="5"/>
      <c r="LP168" s="5"/>
      <c r="LQ168" s="5"/>
      <c r="LR168" s="5"/>
      <c r="LS168" s="5"/>
      <c r="LT168" s="5"/>
      <c r="LU168" s="5"/>
      <c r="LV168" s="5"/>
      <c r="LW168" s="5"/>
      <c r="LX168" s="5"/>
      <c r="LY168" s="5"/>
      <c r="LZ168" s="5"/>
      <c r="MA168" s="5"/>
      <c r="MB168" s="5"/>
      <c r="MC168" s="5"/>
      <c r="MD168" s="5"/>
      <c r="ME168" s="5"/>
      <c r="MF168" s="5"/>
      <c r="MG168" s="5"/>
      <c r="MH168" s="5"/>
      <c r="MI168" s="5"/>
      <c r="MJ168" s="5"/>
      <c r="MK168" s="5"/>
      <c r="ML168" s="5"/>
      <c r="MM168" s="5"/>
      <c r="MN168" s="5"/>
      <c r="MO168" s="5"/>
      <c r="MP168" s="5"/>
      <c r="MQ168" s="5"/>
      <c r="MR168" s="5"/>
      <c r="MS168" s="5"/>
      <c r="MT168" s="5"/>
      <c r="MU168" s="5"/>
      <c r="MV168" s="5"/>
      <c r="MW168" s="5"/>
      <c r="MX168" s="5"/>
      <c r="MY168" s="5"/>
      <c r="MZ168" s="5"/>
      <c r="NA168" s="5"/>
      <c r="NB168" s="5"/>
      <c r="NC168" s="5"/>
      <c r="ND168" s="5"/>
      <c r="NE168" s="5"/>
      <c r="NF168" s="5"/>
      <c r="NG168" s="5"/>
      <c r="NH168" s="5"/>
      <c r="NI168" s="5"/>
      <c r="NJ168" s="5"/>
      <c r="NK168" s="5"/>
      <c r="NL168" s="5"/>
      <c r="NM168" s="5"/>
      <c r="NN168" s="5"/>
      <c r="NO168" s="5"/>
      <c r="NP168" s="5"/>
      <c r="NQ168" s="5"/>
      <c r="NR168" s="5"/>
      <c r="NS168" s="5"/>
      <c r="NT168" s="5"/>
      <c r="NU168" s="5"/>
      <c r="NV168" s="5"/>
      <c r="NW168" s="5"/>
      <c r="NX168" s="5"/>
      <c r="NY168" s="5"/>
      <c r="NZ168" s="5"/>
      <c r="OA168" s="5"/>
      <c r="OB168" s="5"/>
      <c r="OC168" s="5"/>
      <c r="OD168" s="5"/>
      <c r="OE168" s="5"/>
      <c r="OF168" s="5"/>
      <c r="OG168" s="5"/>
      <c r="OH168" s="5"/>
      <c r="OI168" s="5"/>
      <c r="OJ168" s="5"/>
      <c r="OK168" s="5"/>
      <c r="OL168" s="5"/>
      <c r="OM168" s="5"/>
      <c r="ON168" s="5"/>
      <c r="OO168" s="5"/>
      <c r="OP168" s="5"/>
      <c r="OQ168" s="5"/>
      <c r="OR168" s="5"/>
      <c r="OS168" s="5"/>
      <c r="OT168" s="5"/>
      <c r="OU168" s="5"/>
      <c r="OV168" s="5"/>
      <c r="OW168" s="5"/>
      <c r="OX168" s="5"/>
      <c r="OY168" s="5"/>
      <c r="OZ168" s="5"/>
      <c r="PA168" s="5"/>
      <c r="PB168" s="5"/>
      <c r="PC168" s="5"/>
      <c r="PD168" s="5"/>
      <c r="PE168" s="5"/>
      <c r="PF168" s="5"/>
      <c r="PG168" s="5"/>
      <c r="PH168" s="5"/>
      <c r="PI168" s="5"/>
      <c r="PJ168" s="5"/>
      <c r="PK168" s="5"/>
      <c r="PL168" s="5"/>
      <c r="PM168" s="5"/>
      <c r="PN168" s="5"/>
      <c r="PO168" s="5"/>
      <c r="PP168" s="5"/>
      <c r="PQ168" s="5"/>
      <c r="PR168" s="5"/>
      <c r="PS168" s="5"/>
      <c r="PT168" s="5"/>
      <c r="PU168" s="5"/>
      <c r="PV168" s="5"/>
      <c r="PW168" s="5"/>
      <c r="PX168" s="5"/>
      <c r="PY168" s="5"/>
      <c r="PZ168" s="5"/>
      <c r="QA168" s="5"/>
      <c r="QB168" s="5"/>
      <c r="QC168" s="5"/>
      <c r="QD168" s="5"/>
      <c r="QE168" s="5"/>
      <c r="QF168" s="5"/>
      <c r="QG168" s="5"/>
      <c r="QH168" s="5"/>
      <c r="QI168" s="5"/>
      <c r="QJ168" s="5"/>
      <c r="QK168" s="5"/>
      <c r="QL168" s="5"/>
      <c r="QM168" s="5"/>
      <c r="QN168" s="5"/>
      <c r="QO168" s="5"/>
      <c r="QP168" s="5"/>
      <c r="QQ168" s="5"/>
      <c r="QR168" s="5"/>
      <c r="QS168" s="5"/>
      <c r="QT168" s="5"/>
      <c r="QU168" s="5"/>
      <c r="QV168" s="5"/>
      <c r="QW168" s="5"/>
      <c r="QX168" s="5"/>
      <c r="QY168" s="5"/>
      <c r="QZ168" s="5"/>
      <c r="RA168" s="5"/>
      <c r="RB168" s="5"/>
      <c r="RC168" s="5"/>
      <c r="RD168" s="5"/>
      <c r="RE168" s="5"/>
      <c r="RF168" s="5"/>
      <c r="RG168" s="5"/>
      <c r="RH168" s="5"/>
      <c r="RI168" s="5"/>
      <c r="RJ168" s="5"/>
      <c r="RK168" s="5"/>
      <c r="RL168" s="5"/>
      <c r="RM168" s="5"/>
      <c r="RN168" s="5"/>
      <c r="RO168" s="5"/>
      <c r="RP168" s="5"/>
      <c r="RQ168" s="5"/>
      <c r="RR168" s="5"/>
      <c r="RS168" s="5"/>
      <c r="RT168" s="5"/>
      <c r="RU168" s="5"/>
      <c r="RV168" s="5"/>
      <c r="RW168" s="5"/>
      <c r="RX168" s="5"/>
      <c r="RY168" s="5"/>
      <c r="RZ168" s="5"/>
      <c r="SA168" s="5"/>
      <c r="SB168" s="5"/>
      <c r="SC168" s="5"/>
      <c r="SD168" s="5"/>
      <c r="SE168" s="5"/>
      <c r="SF168" s="5"/>
      <c r="SG168" s="5"/>
      <c r="SH168" s="5"/>
      <c r="SI168" s="5"/>
      <c r="SJ168" s="5"/>
      <c r="SK168" s="5"/>
      <c r="SL168" s="5"/>
      <c r="SM168" s="5"/>
      <c r="SN168" s="5"/>
      <c r="SO168" s="5"/>
      <c r="SP168" s="5"/>
      <c r="SQ168" s="5"/>
      <c r="SR168" s="5"/>
      <c r="SS168" s="5"/>
      <c r="ST168" s="5"/>
      <c r="SU168" s="5"/>
      <c r="SV168" s="5"/>
      <c r="SW168" s="5"/>
      <c r="SX168" s="5"/>
      <c r="SY168" s="5"/>
      <c r="SZ168" s="5"/>
      <c r="TA168" s="5"/>
      <c r="TB168" s="5"/>
      <c r="TC168" s="5"/>
      <c r="TD168" s="5"/>
      <c r="TE168" s="5"/>
      <c r="TF168" s="5"/>
      <c r="TG168" s="5"/>
      <c r="TH168" s="5"/>
      <c r="TI168" s="5"/>
      <c r="TJ168" s="5"/>
      <c r="TK168" s="5"/>
      <c r="TL168" s="5"/>
      <c r="TM168" s="5"/>
      <c r="TN168" s="5"/>
      <c r="TO168" s="5"/>
      <c r="TP168" s="5"/>
      <c r="TQ168" s="5"/>
      <c r="TR168" s="5"/>
      <c r="TS168" s="5"/>
      <c r="TT168" s="5"/>
      <c r="TU168" s="5"/>
      <c r="TV168" s="5"/>
      <c r="TW168" s="5"/>
      <c r="TX168" s="5"/>
      <c r="TY168" s="5"/>
      <c r="TZ168" s="5"/>
      <c r="UA168" s="5"/>
      <c r="UB168" s="5"/>
      <c r="UC168" s="5"/>
      <c r="UD168" s="5"/>
      <c r="UE168" s="5"/>
      <c r="UF168" s="5"/>
      <c r="UG168" s="5"/>
      <c r="UH168" s="5"/>
      <c r="UI168" s="5"/>
      <c r="UJ168" s="5"/>
      <c r="UK168" s="5"/>
      <c r="UL168" s="5"/>
      <c r="UM168" s="5"/>
      <c r="UN168" s="5"/>
      <c r="UO168" s="5"/>
      <c r="UP168" s="5"/>
      <c r="UQ168" s="5"/>
      <c r="UR168" s="5"/>
      <c r="US168" s="5"/>
      <c r="UT168" s="5"/>
      <c r="UU168" s="5"/>
      <c r="UV168" s="5"/>
      <c r="UW168" s="5"/>
      <c r="UX168" s="5"/>
      <c r="UY168" s="5"/>
      <c r="UZ168" s="5"/>
      <c r="VA168" s="5"/>
      <c r="VB168" s="5"/>
      <c r="VC168" s="5"/>
      <c r="VD168" s="5"/>
      <c r="VE168" s="5"/>
      <c r="VF168" s="5"/>
      <c r="VG168" s="5"/>
      <c r="VH168" s="5"/>
      <c r="VI168" s="5"/>
      <c r="VJ168" s="5"/>
      <c r="VK168" s="5"/>
      <c r="VL168" s="5"/>
      <c r="VM168" s="5"/>
      <c r="VN168" s="5"/>
      <c r="VO168" s="5"/>
      <c r="VP168" s="5"/>
      <c r="VQ168" s="5"/>
      <c r="VR168" s="5"/>
      <c r="VS168" s="5"/>
      <c r="VT168" s="5"/>
      <c r="VU168" s="5"/>
      <c r="VV168" s="5"/>
      <c r="VW168" s="5"/>
      <c r="VX168" s="5"/>
      <c r="VY168" s="5"/>
      <c r="VZ168" s="5"/>
      <c r="WA168" s="5"/>
      <c r="WB168" s="5"/>
      <c r="WC168" s="5"/>
      <c r="WD168" s="5"/>
      <c r="WE168" s="5"/>
      <c r="WF168" s="5"/>
      <c r="WG168" s="5"/>
      <c r="WH168" s="5"/>
      <c r="WI168" s="5"/>
      <c r="WJ168" s="5"/>
      <c r="WK168" s="5"/>
      <c r="WL168" s="5"/>
      <c r="WM168" s="5"/>
      <c r="WN168" s="5"/>
      <c r="WO168" s="5"/>
      <c r="WP168" s="5"/>
      <c r="WQ168" s="5"/>
      <c r="WR168" s="5"/>
      <c r="WS168" s="5"/>
      <c r="WT168" s="5"/>
      <c r="WU168" s="5"/>
      <c r="WV168" s="5"/>
      <c r="WW168" s="5"/>
      <c r="WX168" s="5"/>
      <c r="WY168" s="5"/>
      <c r="WZ168" s="5"/>
      <c r="XA168" s="5"/>
      <c r="XB168" s="5"/>
      <c r="XC168" s="5"/>
      <c r="XD168" s="5"/>
      <c r="XE168" s="5"/>
      <c r="XF168" s="5"/>
      <c r="XG168" s="5"/>
      <c r="XH168" s="5"/>
      <c r="XI168" s="5"/>
      <c r="XJ168" s="5"/>
      <c r="XK168" s="5"/>
      <c r="XL168" s="5"/>
      <c r="XM168" s="5"/>
      <c r="XN168" s="5"/>
      <c r="XO168" s="5"/>
      <c r="XP168" s="5"/>
      <c r="XQ168" s="5"/>
      <c r="XR168" s="5"/>
      <c r="XS168" s="5"/>
      <c r="XT168" s="5"/>
      <c r="XU168" s="5"/>
      <c r="XV168" s="5"/>
      <c r="XW168" s="5"/>
      <c r="XX168" s="5"/>
      <c r="XY168" s="5"/>
      <c r="XZ168" s="5"/>
      <c r="YA168" s="5"/>
      <c r="YB168" s="5"/>
      <c r="YC168" s="5"/>
      <c r="YD168" s="5"/>
      <c r="YE168" s="5"/>
      <c r="YF168" s="5"/>
      <c r="YG168" s="5"/>
      <c r="YH168" s="5"/>
      <c r="YI168" s="5"/>
      <c r="YJ168" s="5"/>
      <c r="YK168" s="5"/>
      <c r="YL168" s="5"/>
      <c r="YM168" s="5"/>
      <c r="YN168" s="5"/>
      <c r="YO168" s="5"/>
      <c r="YP168" s="5"/>
      <c r="YQ168" s="5"/>
      <c r="YR168" s="5"/>
      <c r="YS168" s="5"/>
      <c r="YT168" s="5"/>
      <c r="YU168" s="5"/>
      <c r="YV168" s="5"/>
      <c r="YW168" s="5"/>
      <c r="YX168" s="5"/>
      <c r="YY168" s="5"/>
      <c r="YZ168" s="5"/>
    </row>
    <row r="169" spans="1:676">
      <c r="A169" s="7">
        <v>159</v>
      </c>
      <c r="B169" s="7" t="s">
        <v>398</v>
      </c>
      <c r="C169" s="10" t="s">
        <v>399</v>
      </c>
      <c r="D169" s="7" t="s">
        <v>82</v>
      </c>
      <c r="E169" s="7" t="s">
        <v>178</v>
      </c>
      <c r="F169" s="7" t="s">
        <v>346</v>
      </c>
      <c r="G169" s="7"/>
      <c r="H169" s="7"/>
      <c r="I169" s="11">
        <v>2</v>
      </c>
      <c r="J169" s="11">
        <v>3</v>
      </c>
      <c r="K169" s="11">
        <v>0</v>
      </c>
      <c r="L169" s="11">
        <v>3.600000000000001</v>
      </c>
      <c r="M169" s="11">
        <v>0.4</v>
      </c>
      <c r="N169" s="11">
        <v>0</v>
      </c>
      <c r="O169" s="11">
        <v>1.5</v>
      </c>
      <c r="P169" s="11">
        <v>1.75</v>
      </c>
      <c r="Q169" s="11">
        <v>7.250000000000002</v>
      </c>
      <c r="R169" s="11">
        <v>14.42</v>
      </c>
      <c r="S169" s="11">
        <v>21.67</v>
      </c>
      <c r="T169" s="11">
        <v>2</v>
      </c>
      <c r="U169" s="11">
        <v>3</v>
      </c>
      <c r="V169" s="11">
        <v>16.67</v>
      </c>
      <c r="W169" s="13">
        <v>8</v>
      </c>
      <c r="X169" s="13">
        <v>12</v>
      </c>
      <c r="Y169" s="13" t="str">
        <f>MIN(W169,S169)</f>
        <v>0</v>
      </c>
      <c r="Z169" s="13" t="str">
        <f>MIN(X169,(S169-Y169))</f>
        <v>0</v>
      </c>
      <c r="AA169" s="13" t="str">
        <f>S169-SUM(Y169,Z169)</f>
        <v>0</v>
      </c>
      <c r="AB169" s="15"/>
      <c r="AC169" s="15"/>
      <c r="AD169" s="1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  <c r="IZ169" s="5"/>
      <c r="JA169" s="5"/>
      <c r="JB169" s="5"/>
      <c r="JC169" s="5"/>
      <c r="JD169" s="5"/>
      <c r="JE169" s="5"/>
      <c r="JF169" s="5"/>
      <c r="JG169" s="5"/>
      <c r="JH169" s="5"/>
      <c r="JI169" s="5"/>
      <c r="JJ169" s="5"/>
      <c r="JK169" s="5"/>
      <c r="JL169" s="5"/>
      <c r="JM169" s="5"/>
      <c r="JN169" s="5"/>
      <c r="JO169" s="5"/>
      <c r="JP169" s="5"/>
      <c r="JQ169" s="5"/>
      <c r="JR169" s="5"/>
      <c r="JS169" s="5"/>
      <c r="JT169" s="5"/>
      <c r="JU169" s="5"/>
      <c r="JV169" s="5"/>
      <c r="JW169" s="5"/>
      <c r="JX169" s="5"/>
      <c r="JY169" s="5"/>
      <c r="JZ169" s="5"/>
      <c r="KA169" s="5"/>
      <c r="KB169" s="5"/>
      <c r="KC169" s="5"/>
      <c r="KD169" s="5"/>
      <c r="KE169" s="5"/>
      <c r="KF169" s="5"/>
      <c r="KG169" s="5"/>
      <c r="KH169" s="5"/>
      <c r="KI169" s="5"/>
      <c r="KJ169" s="5"/>
      <c r="KK169" s="5"/>
      <c r="KL169" s="5"/>
      <c r="KM169" s="5"/>
      <c r="KN169" s="5"/>
      <c r="KO169" s="5"/>
      <c r="KP169" s="5"/>
      <c r="KQ169" s="5"/>
      <c r="KR169" s="5"/>
      <c r="KS169" s="5"/>
      <c r="KT169" s="5"/>
      <c r="KU169" s="5"/>
      <c r="KV169" s="5"/>
      <c r="KW169" s="5"/>
      <c r="KX169" s="5"/>
      <c r="KY169" s="5"/>
      <c r="KZ169" s="5"/>
      <c r="LA169" s="5"/>
      <c r="LB169" s="5"/>
      <c r="LC169" s="5"/>
      <c r="LD169" s="5"/>
      <c r="LE169" s="5"/>
      <c r="LF169" s="5"/>
      <c r="LG169" s="5"/>
      <c r="LH169" s="5"/>
      <c r="LI169" s="5"/>
      <c r="LJ169" s="5"/>
      <c r="LK169" s="5"/>
      <c r="LL169" s="5"/>
      <c r="LM169" s="5"/>
      <c r="LN169" s="5"/>
      <c r="LO169" s="5"/>
      <c r="LP169" s="5"/>
      <c r="LQ169" s="5"/>
      <c r="LR169" s="5"/>
      <c r="LS169" s="5"/>
      <c r="LT169" s="5"/>
      <c r="LU169" s="5"/>
      <c r="LV169" s="5"/>
      <c r="LW169" s="5"/>
      <c r="LX169" s="5"/>
      <c r="LY169" s="5"/>
      <c r="LZ169" s="5"/>
      <c r="MA169" s="5"/>
      <c r="MB169" s="5"/>
      <c r="MC169" s="5"/>
      <c r="MD169" s="5"/>
      <c r="ME169" s="5"/>
      <c r="MF169" s="5"/>
      <c r="MG169" s="5"/>
      <c r="MH169" s="5"/>
      <c r="MI169" s="5"/>
      <c r="MJ169" s="5"/>
      <c r="MK169" s="5"/>
      <c r="ML169" s="5"/>
      <c r="MM169" s="5"/>
      <c r="MN169" s="5"/>
      <c r="MO169" s="5"/>
      <c r="MP169" s="5"/>
      <c r="MQ169" s="5"/>
      <c r="MR169" s="5"/>
      <c r="MS169" s="5"/>
      <c r="MT169" s="5"/>
      <c r="MU169" s="5"/>
      <c r="MV169" s="5"/>
      <c r="MW169" s="5"/>
      <c r="MX169" s="5"/>
      <c r="MY169" s="5"/>
      <c r="MZ169" s="5"/>
      <c r="NA169" s="5"/>
      <c r="NB169" s="5"/>
      <c r="NC169" s="5"/>
      <c r="ND169" s="5"/>
      <c r="NE169" s="5"/>
      <c r="NF169" s="5"/>
      <c r="NG169" s="5"/>
      <c r="NH169" s="5"/>
      <c r="NI169" s="5"/>
      <c r="NJ169" s="5"/>
      <c r="NK169" s="5"/>
      <c r="NL169" s="5"/>
      <c r="NM169" s="5"/>
      <c r="NN169" s="5"/>
      <c r="NO169" s="5"/>
      <c r="NP169" s="5"/>
      <c r="NQ169" s="5"/>
      <c r="NR169" s="5"/>
      <c r="NS169" s="5"/>
      <c r="NT169" s="5"/>
      <c r="NU169" s="5"/>
      <c r="NV169" s="5"/>
      <c r="NW169" s="5"/>
      <c r="NX169" s="5"/>
      <c r="NY169" s="5"/>
      <c r="NZ169" s="5"/>
      <c r="OA169" s="5"/>
      <c r="OB169" s="5"/>
      <c r="OC169" s="5"/>
      <c r="OD169" s="5"/>
      <c r="OE169" s="5"/>
      <c r="OF169" s="5"/>
      <c r="OG169" s="5"/>
      <c r="OH169" s="5"/>
      <c r="OI169" s="5"/>
      <c r="OJ169" s="5"/>
      <c r="OK169" s="5"/>
      <c r="OL169" s="5"/>
      <c r="OM169" s="5"/>
      <c r="ON169" s="5"/>
      <c r="OO169" s="5"/>
      <c r="OP169" s="5"/>
      <c r="OQ169" s="5"/>
      <c r="OR169" s="5"/>
      <c r="OS169" s="5"/>
      <c r="OT169" s="5"/>
      <c r="OU169" s="5"/>
      <c r="OV169" s="5"/>
      <c r="OW169" s="5"/>
      <c r="OX169" s="5"/>
      <c r="OY169" s="5"/>
      <c r="OZ169" s="5"/>
      <c r="PA169" s="5"/>
      <c r="PB169" s="5"/>
      <c r="PC169" s="5"/>
      <c r="PD169" s="5"/>
      <c r="PE169" s="5"/>
      <c r="PF169" s="5"/>
      <c r="PG169" s="5"/>
      <c r="PH169" s="5"/>
      <c r="PI169" s="5"/>
      <c r="PJ169" s="5"/>
      <c r="PK169" s="5"/>
      <c r="PL169" s="5"/>
      <c r="PM169" s="5"/>
      <c r="PN169" s="5"/>
      <c r="PO169" s="5"/>
      <c r="PP169" s="5"/>
      <c r="PQ169" s="5"/>
      <c r="PR169" s="5"/>
      <c r="PS169" s="5"/>
      <c r="PT169" s="5"/>
      <c r="PU169" s="5"/>
      <c r="PV169" s="5"/>
      <c r="PW169" s="5"/>
      <c r="PX169" s="5"/>
      <c r="PY169" s="5"/>
      <c r="PZ169" s="5"/>
      <c r="QA169" s="5"/>
      <c r="QB169" s="5"/>
      <c r="QC169" s="5"/>
      <c r="QD169" s="5"/>
      <c r="QE169" s="5"/>
      <c r="QF169" s="5"/>
      <c r="QG169" s="5"/>
      <c r="QH169" s="5"/>
      <c r="QI169" s="5"/>
      <c r="QJ169" s="5"/>
      <c r="QK169" s="5"/>
      <c r="QL169" s="5"/>
      <c r="QM169" s="5"/>
      <c r="QN169" s="5"/>
      <c r="QO169" s="5"/>
      <c r="QP169" s="5"/>
      <c r="QQ169" s="5"/>
      <c r="QR169" s="5"/>
      <c r="QS169" s="5"/>
      <c r="QT169" s="5"/>
      <c r="QU169" s="5"/>
      <c r="QV169" s="5"/>
      <c r="QW169" s="5"/>
      <c r="QX169" s="5"/>
      <c r="QY169" s="5"/>
      <c r="QZ169" s="5"/>
      <c r="RA169" s="5"/>
      <c r="RB169" s="5"/>
      <c r="RC169" s="5"/>
      <c r="RD169" s="5"/>
      <c r="RE169" s="5"/>
      <c r="RF169" s="5"/>
      <c r="RG169" s="5"/>
      <c r="RH169" s="5"/>
      <c r="RI169" s="5"/>
      <c r="RJ169" s="5"/>
      <c r="RK169" s="5"/>
      <c r="RL169" s="5"/>
      <c r="RM169" s="5"/>
      <c r="RN169" s="5"/>
      <c r="RO169" s="5"/>
      <c r="RP169" s="5"/>
      <c r="RQ169" s="5"/>
      <c r="RR169" s="5"/>
      <c r="RS169" s="5"/>
      <c r="RT169" s="5"/>
      <c r="RU169" s="5"/>
      <c r="RV169" s="5"/>
      <c r="RW169" s="5"/>
      <c r="RX169" s="5"/>
      <c r="RY169" s="5"/>
      <c r="RZ169" s="5"/>
      <c r="SA169" s="5"/>
      <c r="SB169" s="5"/>
      <c r="SC169" s="5"/>
      <c r="SD169" s="5"/>
      <c r="SE169" s="5"/>
      <c r="SF169" s="5"/>
      <c r="SG169" s="5"/>
      <c r="SH169" s="5"/>
      <c r="SI169" s="5"/>
      <c r="SJ169" s="5"/>
      <c r="SK169" s="5"/>
      <c r="SL169" s="5"/>
      <c r="SM169" s="5"/>
      <c r="SN169" s="5"/>
      <c r="SO169" s="5"/>
      <c r="SP169" s="5"/>
      <c r="SQ169" s="5"/>
      <c r="SR169" s="5"/>
      <c r="SS169" s="5"/>
      <c r="ST169" s="5"/>
      <c r="SU169" s="5"/>
      <c r="SV169" s="5"/>
      <c r="SW169" s="5"/>
      <c r="SX169" s="5"/>
      <c r="SY169" s="5"/>
      <c r="SZ169" s="5"/>
      <c r="TA169" s="5"/>
      <c r="TB169" s="5"/>
      <c r="TC169" s="5"/>
      <c r="TD169" s="5"/>
      <c r="TE169" s="5"/>
      <c r="TF169" s="5"/>
      <c r="TG169" s="5"/>
      <c r="TH169" s="5"/>
      <c r="TI169" s="5"/>
      <c r="TJ169" s="5"/>
      <c r="TK169" s="5"/>
      <c r="TL169" s="5"/>
      <c r="TM169" s="5"/>
      <c r="TN169" s="5"/>
      <c r="TO169" s="5"/>
      <c r="TP169" s="5"/>
      <c r="TQ169" s="5"/>
      <c r="TR169" s="5"/>
      <c r="TS169" s="5"/>
      <c r="TT169" s="5"/>
      <c r="TU169" s="5"/>
      <c r="TV169" s="5"/>
      <c r="TW169" s="5"/>
      <c r="TX169" s="5"/>
      <c r="TY169" s="5"/>
      <c r="TZ169" s="5"/>
      <c r="UA169" s="5"/>
      <c r="UB169" s="5"/>
      <c r="UC169" s="5"/>
      <c r="UD169" s="5"/>
      <c r="UE169" s="5"/>
      <c r="UF169" s="5"/>
      <c r="UG169" s="5"/>
      <c r="UH169" s="5"/>
      <c r="UI169" s="5"/>
      <c r="UJ169" s="5"/>
      <c r="UK169" s="5"/>
      <c r="UL169" s="5"/>
      <c r="UM169" s="5"/>
      <c r="UN169" s="5"/>
      <c r="UO169" s="5"/>
      <c r="UP169" s="5"/>
      <c r="UQ169" s="5"/>
      <c r="UR169" s="5"/>
      <c r="US169" s="5"/>
      <c r="UT169" s="5"/>
      <c r="UU169" s="5"/>
      <c r="UV169" s="5"/>
      <c r="UW169" s="5"/>
      <c r="UX169" s="5"/>
      <c r="UY169" s="5"/>
      <c r="UZ169" s="5"/>
      <c r="VA169" s="5"/>
      <c r="VB169" s="5"/>
      <c r="VC169" s="5"/>
      <c r="VD169" s="5"/>
      <c r="VE169" s="5"/>
      <c r="VF169" s="5"/>
      <c r="VG169" s="5"/>
      <c r="VH169" s="5"/>
      <c r="VI169" s="5"/>
      <c r="VJ169" s="5"/>
      <c r="VK169" s="5"/>
      <c r="VL169" s="5"/>
      <c r="VM169" s="5"/>
      <c r="VN169" s="5"/>
      <c r="VO169" s="5"/>
      <c r="VP169" s="5"/>
      <c r="VQ169" s="5"/>
      <c r="VR169" s="5"/>
      <c r="VS169" s="5"/>
      <c r="VT169" s="5"/>
      <c r="VU169" s="5"/>
      <c r="VV169" s="5"/>
      <c r="VW169" s="5"/>
      <c r="VX169" s="5"/>
      <c r="VY169" s="5"/>
      <c r="VZ169" s="5"/>
      <c r="WA169" s="5"/>
      <c r="WB169" s="5"/>
      <c r="WC169" s="5"/>
      <c r="WD169" s="5"/>
      <c r="WE169" s="5"/>
      <c r="WF169" s="5"/>
      <c r="WG169" s="5"/>
      <c r="WH169" s="5"/>
      <c r="WI169" s="5"/>
      <c r="WJ169" s="5"/>
      <c r="WK169" s="5"/>
      <c r="WL169" s="5"/>
      <c r="WM169" s="5"/>
      <c r="WN169" s="5"/>
      <c r="WO169" s="5"/>
      <c r="WP169" s="5"/>
      <c r="WQ169" s="5"/>
      <c r="WR169" s="5"/>
      <c r="WS169" s="5"/>
      <c r="WT169" s="5"/>
      <c r="WU169" s="5"/>
      <c r="WV169" s="5"/>
      <c r="WW169" s="5"/>
      <c r="WX169" s="5"/>
      <c r="WY169" s="5"/>
      <c r="WZ169" s="5"/>
      <c r="XA169" s="5"/>
      <c r="XB169" s="5"/>
      <c r="XC169" s="5"/>
      <c r="XD169" s="5"/>
      <c r="XE169" s="5"/>
      <c r="XF169" s="5"/>
      <c r="XG169" s="5"/>
      <c r="XH169" s="5"/>
      <c r="XI169" s="5"/>
      <c r="XJ169" s="5"/>
      <c r="XK169" s="5"/>
      <c r="XL169" s="5"/>
      <c r="XM169" s="5"/>
      <c r="XN169" s="5"/>
      <c r="XO169" s="5"/>
      <c r="XP169" s="5"/>
      <c r="XQ169" s="5"/>
      <c r="XR169" s="5"/>
      <c r="XS169" s="5"/>
      <c r="XT169" s="5"/>
      <c r="XU169" s="5"/>
      <c r="XV169" s="5"/>
      <c r="XW169" s="5"/>
      <c r="XX169" s="5"/>
      <c r="XY169" s="5"/>
      <c r="XZ169" s="5"/>
      <c r="YA169" s="5"/>
      <c r="YB169" s="5"/>
      <c r="YC169" s="5"/>
      <c r="YD169" s="5"/>
      <c r="YE169" s="5"/>
      <c r="YF169" s="5"/>
      <c r="YG169" s="5"/>
      <c r="YH169" s="5"/>
      <c r="YI169" s="5"/>
      <c r="YJ169" s="5"/>
      <c r="YK169" s="5"/>
      <c r="YL169" s="5"/>
      <c r="YM169" s="5"/>
      <c r="YN169" s="5"/>
      <c r="YO169" s="5"/>
      <c r="YP169" s="5"/>
      <c r="YQ169" s="5"/>
      <c r="YR169" s="5"/>
      <c r="YS169" s="5"/>
      <c r="YT169" s="5"/>
      <c r="YU169" s="5"/>
      <c r="YV169" s="5"/>
      <c r="YW169" s="5"/>
      <c r="YX169" s="5"/>
      <c r="YY169" s="5"/>
      <c r="YZ169" s="5"/>
    </row>
    <row r="170" spans="1:676">
      <c r="A170" s="7">
        <v>160</v>
      </c>
      <c r="B170" s="7" t="s">
        <v>400</v>
      </c>
      <c r="C170" s="10" t="s">
        <v>401</v>
      </c>
      <c r="D170" s="7" t="s">
        <v>152</v>
      </c>
      <c r="E170" s="7" t="s">
        <v>178</v>
      </c>
      <c r="F170" s="7" t="s">
        <v>351</v>
      </c>
      <c r="G170" s="7"/>
      <c r="H170" s="7"/>
      <c r="I170" s="11">
        <v>2</v>
      </c>
      <c r="J170" s="11">
        <v>0</v>
      </c>
      <c r="K170" s="11">
        <v>0</v>
      </c>
      <c r="L170" s="11">
        <v>0.34</v>
      </c>
      <c r="M170" s="11">
        <v>0</v>
      </c>
      <c r="N170" s="11">
        <v>0</v>
      </c>
      <c r="O170" s="11">
        <v>0</v>
      </c>
      <c r="P170" s="11">
        <v>0.8</v>
      </c>
      <c r="Q170" s="11">
        <v>1.14</v>
      </c>
      <c r="R170" s="11">
        <v>3.59</v>
      </c>
      <c r="S170" s="11">
        <v>4.73</v>
      </c>
      <c r="T170" s="11">
        <v>2</v>
      </c>
      <c r="U170" s="11">
        <v>0</v>
      </c>
      <c r="V170" s="11">
        <v>2.73</v>
      </c>
      <c r="W170" s="13">
        <v>8</v>
      </c>
      <c r="X170" s="13">
        <v>0</v>
      </c>
      <c r="Y170" s="13" t="str">
        <f>MIN(W170,S170)</f>
        <v>0</v>
      </c>
      <c r="Z170" s="13" t="str">
        <f>MIN(X170,(S170-Y170))</f>
        <v>0</v>
      </c>
      <c r="AA170" s="13" t="str">
        <f>S170-SUM(Y170,Z170)</f>
        <v>0</v>
      </c>
      <c r="AB170" s="15"/>
      <c r="AC170" s="15"/>
      <c r="AD170" s="1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  <c r="IZ170" s="5"/>
      <c r="JA170" s="5"/>
      <c r="JB170" s="5"/>
      <c r="JC170" s="5"/>
      <c r="JD170" s="5"/>
      <c r="JE170" s="5"/>
      <c r="JF170" s="5"/>
      <c r="JG170" s="5"/>
      <c r="JH170" s="5"/>
      <c r="JI170" s="5"/>
      <c r="JJ170" s="5"/>
      <c r="JK170" s="5"/>
      <c r="JL170" s="5"/>
      <c r="JM170" s="5"/>
      <c r="JN170" s="5"/>
      <c r="JO170" s="5"/>
      <c r="JP170" s="5"/>
      <c r="JQ170" s="5"/>
      <c r="JR170" s="5"/>
      <c r="JS170" s="5"/>
      <c r="JT170" s="5"/>
      <c r="JU170" s="5"/>
      <c r="JV170" s="5"/>
      <c r="JW170" s="5"/>
      <c r="JX170" s="5"/>
      <c r="JY170" s="5"/>
      <c r="JZ170" s="5"/>
      <c r="KA170" s="5"/>
      <c r="KB170" s="5"/>
      <c r="KC170" s="5"/>
      <c r="KD170" s="5"/>
      <c r="KE170" s="5"/>
      <c r="KF170" s="5"/>
      <c r="KG170" s="5"/>
      <c r="KH170" s="5"/>
      <c r="KI170" s="5"/>
      <c r="KJ170" s="5"/>
      <c r="KK170" s="5"/>
      <c r="KL170" s="5"/>
      <c r="KM170" s="5"/>
      <c r="KN170" s="5"/>
      <c r="KO170" s="5"/>
      <c r="KP170" s="5"/>
      <c r="KQ170" s="5"/>
      <c r="KR170" s="5"/>
      <c r="KS170" s="5"/>
      <c r="KT170" s="5"/>
      <c r="KU170" s="5"/>
      <c r="KV170" s="5"/>
      <c r="KW170" s="5"/>
      <c r="KX170" s="5"/>
      <c r="KY170" s="5"/>
      <c r="KZ170" s="5"/>
      <c r="LA170" s="5"/>
      <c r="LB170" s="5"/>
      <c r="LC170" s="5"/>
      <c r="LD170" s="5"/>
      <c r="LE170" s="5"/>
      <c r="LF170" s="5"/>
      <c r="LG170" s="5"/>
      <c r="LH170" s="5"/>
      <c r="LI170" s="5"/>
      <c r="LJ170" s="5"/>
      <c r="LK170" s="5"/>
      <c r="LL170" s="5"/>
      <c r="LM170" s="5"/>
      <c r="LN170" s="5"/>
      <c r="LO170" s="5"/>
      <c r="LP170" s="5"/>
      <c r="LQ170" s="5"/>
      <c r="LR170" s="5"/>
      <c r="LS170" s="5"/>
      <c r="LT170" s="5"/>
      <c r="LU170" s="5"/>
      <c r="LV170" s="5"/>
      <c r="LW170" s="5"/>
      <c r="LX170" s="5"/>
      <c r="LY170" s="5"/>
      <c r="LZ170" s="5"/>
      <c r="MA170" s="5"/>
      <c r="MB170" s="5"/>
      <c r="MC170" s="5"/>
      <c r="MD170" s="5"/>
      <c r="ME170" s="5"/>
      <c r="MF170" s="5"/>
      <c r="MG170" s="5"/>
      <c r="MH170" s="5"/>
      <c r="MI170" s="5"/>
      <c r="MJ170" s="5"/>
      <c r="MK170" s="5"/>
      <c r="ML170" s="5"/>
      <c r="MM170" s="5"/>
      <c r="MN170" s="5"/>
      <c r="MO170" s="5"/>
      <c r="MP170" s="5"/>
      <c r="MQ170" s="5"/>
      <c r="MR170" s="5"/>
      <c r="MS170" s="5"/>
      <c r="MT170" s="5"/>
      <c r="MU170" s="5"/>
      <c r="MV170" s="5"/>
      <c r="MW170" s="5"/>
      <c r="MX170" s="5"/>
      <c r="MY170" s="5"/>
      <c r="MZ170" s="5"/>
      <c r="NA170" s="5"/>
      <c r="NB170" s="5"/>
      <c r="NC170" s="5"/>
      <c r="ND170" s="5"/>
      <c r="NE170" s="5"/>
      <c r="NF170" s="5"/>
      <c r="NG170" s="5"/>
      <c r="NH170" s="5"/>
      <c r="NI170" s="5"/>
      <c r="NJ170" s="5"/>
      <c r="NK170" s="5"/>
      <c r="NL170" s="5"/>
      <c r="NM170" s="5"/>
      <c r="NN170" s="5"/>
      <c r="NO170" s="5"/>
      <c r="NP170" s="5"/>
      <c r="NQ170" s="5"/>
      <c r="NR170" s="5"/>
      <c r="NS170" s="5"/>
      <c r="NT170" s="5"/>
      <c r="NU170" s="5"/>
      <c r="NV170" s="5"/>
      <c r="NW170" s="5"/>
      <c r="NX170" s="5"/>
      <c r="NY170" s="5"/>
      <c r="NZ170" s="5"/>
      <c r="OA170" s="5"/>
      <c r="OB170" s="5"/>
      <c r="OC170" s="5"/>
      <c r="OD170" s="5"/>
      <c r="OE170" s="5"/>
      <c r="OF170" s="5"/>
      <c r="OG170" s="5"/>
      <c r="OH170" s="5"/>
      <c r="OI170" s="5"/>
      <c r="OJ170" s="5"/>
      <c r="OK170" s="5"/>
      <c r="OL170" s="5"/>
      <c r="OM170" s="5"/>
      <c r="ON170" s="5"/>
      <c r="OO170" s="5"/>
      <c r="OP170" s="5"/>
      <c r="OQ170" s="5"/>
      <c r="OR170" s="5"/>
      <c r="OS170" s="5"/>
      <c r="OT170" s="5"/>
      <c r="OU170" s="5"/>
      <c r="OV170" s="5"/>
      <c r="OW170" s="5"/>
      <c r="OX170" s="5"/>
      <c r="OY170" s="5"/>
      <c r="OZ170" s="5"/>
      <c r="PA170" s="5"/>
      <c r="PB170" s="5"/>
      <c r="PC170" s="5"/>
      <c r="PD170" s="5"/>
      <c r="PE170" s="5"/>
      <c r="PF170" s="5"/>
      <c r="PG170" s="5"/>
      <c r="PH170" s="5"/>
      <c r="PI170" s="5"/>
      <c r="PJ170" s="5"/>
      <c r="PK170" s="5"/>
      <c r="PL170" s="5"/>
      <c r="PM170" s="5"/>
      <c r="PN170" s="5"/>
      <c r="PO170" s="5"/>
      <c r="PP170" s="5"/>
      <c r="PQ170" s="5"/>
      <c r="PR170" s="5"/>
      <c r="PS170" s="5"/>
      <c r="PT170" s="5"/>
      <c r="PU170" s="5"/>
      <c r="PV170" s="5"/>
      <c r="PW170" s="5"/>
      <c r="PX170" s="5"/>
      <c r="PY170" s="5"/>
      <c r="PZ170" s="5"/>
      <c r="QA170" s="5"/>
      <c r="QB170" s="5"/>
      <c r="QC170" s="5"/>
      <c r="QD170" s="5"/>
      <c r="QE170" s="5"/>
      <c r="QF170" s="5"/>
      <c r="QG170" s="5"/>
      <c r="QH170" s="5"/>
      <c r="QI170" s="5"/>
      <c r="QJ170" s="5"/>
      <c r="QK170" s="5"/>
      <c r="QL170" s="5"/>
      <c r="QM170" s="5"/>
      <c r="QN170" s="5"/>
      <c r="QO170" s="5"/>
      <c r="QP170" s="5"/>
      <c r="QQ170" s="5"/>
      <c r="QR170" s="5"/>
      <c r="QS170" s="5"/>
      <c r="QT170" s="5"/>
      <c r="QU170" s="5"/>
      <c r="QV170" s="5"/>
      <c r="QW170" s="5"/>
      <c r="QX170" s="5"/>
      <c r="QY170" s="5"/>
      <c r="QZ170" s="5"/>
      <c r="RA170" s="5"/>
      <c r="RB170" s="5"/>
      <c r="RC170" s="5"/>
      <c r="RD170" s="5"/>
      <c r="RE170" s="5"/>
      <c r="RF170" s="5"/>
      <c r="RG170" s="5"/>
      <c r="RH170" s="5"/>
      <c r="RI170" s="5"/>
      <c r="RJ170" s="5"/>
      <c r="RK170" s="5"/>
      <c r="RL170" s="5"/>
      <c r="RM170" s="5"/>
      <c r="RN170" s="5"/>
      <c r="RO170" s="5"/>
      <c r="RP170" s="5"/>
      <c r="RQ170" s="5"/>
      <c r="RR170" s="5"/>
      <c r="RS170" s="5"/>
      <c r="RT170" s="5"/>
      <c r="RU170" s="5"/>
      <c r="RV170" s="5"/>
      <c r="RW170" s="5"/>
      <c r="RX170" s="5"/>
      <c r="RY170" s="5"/>
      <c r="RZ170" s="5"/>
      <c r="SA170" s="5"/>
      <c r="SB170" s="5"/>
      <c r="SC170" s="5"/>
      <c r="SD170" s="5"/>
      <c r="SE170" s="5"/>
      <c r="SF170" s="5"/>
      <c r="SG170" s="5"/>
      <c r="SH170" s="5"/>
      <c r="SI170" s="5"/>
      <c r="SJ170" s="5"/>
      <c r="SK170" s="5"/>
      <c r="SL170" s="5"/>
      <c r="SM170" s="5"/>
      <c r="SN170" s="5"/>
      <c r="SO170" s="5"/>
      <c r="SP170" s="5"/>
      <c r="SQ170" s="5"/>
      <c r="SR170" s="5"/>
      <c r="SS170" s="5"/>
      <c r="ST170" s="5"/>
      <c r="SU170" s="5"/>
      <c r="SV170" s="5"/>
      <c r="SW170" s="5"/>
      <c r="SX170" s="5"/>
      <c r="SY170" s="5"/>
      <c r="SZ170" s="5"/>
      <c r="TA170" s="5"/>
      <c r="TB170" s="5"/>
      <c r="TC170" s="5"/>
      <c r="TD170" s="5"/>
      <c r="TE170" s="5"/>
      <c r="TF170" s="5"/>
      <c r="TG170" s="5"/>
      <c r="TH170" s="5"/>
      <c r="TI170" s="5"/>
      <c r="TJ170" s="5"/>
      <c r="TK170" s="5"/>
      <c r="TL170" s="5"/>
      <c r="TM170" s="5"/>
      <c r="TN170" s="5"/>
      <c r="TO170" s="5"/>
      <c r="TP170" s="5"/>
      <c r="TQ170" s="5"/>
      <c r="TR170" s="5"/>
      <c r="TS170" s="5"/>
      <c r="TT170" s="5"/>
      <c r="TU170" s="5"/>
      <c r="TV170" s="5"/>
      <c r="TW170" s="5"/>
      <c r="TX170" s="5"/>
      <c r="TY170" s="5"/>
      <c r="TZ170" s="5"/>
      <c r="UA170" s="5"/>
      <c r="UB170" s="5"/>
      <c r="UC170" s="5"/>
      <c r="UD170" s="5"/>
      <c r="UE170" s="5"/>
      <c r="UF170" s="5"/>
      <c r="UG170" s="5"/>
      <c r="UH170" s="5"/>
      <c r="UI170" s="5"/>
      <c r="UJ170" s="5"/>
      <c r="UK170" s="5"/>
      <c r="UL170" s="5"/>
      <c r="UM170" s="5"/>
      <c r="UN170" s="5"/>
      <c r="UO170" s="5"/>
      <c r="UP170" s="5"/>
      <c r="UQ170" s="5"/>
      <c r="UR170" s="5"/>
      <c r="US170" s="5"/>
      <c r="UT170" s="5"/>
      <c r="UU170" s="5"/>
      <c r="UV170" s="5"/>
      <c r="UW170" s="5"/>
      <c r="UX170" s="5"/>
      <c r="UY170" s="5"/>
      <c r="UZ170" s="5"/>
      <c r="VA170" s="5"/>
      <c r="VB170" s="5"/>
      <c r="VC170" s="5"/>
      <c r="VD170" s="5"/>
      <c r="VE170" s="5"/>
      <c r="VF170" s="5"/>
      <c r="VG170" s="5"/>
      <c r="VH170" s="5"/>
      <c r="VI170" s="5"/>
      <c r="VJ170" s="5"/>
      <c r="VK170" s="5"/>
      <c r="VL170" s="5"/>
      <c r="VM170" s="5"/>
      <c r="VN170" s="5"/>
      <c r="VO170" s="5"/>
      <c r="VP170" s="5"/>
      <c r="VQ170" s="5"/>
      <c r="VR170" s="5"/>
      <c r="VS170" s="5"/>
      <c r="VT170" s="5"/>
      <c r="VU170" s="5"/>
      <c r="VV170" s="5"/>
      <c r="VW170" s="5"/>
      <c r="VX170" s="5"/>
      <c r="VY170" s="5"/>
      <c r="VZ170" s="5"/>
      <c r="WA170" s="5"/>
      <c r="WB170" s="5"/>
      <c r="WC170" s="5"/>
      <c r="WD170" s="5"/>
      <c r="WE170" s="5"/>
      <c r="WF170" s="5"/>
      <c r="WG170" s="5"/>
      <c r="WH170" s="5"/>
      <c r="WI170" s="5"/>
      <c r="WJ170" s="5"/>
      <c r="WK170" s="5"/>
      <c r="WL170" s="5"/>
      <c r="WM170" s="5"/>
      <c r="WN170" s="5"/>
      <c r="WO170" s="5"/>
      <c r="WP170" s="5"/>
      <c r="WQ170" s="5"/>
      <c r="WR170" s="5"/>
      <c r="WS170" s="5"/>
      <c r="WT170" s="5"/>
      <c r="WU170" s="5"/>
      <c r="WV170" s="5"/>
      <c r="WW170" s="5"/>
      <c r="WX170" s="5"/>
      <c r="WY170" s="5"/>
      <c r="WZ170" s="5"/>
      <c r="XA170" s="5"/>
      <c r="XB170" s="5"/>
      <c r="XC170" s="5"/>
      <c r="XD170" s="5"/>
      <c r="XE170" s="5"/>
      <c r="XF170" s="5"/>
      <c r="XG170" s="5"/>
      <c r="XH170" s="5"/>
      <c r="XI170" s="5"/>
      <c r="XJ170" s="5"/>
      <c r="XK170" s="5"/>
      <c r="XL170" s="5"/>
      <c r="XM170" s="5"/>
      <c r="XN170" s="5"/>
      <c r="XO170" s="5"/>
      <c r="XP170" s="5"/>
      <c r="XQ170" s="5"/>
      <c r="XR170" s="5"/>
      <c r="XS170" s="5"/>
      <c r="XT170" s="5"/>
      <c r="XU170" s="5"/>
      <c r="XV170" s="5"/>
      <c r="XW170" s="5"/>
      <c r="XX170" s="5"/>
      <c r="XY170" s="5"/>
      <c r="XZ170" s="5"/>
      <c r="YA170" s="5"/>
      <c r="YB170" s="5"/>
      <c r="YC170" s="5"/>
      <c r="YD170" s="5"/>
      <c r="YE170" s="5"/>
      <c r="YF170" s="5"/>
      <c r="YG170" s="5"/>
      <c r="YH170" s="5"/>
      <c r="YI170" s="5"/>
      <c r="YJ170" s="5"/>
      <c r="YK170" s="5"/>
      <c r="YL170" s="5"/>
      <c r="YM170" s="5"/>
      <c r="YN170" s="5"/>
      <c r="YO170" s="5"/>
      <c r="YP170" s="5"/>
      <c r="YQ170" s="5"/>
      <c r="YR170" s="5"/>
      <c r="YS170" s="5"/>
      <c r="YT170" s="5"/>
      <c r="YU170" s="5"/>
      <c r="YV170" s="5"/>
      <c r="YW170" s="5"/>
      <c r="YX170" s="5"/>
      <c r="YY170" s="5"/>
      <c r="YZ170" s="5"/>
    </row>
    <row r="171" spans="1:676">
      <c r="A171" s="7">
        <v>161</v>
      </c>
      <c r="B171" s="7" t="s">
        <v>402</v>
      </c>
      <c r="C171" s="10" t="s">
        <v>403</v>
      </c>
      <c r="D171" s="7" t="s">
        <v>54</v>
      </c>
      <c r="E171" s="7" t="s">
        <v>178</v>
      </c>
      <c r="F171" s="7" t="s">
        <v>346</v>
      </c>
      <c r="G171" s="7"/>
      <c r="H171" s="7" t="s">
        <v>43</v>
      </c>
      <c r="I171" s="11">
        <v>2</v>
      </c>
      <c r="J171" s="11">
        <v>3</v>
      </c>
      <c r="K171" s="11">
        <v>0</v>
      </c>
      <c r="L171" s="11">
        <v>5.839999999999998</v>
      </c>
      <c r="M171" s="11">
        <v>0.08</v>
      </c>
      <c r="N171" s="11">
        <v>0</v>
      </c>
      <c r="O171" s="11">
        <v>0.36</v>
      </c>
      <c r="P171" s="11">
        <v>0.83</v>
      </c>
      <c r="Q171" s="11">
        <v>7.109999999999999</v>
      </c>
      <c r="R171" s="11">
        <v>15.79</v>
      </c>
      <c r="S171" s="11">
        <v>22.9</v>
      </c>
      <c r="T171" s="11">
        <v>2</v>
      </c>
      <c r="U171" s="11">
        <v>3</v>
      </c>
      <c r="V171" s="11">
        <v>17.9</v>
      </c>
      <c r="W171" s="13">
        <v>8</v>
      </c>
      <c r="X171" s="13">
        <v>12</v>
      </c>
      <c r="Y171" s="13" t="str">
        <f>MIN(W171,S171)</f>
        <v>0</v>
      </c>
      <c r="Z171" s="13" t="str">
        <f>MIN(X171,(S171-Y171))</f>
        <v>0</v>
      </c>
      <c r="AA171" s="13" t="str">
        <f>S171-SUM(Y171,Z171)</f>
        <v>0</v>
      </c>
      <c r="AB171" s="15"/>
      <c r="AC171" s="15"/>
      <c r="AD171" s="1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  <c r="IZ171" s="5"/>
      <c r="JA171" s="5"/>
      <c r="JB171" s="5"/>
      <c r="JC171" s="5"/>
      <c r="JD171" s="5"/>
      <c r="JE171" s="5"/>
      <c r="JF171" s="5"/>
      <c r="JG171" s="5"/>
      <c r="JH171" s="5"/>
      <c r="JI171" s="5"/>
      <c r="JJ171" s="5"/>
      <c r="JK171" s="5"/>
      <c r="JL171" s="5"/>
      <c r="JM171" s="5"/>
      <c r="JN171" s="5"/>
      <c r="JO171" s="5"/>
      <c r="JP171" s="5"/>
      <c r="JQ171" s="5"/>
      <c r="JR171" s="5"/>
      <c r="JS171" s="5"/>
      <c r="JT171" s="5"/>
      <c r="JU171" s="5"/>
      <c r="JV171" s="5"/>
      <c r="JW171" s="5"/>
      <c r="JX171" s="5"/>
      <c r="JY171" s="5"/>
      <c r="JZ171" s="5"/>
      <c r="KA171" s="5"/>
      <c r="KB171" s="5"/>
      <c r="KC171" s="5"/>
      <c r="KD171" s="5"/>
      <c r="KE171" s="5"/>
      <c r="KF171" s="5"/>
      <c r="KG171" s="5"/>
      <c r="KH171" s="5"/>
      <c r="KI171" s="5"/>
      <c r="KJ171" s="5"/>
      <c r="KK171" s="5"/>
      <c r="KL171" s="5"/>
      <c r="KM171" s="5"/>
      <c r="KN171" s="5"/>
      <c r="KO171" s="5"/>
      <c r="KP171" s="5"/>
      <c r="KQ171" s="5"/>
      <c r="KR171" s="5"/>
      <c r="KS171" s="5"/>
      <c r="KT171" s="5"/>
      <c r="KU171" s="5"/>
      <c r="KV171" s="5"/>
      <c r="KW171" s="5"/>
      <c r="KX171" s="5"/>
      <c r="KY171" s="5"/>
      <c r="KZ171" s="5"/>
      <c r="LA171" s="5"/>
      <c r="LB171" s="5"/>
      <c r="LC171" s="5"/>
      <c r="LD171" s="5"/>
      <c r="LE171" s="5"/>
      <c r="LF171" s="5"/>
      <c r="LG171" s="5"/>
      <c r="LH171" s="5"/>
      <c r="LI171" s="5"/>
      <c r="LJ171" s="5"/>
      <c r="LK171" s="5"/>
      <c r="LL171" s="5"/>
      <c r="LM171" s="5"/>
      <c r="LN171" s="5"/>
      <c r="LO171" s="5"/>
      <c r="LP171" s="5"/>
      <c r="LQ171" s="5"/>
      <c r="LR171" s="5"/>
      <c r="LS171" s="5"/>
      <c r="LT171" s="5"/>
      <c r="LU171" s="5"/>
      <c r="LV171" s="5"/>
      <c r="LW171" s="5"/>
      <c r="LX171" s="5"/>
      <c r="LY171" s="5"/>
      <c r="LZ171" s="5"/>
      <c r="MA171" s="5"/>
      <c r="MB171" s="5"/>
      <c r="MC171" s="5"/>
      <c r="MD171" s="5"/>
      <c r="ME171" s="5"/>
      <c r="MF171" s="5"/>
      <c r="MG171" s="5"/>
      <c r="MH171" s="5"/>
      <c r="MI171" s="5"/>
      <c r="MJ171" s="5"/>
      <c r="MK171" s="5"/>
      <c r="ML171" s="5"/>
      <c r="MM171" s="5"/>
      <c r="MN171" s="5"/>
      <c r="MO171" s="5"/>
      <c r="MP171" s="5"/>
      <c r="MQ171" s="5"/>
      <c r="MR171" s="5"/>
      <c r="MS171" s="5"/>
      <c r="MT171" s="5"/>
      <c r="MU171" s="5"/>
      <c r="MV171" s="5"/>
      <c r="MW171" s="5"/>
      <c r="MX171" s="5"/>
      <c r="MY171" s="5"/>
      <c r="MZ171" s="5"/>
      <c r="NA171" s="5"/>
      <c r="NB171" s="5"/>
      <c r="NC171" s="5"/>
      <c r="ND171" s="5"/>
      <c r="NE171" s="5"/>
      <c r="NF171" s="5"/>
      <c r="NG171" s="5"/>
      <c r="NH171" s="5"/>
      <c r="NI171" s="5"/>
      <c r="NJ171" s="5"/>
      <c r="NK171" s="5"/>
      <c r="NL171" s="5"/>
      <c r="NM171" s="5"/>
      <c r="NN171" s="5"/>
      <c r="NO171" s="5"/>
      <c r="NP171" s="5"/>
      <c r="NQ171" s="5"/>
      <c r="NR171" s="5"/>
      <c r="NS171" s="5"/>
      <c r="NT171" s="5"/>
      <c r="NU171" s="5"/>
      <c r="NV171" s="5"/>
      <c r="NW171" s="5"/>
      <c r="NX171" s="5"/>
      <c r="NY171" s="5"/>
      <c r="NZ171" s="5"/>
      <c r="OA171" s="5"/>
      <c r="OB171" s="5"/>
      <c r="OC171" s="5"/>
      <c r="OD171" s="5"/>
      <c r="OE171" s="5"/>
      <c r="OF171" s="5"/>
      <c r="OG171" s="5"/>
      <c r="OH171" s="5"/>
      <c r="OI171" s="5"/>
      <c r="OJ171" s="5"/>
      <c r="OK171" s="5"/>
      <c r="OL171" s="5"/>
      <c r="OM171" s="5"/>
      <c r="ON171" s="5"/>
      <c r="OO171" s="5"/>
      <c r="OP171" s="5"/>
      <c r="OQ171" s="5"/>
      <c r="OR171" s="5"/>
      <c r="OS171" s="5"/>
      <c r="OT171" s="5"/>
      <c r="OU171" s="5"/>
      <c r="OV171" s="5"/>
      <c r="OW171" s="5"/>
      <c r="OX171" s="5"/>
      <c r="OY171" s="5"/>
      <c r="OZ171" s="5"/>
      <c r="PA171" s="5"/>
      <c r="PB171" s="5"/>
      <c r="PC171" s="5"/>
      <c r="PD171" s="5"/>
      <c r="PE171" s="5"/>
      <c r="PF171" s="5"/>
      <c r="PG171" s="5"/>
      <c r="PH171" s="5"/>
      <c r="PI171" s="5"/>
      <c r="PJ171" s="5"/>
      <c r="PK171" s="5"/>
      <c r="PL171" s="5"/>
      <c r="PM171" s="5"/>
      <c r="PN171" s="5"/>
      <c r="PO171" s="5"/>
      <c r="PP171" s="5"/>
      <c r="PQ171" s="5"/>
      <c r="PR171" s="5"/>
      <c r="PS171" s="5"/>
      <c r="PT171" s="5"/>
      <c r="PU171" s="5"/>
      <c r="PV171" s="5"/>
      <c r="PW171" s="5"/>
      <c r="PX171" s="5"/>
      <c r="PY171" s="5"/>
      <c r="PZ171" s="5"/>
      <c r="QA171" s="5"/>
      <c r="QB171" s="5"/>
      <c r="QC171" s="5"/>
      <c r="QD171" s="5"/>
      <c r="QE171" s="5"/>
      <c r="QF171" s="5"/>
      <c r="QG171" s="5"/>
      <c r="QH171" s="5"/>
      <c r="QI171" s="5"/>
      <c r="QJ171" s="5"/>
      <c r="QK171" s="5"/>
      <c r="QL171" s="5"/>
      <c r="QM171" s="5"/>
      <c r="QN171" s="5"/>
      <c r="QO171" s="5"/>
      <c r="QP171" s="5"/>
      <c r="QQ171" s="5"/>
      <c r="QR171" s="5"/>
      <c r="QS171" s="5"/>
      <c r="QT171" s="5"/>
      <c r="QU171" s="5"/>
      <c r="QV171" s="5"/>
      <c r="QW171" s="5"/>
      <c r="QX171" s="5"/>
      <c r="QY171" s="5"/>
      <c r="QZ171" s="5"/>
      <c r="RA171" s="5"/>
      <c r="RB171" s="5"/>
      <c r="RC171" s="5"/>
      <c r="RD171" s="5"/>
      <c r="RE171" s="5"/>
      <c r="RF171" s="5"/>
      <c r="RG171" s="5"/>
      <c r="RH171" s="5"/>
      <c r="RI171" s="5"/>
      <c r="RJ171" s="5"/>
      <c r="RK171" s="5"/>
      <c r="RL171" s="5"/>
      <c r="RM171" s="5"/>
      <c r="RN171" s="5"/>
      <c r="RO171" s="5"/>
      <c r="RP171" s="5"/>
      <c r="RQ171" s="5"/>
      <c r="RR171" s="5"/>
      <c r="RS171" s="5"/>
      <c r="RT171" s="5"/>
      <c r="RU171" s="5"/>
      <c r="RV171" s="5"/>
      <c r="RW171" s="5"/>
      <c r="RX171" s="5"/>
      <c r="RY171" s="5"/>
      <c r="RZ171" s="5"/>
      <c r="SA171" s="5"/>
      <c r="SB171" s="5"/>
      <c r="SC171" s="5"/>
      <c r="SD171" s="5"/>
      <c r="SE171" s="5"/>
      <c r="SF171" s="5"/>
      <c r="SG171" s="5"/>
      <c r="SH171" s="5"/>
      <c r="SI171" s="5"/>
      <c r="SJ171" s="5"/>
      <c r="SK171" s="5"/>
      <c r="SL171" s="5"/>
      <c r="SM171" s="5"/>
      <c r="SN171" s="5"/>
      <c r="SO171" s="5"/>
      <c r="SP171" s="5"/>
      <c r="SQ171" s="5"/>
      <c r="SR171" s="5"/>
      <c r="SS171" s="5"/>
      <c r="ST171" s="5"/>
      <c r="SU171" s="5"/>
      <c r="SV171" s="5"/>
      <c r="SW171" s="5"/>
      <c r="SX171" s="5"/>
      <c r="SY171" s="5"/>
      <c r="SZ171" s="5"/>
      <c r="TA171" s="5"/>
      <c r="TB171" s="5"/>
      <c r="TC171" s="5"/>
      <c r="TD171" s="5"/>
      <c r="TE171" s="5"/>
      <c r="TF171" s="5"/>
      <c r="TG171" s="5"/>
      <c r="TH171" s="5"/>
      <c r="TI171" s="5"/>
      <c r="TJ171" s="5"/>
      <c r="TK171" s="5"/>
      <c r="TL171" s="5"/>
      <c r="TM171" s="5"/>
      <c r="TN171" s="5"/>
      <c r="TO171" s="5"/>
      <c r="TP171" s="5"/>
      <c r="TQ171" s="5"/>
      <c r="TR171" s="5"/>
      <c r="TS171" s="5"/>
      <c r="TT171" s="5"/>
      <c r="TU171" s="5"/>
      <c r="TV171" s="5"/>
      <c r="TW171" s="5"/>
      <c r="TX171" s="5"/>
      <c r="TY171" s="5"/>
      <c r="TZ171" s="5"/>
      <c r="UA171" s="5"/>
      <c r="UB171" s="5"/>
      <c r="UC171" s="5"/>
      <c r="UD171" s="5"/>
      <c r="UE171" s="5"/>
      <c r="UF171" s="5"/>
      <c r="UG171" s="5"/>
      <c r="UH171" s="5"/>
      <c r="UI171" s="5"/>
      <c r="UJ171" s="5"/>
      <c r="UK171" s="5"/>
      <c r="UL171" s="5"/>
      <c r="UM171" s="5"/>
      <c r="UN171" s="5"/>
      <c r="UO171" s="5"/>
      <c r="UP171" s="5"/>
      <c r="UQ171" s="5"/>
      <c r="UR171" s="5"/>
      <c r="US171" s="5"/>
      <c r="UT171" s="5"/>
      <c r="UU171" s="5"/>
      <c r="UV171" s="5"/>
      <c r="UW171" s="5"/>
      <c r="UX171" s="5"/>
      <c r="UY171" s="5"/>
      <c r="UZ171" s="5"/>
      <c r="VA171" s="5"/>
      <c r="VB171" s="5"/>
      <c r="VC171" s="5"/>
      <c r="VD171" s="5"/>
      <c r="VE171" s="5"/>
      <c r="VF171" s="5"/>
      <c r="VG171" s="5"/>
      <c r="VH171" s="5"/>
      <c r="VI171" s="5"/>
      <c r="VJ171" s="5"/>
      <c r="VK171" s="5"/>
      <c r="VL171" s="5"/>
      <c r="VM171" s="5"/>
      <c r="VN171" s="5"/>
      <c r="VO171" s="5"/>
      <c r="VP171" s="5"/>
      <c r="VQ171" s="5"/>
      <c r="VR171" s="5"/>
      <c r="VS171" s="5"/>
      <c r="VT171" s="5"/>
      <c r="VU171" s="5"/>
      <c r="VV171" s="5"/>
      <c r="VW171" s="5"/>
      <c r="VX171" s="5"/>
      <c r="VY171" s="5"/>
      <c r="VZ171" s="5"/>
      <c r="WA171" s="5"/>
      <c r="WB171" s="5"/>
      <c r="WC171" s="5"/>
      <c r="WD171" s="5"/>
      <c r="WE171" s="5"/>
      <c r="WF171" s="5"/>
      <c r="WG171" s="5"/>
      <c r="WH171" s="5"/>
      <c r="WI171" s="5"/>
      <c r="WJ171" s="5"/>
      <c r="WK171" s="5"/>
      <c r="WL171" s="5"/>
      <c r="WM171" s="5"/>
      <c r="WN171" s="5"/>
      <c r="WO171" s="5"/>
      <c r="WP171" s="5"/>
      <c r="WQ171" s="5"/>
      <c r="WR171" s="5"/>
      <c r="WS171" s="5"/>
      <c r="WT171" s="5"/>
      <c r="WU171" s="5"/>
      <c r="WV171" s="5"/>
      <c r="WW171" s="5"/>
      <c r="WX171" s="5"/>
      <c r="WY171" s="5"/>
      <c r="WZ171" s="5"/>
      <c r="XA171" s="5"/>
      <c r="XB171" s="5"/>
      <c r="XC171" s="5"/>
      <c r="XD171" s="5"/>
      <c r="XE171" s="5"/>
      <c r="XF171" s="5"/>
      <c r="XG171" s="5"/>
      <c r="XH171" s="5"/>
      <c r="XI171" s="5"/>
      <c r="XJ171" s="5"/>
      <c r="XK171" s="5"/>
      <c r="XL171" s="5"/>
      <c r="XM171" s="5"/>
      <c r="XN171" s="5"/>
      <c r="XO171" s="5"/>
      <c r="XP171" s="5"/>
      <c r="XQ171" s="5"/>
      <c r="XR171" s="5"/>
      <c r="XS171" s="5"/>
      <c r="XT171" s="5"/>
      <c r="XU171" s="5"/>
      <c r="XV171" s="5"/>
      <c r="XW171" s="5"/>
      <c r="XX171" s="5"/>
      <c r="XY171" s="5"/>
      <c r="XZ171" s="5"/>
      <c r="YA171" s="5"/>
      <c r="YB171" s="5"/>
      <c r="YC171" s="5"/>
      <c r="YD171" s="5"/>
      <c r="YE171" s="5"/>
      <c r="YF171" s="5"/>
      <c r="YG171" s="5"/>
      <c r="YH171" s="5"/>
      <c r="YI171" s="5"/>
      <c r="YJ171" s="5"/>
      <c r="YK171" s="5"/>
      <c r="YL171" s="5"/>
      <c r="YM171" s="5"/>
      <c r="YN171" s="5"/>
      <c r="YO171" s="5"/>
      <c r="YP171" s="5"/>
      <c r="YQ171" s="5"/>
      <c r="YR171" s="5"/>
      <c r="YS171" s="5"/>
      <c r="YT171" s="5"/>
      <c r="YU171" s="5"/>
      <c r="YV171" s="5"/>
      <c r="YW171" s="5"/>
      <c r="YX171" s="5"/>
      <c r="YY171" s="5"/>
      <c r="YZ171" s="5"/>
    </row>
    <row r="172" spans="1:676">
      <c r="A172" s="7">
        <v>162</v>
      </c>
      <c r="B172" s="7" t="s">
        <v>404</v>
      </c>
      <c r="C172" s="10" t="s">
        <v>405</v>
      </c>
      <c r="D172" s="7" t="s">
        <v>89</v>
      </c>
      <c r="E172" s="7" t="s">
        <v>71</v>
      </c>
      <c r="F172" s="7" t="s">
        <v>351</v>
      </c>
      <c r="G172" s="7"/>
      <c r="H172" s="7" t="s">
        <v>43</v>
      </c>
      <c r="I172" s="11">
        <v>2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3">
        <v>8</v>
      </c>
      <c r="X172" s="13">
        <v>0</v>
      </c>
      <c r="Y172" s="13" t="str">
        <f>MIN(W172,S172)</f>
        <v>0</v>
      </c>
      <c r="Z172" s="13" t="str">
        <f>MIN(X172,(S172-Y172))</f>
        <v>0</v>
      </c>
      <c r="AA172" s="13" t="str">
        <f>S172-SUM(Y172,Z172)</f>
        <v>0</v>
      </c>
      <c r="AB172" s="15"/>
      <c r="AC172" s="15"/>
      <c r="AD172" s="1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  <c r="IZ172" s="5"/>
      <c r="JA172" s="5"/>
      <c r="JB172" s="5"/>
      <c r="JC172" s="5"/>
      <c r="JD172" s="5"/>
      <c r="JE172" s="5"/>
      <c r="JF172" s="5"/>
      <c r="JG172" s="5"/>
      <c r="JH172" s="5"/>
      <c r="JI172" s="5"/>
      <c r="JJ172" s="5"/>
      <c r="JK172" s="5"/>
      <c r="JL172" s="5"/>
      <c r="JM172" s="5"/>
      <c r="JN172" s="5"/>
      <c r="JO172" s="5"/>
      <c r="JP172" s="5"/>
      <c r="JQ172" s="5"/>
      <c r="JR172" s="5"/>
      <c r="JS172" s="5"/>
      <c r="JT172" s="5"/>
      <c r="JU172" s="5"/>
      <c r="JV172" s="5"/>
      <c r="JW172" s="5"/>
      <c r="JX172" s="5"/>
      <c r="JY172" s="5"/>
      <c r="JZ172" s="5"/>
      <c r="KA172" s="5"/>
      <c r="KB172" s="5"/>
      <c r="KC172" s="5"/>
      <c r="KD172" s="5"/>
      <c r="KE172" s="5"/>
      <c r="KF172" s="5"/>
      <c r="KG172" s="5"/>
      <c r="KH172" s="5"/>
      <c r="KI172" s="5"/>
      <c r="KJ172" s="5"/>
      <c r="KK172" s="5"/>
      <c r="KL172" s="5"/>
      <c r="KM172" s="5"/>
      <c r="KN172" s="5"/>
      <c r="KO172" s="5"/>
      <c r="KP172" s="5"/>
      <c r="KQ172" s="5"/>
      <c r="KR172" s="5"/>
      <c r="KS172" s="5"/>
      <c r="KT172" s="5"/>
      <c r="KU172" s="5"/>
      <c r="KV172" s="5"/>
      <c r="KW172" s="5"/>
      <c r="KX172" s="5"/>
      <c r="KY172" s="5"/>
      <c r="KZ172" s="5"/>
      <c r="LA172" s="5"/>
      <c r="LB172" s="5"/>
      <c r="LC172" s="5"/>
      <c r="LD172" s="5"/>
      <c r="LE172" s="5"/>
      <c r="LF172" s="5"/>
      <c r="LG172" s="5"/>
      <c r="LH172" s="5"/>
      <c r="LI172" s="5"/>
      <c r="LJ172" s="5"/>
      <c r="LK172" s="5"/>
      <c r="LL172" s="5"/>
      <c r="LM172" s="5"/>
      <c r="LN172" s="5"/>
      <c r="LO172" s="5"/>
      <c r="LP172" s="5"/>
      <c r="LQ172" s="5"/>
      <c r="LR172" s="5"/>
      <c r="LS172" s="5"/>
      <c r="LT172" s="5"/>
      <c r="LU172" s="5"/>
      <c r="LV172" s="5"/>
      <c r="LW172" s="5"/>
      <c r="LX172" s="5"/>
      <c r="LY172" s="5"/>
      <c r="LZ172" s="5"/>
      <c r="MA172" s="5"/>
      <c r="MB172" s="5"/>
      <c r="MC172" s="5"/>
      <c r="MD172" s="5"/>
      <c r="ME172" s="5"/>
      <c r="MF172" s="5"/>
      <c r="MG172" s="5"/>
      <c r="MH172" s="5"/>
      <c r="MI172" s="5"/>
      <c r="MJ172" s="5"/>
      <c r="MK172" s="5"/>
      <c r="ML172" s="5"/>
      <c r="MM172" s="5"/>
      <c r="MN172" s="5"/>
      <c r="MO172" s="5"/>
      <c r="MP172" s="5"/>
      <c r="MQ172" s="5"/>
      <c r="MR172" s="5"/>
      <c r="MS172" s="5"/>
      <c r="MT172" s="5"/>
      <c r="MU172" s="5"/>
      <c r="MV172" s="5"/>
      <c r="MW172" s="5"/>
      <c r="MX172" s="5"/>
      <c r="MY172" s="5"/>
      <c r="MZ172" s="5"/>
      <c r="NA172" s="5"/>
      <c r="NB172" s="5"/>
      <c r="NC172" s="5"/>
      <c r="ND172" s="5"/>
      <c r="NE172" s="5"/>
      <c r="NF172" s="5"/>
      <c r="NG172" s="5"/>
      <c r="NH172" s="5"/>
      <c r="NI172" s="5"/>
      <c r="NJ172" s="5"/>
      <c r="NK172" s="5"/>
      <c r="NL172" s="5"/>
      <c r="NM172" s="5"/>
      <c r="NN172" s="5"/>
      <c r="NO172" s="5"/>
      <c r="NP172" s="5"/>
      <c r="NQ172" s="5"/>
      <c r="NR172" s="5"/>
      <c r="NS172" s="5"/>
      <c r="NT172" s="5"/>
      <c r="NU172" s="5"/>
      <c r="NV172" s="5"/>
      <c r="NW172" s="5"/>
      <c r="NX172" s="5"/>
      <c r="NY172" s="5"/>
      <c r="NZ172" s="5"/>
      <c r="OA172" s="5"/>
      <c r="OB172" s="5"/>
      <c r="OC172" s="5"/>
      <c r="OD172" s="5"/>
      <c r="OE172" s="5"/>
      <c r="OF172" s="5"/>
      <c r="OG172" s="5"/>
      <c r="OH172" s="5"/>
      <c r="OI172" s="5"/>
      <c r="OJ172" s="5"/>
      <c r="OK172" s="5"/>
      <c r="OL172" s="5"/>
      <c r="OM172" s="5"/>
      <c r="ON172" s="5"/>
      <c r="OO172" s="5"/>
      <c r="OP172" s="5"/>
      <c r="OQ172" s="5"/>
      <c r="OR172" s="5"/>
      <c r="OS172" s="5"/>
      <c r="OT172" s="5"/>
      <c r="OU172" s="5"/>
      <c r="OV172" s="5"/>
      <c r="OW172" s="5"/>
      <c r="OX172" s="5"/>
      <c r="OY172" s="5"/>
      <c r="OZ172" s="5"/>
      <c r="PA172" s="5"/>
      <c r="PB172" s="5"/>
      <c r="PC172" s="5"/>
      <c r="PD172" s="5"/>
      <c r="PE172" s="5"/>
      <c r="PF172" s="5"/>
      <c r="PG172" s="5"/>
      <c r="PH172" s="5"/>
      <c r="PI172" s="5"/>
      <c r="PJ172" s="5"/>
      <c r="PK172" s="5"/>
      <c r="PL172" s="5"/>
      <c r="PM172" s="5"/>
      <c r="PN172" s="5"/>
      <c r="PO172" s="5"/>
      <c r="PP172" s="5"/>
      <c r="PQ172" s="5"/>
      <c r="PR172" s="5"/>
      <c r="PS172" s="5"/>
      <c r="PT172" s="5"/>
      <c r="PU172" s="5"/>
      <c r="PV172" s="5"/>
      <c r="PW172" s="5"/>
      <c r="PX172" s="5"/>
      <c r="PY172" s="5"/>
      <c r="PZ172" s="5"/>
      <c r="QA172" s="5"/>
      <c r="QB172" s="5"/>
      <c r="QC172" s="5"/>
      <c r="QD172" s="5"/>
      <c r="QE172" s="5"/>
      <c r="QF172" s="5"/>
      <c r="QG172" s="5"/>
      <c r="QH172" s="5"/>
      <c r="QI172" s="5"/>
      <c r="QJ172" s="5"/>
      <c r="QK172" s="5"/>
      <c r="QL172" s="5"/>
      <c r="QM172" s="5"/>
      <c r="QN172" s="5"/>
      <c r="QO172" s="5"/>
      <c r="QP172" s="5"/>
      <c r="QQ172" s="5"/>
      <c r="QR172" s="5"/>
      <c r="QS172" s="5"/>
      <c r="QT172" s="5"/>
      <c r="QU172" s="5"/>
      <c r="QV172" s="5"/>
      <c r="QW172" s="5"/>
      <c r="QX172" s="5"/>
      <c r="QY172" s="5"/>
      <c r="QZ172" s="5"/>
      <c r="RA172" s="5"/>
      <c r="RB172" s="5"/>
      <c r="RC172" s="5"/>
      <c r="RD172" s="5"/>
      <c r="RE172" s="5"/>
      <c r="RF172" s="5"/>
      <c r="RG172" s="5"/>
      <c r="RH172" s="5"/>
      <c r="RI172" s="5"/>
      <c r="RJ172" s="5"/>
      <c r="RK172" s="5"/>
      <c r="RL172" s="5"/>
      <c r="RM172" s="5"/>
      <c r="RN172" s="5"/>
      <c r="RO172" s="5"/>
      <c r="RP172" s="5"/>
      <c r="RQ172" s="5"/>
      <c r="RR172" s="5"/>
      <c r="RS172" s="5"/>
      <c r="RT172" s="5"/>
      <c r="RU172" s="5"/>
      <c r="RV172" s="5"/>
      <c r="RW172" s="5"/>
      <c r="RX172" s="5"/>
      <c r="RY172" s="5"/>
      <c r="RZ172" s="5"/>
      <c r="SA172" s="5"/>
      <c r="SB172" s="5"/>
      <c r="SC172" s="5"/>
      <c r="SD172" s="5"/>
      <c r="SE172" s="5"/>
      <c r="SF172" s="5"/>
      <c r="SG172" s="5"/>
      <c r="SH172" s="5"/>
      <c r="SI172" s="5"/>
      <c r="SJ172" s="5"/>
      <c r="SK172" s="5"/>
      <c r="SL172" s="5"/>
      <c r="SM172" s="5"/>
      <c r="SN172" s="5"/>
      <c r="SO172" s="5"/>
      <c r="SP172" s="5"/>
      <c r="SQ172" s="5"/>
      <c r="SR172" s="5"/>
      <c r="SS172" s="5"/>
      <c r="ST172" s="5"/>
      <c r="SU172" s="5"/>
      <c r="SV172" s="5"/>
      <c r="SW172" s="5"/>
      <c r="SX172" s="5"/>
      <c r="SY172" s="5"/>
      <c r="SZ172" s="5"/>
      <c r="TA172" s="5"/>
      <c r="TB172" s="5"/>
      <c r="TC172" s="5"/>
      <c r="TD172" s="5"/>
      <c r="TE172" s="5"/>
      <c r="TF172" s="5"/>
      <c r="TG172" s="5"/>
      <c r="TH172" s="5"/>
      <c r="TI172" s="5"/>
      <c r="TJ172" s="5"/>
      <c r="TK172" s="5"/>
      <c r="TL172" s="5"/>
      <c r="TM172" s="5"/>
      <c r="TN172" s="5"/>
      <c r="TO172" s="5"/>
      <c r="TP172" s="5"/>
      <c r="TQ172" s="5"/>
      <c r="TR172" s="5"/>
      <c r="TS172" s="5"/>
      <c r="TT172" s="5"/>
      <c r="TU172" s="5"/>
      <c r="TV172" s="5"/>
      <c r="TW172" s="5"/>
      <c r="TX172" s="5"/>
      <c r="TY172" s="5"/>
      <c r="TZ172" s="5"/>
      <c r="UA172" s="5"/>
      <c r="UB172" s="5"/>
      <c r="UC172" s="5"/>
      <c r="UD172" s="5"/>
      <c r="UE172" s="5"/>
      <c r="UF172" s="5"/>
      <c r="UG172" s="5"/>
      <c r="UH172" s="5"/>
      <c r="UI172" s="5"/>
      <c r="UJ172" s="5"/>
      <c r="UK172" s="5"/>
      <c r="UL172" s="5"/>
      <c r="UM172" s="5"/>
      <c r="UN172" s="5"/>
      <c r="UO172" s="5"/>
      <c r="UP172" s="5"/>
      <c r="UQ172" s="5"/>
      <c r="UR172" s="5"/>
      <c r="US172" s="5"/>
      <c r="UT172" s="5"/>
      <c r="UU172" s="5"/>
      <c r="UV172" s="5"/>
      <c r="UW172" s="5"/>
      <c r="UX172" s="5"/>
      <c r="UY172" s="5"/>
      <c r="UZ172" s="5"/>
      <c r="VA172" s="5"/>
      <c r="VB172" s="5"/>
      <c r="VC172" s="5"/>
      <c r="VD172" s="5"/>
      <c r="VE172" s="5"/>
      <c r="VF172" s="5"/>
      <c r="VG172" s="5"/>
      <c r="VH172" s="5"/>
      <c r="VI172" s="5"/>
      <c r="VJ172" s="5"/>
      <c r="VK172" s="5"/>
      <c r="VL172" s="5"/>
      <c r="VM172" s="5"/>
      <c r="VN172" s="5"/>
      <c r="VO172" s="5"/>
      <c r="VP172" s="5"/>
      <c r="VQ172" s="5"/>
      <c r="VR172" s="5"/>
      <c r="VS172" s="5"/>
      <c r="VT172" s="5"/>
      <c r="VU172" s="5"/>
      <c r="VV172" s="5"/>
      <c r="VW172" s="5"/>
      <c r="VX172" s="5"/>
      <c r="VY172" s="5"/>
      <c r="VZ172" s="5"/>
      <c r="WA172" s="5"/>
      <c r="WB172" s="5"/>
      <c r="WC172" s="5"/>
      <c r="WD172" s="5"/>
      <c r="WE172" s="5"/>
      <c r="WF172" s="5"/>
      <c r="WG172" s="5"/>
      <c r="WH172" s="5"/>
      <c r="WI172" s="5"/>
      <c r="WJ172" s="5"/>
      <c r="WK172" s="5"/>
      <c r="WL172" s="5"/>
      <c r="WM172" s="5"/>
      <c r="WN172" s="5"/>
      <c r="WO172" s="5"/>
      <c r="WP172" s="5"/>
      <c r="WQ172" s="5"/>
      <c r="WR172" s="5"/>
      <c r="WS172" s="5"/>
      <c r="WT172" s="5"/>
      <c r="WU172" s="5"/>
      <c r="WV172" s="5"/>
      <c r="WW172" s="5"/>
      <c r="WX172" s="5"/>
      <c r="WY172" s="5"/>
      <c r="WZ172" s="5"/>
      <c r="XA172" s="5"/>
      <c r="XB172" s="5"/>
      <c r="XC172" s="5"/>
      <c r="XD172" s="5"/>
      <c r="XE172" s="5"/>
      <c r="XF172" s="5"/>
      <c r="XG172" s="5"/>
      <c r="XH172" s="5"/>
      <c r="XI172" s="5"/>
      <c r="XJ172" s="5"/>
      <c r="XK172" s="5"/>
      <c r="XL172" s="5"/>
      <c r="XM172" s="5"/>
      <c r="XN172" s="5"/>
      <c r="XO172" s="5"/>
      <c r="XP172" s="5"/>
      <c r="XQ172" s="5"/>
      <c r="XR172" s="5"/>
      <c r="XS172" s="5"/>
      <c r="XT172" s="5"/>
      <c r="XU172" s="5"/>
      <c r="XV172" s="5"/>
      <c r="XW172" s="5"/>
      <c r="XX172" s="5"/>
      <c r="XY172" s="5"/>
      <c r="XZ172" s="5"/>
      <c r="YA172" s="5"/>
      <c r="YB172" s="5"/>
      <c r="YC172" s="5"/>
      <c r="YD172" s="5"/>
      <c r="YE172" s="5"/>
      <c r="YF172" s="5"/>
      <c r="YG172" s="5"/>
      <c r="YH172" s="5"/>
      <c r="YI172" s="5"/>
      <c r="YJ172" s="5"/>
      <c r="YK172" s="5"/>
      <c r="YL172" s="5"/>
      <c r="YM172" s="5"/>
      <c r="YN172" s="5"/>
      <c r="YO172" s="5"/>
      <c r="YP172" s="5"/>
      <c r="YQ172" s="5"/>
      <c r="YR172" s="5"/>
      <c r="YS172" s="5"/>
      <c r="YT172" s="5"/>
      <c r="YU172" s="5"/>
      <c r="YV172" s="5"/>
      <c r="YW172" s="5"/>
      <c r="YX172" s="5"/>
      <c r="YY172" s="5"/>
      <c r="YZ172" s="5"/>
    </row>
    <row r="173" spans="1:676">
      <c r="A173" s="7">
        <v>163</v>
      </c>
      <c r="B173" s="7" t="s">
        <v>406</v>
      </c>
      <c r="C173" s="10" t="s">
        <v>407</v>
      </c>
      <c r="D173" s="7" t="s">
        <v>152</v>
      </c>
      <c r="E173" s="7" t="s">
        <v>46</v>
      </c>
      <c r="F173" s="7" t="s">
        <v>408</v>
      </c>
      <c r="G173" s="7"/>
      <c r="H173" s="7" t="s">
        <v>43</v>
      </c>
      <c r="I173" s="11">
        <v>2</v>
      </c>
      <c r="J173" s="11">
        <v>3</v>
      </c>
      <c r="K173" s="11">
        <v>0</v>
      </c>
      <c r="L173" s="11">
        <v>5.440000000000001</v>
      </c>
      <c r="M173" s="11">
        <v>0</v>
      </c>
      <c r="N173" s="11">
        <v>0</v>
      </c>
      <c r="O173" s="11">
        <v>0.18</v>
      </c>
      <c r="P173" s="11">
        <v>0</v>
      </c>
      <c r="Q173" s="11">
        <v>5.620000000000001</v>
      </c>
      <c r="R173" s="11">
        <v>14.18</v>
      </c>
      <c r="S173" s="11">
        <v>19.8</v>
      </c>
      <c r="T173" s="11">
        <v>2</v>
      </c>
      <c r="U173" s="11">
        <v>3</v>
      </c>
      <c r="V173" s="11">
        <v>14.8</v>
      </c>
      <c r="W173" s="13">
        <v>8</v>
      </c>
      <c r="X173" s="13">
        <v>12</v>
      </c>
      <c r="Y173" s="13" t="str">
        <f>MIN(W173,S173)</f>
        <v>0</v>
      </c>
      <c r="Z173" s="13" t="str">
        <f>MIN(X173,(S173-Y173))</f>
        <v>0</v>
      </c>
      <c r="AA173" s="13" t="str">
        <f>S173-SUM(Y173,Z173)</f>
        <v>0</v>
      </c>
      <c r="AB173" s="15"/>
      <c r="AC173" s="15"/>
      <c r="AD173" s="1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  <c r="IX173" s="5"/>
      <c r="IY173" s="5"/>
      <c r="IZ173" s="5"/>
      <c r="JA173" s="5"/>
      <c r="JB173" s="5"/>
      <c r="JC173" s="5"/>
      <c r="JD173" s="5"/>
      <c r="JE173" s="5"/>
      <c r="JF173" s="5"/>
      <c r="JG173" s="5"/>
      <c r="JH173" s="5"/>
      <c r="JI173" s="5"/>
      <c r="JJ173" s="5"/>
      <c r="JK173" s="5"/>
      <c r="JL173" s="5"/>
      <c r="JM173" s="5"/>
      <c r="JN173" s="5"/>
      <c r="JO173" s="5"/>
      <c r="JP173" s="5"/>
      <c r="JQ173" s="5"/>
      <c r="JR173" s="5"/>
      <c r="JS173" s="5"/>
      <c r="JT173" s="5"/>
      <c r="JU173" s="5"/>
      <c r="JV173" s="5"/>
      <c r="JW173" s="5"/>
      <c r="JX173" s="5"/>
      <c r="JY173" s="5"/>
      <c r="JZ173" s="5"/>
      <c r="KA173" s="5"/>
      <c r="KB173" s="5"/>
      <c r="KC173" s="5"/>
      <c r="KD173" s="5"/>
      <c r="KE173" s="5"/>
      <c r="KF173" s="5"/>
      <c r="KG173" s="5"/>
      <c r="KH173" s="5"/>
      <c r="KI173" s="5"/>
      <c r="KJ173" s="5"/>
      <c r="KK173" s="5"/>
      <c r="KL173" s="5"/>
      <c r="KM173" s="5"/>
      <c r="KN173" s="5"/>
      <c r="KO173" s="5"/>
      <c r="KP173" s="5"/>
      <c r="KQ173" s="5"/>
      <c r="KR173" s="5"/>
      <c r="KS173" s="5"/>
      <c r="KT173" s="5"/>
      <c r="KU173" s="5"/>
      <c r="KV173" s="5"/>
      <c r="KW173" s="5"/>
      <c r="KX173" s="5"/>
      <c r="KY173" s="5"/>
      <c r="KZ173" s="5"/>
      <c r="LA173" s="5"/>
      <c r="LB173" s="5"/>
      <c r="LC173" s="5"/>
      <c r="LD173" s="5"/>
      <c r="LE173" s="5"/>
      <c r="LF173" s="5"/>
      <c r="LG173" s="5"/>
      <c r="LH173" s="5"/>
      <c r="LI173" s="5"/>
      <c r="LJ173" s="5"/>
      <c r="LK173" s="5"/>
      <c r="LL173" s="5"/>
      <c r="LM173" s="5"/>
      <c r="LN173" s="5"/>
      <c r="LO173" s="5"/>
      <c r="LP173" s="5"/>
      <c r="LQ173" s="5"/>
      <c r="LR173" s="5"/>
      <c r="LS173" s="5"/>
      <c r="LT173" s="5"/>
      <c r="LU173" s="5"/>
      <c r="LV173" s="5"/>
      <c r="LW173" s="5"/>
      <c r="LX173" s="5"/>
      <c r="LY173" s="5"/>
      <c r="LZ173" s="5"/>
      <c r="MA173" s="5"/>
      <c r="MB173" s="5"/>
      <c r="MC173" s="5"/>
      <c r="MD173" s="5"/>
      <c r="ME173" s="5"/>
      <c r="MF173" s="5"/>
      <c r="MG173" s="5"/>
      <c r="MH173" s="5"/>
      <c r="MI173" s="5"/>
      <c r="MJ173" s="5"/>
      <c r="MK173" s="5"/>
      <c r="ML173" s="5"/>
      <c r="MM173" s="5"/>
      <c r="MN173" s="5"/>
      <c r="MO173" s="5"/>
      <c r="MP173" s="5"/>
      <c r="MQ173" s="5"/>
      <c r="MR173" s="5"/>
      <c r="MS173" s="5"/>
      <c r="MT173" s="5"/>
      <c r="MU173" s="5"/>
      <c r="MV173" s="5"/>
      <c r="MW173" s="5"/>
      <c r="MX173" s="5"/>
      <c r="MY173" s="5"/>
      <c r="MZ173" s="5"/>
      <c r="NA173" s="5"/>
      <c r="NB173" s="5"/>
      <c r="NC173" s="5"/>
      <c r="ND173" s="5"/>
      <c r="NE173" s="5"/>
      <c r="NF173" s="5"/>
      <c r="NG173" s="5"/>
      <c r="NH173" s="5"/>
      <c r="NI173" s="5"/>
      <c r="NJ173" s="5"/>
      <c r="NK173" s="5"/>
      <c r="NL173" s="5"/>
      <c r="NM173" s="5"/>
      <c r="NN173" s="5"/>
      <c r="NO173" s="5"/>
      <c r="NP173" s="5"/>
      <c r="NQ173" s="5"/>
      <c r="NR173" s="5"/>
      <c r="NS173" s="5"/>
      <c r="NT173" s="5"/>
      <c r="NU173" s="5"/>
      <c r="NV173" s="5"/>
      <c r="NW173" s="5"/>
      <c r="NX173" s="5"/>
      <c r="NY173" s="5"/>
      <c r="NZ173" s="5"/>
      <c r="OA173" s="5"/>
      <c r="OB173" s="5"/>
      <c r="OC173" s="5"/>
      <c r="OD173" s="5"/>
      <c r="OE173" s="5"/>
      <c r="OF173" s="5"/>
      <c r="OG173" s="5"/>
      <c r="OH173" s="5"/>
      <c r="OI173" s="5"/>
      <c r="OJ173" s="5"/>
      <c r="OK173" s="5"/>
      <c r="OL173" s="5"/>
      <c r="OM173" s="5"/>
      <c r="ON173" s="5"/>
      <c r="OO173" s="5"/>
      <c r="OP173" s="5"/>
      <c r="OQ173" s="5"/>
      <c r="OR173" s="5"/>
      <c r="OS173" s="5"/>
      <c r="OT173" s="5"/>
      <c r="OU173" s="5"/>
      <c r="OV173" s="5"/>
      <c r="OW173" s="5"/>
      <c r="OX173" s="5"/>
      <c r="OY173" s="5"/>
      <c r="OZ173" s="5"/>
      <c r="PA173" s="5"/>
      <c r="PB173" s="5"/>
      <c r="PC173" s="5"/>
      <c r="PD173" s="5"/>
      <c r="PE173" s="5"/>
      <c r="PF173" s="5"/>
      <c r="PG173" s="5"/>
      <c r="PH173" s="5"/>
      <c r="PI173" s="5"/>
      <c r="PJ173" s="5"/>
      <c r="PK173" s="5"/>
      <c r="PL173" s="5"/>
      <c r="PM173" s="5"/>
      <c r="PN173" s="5"/>
      <c r="PO173" s="5"/>
      <c r="PP173" s="5"/>
      <c r="PQ173" s="5"/>
      <c r="PR173" s="5"/>
      <c r="PS173" s="5"/>
      <c r="PT173" s="5"/>
      <c r="PU173" s="5"/>
      <c r="PV173" s="5"/>
      <c r="PW173" s="5"/>
      <c r="PX173" s="5"/>
      <c r="PY173" s="5"/>
      <c r="PZ173" s="5"/>
      <c r="QA173" s="5"/>
      <c r="QB173" s="5"/>
      <c r="QC173" s="5"/>
      <c r="QD173" s="5"/>
      <c r="QE173" s="5"/>
      <c r="QF173" s="5"/>
      <c r="QG173" s="5"/>
      <c r="QH173" s="5"/>
      <c r="QI173" s="5"/>
      <c r="QJ173" s="5"/>
      <c r="QK173" s="5"/>
      <c r="QL173" s="5"/>
      <c r="QM173" s="5"/>
      <c r="QN173" s="5"/>
      <c r="QO173" s="5"/>
      <c r="QP173" s="5"/>
      <c r="QQ173" s="5"/>
      <c r="QR173" s="5"/>
      <c r="QS173" s="5"/>
      <c r="QT173" s="5"/>
      <c r="QU173" s="5"/>
      <c r="QV173" s="5"/>
      <c r="QW173" s="5"/>
      <c r="QX173" s="5"/>
      <c r="QY173" s="5"/>
      <c r="QZ173" s="5"/>
      <c r="RA173" s="5"/>
      <c r="RB173" s="5"/>
      <c r="RC173" s="5"/>
      <c r="RD173" s="5"/>
      <c r="RE173" s="5"/>
      <c r="RF173" s="5"/>
      <c r="RG173" s="5"/>
      <c r="RH173" s="5"/>
      <c r="RI173" s="5"/>
      <c r="RJ173" s="5"/>
      <c r="RK173" s="5"/>
      <c r="RL173" s="5"/>
      <c r="RM173" s="5"/>
      <c r="RN173" s="5"/>
      <c r="RO173" s="5"/>
      <c r="RP173" s="5"/>
      <c r="RQ173" s="5"/>
      <c r="RR173" s="5"/>
      <c r="RS173" s="5"/>
      <c r="RT173" s="5"/>
      <c r="RU173" s="5"/>
      <c r="RV173" s="5"/>
      <c r="RW173" s="5"/>
      <c r="RX173" s="5"/>
      <c r="RY173" s="5"/>
      <c r="RZ173" s="5"/>
      <c r="SA173" s="5"/>
      <c r="SB173" s="5"/>
      <c r="SC173" s="5"/>
      <c r="SD173" s="5"/>
      <c r="SE173" s="5"/>
      <c r="SF173" s="5"/>
      <c r="SG173" s="5"/>
      <c r="SH173" s="5"/>
      <c r="SI173" s="5"/>
      <c r="SJ173" s="5"/>
      <c r="SK173" s="5"/>
      <c r="SL173" s="5"/>
      <c r="SM173" s="5"/>
      <c r="SN173" s="5"/>
      <c r="SO173" s="5"/>
      <c r="SP173" s="5"/>
      <c r="SQ173" s="5"/>
      <c r="SR173" s="5"/>
      <c r="SS173" s="5"/>
      <c r="ST173" s="5"/>
      <c r="SU173" s="5"/>
      <c r="SV173" s="5"/>
      <c r="SW173" s="5"/>
      <c r="SX173" s="5"/>
      <c r="SY173" s="5"/>
      <c r="SZ173" s="5"/>
      <c r="TA173" s="5"/>
      <c r="TB173" s="5"/>
      <c r="TC173" s="5"/>
      <c r="TD173" s="5"/>
      <c r="TE173" s="5"/>
      <c r="TF173" s="5"/>
      <c r="TG173" s="5"/>
      <c r="TH173" s="5"/>
      <c r="TI173" s="5"/>
      <c r="TJ173" s="5"/>
      <c r="TK173" s="5"/>
      <c r="TL173" s="5"/>
      <c r="TM173" s="5"/>
      <c r="TN173" s="5"/>
      <c r="TO173" s="5"/>
      <c r="TP173" s="5"/>
      <c r="TQ173" s="5"/>
      <c r="TR173" s="5"/>
      <c r="TS173" s="5"/>
      <c r="TT173" s="5"/>
      <c r="TU173" s="5"/>
      <c r="TV173" s="5"/>
      <c r="TW173" s="5"/>
      <c r="TX173" s="5"/>
      <c r="TY173" s="5"/>
      <c r="TZ173" s="5"/>
      <c r="UA173" s="5"/>
      <c r="UB173" s="5"/>
      <c r="UC173" s="5"/>
      <c r="UD173" s="5"/>
      <c r="UE173" s="5"/>
      <c r="UF173" s="5"/>
      <c r="UG173" s="5"/>
      <c r="UH173" s="5"/>
      <c r="UI173" s="5"/>
      <c r="UJ173" s="5"/>
      <c r="UK173" s="5"/>
      <c r="UL173" s="5"/>
      <c r="UM173" s="5"/>
      <c r="UN173" s="5"/>
      <c r="UO173" s="5"/>
      <c r="UP173" s="5"/>
      <c r="UQ173" s="5"/>
      <c r="UR173" s="5"/>
      <c r="US173" s="5"/>
      <c r="UT173" s="5"/>
      <c r="UU173" s="5"/>
      <c r="UV173" s="5"/>
      <c r="UW173" s="5"/>
      <c r="UX173" s="5"/>
      <c r="UY173" s="5"/>
      <c r="UZ173" s="5"/>
      <c r="VA173" s="5"/>
      <c r="VB173" s="5"/>
      <c r="VC173" s="5"/>
      <c r="VD173" s="5"/>
      <c r="VE173" s="5"/>
      <c r="VF173" s="5"/>
      <c r="VG173" s="5"/>
      <c r="VH173" s="5"/>
      <c r="VI173" s="5"/>
      <c r="VJ173" s="5"/>
      <c r="VK173" s="5"/>
      <c r="VL173" s="5"/>
      <c r="VM173" s="5"/>
      <c r="VN173" s="5"/>
      <c r="VO173" s="5"/>
      <c r="VP173" s="5"/>
      <c r="VQ173" s="5"/>
      <c r="VR173" s="5"/>
      <c r="VS173" s="5"/>
      <c r="VT173" s="5"/>
      <c r="VU173" s="5"/>
      <c r="VV173" s="5"/>
      <c r="VW173" s="5"/>
      <c r="VX173" s="5"/>
      <c r="VY173" s="5"/>
      <c r="VZ173" s="5"/>
      <c r="WA173" s="5"/>
      <c r="WB173" s="5"/>
      <c r="WC173" s="5"/>
      <c r="WD173" s="5"/>
      <c r="WE173" s="5"/>
      <c r="WF173" s="5"/>
      <c r="WG173" s="5"/>
      <c r="WH173" s="5"/>
      <c r="WI173" s="5"/>
      <c r="WJ173" s="5"/>
      <c r="WK173" s="5"/>
      <c r="WL173" s="5"/>
      <c r="WM173" s="5"/>
      <c r="WN173" s="5"/>
      <c r="WO173" s="5"/>
      <c r="WP173" s="5"/>
      <c r="WQ173" s="5"/>
      <c r="WR173" s="5"/>
      <c r="WS173" s="5"/>
      <c r="WT173" s="5"/>
      <c r="WU173" s="5"/>
      <c r="WV173" s="5"/>
      <c r="WW173" s="5"/>
      <c r="WX173" s="5"/>
      <c r="WY173" s="5"/>
      <c r="WZ173" s="5"/>
      <c r="XA173" s="5"/>
      <c r="XB173" s="5"/>
      <c r="XC173" s="5"/>
      <c r="XD173" s="5"/>
      <c r="XE173" s="5"/>
      <c r="XF173" s="5"/>
      <c r="XG173" s="5"/>
      <c r="XH173" s="5"/>
      <c r="XI173" s="5"/>
      <c r="XJ173" s="5"/>
      <c r="XK173" s="5"/>
      <c r="XL173" s="5"/>
      <c r="XM173" s="5"/>
      <c r="XN173" s="5"/>
      <c r="XO173" s="5"/>
      <c r="XP173" s="5"/>
      <c r="XQ173" s="5"/>
      <c r="XR173" s="5"/>
      <c r="XS173" s="5"/>
      <c r="XT173" s="5"/>
      <c r="XU173" s="5"/>
      <c r="XV173" s="5"/>
      <c r="XW173" s="5"/>
      <c r="XX173" s="5"/>
      <c r="XY173" s="5"/>
      <c r="XZ173" s="5"/>
      <c r="YA173" s="5"/>
      <c r="YB173" s="5"/>
      <c r="YC173" s="5"/>
      <c r="YD173" s="5"/>
      <c r="YE173" s="5"/>
      <c r="YF173" s="5"/>
      <c r="YG173" s="5"/>
      <c r="YH173" s="5"/>
      <c r="YI173" s="5"/>
      <c r="YJ173" s="5"/>
      <c r="YK173" s="5"/>
      <c r="YL173" s="5"/>
      <c r="YM173" s="5"/>
      <c r="YN173" s="5"/>
      <c r="YO173" s="5"/>
      <c r="YP173" s="5"/>
      <c r="YQ173" s="5"/>
      <c r="YR173" s="5"/>
      <c r="YS173" s="5"/>
      <c r="YT173" s="5"/>
      <c r="YU173" s="5"/>
      <c r="YV173" s="5"/>
      <c r="YW173" s="5"/>
      <c r="YX173" s="5"/>
      <c r="YY173" s="5"/>
      <c r="YZ173" s="5"/>
    </row>
    <row r="174" spans="1:676">
      <c r="A174" s="7">
        <v>164</v>
      </c>
      <c r="B174" s="7" t="s">
        <v>409</v>
      </c>
      <c r="C174" s="10" t="s">
        <v>410</v>
      </c>
      <c r="D174" s="7" t="s">
        <v>60</v>
      </c>
      <c r="E174" s="7" t="s">
        <v>342</v>
      </c>
      <c r="F174" s="7" t="s">
        <v>343</v>
      </c>
      <c r="G174" s="7"/>
      <c r="H174" s="7" t="s">
        <v>43</v>
      </c>
      <c r="I174" s="11">
        <v>2</v>
      </c>
      <c r="J174" s="11">
        <v>3</v>
      </c>
      <c r="K174" s="11">
        <v>0</v>
      </c>
      <c r="L174" s="11">
        <v>2.12</v>
      </c>
      <c r="M174" s="11">
        <v>0.08</v>
      </c>
      <c r="N174" s="11">
        <v>0</v>
      </c>
      <c r="O174" s="11">
        <v>0.48</v>
      </c>
      <c r="P174" s="11">
        <v>0</v>
      </c>
      <c r="Q174" s="11">
        <v>2.68</v>
      </c>
      <c r="R174" s="11">
        <v>8.260000000000002</v>
      </c>
      <c r="S174" s="11">
        <v>10.94</v>
      </c>
      <c r="T174" s="11">
        <v>2</v>
      </c>
      <c r="U174" s="11">
        <v>3</v>
      </c>
      <c r="V174" s="11">
        <v>5.940000000000001</v>
      </c>
      <c r="W174" s="13">
        <v>8</v>
      </c>
      <c r="X174" s="13">
        <v>12</v>
      </c>
      <c r="Y174" s="13" t="str">
        <f>MIN(W174,S174)</f>
        <v>0</v>
      </c>
      <c r="Z174" s="13" t="str">
        <f>MIN(X174,(S174-Y174))</f>
        <v>0</v>
      </c>
      <c r="AA174" s="13" t="str">
        <f>S174-SUM(Y174,Z174)</f>
        <v>0</v>
      </c>
      <c r="AB174" s="15"/>
      <c r="AC174" s="15"/>
      <c r="AD174" s="1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5"/>
      <c r="IG174" s="5"/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5"/>
      <c r="IT174" s="5"/>
      <c r="IU174" s="5"/>
      <c r="IV174" s="5"/>
      <c r="IW174" s="5"/>
      <c r="IX174" s="5"/>
      <c r="IY174" s="5"/>
      <c r="IZ174" s="5"/>
      <c r="JA174" s="5"/>
      <c r="JB174" s="5"/>
      <c r="JC174" s="5"/>
      <c r="JD174" s="5"/>
      <c r="JE174" s="5"/>
      <c r="JF174" s="5"/>
      <c r="JG174" s="5"/>
      <c r="JH174" s="5"/>
      <c r="JI174" s="5"/>
      <c r="JJ174" s="5"/>
      <c r="JK174" s="5"/>
      <c r="JL174" s="5"/>
      <c r="JM174" s="5"/>
      <c r="JN174" s="5"/>
      <c r="JO174" s="5"/>
      <c r="JP174" s="5"/>
      <c r="JQ174" s="5"/>
      <c r="JR174" s="5"/>
      <c r="JS174" s="5"/>
      <c r="JT174" s="5"/>
      <c r="JU174" s="5"/>
      <c r="JV174" s="5"/>
      <c r="JW174" s="5"/>
      <c r="JX174" s="5"/>
      <c r="JY174" s="5"/>
      <c r="JZ174" s="5"/>
      <c r="KA174" s="5"/>
      <c r="KB174" s="5"/>
      <c r="KC174" s="5"/>
      <c r="KD174" s="5"/>
      <c r="KE174" s="5"/>
      <c r="KF174" s="5"/>
      <c r="KG174" s="5"/>
      <c r="KH174" s="5"/>
      <c r="KI174" s="5"/>
      <c r="KJ174" s="5"/>
      <c r="KK174" s="5"/>
      <c r="KL174" s="5"/>
      <c r="KM174" s="5"/>
      <c r="KN174" s="5"/>
      <c r="KO174" s="5"/>
      <c r="KP174" s="5"/>
      <c r="KQ174" s="5"/>
      <c r="KR174" s="5"/>
      <c r="KS174" s="5"/>
      <c r="KT174" s="5"/>
      <c r="KU174" s="5"/>
      <c r="KV174" s="5"/>
      <c r="KW174" s="5"/>
      <c r="KX174" s="5"/>
      <c r="KY174" s="5"/>
      <c r="KZ174" s="5"/>
      <c r="LA174" s="5"/>
      <c r="LB174" s="5"/>
      <c r="LC174" s="5"/>
      <c r="LD174" s="5"/>
      <c r="LE174" s="5"/>
      <c r="LF174" s="5"/>
      <c r="LG174" s="5"/>
      <c r="LH174" s="5"/>
      <c r="LI174" s="5"/>
      <c r="LJ174" s="5"/>
      <c r="LK174" s="5"/>
      <c r="LL174" s="5"/>
      <c r="LM174" s="5"/>
      <c r="LN174" s="5"/>
      <c r="LO174" s="5"/>
      <c r="LP174" s="5"/>
      <c r="LQ174" s="5"/>
      <c r="LR174" s="5"/>
      <c r="LS174" s="5"/>
      <c r="LT174" s="5"/>
      <c r="LU174" s="5"/>
      <c r="LV174" s="5"/>
      <c r="LW174" s="5"/>
      <c r="LX174" s="5"/>
      <c r="LY174" s="5"/>
      <c r="LZ174" s="5"/>
      <c r="MA174" s="5"/>
      <c r="MB174" s="5"/>
      <c r="MC174" s="5"/>
      <c r="MD174" s="5"/>
      <c r="ME174" s="5"/>
      <c r="MF174" s="5"/>
      <c r="MG174" s="5"/>
      <c r="MH174" s="5"/>
      <c r="MI174" s="5"/>
      <c r="MJ174" s="5"/>
      <c r="MK174" s="5"/>
      <c r="ML174" s="5"/>
      <c r="MM174" s="5"/>
      <c r="MN174" s="5"/>
      <c r="MO174" s="5"/>
      <c r="MP174" s="5"/>
      <c r="MQ174" s="5"/>
      <c r="MR174" s="5"/>
      <c r="MS174" s="5"/>
      <c r="MT174" s="5"/>
      <c r="MU174" s="5"/>
      <c r="MV174" s="5"/>
      <c r="MW174" s="5"/>
      <c r="MX174" s="5"/>
      <c r="MY174" s="5"/>
      <c r="MZ174" s="5"/>
      <c r="NA174" s="5"/>
      <c r="NB174" s="5"/>
      <c r="NC174" s="5"/>
      <c r="ND174" s="5"/>
      <c r="NE174" s="5"/>
      <c r="NF174" s="5"/>
      <c r="NG174" s="5"/>
      <c r="NH174" s="5"/>
      <c r="NI174" s="5"/>
      <c r="NJ174" s="5"/>
      <c r="NK174" s="5"/>
      <c r="NL174" s="5"/>
      <c r="NM174" s="5"/>
      <c r="NN174" s="5"/>
      <c r="NO174" s="5"/>
      <c r="NP174" s="5"/>
      <c r="NQ174" s="5"/>
      <c r="NR174" s="5"/>
      <c r="NS174" s="5"/>
      <c r="NT174" s="5"/>
      <c r="NU174" s="5"/>
      <c r="NV174" s="5"/>
      <c r="NW174" s="5"/>
      <c r="NX174" s="5"/>
      <c r="NY174" s="5"/>
      <c r="NZ174" s="5"/>
      <c r="OA174" s="5"/>
      <c r="OB174" s="5"/>
      <c r="OC174" s="5"/>
      <c r="OD174" s="5"/>
      <c r="OE174" s="5"/>
      <c r="OF174" s="5"/>
      <c r="OG174" s="5"/>
      <c r="OH174" s="5"/>
      <c r="OI174" s="5"/>
      <c r="OJ174" s="5"/>
      <c r="OK174" s="5"/>
      <c r="OL174" s="5"/>
      <c r="OM174" s="5"/>
      <c r="ON174" s="5"/>
      <c r="OO174" s="5"/>
      <c r="OP174" s="5"/>
      <c r="OQ174" s="5"/>
      <c r="OR174" s="5"/>
      <c r="OS174" s="5"/>
      <c r="OT174" s="5"/>
      <c r="OU174" s="5"/>
      <c r="OV174" s="5"/>
      <c r="OW174" s="5"/>
      <c r="OX174" s="5"/>
      <c r="OY174" s="5"/>
      <c r="OZ174" s="5"/>
      <c r="PA174" s="5"/>
      <c r="PB174" s="5"/>
      <c r="PC174" s="5"/>
      <c r="PD174" s="5"/>
      <c r="PE174" s="5"/>
      <c r="PF174" s="5"/>
      <c r="PG174" s="5"/>
      <c r="PH174" s="5"/>
      <c r="PI174" s="5"/>
      <c r="PJ174" s="5"/>
      <c r="PK174" s="5"/>
      <c r="PL174" s="5"/>
      <c r="PM174" s="5"/>
      <c r="PN174" s="5"/>
      <c r="PO174" s="5"/>
      <c r="PP174" s="5"/>
      <c r="PQ174" s="5"/>
      <c r="PR174" s="5"/>
      <c r="PS174" s="5"/>
      <c r="PT174" s="5"/>
      <c r="PU174" s="5"/>
      <c r="PV174" s="5"/>
      <c r="PW174" s="5"/>
      <c r="PX174" s="5"/>
      <c r="PY174" s="5"/>
      <c r="PZ174" s="5"/>
      <c r="QA174" s="5"/>
      <c r="QB174" s="5"/>
      <c r="QC174" s="5"/>
      <c r="QD174" s="5"/>
      <c r="QE174" s="5"/>
      <c r="QF174" s="5"/>
      <c r="QG174" s="5"/>
      <c r="QH174" s="5"/>
      <c r="QI174" s="5"/>
      <c r="QJ174" s="5"/>
      <c r="QK174" s="5"/>
      <c r="QL174" s="5"/>
      <c r="QM174" s="5"/>
      <c r="QN174" s="5"/>
      <c r="QO174" s="5"/>
      <c r="QP174" s="5"/>
      <c r="QQ174" s="5"/>
      <c r="QR174" s="5"/>
      <c r="QS174" s="5"/>
      <c r="QT174" s="5"/>
      <c r="QU174" s="5"/>
      <c r="QV174" s="5"/>
      <c r="QW174" s="5"/>
      <c r="QX174" s="5"/>
      <c r="QY174" s="5"/>
      <c r="QZ174" s="5"/>
      <c r="RA174" s="5"/>
      <c r="RB174" s="5"/>
      <c r="RC174" s="5"/>
      <c r="RD174" s="5"/>
      <c r="RE174" s="5"/>
      <c r="RF174" s="5"/>
      <c r="RG174" s="5"/>
      <c r="RH174" s="5"/>
      <c r="RI174" s="5"/>
      <c r="RJ174" s="5"/>
      <c r="RK174" s="5"/>
      <c r="RL174" s="5"/>
      <c r="RM174" s="5"/>
      <c r="RN174" s="5"/>
      <c r="RO174" s="5"/>
      <c r="RP174" s="5"/>
      <c r="RQ174" s="5"/>
      <c r="RR174" s="5"/>
      <c r="RS174" s="5"/>
      <c r="RT174" s="5"/>
      <c r="RU174" s="5"/>
      <c r="RV174" s="5"/>
      <c r="RW174" s="5"/>
      <c r="RX174" s="5"/>
      <c r="RY174" s="5"/>
      <c r="RZ174" s="5"/>
      <c r="SA174" s="5"/>
      <c r="SB174" s="5"/>
      <c r="SC174" s="5"/>
      <c r="SD174" s="5"/>
      <c r="SE174" s="5"/>
      <c r="SF174" s="5"/>
      <c r="SG174" s="5"/>
      <c r="SH174" s="5"/>
      <c r="SI174" s="5"/>
      <c r="SJ174" s="5"/>
      <c r="SK174" s="5"/>
      <c r="SL174" s="5"/>
      <c r="SM174" s="5"/>
      <c r="SN174" s="5"/>
      <c r="SO174" s="5"/>
      <c r="SP174" s="5"/>
      <c r="SQ174" s="5"/>
      <c r="SR174" s="5"/>
      <c r="SS174" s="5"/>
      <c r="ST174" s="5"/>
      <c r="SU174" s="5"/>
      <c r="SV174" s="5"/>
      <c r="SW174" s="5"/>
      <c r="SX174" s="5"/>
      <c r="SY174" s="5"/>
      <c r="SZ174" s="5"/>
      <c r="TA174" s="5"/>
      <c r="TB174" s="5"/>
      <c r="TC174" s="5"/>
      <c r="TD174" s="5"/>
      <c r="TE174" s="5"/>
      <c r="TF174" s="5"/>
      <c r="TG174" s="5"/>
      <c r="TH174" s="5"/>
      <c r="TI174" s="5"/>
      <c r="TJ174" s="5"/>
      <c r="TK174" s="5"/>
      <c r="TL174" s="5"/>
      <c r="TM174" s="5"/>
      <c r="TN174" s="5"/>
      <c r="TO174" s="5"/>
      <c r="TP174" s="5"/>
      <c r="TQ174" s="5"/>
      <c r="TR174" s="5"/>
      <c r="TS174" s="5"/>
      <c r="TT174" s="5"/>
      <c r="TU174" s="5"/>
      <c r="TV174" s="5"/>
      <c r="TW174" s="5"/>
      <c r="TX174" s="5"/>
      <c r="TY174" s="5"/>
      <c r="TZ174" s="5"/>
      <c r="UA174" s="5"/>
      <c r="UB174" s="5"/>
      <c r="UC174" s="5"/>
      <c r="UD174" s="5"/>
      <c r="UE174" s="5"/>
      <c r="UF174" s="5"/>
      <c r="UG174" s="5"/>
      <c r="UH174" s="5"/>
      <c r="UI174" s="5"/>
      <c r="UJ174" s="5"/>
      <c r="UK174" s="5"/>
      <c r="UL174" s="5"/>
      <c r="UM174" s="5"/>
      <c r="UN174" s="5"/>
      <c r="UO174" s="5"/>
      <c r="UP174" s="5"/>
      <c r="UQ174" s="5"/>
      <c r="UR174" s="5"/>
      <c r="US174" s="5"/>
      <c r="UT174" s="5"/>
      <c r="UU174" s="5"/>
      <c r="UV174" s="5"/>
      <c r="UW174" s="5"/>
      <c r="UX174" s="5"/>
      <c r="UY174" s="5"/>
      <c r="UZ174" s="5"/>
      <c r="VA174" s="5"/>
      <c r="VB174" s="5"/>
      <c r="VC174" s="5"/>
      <c r="VD174" s="5"/>
      <c r="VE174" s="5"/>
      <c r="VF174" s="5"/>
      <c r="VG174" s="5"/>
      <c r="VH174" s="5"/>
      <c r="VI174" s="5"/>
      <c r="VJ174" s="5"/>
      <c r="VK174" s="5"/>
      <c r="VL174" s="5"/>
      <c r="VM174" s="5"/>
      <c r="VN174" s="5"/>
      <c r="VO174" s="5"/>
      <c r="VP174" s="5"/>
      <c r="VQ174" s="5"/>
      <c r="VR174" s="5"/>
      <c r="VS174" s="5"/>
      <c r="VT174" s="5"/>
      <c r="VU174" s="5"/>
      <c r="VV174" s="5"/>
      <c r="VW174" s="5"/>
      <c r="VX174" s="5"/>
      <c r="VY174" s="5"/>
      <c r="VZ174" s="5"/>
      <c r="WA174" s="5"/>
      <c r="WB174" s="5"/>
      <c r="WC174" s="5"/>
      <c r="WD174" s="5"/>
      <c r="WE174" s="5"/>
      <c r="WF174" s="5"/>
      <c r="WG174" s="5"/>
      <c r="WH174" s="5"/>
      <c r="WI174" s="5"/>
      <c r="WJ174" s="5"/>
      <c r="WK174" s="5"/>
      <c r="WL174" s="5"/>
      <c r="WM174" s="5"/>
      <c r="WN174" s="5"/>
      <c r="WO174" s="5"/>
      <c r="WP174" s="5"/>
      <c r="WQ174" s="5"/>
      <c r="WR174" s="5"/>
      <c r="WS174" s="5"/>
      <c r="WT174" s="5"/>
      <c r="WU174" s="5"/>
      <c r="WV174" s="5"/>
      <c r="WW174" s="5"/>
      <c r="WX174" s="5"/>
      <c r="WY174" s="5"/>
      <c r="WZ174" s="5"/>
      <c r="XA174" s="5"/>
      <c r="XB174" s="5"/>
      <c r="XC174" s="5"/>
      <c r="XD174" s="5"/>
      <c r="XE174" s="5"/>
      <c r="XF174" s="5"/>
      <c r="XG174" s="5"/>
      <c r="XH174" s="5"/>
      <c r="XI174" s="5"/>
      <c r="XJ174" s="5"/>
      <c r="XK174" s="5"/>
      <c r="XL174" s="5"/>
      <c r="XM174" s="5"/>
      <c r="XN174" s="5"/>
      <c r="XO174" s="5"/>
      <c r="XP174" s="5"/>
      <c r="XQ174" s="5"/>
      <c r="XR174" s="5"/>
      <c r="XS174" s="5"/>
      <c r="XT174" s="5"/>
      <c r="XU174" s="5"/>
      <c r="XV174" s="5"/>
      <c r="XW174" s="5"/>
      <c r="XX174" s="5"/>
      <c r="XY174" s="5"/>
      <c r="XZ174" s="5"/>
      <c r="YA174" s="5"/>
      <c r="YB174" s="5"/>
      <c r="YC174" s="5"/>
      <c r="YD174" s="5"/>
      <c r="YE174" s="5"/>
      <c r="YF174" s="5"/>
      <c r="YG174" s="5"/>
      <c r="YH174" s="5"/>
      <c r="YI174" s="5"/>
      <c r="YJ174" s="5"/>
      <c r="YK174" s="5"/>
      <c r="YL174" s="5"/>
      <c r="YM174" s="5"/>
      <c r="YN174" s="5"/>
      <c r="YO174" s="5"/>
      <c r="YP174" s="5"/>
      <c r="YQ174" s="5"/>
      <c r="YR174" s="5"/>
      <c r="YS174" s="5"/>
      <c r="YT174" s="5"/>
      <c r="YU174" s="5"/>
      <c r="YV174" s="5"/>
      <c r="YW174" s="5"/>
      <c r="YX174" s="5"/>
      <c r="YY174" s="5"/>
      <c r="YZ174" s="5"/>
    </row>
    <row r="178" spans="1:676">
      <c r="A178" s="16"/>
      <c r="B178" s="16" t="s">
        <v>411</v>
      </c>
      <c r="C178" s="16"/>
      <c r="D178" s="16"/>
      <c r="E178" s="16"/>
      <c r="F178" s="16"/>
      <c r="G178" s="16"/>
      <c r="H178" s="16"/>
      <c r="I178" s="16" t="s">
        <v>412</v>
      </c>
      <c r="J178" s="16"/>
      <c r="K178" s="16"/>
      <c r="L178" s="16"/>
      <c r="M178" s="16"/>
      <c r="N178" s="16"/>
      <c r="O178" s="16"/>
      <c r="P178" s="16"/>
      <c r="Q178" s="16"/>
    </row>
    <row r="179" spans="1:676">
      <c r="A179" s="16"/>
      <c r="B179" s="16" t="s">
        <v>413</v>
      </c>
      <c r="C179" s="16"/>
      <c r="D179" s="16"/>
      <c r="E179" s="16"/>
      <c r="F179" s="16"/>
      <c r="G179" s="16"/>
      <c r="H179" s="16"/>
      <c r="I179" s="16" t="s">
        <v>414</v>
      </c>
      <c r="J179" s="16"/>
      <c r="K179" s="16"/>
      <c r="L179" s="16"/>
      <c r="M179" s="16"/>
      <c r="N179" s="16"/>
      <c r="O179" s="16"/>
      <c r="P179" s="16"/>
      <c r="Q179" s="16"/>
    </row>
    <row r="180" spans="1:676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</row>
    <row r="181" spans="1:676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</row>
    <row r="182" spans="1:676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</row>
    <row r="183" spans="1:676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</row>
    <row r="184" spans="1:676">
      <c r="A184" s="16"/>
      <c r="B184" s="16" t="s">
        <v>415</v>
      </c>
      <c r="C184" s="16"/>
      <c r="D184" s="16"/>
      <c r="E184" s="16"/>
      <c r="F184" s="16"/>
      <c r="G184" s="16"/>
      <c r="H184" s="16"/>
      <c r="I184" s="16" t="s">
        <v>416</v>
      </c>
      <c r="J184" s="16"/>
      <c r="K184" s="16"/>
      <c r="L184" s="16"/>
      <c r="M184" s="16"/>
      <c r="N184" s="16"/>
      <c r="O184" s="16"/>
      <c r="P184" s="16"/>
      <c r="Q184" s="16"/>
    </row>
    <row r="185" spans="1:676">
      <c r="A185" s="16"/>
      <c r="B185" s="16" t="s">
        <v>417</v>
      </c>
      <c r="C185" s="16"/>
      <c r="D185" s="16"/>
      <c r="E185" s="16"/>
      <c r="F185" s="16"/>
      <c r="G185" s="16"/>
      <c r="H185" s="16"/>
      <c r="I185" s="16" t="s">
        <v>417</v>
      </c>
      <c r="J185" s="16"/>
      <c r="K185" s="16"/>
      <c r="L185" s="16"/>
      <c r="M185" s="16"/>
      <c r="N185" s="16"/>
      <c r="O185" s="16"/>
      <c r="P185" s="16"/>
      <c r="Q185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2022-05-11T08:54:48+07:00</dcterms:created>
  <dcterms:modified xsi:type="dcterms:W3CDTF">2022-05-11T08:54:48+07:00</dcterms:modified>
  <dc:title>Untitled Spreadsheet</dc:title>
  <dc:description/>
  <dc:subject/>
  <cp:keywords/>
  <cp:category/>
</cp:coreProperties>
</file>