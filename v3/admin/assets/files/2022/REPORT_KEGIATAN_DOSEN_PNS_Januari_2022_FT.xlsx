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anuar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<sst xmlns="http://schemas.openxmlformats.org/spreadsheetml/2006/main" uniqueCount="418">
  <si>
    <t>KEMENTERIAN RISET, TEKNOLOGI DAN PENDIDIKAN TINGGI</t>
  </si>
  <si>
    <t>UNIVERSITAS RIAU</t>
  </si>
  <si>
    <t>FAKULTAS TEKNIK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</si>
  <si>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</si>
  <si>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</si>
  <si>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</si>
  <si>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</si>
  <si>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Januari 2022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</si>
  <si>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</si>
  <si>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</si>
  <si>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</si>
  <si>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</si>
  <si>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</si>
  <si>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</si>
  <si>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</si>
  <si>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</si>
  <si>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</si>
  <si>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</si>
  <si>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</si>
  <si>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</si>
  <si>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</si>
  <si>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</si>
  <si>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</si>
  <si>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</si>
  <si>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</si>
  <si>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</si>
  <si>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</si>
  <si>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</si>
  <si>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</si>
  <si>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</si>
  <si>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</si>
  <si>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</si>
  <si>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</si>
  <si>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</si>
  <si>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</si>
  <si>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</si>
  <si>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</si>
  <si>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</si>
  <si>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195810181987031001</t>
  </si>
  <si>
    <t>PROF. DR. ADRIANTO AHMAD, MT</t>
  </si>
  <si>
    <t>S2 Teknik Kimia</t>
  </si>
  <si>
    <t>IV/e</t>
  </si>
  <si>
    <t>Profesor</t>
  </si>
  <si>
    <t>Tidak ada jabatan struktural</t>
  </si>
  <si>
    <t>196808041997031003</t>
  </si>
  <si>
    <t>PROF. DR.IR. BAHRUDDIN, MT</t>
  </si>
  <si>
    <t>IV/a</t>
  </si>
  <si>
    <t>Koordinator Program Studi B</t>
  </si>
  <si>
    <t>196801271995121001</t>
  </si>
  <si>
    <t>PROF. Dr. Ir. ARI SANDYAHVITRI, M.SC</t>
  </si>
  <si>
    <t>Teknik Sipil</t>
  </si>
  <si>
    <t>IV/b</t>
  </si>
  <si>
    <t>197201312000031001</t>
  </si>
  <si>
    <t>Prof. Dr. AMUN AMRI, ST, MT</t>
  </si>
  <si>
    <t>Teknik Kimia</t>
  </si>
  <si>
    <t>IV/d</t>
  </si>
  <si>
    <t>197301291999031002</t>
  </si>
  <si>
    <t>Prof. Dr. EDY SAPUTRA, ST, MT</t>
  </si>
  <si>
    <t>197105192000031002</t>
  </si>
  <si>
    <t>Prof. Dr. Eng. AZRIDJAL AZIZ, ST, MT</t>
  </si>
  <si>
    <t>Teknik Mesin</t>
  </si>
  <si>
    <t>Dekan A Gol. IV</t>
  </si>
  <si>
    <t>196001031986031003</t>
  </si>
  <si>
    <t>Prof. Dr. SYAIFUL BAHRI, M.SI</t>
  </si>
  <si>
    <t>IV/c</t>
  </si>
  <si>
    <t>Wakil Rektor 4 Gol. IV</t>
  </si>
  <si>
    <t>196911241998032001</t>
  </si>
  <si>
    <t>Prof. Dr. ZUCHRA HELWANI, ST, MT</t>
  </si>
  <si>
    <t>Wakil Dekan I A Gol. IV</t>
  </si>
  <si>
    <t>197012191997032001</t>
  </si>
  <si>
    <t>ANITA SUSILAWATI, ST, M.SC, Ph.D</t>
  </si>
  <si>
    <t>III/c</t>
  </si>
  <si>
    <t>Lektor Kepala Gol. III</t>
  </si>
  <si>
    <t>196804131998031002</t>
  </si>
  <si>
    <t>BAMBANG SUJATMOKO, ST ,MT</t>
  </si>
  <si>
    <t>Lektor Kepala Gol. IV</t>
  </si>
  <si>
    <t>198002052003121001</t>
  </si>
  <si>
    <t>DR. FRI MURDIYA, ST , MT</t>
  </si>
  <si>
    <t>D3 Teknik Elektronika</t>
  </si>
  <si>
    <t>Sekretaris Jurusan B</t>
  </si>
  <si>
    <t>196607311997021001</t>
  </si>
  <si>
    <t>DR. IR. ANTONIUS RAJA GUKGUK, MT</t>
  </si>
  <si>
    <t>Teknik Elektro</t>
  </si>
  <si>
    <t>197108271997022001</t>
  </si>
  <si>
    <t>DR. LITA DARMAYANTI, ST, MT</t>
  </si>
  <si>
    <t>197306161999031002</t>
  </si>
  <si>
    <t>DR. PADIL, ST, MT</t>
  </si>
  <si>
    <t>196809271998031003</t>
  </si>
  <si>
    <t>DR. S. ZUL AMRAINI, ST ,MT</t>
  </si>
  <si>
    <t>Teknolgi Pulp dan Kertas</t>
  </si>
  <si>
    <t>195908231987022001</t>
  </si>
  <si>
    <t>DRA. DRASTINAWATI, M.SI</t>
  </si>
  <si>
    <t>D3 Teknik Kimia</t>
  </si>
  <si>
    <t>196010121987022001</t>
  </si>
  <si>
    <t>DRA. KHAIRAT, M.SI</t>
  </si>
  <si>
    <t>196008251986092002</t>
  </si>
  <si>
    <t>DRA. NIRWANA, MT</t>
  </si>
  <si>
    <t>195908241987022001</t>
  </si>
  <si>
    <t>DRA. SILVIA RENI YETTI, M.SI</t>
  </si>
  <si>
    <t>195901291987022001</t>
  </si>
  <si>
    <t>DRA. WISRAYETTI, M.Si</t>
  </si>
  <si>
    <t>196307031990022001</t>
  </si>
  <si>
    <t>DRA. YELMIDA A, M.SI</t>
  </si>
  <si>
    <t>196011251985032002</t>
  </si>
  <si>
    <t>DRA. YENITA MORENA, M.SI</t>
  </si>
  <si>
    <t>D3 Teknik Sipil</t>
  </si>
  <si>
    <t>196206121988032002</t>
  </si>
  <si>
    <t>DRA. YUSNIMAR, M.SI.M.Phil</t>
  </si>
  <si>
    <t>196305041989032001</t>
  </si>
  <si>
    <t>DRA. ZULTINIAR, M.SI</t>
  </si>
  <si>
    <t>195704151986091001</t>
  </si>
  <si>
    <t>DRS. IRDONI, SH, MS</t>
  </si>
  <si>
    <t>196402081992031002</t>
  </si>
  <si>
    <t>DRS. MARDANI SEBAYANG, MT</t>
  </si>
  <si>
    <t>195805151985031002</t>
  </si>
  <si>
    <t>DRS. SUPRASMAN, MM</t>
  </si>
  <si>
    <t>196010031988031003</t>
  </si>
  <si>
    <t>DRS. SYAMSU HERMAN, MT</t>
  </si>
  <si>
    <t>197203012000031003</t>
  </si>
  <si>
    <t>Dr. AWALUDIN MARTIN, ST, MT</t>
  </si>
  <si>
    <t>III/d</t>
  </si>
  <si>
    <t>196805031997021002</t>
  </si>
  <si>
    <t>Dr. IMAM SUPRAYOGI, MT</t>
  </si>
  <si>
    <t>197305291999031002</t>
  </si>
  <si>
    <t>Dr. JHON ARMEDI PINEM, ST ,MT</t>
  </si>
  <si>
    <t>197007201997022002</t>
  </si>
  <si>
    <t>Dr. Joleha ST, MM</t>
  </si>
  <si>
    <t>197506132001122001</t>
  </si>
  <si>
    <t>Dr. MONITA OLIVIA, ST, M.SC</t>
  </si>
  <si>
    <t>Koordinator Pusat</t>
  </si>
  <si>
    <t>197307271998032003</t>
  </si>
  <si>
    <t>Dr. RENI SURYANITA, ST, MT</t>
  </si>
  <si>
    <t>197208171998031002</t>
  </si>
  <si>
    <t>Dr. SUNARNO, ST, MT</t>
  </si>
  <si>
    <t>197402242000032001</t>
  </si>
  <si>
    <t>ERY SAFRIANTI, ST, MT</t>
  </si>
  <si>
    <t>197503142001122001</t>
  </si>
  <si>
    <t>EVELYN, ST, M.SC., Ph.D</t>
  </si>
  <si>
    <t>196710201997031003</t>
  </si>
  <si>
    <t>HORAS SAUT M. MARPAUNG ,ST, MT</t>
  </si>
  <si>
    <t>195804021989031005</t>
  </si>
  <si>
    <t>IR. ALFIAN MALIK, MM., MT</t>
  </si>
  <si>
    <t>196603211997022002</t>
  </si>
  <si>
    <t>IR. ERMIYATI, MT</t>
  </si>
  <si>
    <t>196202161990022001</t>
  </si>
  <si>
    <t>IR. ROZANNA SRI IRIANTI. M.SI</t>
  </si>
  <si>
    <t>196504151997021001</t>
  </si>
  <si>
    <t>MUHAMMAD SHALAHUDDIN, ST, MT</t>
  </si>
  <si>
    <t>197204211999031002</t>
  </si>
  <si>
    <t>NAZARUDDIN, ST, MT</t>
  </si>
  <si>
    <t>197311271999032002</t>
  </si>
  <si>
    <t>NOVERI LYSBETTI M, ST, M.SC</t>
  </si>
  <si>
    <t>Teknik Informatika</t>
  </si>
  <si>
    <t>197304011999032003</t>
  </si>
  <si>
    <t>PROF. AZRIYENNI, ST, M.ENG, Ph.D</t>
  </si>
  <si>
    <t>Wakil Dekan III A Gol. IV</t>
  </si>
  <si>
    <t>197108072000031002</t>
  </si>
  <si>
    <t>SOEWIGNJO AGUS NUGROHO, ST, MT</t>
  </si>
  <si>
    <t>196611021999031002</t>
  </si>
  <si>
    <t>SUWITNO, ST ,MT</t>
  </si>
  <si>
    <t>197507052002121003</t>
  </si>
  <si>
    <t>AMIR HAMZAH, ST.MT</t>
  </si>
  <si>
    <t>Lektor Gol. III</t>
  </si>
  <si>
    <t>196907171998031002</t>
  </si>
  <si>
    <t>ANDY HENDRI, ST, MT</t>
  </si>
  <si>
    <t>Koordinator Program Studi A</t>
  </si>
  <si>
    <t>197604092002121002</t>
  </si>
  <si>
    <t>ANHAR, ST, MT</t>
  </si>
  <si>
    <t>Ketua Jurusan B Gol. III</t>
  </si>
  <si>
    <t>198606122012121003</t>
  </si>
  <si>
    <t>ARYO SASMITA,ST,MT</t>
  </si>
  <si>
    <t>Teknik Lingkungan</t>
  </si>
  <si>
    <t>197203051998021001</t>
  </si>
  <si>
    <t>ASRAL, ST , M.Eng, Ph.D</t>
  </si>
  <si>
    <t>196808281997021001</t>
  </si>
  <si>
    <t>AZHARI, ST, MT</t>
  </si>
  <si>
    <t>198905012019031013</t>
  </si>
  <si>
    <t>BENNY HAMDI RHOMA PUTRA, S.T., M.T</t>
  </si>
  <si>
    <t>III/b</t>
  </si>
  <si>
    <t>197005101997021001</t>
  </si>
  <si>
    <t>BOCHARI, ST, MT</t>
  </si>
  <si>
    <t>197111141998031001</t>
  </si>
  <si>
    <t>CHAIRUL, ST, MT</t>
  </si>
  <si>
    <t>198002212008121001</t>
  </si>
  <si>
    <t>DEDI ROSA PUTRA CUPU,ST.,MT., Ph.D</t>
  </si>
  <si>
    <t>197612072003121002</t>
  </si>
  <si>
    <t>DEDY MASNUR, ST, M.Eng</t>
  </si>
  <si>
    <t>197909042005012002</t>
  </si>
  <si>
    <t>DEWI FITRIA, S.T., M.T., Ph.D</t>
  </si>
  <si>
    <t>197803082003121001</t>
  </si>
  <si>
    <t>DIAN YAYAN SUKMA, ST., MT</t>
  </si>
  <si>
    <t>197812022008011007</t>
  </si>
  <si>
    <t>DODI SOFYAN ARIEF, ST., MT</t>
  </si>
  <si>
    <t>197204222006041001</t>
  </si>
  <si>
    <t>DR. DAHLIYUSMANTO, S.KOM., M.SC</t>
  </si>
  <si>
    <t>198010042005011003</t>
  </si>
  <si>
    <t>DR. DAVID ANDRIO, ST, M.SI</t>
  </si>
  <si>
    <t>Sekretaris Jurusan A</t>
  </si>
  <si>
    <t>197112141998032001</t>
  </si>
  <si>
    <t>DR. DESI HELTINA, ST, MT</t>
  </si>
  <si>
    <t>197404282002121003</t>
  </si>
  <si>
    <t>DR. FERI CANDRA, ST, MT</t>
  </si>
  <si>
    <t>197104291998032001</t>
  </si>
  <si>
    <t>DR. IDA ZAHRINA, ST ,MT</t>
  </si>
  <si>
    <t>Lektor Gol. IV</t>
  </si>
  <si>
    <t>197403072002121002</t>
  </si>
  <si>
    <t>DR. INDRA YASRI, ST, MT</t>
  </si>
  <si>
    <t>197807152003121006</t>
  </si>
  <si>
    <t>DR. ISWADI HR, ST, MT</t>
  </si>
  <si>
    <t>Kepala UPT</t>
  </si>
  <si>
    <t>197101281997012001</t>
  </si>
  <si>
    <t>DR. MARIA PERATENTA S. ST, MT</t>
  </si>
  <si>
    <t>197504272005011002</t>
  </si>
  <si>
    <t>DR. MUHAMMAD RIJAL, ST, MT</t>
  </si>
  <si>
    <t>Arsitektur</t>
  </si>
  <si>
    <t>196502181995121001</t>
  </si>
  <si>
    <t>DR. NURDIN, ST, MT</t>
  </si>
  <si>
    <t>197511042005012001</t>
  </si>
  <si>
    <t>DR. YUSNITA RAHAYU, ST, M.ENG</t>
  </si>
  <si>
    <t>197310251998031002</t>
  </si>
  <si>
    <t>Dr. AHMAD FADLI, ST ,MT</t>
  </si>
  <si>
    <t>197308301999031001</t>
  </si>
  <si>
    <t>Dr. Eng. Alex Kurniawandy</t>
  </si>
  <si>
    <t>197406161999031004</t>
  </si>
  <si>
    <t>Dr. Eng. Sigit sutikno</t>
  </si>
  <si>
    <t>196407101995121001</t>
  </si>
  <si>
    <t>Dr. FERRY FATNANTA, MT</t>
  </si>
  <si>
    <t>196809191995121001</t>
  </si>
  <si>
    <t>Dr. Fakhri, ST., MT</t>
  </si>
  <si>
    <t>197406262001121006</t>
  </si>
  <si>
    <t>Dr. Gunawan Wibisono</t>
  </si>
  <si>
    <t>Ketua Jurusan A Gol. III</t>
  </si>
  <si>
    <t>197102131999031001</t>
  </si>
  <si>
    <t>Dr. IDRAL, ST, MT</t>
  </si>
  <si>
    <t>197203081998031003</t>
  </si>
  <si>
    <t>Dr. MANYUK FAUZI, MT</t>
  </si>
  <si>
    <t>197507012001121002</t>
  </si>
  <si>
    <t>Dr. MUHAMMAD YUSA, ST ,MT</t>
  </si>
  <si>
    <t>197203092001121001</t>
  </si>
  <si>
    <t>Dr. MUHARDI, ST, M.SC</t>
  </si>
  <si>
    <t>197307081999031002</t>
  </si>
  <si>
    <t>Dr. RIDWAN, ST, MT</t>
  </si>
  <si>
    <t>196709081999031001</t>
  </si>
  <si>
    <t>EDDY HAMDANI, ST, MT</t>
  </si>
  <si>
    <t>196807221997022002</t>
  </si>
  <si>
    <t>ELIANORA, ST, M.ENG</t>
  </si>
  <si>
    <t>197004081997022001</t>
  </si>
  <si>
    <t>ELVIE YENIE, ST, M.Eng</t>
  </si>
  <si>
    <t>198002192003121001</t>
  </si>
  <si>
    <t>FEBLIL HUDA, ST, MT, Ph.D</t>
  </si>
  <si>
    <t>197802222002121003</t>
  </si>
  <si>
    <t>FEBRIZAL, ST , MT</t>
  </si>
  <si>
    <t>197302012005012002</t>
  </si>
  <si>
    <t>FERANITA, ST ,MT</t>
  </si>
  <si>
    <t>197210111999032001</t>
  </si>
  <si>
    <t>HAFIDAWATI, S.TP. MT</t>
  </si>
  <si>
    <t>196808171997021001</t>
  </si>
  <si>
    <t>HAJI GUSSYAFRI, ST , MT</t>
  </si>
  <si>
    <t>196708171995121001</t>
  </si>
  <si>
    <t>IR. AGUS IKA PUTRA, DIPL. ENG</t>
  </si>
  <si>
    <t>196806251995121001</t>
  </si>
  <si>
    <t>IR. ALFIAN KAMALDI, MT</t>
  </si>
  <si>
    <t>197208132000121001</t>
  </si>
  <si>
    <t>IR. BUDHI ANTO, MT</t>
  </si>
  <si>
    <t>195806131991031002</t>
  </si>
  <si>
    <t>IR. DRS. TRIMAIJON, MT</t>
  </si>
  <si>
    <t>196412151997021001</t>
  </si>
  <si>
    <t>IR. EDY ERVIANTO, MT</t>
  </si>
  <si>
    <t>196505171992031014</t>
  </si>
  <si>
    <t>IR. ENNO YUNIARTO, MT</t>
  </si>
  <si>
    <t>196602051997021001</t>
  </si>
  <si>
    <t>IR. HERISISWANTO, MT</t>
  </si>
  <si>
    <t>196206271990021001</t>
  </si>
  <si>
    <t>IR. RIAN TRI KOMARA, MT</t>
  </si>
  <si>
    <t>196207141989031003</t>
  </si>
  <si>
    <t>IR. SISWANTO, MT</t>
  </si>
  <si>
    <t>196506251997022001</t>
  </si>
  <si>
    <t>IR. SRI DJUNIATI, MT</t>
  </si>
  <si>
    <t>198005102005011003</t>
  </si>
  <si>
    <t>IRSAN TAUFIK ALI, ST., MT</t>
  </si>
  <si>
    <t>197505242001121003</t>
  </si>
  <si>
    <t>ISKANDAR ROMEY SITOMPUL, ST, M.SC</t>
  </si>
  <si>
    <t>197709162005011002</t>
  </si>
  <si>
    <t>JECKY ASMURA, ST, MT</t>
  </si>
  <si>
    <t>198806062015041002</t>
  </si>
  <si>
    <t>KASPUL ANUAR , S.Pd . M.T</t>
  </si>
  <si>
    <t>197101141998032001</t>
  </si>
  <si>
    <t>KOMALASARI, ST, MT</t>
  </si>
  <si>
    <t>197910152006042002</t>
  </si>
  <si>
    <t>LINNA OKTAVIANA SARI, ST., MT.</t>
  </si>
  <si>
    <t>196906111997021001</t>
  </si>
  <si>
    <t>M. DALIL, ST, MT</t>
  </si>
  <si>
    <t>197107051998031003</t>
  </si>
  <si>
    <t>MUDJIATKO, ST, MT</t>
  </si>
  <si>
    <t>198007282005011003</t>
  </si>
  <si>
    <t>MUFTIL BADRI M, ST , MT</t>
  </si>
  <si>
    <t>197011131999031002</t>
  </si>
  <si>
    <t>MUHAMMAD IWAN FERMI, ST, MT</t>
  </si>
  <si>
    <t>197702062012121002</t>
  </si>
  <si>
    <t>MUHAMMAD REZA , S.T , M.Sc</t>
  </si>
  <si>
    <t>198310042008121001</t>
  </si>
  <si>
    <t>MUSTHAFA AKBAR, ST , MT</t>
  </si>
  <si>
    <t>197408202002121001</t>
  </si>
  <si>
    <t>NURHALIM, ST, MT</t>
  </si>
  <si>
    <t>196706011997031003</t>
  </si>
  <si>
    <t>PANCA SETIA UTAMA, ST, MT, Ph.D</t>
  </si>
  <si>
    <t>197507032005012003</t>
  </si>
  <si>
    <t>PEDIA ALDY, ST, MSc</t>
  </si>
  <si>
    <t>197706062003122003</t>
  </si>
  <si>
    <t>R. LISA SURYANI, S.T., M. T</t>
  </si>
  <si>
    <t>198602222008031001</t>
  </si>
  <si>
    <t>RAHMAT IMAN MAINIL, S.T, MT</t>
  </si>
  <si>
    <t>196707231999031001</t>
  </si>
  <si>
    <t>RAHYUL AMRI, ST, MT</t>
  </si>
  <si>
    <t>197209282003122002</t>
  </si>
  <si>
    <t>RATNA AMANATI, ST, MT</t>
  </si>
  <si>
    <t>197101091998031002</t>
  </si>
  <si>
    <t>RINALDI, ST, MT</t>
  </si>
  <si>
    <t>197507242005011001</t>
  </si>
  <si>
    <t>ROMY, ST, M.Eng</t>
  </si>
  <si>
    <t>198607052010122005</t>
  </si>
  <si>
    <t>SHINTA ELYSTIA, ST, M.SI</t>
  </si>
  <si>
    <t>197405262000032003</t>
  </si>
  <si>
    <t>SRI HELIANTY, ST, MT</t>
  </si>
  <si>
    <t>198203312008121002</t>
  </si>
  <si>
    <t>SYAFRI,S.T.,MT</t>
  </si>
  <si>
    <t>197906122005011003</t>
  </si>
  <si>
    <t>WAHYU HIDAYAT, ST, MURP</t>
  </si>
  <si>
    <t>197208051999031003</t>
  </si>
  <si>
    <t>WARMAN FATRA, ST, MT</t>
  </si>
  <si>
    <t>196901181997021001</t>
  </si>
  <si>
    <t>YOHANES, ST.,MT</t>
  </si>
  <si>
    <t>197301262000032003</t>
  </si>
  <si>
    <t>YOHANNA LILIS HANDAYANI, ST, MT</t>
  </si>
  <si>
    <t>197602132003121005</t>
  </si>
  <si>
    <t>YOHANNES FIRZAL, ST, MT, Ph.D</t>
  </si>
  <si>
    <t>Wakil Dekan II A Gol. III</t>
  </si>
  <si>
    <t>197405272000032001</t>
  </si>
  <si>
    <t>YOSI ALWINDA, ST ,MT</t>
  </si>
  <si>
    <t>196902221997031001</t>
  </si>
  <si>
    <t>ZULFANSYAH, ST, MT</t>
  </si>
  <si>
    <t>197511271999031001</t>
  </si>
  <si>
    <t>ANDRE NOVAN, ST, MT</t>
  </si>
  <si>
    <t>III/a</t>
  </si>
  <si>
    <t>Asisten Ahli Gol. III</t>
  </si>
  <si>
    <t>199007112020122018</t>
  </si>
  <si>
    <t>ANISA MUTAMIMA, B.Eng., M.Eng</t>
  </si>
  <si>
    <t>Dosen CPNS</t>
  </si>
  <si>
    <t>198805052020122012</t>
  </si>
  <si>
    <t>DIAN RAMADHANI, S.T., M.T</t>
  </si>
  <si>
    <t>197208121997022001</t>
  </si>
  <si>
    <t>DINNI AGUSTINA, ST, MT</t>
  </si>
  <si>
    <t>Dosen Tugas Belajar Gol. III</t>
  </si>
  <si>
    <t>195910221987021001</t>
  </si>
  <si>
    <t>DRS. EDWARD. HS, MS</t>
  </si>
  <si>
    <t>Dosen belum punya Jabatan Gol. III</t>
  </si>
  <si>
    <t>195712231987021001</t>
  </si>
  <si>
    <t>DRS. H. RAHMAD, MT</t>
  </si>
  <si>
    <t>197408062000031001</t>
  </si>
  <si>
    <t>Dr. Leo Sentosa</t>
  </si>
  <si>
    <t>197612312002051001</t>
  </si>
  <si>
    <t>Dr.SYAWAL SATIBI , M.Sc</t>
  </si>
  <si>
    <t>199110292019031010</t>
  </si>
  <si>
    <t>EDI SUSILO, S.Pd., M.Kom</t>
  </si>
  <si>
    <t>199104052019031024</t>
  </si>
  <si>
    <t>EDI YUSUF ADIMAN, S.T., M.Sc</t>
  </si>
  <si>
    <t>197007061999031003</t>
  </si>
  <si>
    <t>EFI AFRIZAL, ST, MT.,Ph.D</t>
  </si>
  <si>
    <t>198910212019032016</t>
  </si>
  <si>
    <t>ESTY OCTIANAN SARI, S.Si., M.T</t>
  </si>
  <si>
    <t>197705102005011002</t>
  </si>
  <si>
    <t>FIRDAUS, ST, MT</t>
  </si>
  <si>
    <t>198810312014041001</t>
  </si>
  <si>
    <t>GUN FAISAL, ST, MSc</t>
  </si>
  <si>
    <t>199209062019031012</t>
  </si>
  <si>
    <t>GUNADI PRIYAMBADA, S.T., M.T</t>
  </si>
  <si>
    <t>197501272001121004</t>
  </si>
  <si>
    <t>HENDRA TAUFIK, ST, M.SC</t>
  </si>
  <si>
    <t>196503121998021001</t>
  </si>
  <si>
    <t>IR. SYARFI, MT</t>
  </si>
  <si>
    <t>197001231999031001</t>
  </si>
  <si>
    <t>ISMEDDIYANTO, ST</t>
  </si>
  <si>
    <t>198404202012122001</t>
  </si>
  <si>
    <t>IVNAINI ANDESGUR, ST,M.Sc</t>
  </si>
  <si>
    <t>197905242005011002</t>
  </si>
  <si>
    <t>IWAN KURNIAWAN, ST., MT</t>
  </si>
  <si>
    <t>197903082005012002</t>
  </si>
  <si>
    <t>MIRA DHARMA SUSILAWATI, ST, MT</t>
  </si>
  <si>
    <t>198711092020121007</t>
  </si>
  <si>
    <t>MORIAN SASPRIATNADI, S.T., M.Ars</t>
  </si>
  <si>
    <t>198801202019031012</t>
  </si>
  <si>
    <t>MUHAMMAD RILLY AKA YOGI, S.T., M.T</t>
  </si>
  <si>
    <t>199109202018031001</t>
  </si>
  <si>
    <t>MUHD. ARIEF AL HUSAINI, S.T., M.T</t>
  </si>
  <si>
    <t>197609072006042002</t>
  </si>
  <si>
    <t>NURFATIHAYATI, S.T., M.T</t>
  </si>
  <si>
    <t>197805112012122001</t>
  </si>
  <si>
    <t>PUTRI NAWANGSARI,ST,M.Eng</t>
  </si>
  <si>
    <t>198312032019031006</t>
  </si>
  <si>
    <t>RAHMAT RIZAL ANDHI, S.T., M.T</t>
  </si>
  <si>
    <t>198611112009121006</t>
  </si>
  <si>
    <t>SALHAZAN NASUTION, S.KOM., MIT</t>
  </si>
  <si>
    <t>197705092009122002</t>
  </si>
  <si>
    <t>SRI REZEKI MURIA, ST.MP.M.Sc</t>
  </si>
  <si>
    <t>198407122012122001</t>
  </si>
  <si>
    <t>SYELVIA PUTRI UTAMI, ST, M.Eng</t>
  </si>
  <si>
    <t>197207122000121001</t>
  </si>
  <si>
    <t>T. YUDI HADIWANDRA, S.Kom., M.Kom</t>
  </si>
  <si>
    <t xml:space="preserve">Asisten Ahli Gol. IV </t>
  </si>
  <si>
    <t>197301312000031001</t>
  </si>
  <si>
    <t>YOGIE RINALDY  GINTING, ST.,MT., Ph.D</t>
  </si>
  <si>
    <t>Menyetujui,</t>
  </si>
  <si>
    <t>Pekanbaru, 11 Mei 2022</t>
  </si>
  <si>
    <t>Wakil Dekan Bidang Akademik</t>
  </si>
  <si>
    <t>Admin Fakultas</t>
  </si>
  <si>
    <t>(..............................................)</t>
  </si>
  <si>
    <t>( Admin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</si>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</sst>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ec2df57467abbf93d21ea6460a03f50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85"/>
  <sheetViews>
    <sheetView tabSelected="1" workbookViewId="0" showGridLines="true" showRowColHeaders="1">
      <selection activeCell="A178" sqref="A178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0</v>
      </c>
      <c r="L11" s="11">
        <v>3.28</v>
      </c>
      <c r="M11" s="11">
        <v>0</v>
      </c>
      <c r="N11" s="11">
        <v>0</v>
      </c>
      <c r="O11" s="11">
        <v>0.25</v>
      </c>
      <c r="P11" s="11">
        <v>1.63</v>
      </c>
      <c r="Q11" s="11">
        <v>5.16</v>
      </c>
      <c r="R11" s="11">
        <v>0</v>
      </c>
      <c r="S11" s="11">
        <v>5.16</v>
      </c>
      <c r="T11" s="11">
        <v>2.67</v>
      </c>
      <c r="U11" s="11">
        <v>2.49</v>
      </c>
      <c r="V11" s="11">
        <v>0</v>
      </c>
      <c r="W11" s="13">
        <v>2.67</v>
      </c>
      <c r="X11" s="13">
        <v>3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40</v>
      </c>
      <c r="E12" s="7" t="s">
        <v>46</v>
      </c>
      <c r="F12" s="7" t="s">
        <v>42</v>
      </c>
      <c r="G12" s="7"/>
      <c r="H12" s="7" t="s">
        <v>47</v>
      </c>
      <c r="I12" s="11">
        <v>2.67</v>
      </c>
      <c r="J12" s="11">
        <v>3</v>
      </c>
      <c r="K12" s="11">
        <v>0.95</v>
      </c>
      <c r="L12" s="11">
        <v>2.5</v>
      </c>
      <c r="M12" s="11">
        <v>1.15</v>
      </c>
      <c r="N12" s="11">
        <v>0</v>
      </c>
      <c r="O12" s="11">
        <v>0.6799999999999999</v>
      </c>
      <c r="P12" s="11">
        <v>0</v>
      </c>
      <c r="Q12" s="11">
        <v>5.28</v>
      </c>
      <c r="R12" s="11">
        <v>0</v>
      </c>
      <c r="S12" s="11">
        <v>5.28</v>
      </c>
      <c r="T12" s="11">
        <v>2.67</v>
      </c>
      <c r="U12" s="11">
        <v>2.61</v>
      </c>
      <c r="V12" s="11">
        <v>0</v>
      </c>
      <c r="W12" s="13">
        <v>2.67</v>
      </c>
      <c r="X12" s="13">
        <v>3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48</v>
      </c>
      <c r="C13" s="10" t="s">
        <v>49</v>
      </c>
      <c r="D13" s="7" t="s">
        <v>50</v>
      </c>
      <c r="E13" s="7" t="s">
        <v>51</v>
      </c>
      <c r="F13" s="7" t="s">
        <v>42</v>
      </c>
      <c r="G13" s="7"/>
      <c r="H13" s="7" t="s">
        <v>43</v>
      </c>
      <c r="I13" s="11">
        <v>2.67</v>
      </c>
      <c r="J13" s="11">
        <v>3</v>
      </c>
      <c r="K13" s="11">
        <v>0</v>
      </c>
      <c r="L13" s="11">
        <v>4.339999999999999</v>
      </c>
      <c r="M13" s="11">
        <v>0.08</v>
      </c>
      <c r="N13" s="11">
        <v>0</v>
      </c>
      <c r="O13" s="11">
        <v>0</v>
      </c>
      <c r="P13" s="11">
        <v>0.8</v>
      </c>
      <c r="Q13" s="11">
        <v>5.219999999999999</v>
      </c>
      <c r="R13" s="11">
        <v>0</v>
      </c>
      <c r="S13" s="11">
        <v>5.219999999999999</v>
      </c>
      <c r="T13" s="11">
        <v>2.67</v>
      </c>
      <c r="U13" s="11">
        <v>2.549999999999999</v>
      </c>
      <c r="V13" s="11">
        <v>0</v>
      </c>
      <c r="W13" s="13">
        <v>2.67</v>
      </c>
      <c r="X13" s="13">
        <v>3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52</v>
      </c>
      <c r="C14" s="10" t="s">
        <v>53</v>
      </c>
      <c r="D14" s="7" t="s">
        <v>54</v>
      </c>
      <c r="E14" s="7" t="s">
        <v>55</v>
      </c>
      <c r="F14" s="7" t="s">
        <v>42</v>
      </c>
      <c r="G14" s="7"/>
      <c r="H14" s="7" t="s">
        <v>43</v>
      </c>
      <c r="I14" s="11">
        <v>2.67</v>
      </c>
      <c r="J14" s="11">
        <v>3</v>
      </c>
      <c r="K14" s="11">
        <v>0</v>
      </c>
      <c r="L14" s="11">
        <v>2.22</v>
      </c>
      <c r="M14" s="11">
        <v>0.16</v>
      </c>
      <c r="N14" s="11">
        <v>0</v>
      </c>
      <c r="O14" s="11">
        <v>1.02</v>
      </c>
      <c r="P14" s="11">
        <v>0</v>
      </c>
      <c r="Q14" s="11">
        <v>3.4</v>
      </c>
      <c r="R14" s="11">
        <v>0</v>
      </c>
      <c r="S14" s="11">
        <v>3.4</v>
      </c>
      <c r="T14" s="11">
        <v>2.67</v>
      </c>
      <c r="U14" s="11">
        <v>0.7300000000000004</v>
      </c>
      <c r="V14" s="11">
        <v>0</v>
      </c>
      <c r="W14" s="13">
        <v>2.67</v>
      </c>
      <c r="X14" s="13">
        <v>3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56</v>
      </c>
      <c r="C15" s="10" t="s">
        <v>57</v>
      </c>
      <c r="D15" s="7" t="s">
        <v>54</v>
      </c>
      <c r="E15" s="7" t="s">
        <v>55</v>
      </c>
      <c r="F15" s="7" t="s">
        <v>42</v>
      </c>
      <c r="G15" s="7"/>
      <c r="H15" s="7" t="s">
        <v>43</v>
      </c>
      <c r="I15" s="11">
        <v>2.67</v>
      </c>
      <c r="J15" s="11">
        <v>3</v>
      </c>
      <c r="K15" s="11">
        <v>0</v>
      </c>
      <c r="L15" s="11">
        <v>3.88</v>
      </c>
      <c r="M15" s="11">
        <v>0.16</v>
      </c>
      <c r="N15" s="11">
        <v>0</v>
      </c>
      <c r="O15" s="11">
        <v>0.75</v>
      </c>
      <c r="P15" s="11">
        <v>0</v>
      </c>
      <c r="Q15" s="11">
        <v>4.79</v>
      </c>
      <c r="R15" s="11">
        <v>0</v>
      </c>
      <c r="S15" s="11">
        <v>4.79</v>
      </c>
      <c r="T15" s="11">
        <v>2.67</v>
      </c>
      <c r="U15" s="11">
        <v>2.12</v>
      </c>
      <c r="V15" s="11">
        <v>0</v>
      </c>
      <c r="W15" s="13">
        <v>2.67</v>
      </c>
      <c r="X15" s="13">
        <v>3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58</v>
      </c>
      <c r="C16" s="10" t="s">
        <v>59</v>
      </c>
      <c r="D16" s="7" t="s">
        <v>60</v>
      </c>
      <c r="E16" s="7" t="s">
        <v>51</v>
      </c>
      <c r="F16" s="7" t="s">
        <v>42</v>
      </c>
      <c r="G16" s="7"/>
      <c r="H16" s="7" t="s">
        <v>61</v>
      </c>
      <c r="I16" s="11">
        <v>2.67</v>
      </c>
      <c r="J16" s="11">
        <v>3</v>
      </c>
      <c r="K16" s="11">
        <v>1.67</v>
      </c>
      <c r="L16" s="11">
        <v>1.86</v>
      </c>
      <c r="M16" s="11">
        <v>0.08</v>
      </c>
      <c r="N16" s="11">
        <v>0</v>
      </c>
      <c r="O16" s="11">
        <v>0.26</v>
      </c>
      <c r="P16" s="11">
        <v>0</v>
      </c>
      <c r="Q16" s="11">
        <v>3.87</v>
      </c>
      <c r="R16" s="11">
        <v>0</v>
      </c>
      <c r="S16" s="11">
        <v>3.87</v>
      </c>
      <c r="T16" s="11">
        <v>2.67</v>
      </c>
      <c r="U16" s="11">
        <v>1.2</v>
      </c>
      <c r="V16" s="11">
        <v>0</v>
      </c>
      <c r="W16" s="13">
        <v>2.67</v>
      </c>
      <c r="X16" s="13">
        <v>3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62</v>
      </c>
      <c r="C17" s="10" t="s">
        <v>63</v>
      </c>
      <c r="D17" s="7" t="s">
        <v>40</v>
      </c>
      <c r="E17" s="7" t="s">
        <v>64</v>
      </c>
      <c r="F17" s="7" t="s">
        <v>42</v>
      </c>
      <c r="G17" s="7"/>
      <c r="H17" s="7" t="s">
        <v>65</v>
      </c>
      <c r="I17" s="11">
        <v>2.67</v>
      </c>
      <c r="J17" s="11">
        <v>3</v>
      </c>
      <c r="K17" s="11">
        <v>1.67</v>
      </c>
      <c r="L17" s="11">
        <v>0.5800000000000001</v>
      </c>
      <c r="M17" s="11">
        <v>0</v>
      </c>
      <c r="N17" s="11">
        <v>0</v>
      </c>
      <c r="O17" s="11">
        <v>0.46</v>
      </c>
      <c r="P17" s="11">
        <v>0</v>
      </c>
      <c r="Q17" s="11">
        <v>2.71</v>
      </c>
      <c r="R17" s="11">
        <v>0</v>
      </c>
      <c r="S17" s="11">
        <v>2.71</v>
      </c>
      <c r="T17" s="11">
        <v>2.67</v>
      </c>
      <c r="U17" s="11">
        <v>0.04000000000000004</v>
      </c>
      <c r="V17" s="11">
        <v>0</v>
      </c>
      <c r="W17" s="13">
        <v>2.67</v>
      </c>
      <c r="X17" s="13">
        <v>3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66</v>
      </c>
      <c r="C18" s="10" t="s">
        <v>67</v>
      </c>
      <c r="D18" s="7" t="s">
        <v>54</v>
      </c>
      <c r="E18" s="7" t="s">
        <v>46</v>
      </c>
      <c r="F18" s="7" t="s">
        <v>42</v>
      </c>
      <c r="G18" s="7"/>
      <c r="H18" s="7" t="s">
        <v>68</v>
      </c>
      <c r="I18" s="11">
        <v>2.67</v>
      </c>
      <c r="J18" s="11">
        <v>3</v>
      </c>
      <c r="K18" s="11">
        <v>1.33</v>
      </c>
      <c r="L18" s="11">
        <v>2.48</v>
      </c>
      <c r="M18" s="11">
        <v>0.58</v>
      </c>
      <c r="N18" s="11">
        <v>0</v>
      </c>
      <c r="O18" s="11">
        <v>1.2</v>
      </c>
      <c r="P18" s="11">
        <v>1.63</v>
      </c>
      <c r="Q18" s="11">
        <v>7.22</v>
      </c>
      <c r="R18" s="11">
        <v>0</v>
      </c>
      <c r="S18" s="11">
        <v>7.22</v>
      </c>
      <c r="T18" s="11">
        <v>2.67</v>
      </c>
      <c r="U18" s="11">
        <v>3</v>
      </c>
      <c r="V18" s="11">
        <v>1.55</v>
      </c>
      <c r="W18" s="13">
        <v>2.67</v>
      </c>
      <c r="X18" s="13">
        <v>3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69</v>
      </c>
      <c r="C19" s="10" t="s">
        <v>70</v>
      </c>
      <c r="D19" s="7" t="s">
        <v>60</v>
      </c>
      <c r="E19" s="7" t="s">
        <v>71</v>
      </c>
      <c r="F19" s="7" t="s">
        <v>72</v>
      </c>
      <c r="G19" s="7"/>
      <c r="H19" s="7" t="s">
        <v>47</v>
      </c>
      <c r="I19" s="11">
        <v>2</v>
      </c>
      <c r="J19" s="11">
        <v>3</v>
      </c>
      <c r="K19" s="11">
        <v>0.95</v>
      </c>
      <c r="L19" s="11">
        <v>2.71</v>
      </c>
      <c r="M19" s="11">
        <v>0</v>
      </c>
      <c r="N19" s="11">
        <v>0</v>
      </c>
      <c r="O19" s="11">
        <v>0.18</v>
      </c>
      <c r="P19" s="11">
        <v>2.49</v>
      </c>
      <c r="Q19" s="11">
        <v>6.329999999999999</v>
      </c>
      <c r="R19" s="11">
        <v>0</v>
      </c>
      <c r="S19" s="11">
        <v>6.329999999999999</v>
      </c>
      <c r="T19" s="11">
        <v>2</v>
      </c>
      <c r="U19" s="11">
        <v>3</v>
      </c>
      <c r="V19" s="11">
        <v>1.329999999999999</v>
      </c>
      <c r="W19" s="13">
        <v>2</v>
      </c>
      <c r="X19" s="13">
        <v>3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73</v>
      </c>
      <c r="C20" s="10" t="s">
        <v>74</v>
      </c>
      <c r="D20" s="7" t="s">
        <v>50</v>
      </c>
      <c r="E20" s="7" t="s">
        <v>46</v>
      </c>
      <c r="F20" s="7" t="s">
        <v>75</v>
      </c>
      <c r="G20" s="7"/>
      <c r="H20" s="7" t="s">
        <v>43</v>
      </c>
      <c r="I20" s="11">
        <v>2</v>
      </c>
      <c r="J20" s="11">
        <v>3</v>
      </c>
      <c r="K20" s="11">
        <v>0</v>
      </c>
      <c r="L20" s="11">
        <v>2.649999999999999</v>
      </c>
      <c r="M20" s="11">
        <v>0</v>
      </c>
      <c r="N20" s="11">
        <v>0</v>
      </c>
      <c r="O20" s="11">
        <v>0.18</v>
      </c>
      <c r="P20" s="11">
        <v>1.6</v>
      </c>
      <c r="Q20" s="11">
        <v>4.429999999999997</v>
      </c>
      <c r="R20" s="11">
        <v>0</v>
      </c>
      <c r="S20" s="11">
        <v>4.429999999999997</v>
      </c>
      <c r="T20" s="11">
        <v>2</v>
      </c>
      <c r="U20" s="11">
        <v>2.429999999999997</v>
      </c>
      <c r="V20" s="11">
        <v>0</v>
      </c>
      <c r="W20" s="13">
        <v>2</v>
      </c>
      <c r="X20" s="13">
        <v>3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76</v>
      </c>
      <c r="C21" s="10" t="s">
        <v>77</v>
      </c>
      <c r="D21" s="7" t="s">
        <v>78</v>
      </c>
      <c r="E21" s="7" t="s">
        <v>71</v>
      </c>
      <c r="F21" s="7" t="s">
        <v>72</v>
      </c>
      <c r="G21" s="7"/>
      <c r="H21" s="7" t="s">
        <v>79</v>
      </c>
      <c r="I21" s="11">
        <v>2</v>
      </c>
      <c r="J21" s="11">
        <v>3</v>
      </c>
      <c r="K21" s="11">
        <v>0.95</v>
      </c>
      <c r="L21" s="11">
        <v>2.18</v>
      </c>
      <c r="M21" s="11">
        <v>0.16</v>
      </c>
      <c r="N21" s="11">
        <v>0</v>
      </c>
      <c r="O21" s="11">
        <v>1.24</v>
      </c>
      <c r="P21" s="11">
        <v>1.63</v>
      </c>
      <c r="Q21" s="11">
        <v>6.16</v>
      </c>
      <c r="R21" s="11">
        <v>0</v>
      </c>
      <c r="S21" s="11">
        <v>6.16</v>
      </c>
      <c r="T21" s="11">
        <v>2</v>
      </c>
      <c r="U21" s="11">
        <v>3</v>
      </c>
      <c r="V21" s="11">
        <v>1.16</v>
      </c>
      <c r="W21" s="13">
        <v>2</v>
      </c>
      <c r="X21" s="13">
        <v>3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80</v>
      </c>
      <c r="C22" s="10" t="s">
        <v>81</v>
      </c>
      <c r="D22" s="7" t="s">
        <v>82</v>
      </c>
      <c r="E22" s="7" t="s">
        <v>46</v>
      </c>
      <c r="F22" s="7" t="s">
        <v>75</v>
      </c>
      <c r="G22" s="7"/>
      <c r="H22" s="7" t="s">
        <v>43</v>
      </c>
      <c r="I22" s="11">
        <v>2</v>
      </c>
      <c r="J22" s="11">
        <v>3</v>
      </c>
      <c r="K22" s="11">
        <v>0</v>
      </c>
      <c r="L22" s="11">
        <v>1.1</v>
      </c>
      <c r="M22" s="11">
        <v>0</v>
      </c>
      <c r="N22" s="11">
        <v>0</v>
      </c>
      <c r="O22" s="11">
        <v>0.45</v>
      </c>
      <c r="P22" s="11">
        <v>1.66</v>
      </c>
      <c r="Q22" s="11">
        <v>3.21</v>
      </c>
      <c r="R22" s="11">
        <v>0</v>
      </c>
      <c r="S22" s="11">
        <v>3.21</v>
      </c>
      <c r="T22" s="11">
        <v>2</v>
      </c>
      <c r="U22" s="11">
        <v>1.21</v>
      </c>
      <c r="V22" s="11">
        <v>0</v>
      </c>
      <c r="W22" s="13">
        <v>2</v>
      </c>
      <c r="X22" s="13">
        <v>3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83</v>
      </c>
      <c r="C23" s="10" t="s">
        <v>84</v>
      </c>
      <c r="D23" s="7" t="s">
        <v>50</v>
      </c>
      <c r="E23" s="7" t="s">
        <v>46</v>
      </c>
      <c r="F23" s="7" t="s">
        <v>75</v>
      </c>
      <c r="G23" s="7"/>
      <c r="H23" s="7" t="s">
        <v>43</v>
      </c>
      <c r="I23" s="11">
        <v>2</v>
      </c>
      <c r="J23" s="11">
        <v>3</v>
      </c>
      <c r="K23" s="11">
        <v>0</v>
      </c>
      <c r="L23" s="11">
        <v>1.56</v>
      </c>
      <c r="M23" s="11">
        <v>0.32</v>
      </c>
      <c r="N23" s="11">
        <v>0</v>
      </c>
      <c r="O23" s="11">
        <v>0.36</v>
      </c>
      <c r="P23" s="11">
        <v>0</v>
      </c>
      <c r="Q23" s="11">
        <v>2.240000000000001</v>
      </c>
      <c r="R23" s="11">
        <v>0</v>
      </c>
      <c r="S23" s="11">
        <v>2.240000000000001</v>
      </c>
      <c r="T23" s="11">
        <v>2</v>
      </c>
      <c r="U23" s="11">
        <v>0.2400000000000007</v>
      </c>
      <c r="V23" s="11">
        <v>0</v>
      </c>
      <c r="W23" s="13">
        <v>2</v>
      </c>
      <c r="X23" s="13">
        <v>3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85</v>
      </c>
      <c r="C24" s="10" t="s">
        <v>86</v>
      </c>
      <c r="D24" s="7" t="s">
        <v>54</v>
      </c>
      <c r="E24" s="7" t="s">
        <v>64</v>
      </c>
      <c r="F24" s="7" t="s">
        <v>75</v>
      </c>
      <c r="G24" s="7"/>
      <c r="H24" s="7" t="s">
        <v>43</v>
      </c>
      <c r="I24" s="11">
        <v>2</v>
      </c>
      <c r="J24" s="11">
        <v>3</v>
      </c>
      <c r="K24" s="11">
        <v>0</v>
      </c>
      <c r="L24" s="11">
        <v>2.7</v>
      </c>
      <c r="M24" s="11">
        <v>0</v>
      </c>
      <c r="N24" s="11">
        <v>0</v>
      </c>
      <c r="O24" s="11">
        <v>0.54</v>
      </c>
      <c r="P24" s="11">
        <v>0</v>
      </c>
      <c r="Q24" s="11">
        <v>3.24</v>
      </c>
      <c r="R24" s="11">
        <v>0</v>
      </c>
      <c r="S24" s="11">
        <v>3.24</v>
      </c>
      <c r="T24" s="11">
        <v>2</v>
      </c>
      <c r="U24" s="11">
        <v>1.24</v>
      </c>
      <c r="V24" s="11">
        <v>0</v>
      </c>
      <c r="W24" s="13">
        <v>2</v>
      </c>
      <c r="X24" s="13">
        <v>3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87</v>
      </c>
      <c r="C25" s="10" t="s">
        <v>88</v>
      </c>
      <c r="D25" s="7" t="s">
        <v>89</v>
      </c>
      <c r="E25" s="7" t="s">
        <v>46</v>
      </c>
      <c r="F25" s="7" t="s">
        <v>75</v>
      </c>
      <c r="G25" s="7"/>
      <c r="H25" s="7" t="s">
        <v>43</v>
      </c>
      <c r="I25" s="11">
        <v>2</v>
      </c>
      <c r="J25" s="11">
        <v>3</v>
      </c>
      <c r="K25" s="11">
        <v>0</v>
      </c>
      <c r="L25" s="11">
        <v>2.41</v>
      </c>
      <c r="M25" s="11">
        <v>0.4</v>
      </c>
      <c r="N25" s="11">
        <v>0</v>
      </c>
      <c r="O25" s="11">
        <v>0.91</v>
      </c>
      <c r="P25" s="11">
        <v>0.8</v>
      </c>
      <c r="Q25" s="11">
        <v>4.52</v>
      </c>
      <c r="R25" s="11">
        <v>0</v>
      </c>
      <c r="S25" s="11">
        <v>4.52</v>
      </c>
      <c r="T25" s="11">
        <v>2</v>
      </c>
      <c r="U25" s="11">
        <v>2.52</v>
      </c>
      <c r="V25" s="11">
        <v>0</v>
      </c>
      <c r="W25" s="13">
        <v>2</v>
      </c>
      <c r="X25" s="13">
        <v>3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90</v>
      </c>
      <c r="C26" s="10" t="s">
        <v>91</v>
      </c>
      <c r="D26" s="7" t="s">
        <v>92</v>
      </c>
      <c r="E26" s="7" t="s">
        <v>51</v>
      </c>
      <c r="F26" s="7" t="s">
        <v>75</v>
      </c>
      <c r="G26" s="7"/>
      <c r="H26" s="7" t="s">
        <v>43</v>
      </c>
      <c r="I26" s="11">
        <v>2</v>
      </c>
      <c r="J26" s="11">
        <v>3</v>
      </c>
      <c r="K26" s="11">
        <v>0</v>
      </c>
      <c r="L26" s="11">
        <v>2.280000000000001</v>
      </c>
      <c r="M26" s="11">
        <v>0.16</v>
      </c>
      <c r="N26" s="11">
        <v>0</v>
      </c>
      <c r="O26" s="11">
        <v>0.2</v>
      </c>
      <c r="P26" s="11">
        <v>0.83</v>
      </c>
      <c r="Q26" s="11">
        <v>3.470000000000002</v>
      </c>
      <c r="R26" s="11">
        <v>0</v>
      </c>
      <c r="S26" s="11">
        <v>3.470000000000002</v>
      </c>
      <c r="T26" s="11">
        <v>2</v>
      </c>
      <c r="U26" s="11">
        <v>1.470000000000002</v>
      </c>
      <c r="V26" s="11">
        <v>0</v>
      </c>
      <c r="W26" s="13">
        <v>2</v>
      </c>
      <c r="X26" s="13">
        <v>3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93</v>
      </c>
      <c r="C27" s="10" t="s">
        <v>94</v>
      </c>
      <c r="D27" s="7" t="s">
        <v>92</v>
      </c>
      <c r="E27" s="7" t="s">
        <v>51</v>
      </c>
      <c r="F27" s="7" t="s">
        <v>75</v>
      </c>
      <c r="G27" s="7"/>
      <c r="H27" s="7" t="s">
        <v>43</v>
      </c>
      <c r="I27" s="11">
        <v>2</v>
      </c>
      <c r="J27" s="11">
        <v>3</v>
      </c>
      <c r="K27" s="11">
        <v>0</v>
      </c>
      <c r="L27" s="11">
        <v>3.670000000000001</v>
      </c>
      <c r="M27" s="11">
        <v>0.32</v>
      </c>
      <c r="N27" s="11">
        <v>0</v>
      </c>
      <c r="O27" s="11">
        <v>0.21</v>
      </c>
      <c r="P27" s="11">
        <v>0</v>
      </c>
      <c r="Q27" s="11">
        <v>4.200000000000001</v>
      </c>
      <c r="R27" s="11">
        <v>0</v>
      </c>
      <c r="S27" s="11">
        <v>4.200000000000001</v>
      </c>
      <c r="T27" s="11">
        <v>2</v>
      </c>
      <c r="U27" s="11">
        <v>2.200000000000001</v>
      </c>
      <c r="V27" s="11">
        <v>0</v>
      </c>
      <c r="W27" s="13">
        <v>2</v>
      </c>
      <c r="X27" s="13">
        <v>3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95</v>
      </c>
      <c r="C28" s="10" t="s">
        <v>96</v>
      </c>
      <c r="D28" s="7" t="s">
        <v>54</v>
      </c>
      <c r="E28" s="7" t="s">
        <v>51</v>
      </c>
      <c r="F28" s="7" t="s">
        <v>75</v>
      </c>
      <c r="G28" s="7"/>
      <c r="H28" s="7" t="s">
        <v>43</v>
      </c>
      <c r="I28" s="11">
        <v>2</v>
      </c>
      <c r="J28" s="11">
        <v>3</v>
      </c>
      <c r="K28" s="11">
        <v>0</v>
      </c>
      <c r="L28" s="11">
        <v>0</v>
      </c>
      <c r="M28" s="11">
        <v>0.08</v>
      </c>
      <c r="N28" s="11">
        <v>0</v>
      </c>
      <c r="O28" s="11">
        <v>0.24</v>
      </c>
      <c r="P28" s="11">
        <v>0</v>
      </c>
      <c r="Q28" s="11">
        <v>0.32</v>
      </c>
      <c r="R28" s="11">
        <v>0</v>
      </c>
      <c r="S28" s="11">
        <v>0.32</v>
      </c>
      <c r="T28" s="11">
        <v>0.32</v>
      </c>
      <c r="U28" s="11">
        <v>0</v>
      </c>
      <c r="V28" s="11">
        <v>0</v>
      </c>
      <c r="W28" s="13">
        <v>2</v>
      </c>
      <c r="X28" s="13">
        <v>3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97</v>
      </c>
      <c r="C29" s="10" t="s">
        <v>98</v>
      </c>
      <c r="D29" s="7" t="s">
        <v>92</v>
      </c>
      <c r="E29" s="7" t="s">
        <v>64</v>
      </c>
      <c r="F29" s="7" t="s">
        <v>75</v>
      </c>
      <c r="G29" s="7"/>
      <c r="H29" s="7" t="s">
        <v>43</v>
      </c>
      <c r="I29" s="11">
        <v>2</v>
      </c>
      <c r="J29" s="11">
        <v>3</v>
      </c>
      <c r="K29" s="11">
        <v>0</v>
      </c>
      <c r="L29" s="11">
        <v>2.570000000000001</v>
      </c>
      <c r="M29" s="11">
        <v>0.48</v>
      </c>
      <c r="N29" s="11">
        <v>0</v>
      </c>
      <c r="O29" s="11">
        <v>0.22</v>
      </c>
      <c r="P29" s="11">
        <v>0.83</v>
      </c>
      <c r="Q29" s="11">
        <v>4.100000000000001</v>
      </c>
      <c r="R29" s="11">
        <v>0</v>
      </c>
      <c r="S29" s="11">
        <v>4.100000000000001</v>
      </c>
      <c r="T29" s="11">
        <v>2</v>
      </c>
      <c r="U29" s="11">
        <v>2.100000000000001</v>
      </c>
      <c r="V29" s="11">
        <v>0</v>
      </c>
      <c r="W29" s="13">
        <v>2</v>
      </c>
      <c r="X29" s="13">
        <v>3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99</v>
      </c>
      <c r="C30" s="10" t="s">
        <v>100</v>
      </c>
      <c r="D30" s="7" t="s">
        <v>92</v>
      </c>
      <c r="E30" s="7" t="s">
        <v>46</v>
      </c>
      <c r="F30" s="7" t="s">
        <v>72</v>
      </c>
      <c r="G30" s="7"/>
      <c r="H30" s="7" t="s">
        <v>43</v>
      </c>
      <c r="I30" s="11">
        <v>2</v>
      </c>
      <c r="J30" s="11">
        <v>3</v>
      </c>
      <c r="K30" s="11">
        <v>0</v>
      </c>
      <c r="L30" s="11">
        <v>3.580000000000001</v>
      </c>
      <c r="M30" s="11">
        <v>0.16</v>
      </c>
      <c r="N30" s="11">
        <v>0</v>
      </c>
      <c r="O30" s="11">
        <v>0.01</v>
      </c>
      <c r="P30" s="11">
        <v>0.8</v>
      </c>
      <c r="Q30" s="11">
        <v>4.55</v>
      </c>
      <c r="R30" s="11">
        <v>0</v>
      </c>
      <c r="S30" s="11">
        <v>4.55</v>
      </c>
      <c r="T30" s="11">
        <v>2</v>
      </c>
      <c r="U30" s="11">
        <v>2.55</v>
      </c>
      <c r="V30" s="11">
        <v>0</v>
      </c>
      <c r="W30" s="13">
        <v>2</v>
      </c>
      <c r="X30" s="13">
        <v>3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101</v>
      </c>
      <c r="C31" s="10" t="s">
        <v>102</v>
      </c>
      <c r="D31" s="7" t="s">
        <v>92</v>
      </c>
      <c r="E31" s="7" t="s">
        <v>46</v>
      </c>
      <c r="F31" s="7" t="s">
        <v>75</v>
      </c>
      <c r="G31" s="7"/>
      <c r="H31" s="7" t="s">
        <v>47</v>
      </c>
      <c r="I31" s="11">
        <v>2</v>
      </c>
      <c r="J31" s="11">
        <v>3</v>
      </c>
      <c r="K31" s="11">
        <v>0.95</v>
      </c>
      <c r="L31" s="11">
        <v>3.960000000000001</v>
      </c>
      <c r="M31" s="11">
        <v>0.16</v>
      </c>
      <c r="N31" s="11">
        <v>0</v>
      </c>
      <c r="O31" s="11">
        <v>0.8899999999999999</v>
      </c>
      <c r="P31" s="11">
        <v>0.8</v>
      </c>
      <c r="Q31" s="11">
        <v>6.759999999999999</v>
      </c>
      <c r="R31" s="11">
        <v>0</v>
      </c>
      <c r="S31" s="11">
        <v>6.759999999999999</v>
      </c>
      <c r="T31" s="11">
        <v>2</v>
      </c>
      <c r="U31" s="11">
        <v>3</v>
      </c>
      <c r="V31" s="11">
        <v>1.759999999999999</v>
      </c>
      <c r="W31" s="13">
        <v>2</v>
      </c>
      <c r="X31" s="13">
        <v>3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103</v>
      </c>
      <c r="C32" s="10" t="s">
        <v>104</v>
      </c>
      <c r="D32" s="7" t="s">
        <v>105</v>
      </c>
      <c r="E32" s="7" t="s">
        <v>51</v>
      </c>
      <c r="F32" s="7" t="s">
        <v>75</v>
      </c>
      <c r="G32" s="7"/>
      <c r="H32" s="7" t="s">
        <v>43</v>
      </c>
      <c r="I32" s="11">
        <v>2</v>
      </c>
      <c r="J32" s="11">
        <v>3</v>
      </c>
      <c r="K32" s="11">
        <v>0</v>
      </c>
      <c r="L32" s="11">
        <v>1.5</v>
      </c>
      <c r="M32" s="11">
        <v>0.16</v>
      </c>
      <c r="N32" s="11">
        <v>0</v>
      </c>
      <c r="O32" s="11">
        <v>0.18</v>
      </c>
      <c r="P32" s="11">
        <v>0.83</v>
      </c>
      <c r="Q32" s="11">
        <v>2.67</v>
      </c>
      <c r="R32" s="11">
        <v>0</v>
      </c>
      <c r="S32" s="11">
        <v>2.67</v>
      </c>
      <c r="T32" s="11">
        <v>2</v>
      </c>
      <c r="U32" s="11">
        <v>0.6700000000000004</v>
      </c>
      <c r="V32" s="11">
        <v>0</v>
      </c>
      <c r="W32" s="13">
        <v>2</v>
      </c>
      <c r="X32" s="13">
        <v>3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106</v>
      </c>
      <c r="C33" s="10" t="s">
        <v>107</v>
      </c>
      <c r="D33" s="7" t="s">
        <v>89</v>
      </c>
      <c r="E33" s="7" t="s">
        <v>64</v>
      </c>
      <c r="F33" s="7" t="s">
        <v>75</v>
      </c>
      <c r="G33" s="7"/>
      <c r="H33" s="7" t="s">
        <v>43</v>
      </c>
      <c r="I33" s="11">
        <v>2</v>
      </c>
      <c r="J33" s="11">
        <v>3</v>
      </c>
      <c r="K33" s="11">
        <v>0</v>
      </c>
      <c r="L33" s="11">
        <v>3.070000000000001</v>
      </c>
      <c r="M33" s="11">
        <v>0.32</v>
      </c>
      <c r="N33" s="11">
        <v>0</v>
      </c>
      <c r="O33" s="11">
        <v>0.7999999999999999</v>
      </c>
      <c r="P33" s="11">
        <v>0.83</v>
      </c>
      <c r="Q33" s="11">
        <v>5.02</v>
      </c>
      <c r="R33" s="11">
        <v>0</v>
      </c>
      <c r="S33" s="11">
        <v>5.02</v>
      </c>
      <c r="T33" s="11">
        <v>2</v>
      </c>
      <c r="U33" s="11">
        <v>3</v>
      </c>
      <c r="V33" s="11">
        <v>0.02000000000000046</v>
      </c>
      <c r="W33" s="13">
        <v>2</v>
      </c>
      <c r="X33" s="13">
        <v>3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108</v>
      </c>
      <c r="C34" s="10" t="s">
        <v>109</v>
      </c>
      <c r="D34" s="7" t="s">
        <v>92</v>
      </c>
      <c r="E34" s="7" t="s">
        <v>51</v>
      </c>
      <c r="F34" s="7" t="s">
        <v>75</v>
      </c>
      <c r="G34" s="7"/>
      <c r="H34" s="7" t="s">
        <v>43</v>
      </c>
      <c r="I34" s="11">
        <v>2</v>
      </c>
      <c r="J34" s="11">
        <v>3</v>
      </c>
      <c r="K34" s="11">
        <v>0</v>
      </c>
      <c r="L34" s="11">
        <v>3.2</v>
      </c>
      <c r="M34" s="11">
        <v>0.24</v>
      </c>
      <c r="N34" s="11">
        <v>0</v>
      </c>
      <c r="O34" s="11">
        <v>0.39</v>
      </c>
      <c r="P34" s="11">
        <v>0.83</v>
      </c>
      <c r="Q34" s="11">
        <v>4.66</v>
      </c>
      <c r="R34" s="11">
        <v>0</v>
      </c>
      <c r="S34" s="11">
        <v>4.66</v>
      </c>
      <c r="T34" s="11">
        <v>2</v>
      </c>
      <c r="U34" s="11">
        <v>2.66</v>
      </c>
      <c r="V34" s="11">
        <v>0</v>
      </c>
      <c r="W34" s="13">
        <v>2</v>
      </c>
      <c r="X34" s="13">
        <v>3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110</v>
      </c>
      <c r="C35" s="10" t="s">
        <v>111</v>
      </c>
      <c r="D35" s="7" t="s">
        <v>54</v>
      </c>
      <c r="E35" s="7" t="s">
        <v>51</v>
      </c>
      <c r="F35" s="7" t="s">
        <v>75</v>
      </c>
      <c r="G35" s="7"/>
      <c r="H35" s="7" t="s">
        <v>43</v>
      </c>
      <c r="I35" s="11">
        <v>2</v>
      </c>
      <c r="J35" s="11">
        <v>3</v>
      </c>
      <c r="K35" s="11">
        <v>0</v>
      </c>
      <c r="L35" s="11">
        <v>0.29</v>
      </c>
      <c r="M35" s="11">
        <v>0</v>
      </c>
      <c r="N35" s="11">
        <v>0</v>
      </c>
      <c r="O35" s="11">
        <v>0.62</v>
      </c>
      <c r="P35" s="11">
        <v>0.83</v>
      </c>
      <c r="Q35" s="11">
        <v>1.74</v>
      </c>
      <c r="R35" s="11">
        <v>0</v>
      </c>
      <c r="S35" s="11">
        <v>1.74</v>
      </c>
      <c r="T35" s="11">
        <v>1.74</v>
      </c>
      <c r="U35" s="11">
        <v>0</v>
      </c>
      <c r="V35" s="11">
        <v>0</v>
      </c>
      <c r="W35" s="13">
        <v>2</v>
      </c>
      <c r="X35" s="13">
        <v>3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112</v>
      </c>
      <c r="C36" s="10" t="s">
        <v>113</v>
      </c>
      <c r="D36" s="7" t="s">
        <v>50</v>
      </c>
      <c r="E36" s="7" t="s">
        <v>46</v>
      </c>
      <c r="F36" s="7" t="s">
        <v>75</v>
      </c>
      <c r="G36" s="7"/>
      <c r="H36" s="7" t="s">
        <v>43</v>
      </c>
      <c r="I36" s="11">
        <v>2</v>
      </c>
      <c r="J36" s="11">
        <v>3</v>
      </c>
      <c r="K36" s="11">
        <v>0</v>
      </c>
      <c r="L36" s="11">
        <v>2.4</v>
      </c>
      <c r="M36" s="11">
        <v>0</v>
      </c>
      <c r="N36" s="11">
        <v>0</v>
      </c>
      <c r="O36" s="11">
        <v>0</v>
      </c>
      <c r="P36" s="11">
        <v>0</v>
      </c>
      <c r="Q36" s="11">
        <v>2.4</v>
      </c>
      <c r="R36" s="11">
        <v>0</v>
      </c>
      <c r="S36" s="11">
        <v>2.4</v>
      </c>
      <c r="T36" s="11">
        <v>2</v>
      </c>
      <c r="U36" s="11">
        <v>0.4000000000000004</v>
      </c>
      <c r="V36" s="11">
        <v>0</v>
      </c>
      <c r="W36" s="13">
        <v>2</v>
      </c>
      <c r="X36" s="13">
        <v>3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114</v>
      </c>
      <c r="C37" s="10" t="s">
        <v>115</v>
      </c>
      <c r="D37" s="7" t="s">
        <v>105</v>
      </c>
      <c r="E37" s="7" t="s">
        <v>46</v>
      </c>
      <c r="F37" s="7" t="s">
        <v>75</v>
      </c>
      <c r="G37" s="7"/>
      <c r="H37" s="7" t="s">
        <v>43</v>
      </c>
      <c r="I37" s="11">
        <v>2</v>
      </c>
      <c r="J37" s="11">
        <v>3</v>
      </c>
      <c r="K37" s="11">
        <v>0</v>
      </c>
      <c r="L37" s="11">
        <v>2.45</v>
      </c>
      <c r="M37" s="11">
        <v>0.24</v>
      </c>
      <c r="N37" s="11">
        <v>0</v>
      </c>
      <c r="O37" s="11">
        <v>0.18</v>
      </c>
      <c r="P37" s="11">
        <v>0.83</v>
      </c>
      <c r="Q37" s="11">
        <v>3.7</v>
      </c>
      <c r="R37" s="11">
        <v>0</v>
      </c>
      <c r="S37" s="11">
        <v>3.7</v>
      </c>
      <c r="T37" s="11">
        <v>2</v>
      </c>
      <c r="U37" s="11">
        <v>1.7</v>
      </c>
      <c r="V37" s="11">
        <v>0</v>
      </c>
      <c r="W37" s="13">
        <v>2</v>
      </c>
      <c r="X37" s="13">
        <v>3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116</v>
      </c>
      <c r="C38" s="10" t="s">
        <v>117</v>
      </c>
      <c r="D38" s="7" t="s">
        <v>92</v>
      </c>
      <c r="E38" s="7" t="s">
        <v>51</v>
      </c>
      <c r="F38" s="7" t="s">
        <v>72</v>
      </c>
      <c r="G38" s="7"/>
      <c r="H38" s="7" t="s">
        <v>43</v>
      </c>
      <c r="I38" s="11">
        <v>2</v>
      </c>
      <c r="J38" s="11">
        <v>3</v>
      </c>
      <c r="K38" s="11">
        <v>0</v>
      </c>
      <c r="L38" s="11">
        <v>2.300000000000001</v>
      </c>
      <c r="M38" s="11">
        <v>0.16</v>
      </c>
      <c r="N38" s="11">
        <v>0</v>
      </c>
      <c r="O38" s="11">
        <v>0.5600000000000001</v>
      </c>
      <c r="P38" s="11">
        <v>0.8</v>
      </c>
      <c r="Q38" s="11">
        <v>3.820000000000001</v>
      </c>
      <c r="R38" s="11">
        <v>0</v>
      </c>
      <c r="S38" s="11">
        <v>3.820000000000001</v>
      </c>
      <c r="T38" s="11">
        <v>2</v>
      </c>
      <c r="U38" s="11">
        <v>1.820000000000001</v>
      </c>
      <c r="V38" s="11">
        <v>0</v>
      </c>
      <c r="W38" s="13">
        <v>2</v>
      </c>
      <c r="X38" s="13">
        <v>3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118</v>
      </c>
      <c r="C39" s="10" t="s">
        <v>119</v>
      </c>
      <c r="D39" s="7" t="s">
        <v>60</v>
      </c>
      <c r="E39" s="7" t="s">
        <v>120</v>
      </c>
      <c r="F39" s="7" t="s">
        <v>72</v>
      </c>
      <c r="G39" s="7"/>
      <c r="H39" s="7" t="s">
        <v>43</v>
      </c>
      <c r="I39" s="11">
        <v>2</v>
      </c>
      <c r="J39" s="11">
        <v>3</v>
      </c>
      <c r="K39" s="11">
        <v>0</v>
      </c>
      <c r="L39" s="11">
        <v>1.820000000000001</v>
      </c>
      <c r="M39" s="11">
        <v>0</v>
      </c>
      <c r="N39" s="11">
        <v>0</v>
      </c>
      <c r="O39" s="11">
        <v>0.62</v>
      </c>
      <c r="P39" s="11">
        <v>0.83</v>
      </c>
      <c r="Q39" s="11">
        <v>3.27</v>
      </c>
      <c r="R39" s="11">
        <v>0</v>
      </c>
      <c r="S39" s="11">
        <v>3.27</v>
      </c>
      <c r="T39" s="11">
        <v>2</v>
      </c>
      <c r="U39" s="11">
        <v>1.27</v>
      </c>
      <c r="V39" s="11">
        <v>0</v>
      </c>
      <c r="W39" s="13">
        <v>2</v>
      </c>
      <c r="X39" s="13">
        <v>3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121</v>
      </c>
      <c r="C40" s="10" t="s">
        <v>122</v>
      </c>
      <c r="D40" s="7" t="s">
        <v>105</v>
      </c>
      <c r="E40" s="7" t="s">
        <v>46</v>
      </c>
      <c r="F40" s="7" t="s">
        <v>75</v>
      </c>
      <c r="G40" s="7"/>
      <c r="H40" s="7" t="s">
        <v>43</v>
      </c>
      <c r="I40" s="11">
        <v>2</v>
      </c>
      <c r="J40" s="11">
        <v>3</v>
      </c>
      <c r="K40" s="11">
        <v>0</v>
      </c>
      <c r="L40" s="11">
        <v>5.849999999999997</v>
      </c>
      <c r="M40" s="11">
        <v>0.16</v>
      </c>
      <c r="N40" s="11">
        <v>0</v>
      </c>
      <c r="O40" s="11">
        <v>0.18</v>
      </c>
      <c r="P40" s="11">
        <v>0</v>
      </c>
      <c r="Q40" s="11">
        <v>6.189999999999997</v>
      </c>
      <c r="R40" s="11">
        <v>0</v>
      </c>
      <c r="S40" s="11">
        <v>6.189999999999997</v>
      </c>
      <c r="T40" s="11">
        <v>2</v>
      </c>
      <c r="U40" s="11">
        <v>3</v>
      </c>
      <c r="V40" s="11">
        <v>1.189999999999997</v>
      </c>
      <c r="W40" s="13">
        <v>2</v>
      </c>
      <c r="X40" s="13">
        <v>3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123</v>
      </c>
      <c r="C41" s="10" t="s">
        <v>124</v>
      </c>
      <c r="D41" s="7" t="s">
        <v>54</v>
      </c>
      <c r="E41" s="7" t="s">
        <v>46</v>
      </c>
      <c r="F41" s="7" t="s">
        <v>75</v>
      </c>
      <c r="G41" s="7"/>
      <c r="H41" s="7" t="s">
        <v>43</v>
      </c>
      <c r="I41" s="11">
        <v>2</v>
      </c>
      <c r="J41" s="11">
        <v>3</v>
      </c>
      <c r="K41" s="11">
        <v>0</v>
      </c>
      <c r="L41" s="11">
        <v>0</v>
      </c>
      <c r="M41" s="11">
        <v>0</v>
      </c>
      <c r="N41" s="11">
        <v>0</v>
      </c>
      <c r="O41" s="11">
        <v>0</v>
      </c>
      <c r="P41" s="11">
        <v>0</v>
      </c>
      <c r="Q41" s="11">
        <v>0</v>
      </c>
      <c r="R41" s="11">
        <v>0</v>
      </c>
      <c r="S41" s="11">
        <v>0</v>
      </c>
      <c r="T41" s="11">
        <v>0</v>
      </c>
      <c r="U41" s="11">
        <v>0</v>
      </c>
      <c r="V41" s="11">
        <v>0</v>
      </c>
      <c r="W41" s="13">
        <v>2</v>
      </c>
      <c r="X41" s="13">
        <v>3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125</v>
      </c>
      <c r="C42" s="10" t="s">
        <v>126</v>
      </c>
      <c r="D42" s="7" t="s">
        <v>105</v>
      </c>
      <c r="E42" s="7" t="s">
        <v>46</v>
      </c>
      <c r="F42" s="7" t="s">
        <v>75</v>
      </c>
      <c r="G42" s="7"/>
      <c r="H42" s="7" t="s">
        <v>43</v>
      </c>
      <c r="I42" s="11">
        <v>2</v>
      </c>
      <c r="J42" s="11">
        <v>3</v>
      </c>
      <c r="K42" s="11">
        <v>0</v>
      </c>
      <c r="L42" s="11">
        <v>2.12</v>
      </c>
      <c r="M42" s="11">
        <v>0.32</v>
      </c>
      <c r="N42" s="11">
        <v>0</v>
      </c>
      <c r="O42" s="11">
        <v>0.18</v>
      </c>
      <c r="P42" s="11">
        <v>0.8</v>
      </c>
      <c r="Q42" s="11">
        <v>3.420000000000001</v>
      </c>
      <c r="R42" s="11">
        <v>0</v>
      </c>
      <c r="S42" s="11">
        <v>3.420000000000001</v>
      </c>
      <c r="T42" s="11">
        <v>2</v>
      </c>
      <c r="U42" s="11">
        <v>1.420000000000001</v>
      </c>
      <c r="V42" s="11">
        <v>0</v>
      </c>
      <c r="W42" s="13">
        <v>2</v>
      </c>
      <c r="X42" s="13">
        <v>3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127</v>
      </c>
      <c r="C43" s="10" t="s">
        <v>128</v>
      </c>
      <c r="D43" s="7" t="s">
        <v>50</v>
      </c>
      <c r="E43" s="7" t="s">
        <v>46</v>
      </c>
      <c r="F43" s="7" t="s">
        <v>75</v>
      </c>
      <c r="G43" s="7"/>
      <c r="H43" s="7" t="s">
        <v>129</v>
      </c>
      <c r="I43" s="11">
        <v>2</v>
      </c>
      <c r="J43" s="11">
        <v>3</v>
      </c>
      <c r="K43" s="11">
        <v>0.95</v>
      </c>
      <c r="L43" s="11">
        <v>2.76</v>
      </c>
      <c r="M43" s="11">
        <v>0</v>
      </c>
      <c r="N43" s="11">
        <v>0</v>
      </c>
      <c r="O43" s="11">
        <v>0.2</v>
      </c>
      <c r="P43" s="11">
        <v>2.13</v>
      </c>
      <c r="Q43" s="11">
        <v>6.039999999999996</v>
      </c>
      <c r="R43" s="11">
        <v>0</v>
      </c>
      <c r="S43" s="11">
        <v>6.039999999999996</v>
      </c>
      <c r="T43" s="11">
        <v>2</v>
      </c>
      <c r="U43" s="11">
        <v>3</v>
      </c>
      <c r="V43" s="11">
        <v>1.039999999999996</v>
      </c>
      <c r="W43" s="13">
        <v>2</v>
      </c>
      <c r="X43" s="13">
        <v>3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130</v>
      </c>
      <c r="C44" s="10" t="s">
        <v>131</v>
      </c>
      <c r="D44" s="7" t="s">
        <v>50</v>
      </c>
      <c r="E44" s="7" t="s">
        <v>46</v>
      </c>
      <c r="F44" s="7" t="s">
        <v>75</v>
      </c>
      <c r="G44" s="7"/>
      <c r="H44" s="7" t="s">
        <v>129</v>
      </c>
      <c r="I44" s="11">
        <v>2</v>
      </c>
      <c r="J44" s="11">
        <v>3</v>
      </c>
      <c r="K44" s="11">
        <v>0.95</v>
      </c>
      <c r="L44" s="11">
        <v>3.44</v>
      </c>
      <c r="M44" s="11">
        <v>0</v>
      </c>
      <c r="N44" s="11">
        <v>0</v>
      </c>
      <c r="O44" s="11">
        <v>0.18</v>
      </c>
      <c r="P44" s="11">
        <v>0</v>
      </c>
      <c r="Q44" s="11">
        <v>4.57</v>
      </c>
      <c r="R44" s="11">
        <v>0</v>
      </c>
      <c r="S44" s="11">
        <v>4.57</v>
      </c>
      <c r="T44" s="11">
        <v>2</v>
      </c>
      <c r="U44" s="11">
        <v>2.57</v>
      </c>
      <c r="V44" s="11">
        <v>0</v>
      </c>
      <c r="W44" s="13">
        <v>2</v>
      </c>
      <c r="X44" s="13">
        <v>3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132</v>
      </c>
      <c r="C45" s="10" t="s">
        <v>133</v>
      </c>
      <c r="D45" s="7" t="s">
        <v>54</v>
      </c>
      <c r="E45" s="7" t="s">
        <v>51</v>
      </c>
      <c r="F45" s="7" t="s">
        <v>75</v>
      </c>
      <c r="G45" s="7"/>
      <c r="H45" s="7" t="s">
        <v>43</v>
      </c>
      <c r="I45" s="11">
        <v>2</v>
      </c>
      <c r="J45" s="11">
        <v>3</v>
      </c>
      <c r="K45" s="11">
        <v>0</v>
      </c>
      <c r="L45" s="11">
        <v>2.740000000000001</v>
      </c>
      <c r="M45" s="11">
        <v>0.24</v>
      </c>
      <c r="N45" s="11">
        <v>0</v>
      </c>
      <c r="O45" s="11">
        <v>1.03</v>
      </c>
      <c r="P45" s="11">
        <v>0.83</v>
      </c>
      <c r="Q45" s="11">
        <v>4.840000000000001</v>
      </c>
      <c r="R45" s="11">
        <v>0</v>
      </c>
      <c r="S45" s="11">
        <v>4.840000000000001</v>
      </c>
      <c r="T45" s="11">
        <v>2</v>
      </c>
      <c r="U45" s="11">
        <v>2.840000000000001</v>
      </c>
      <c r="V45" s="11">
        <v>0</v>
      </c>
      <c r="W45" s="13">
        <v>2</v>
      </c>
      <c r="X45" s="13">
        <v>3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134</v>
      </c>
      <c r="C46" s="10" t="s">
        <v>135</v>
      </c>
      <c r="D46" s="7" t="s">
        <v>82</v>
      </c>
      <c r="E46" s="7" t="s">
        <v>51</v>
      </c>
      <c r="F46" s="7" t="s">
        <v>75</v>
      </c>
      <c r="G46" s="7"/>
      <c r="H46" s="7" t="s">
        <v>43</v>
      </c>
      <c r="I46" s="11">
        <v>2</v>
      </c>
      <c r="J46" s="11">
        <v>3</v>
      </c>
      <c r="K46" s="11">
        <v>0</v>
      </c>
      <c r="L46" s="11">
        <v>1.17</v>
      </c>
      <c r="M46" s="11">
        <v>0.08</v>
      </c>
      <c r="N46" s="11">
        <v>0</v>
      </c>
      <c r="O46" s="11">
        <v>0.36</v>
      </c>
      <c r="P46" s="11">
        <v>0.83</v>
      </c>
      <c r="Q46" s="11">
        <v>2.44</v>
      </c>
      <c r="R46" s="11">
        <v>0</v>
      </c>
      <c r="S46" s="11">
        <v>2.44</v>
      </c>
      <c r="T46" s="11">
        <v>2</v>
      </c>
      <c r="U46" s="11">
        <v>0.4400000000000004</v>
      </c>
      <c r="V46" s="11">
        <v>0</v>
      </c>
      <c r="W46" s="13">
        <v>2</v>
      </c>
      <c r="X46" s="13">
        <v>3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136</v>
      </c>
      <c r="C47" s="10" t="s">
        <v>137</v>
      </c>
      <c r="D47" s="7" t="s">
        <v>89</v>
      </c>
      <c r="E47" s="7" t="s">
        <v>71</v>
      </c>
      <c r="F47" s="7" t="s">
        <v>72</v>
      </c>
      <c r="G47" s="7"/>
      <c r="H47" s="7" t="s">
        <v>47</v>
      </c>
      <c r="I47" s="11">
        <v>2</v>
      </c>
      <c r="J47" s="11">
        <v>3</v>
      </c>
      <c r="K47" s="11">
        <v>0.95</v>
      </c>
      <c r="L47" s="11">
        <v>2.960000000000001</v>
      </c>
      <c r="M47" s="11">
        <v>0.24</v>
      </c>
      <c r="N47" s="11">
        <v>0</v>
      </c>
      <c r="O47" s="11">
        <v>1.17</v>
      </c>
      <c r="P47" s="11">
        <v>2.49</v>
      </c>
      <c r="Q47" s="11">
        <v>7.809999999999996</v>
      </c>
      <c r="R47" s="11">
        <v>0</v>
      </c>
      <c r="S47" s="11">
        <v>7.809999999999996</v>
      </c>
      <c r="T47" s="11">
        <v>2</v>
      </c>
      <c r="U47" s="11">
        <v>3</v>
      </c>
      <c r="V47" s="11">
        <v>2.809999999999996</v>
      </c>
      <c r="W47" s="13">
        <v>2</v>
      </c>
      <c r="X47" s="13">
        <v>3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138</v>
      </c>
      <c r="C48" s="10" t="s">
        <v>139</v>
      </c>
      <c r="D48" s="7" t="s">
        <v>105</v>
      </c>
      <c r="E48" s="7" t="s">
        <v>46</v>
      </c>
      <c r="F48" s="7" t="s">
        <v>75</v>
      </c>
      <c r="G48" s="7"/>
      <c r="H48" s="7" t="s">
        <v>43</v>
      </c>
      <c r="I48" s="11">
        <v>2</v>
      </c>
      <c r="J48" s="11">
        <v>3</v>
      </c>
      <c r="K48" s="11">
        <v>0</v>
      </c>
      <c r="L48" s="11">
        <v>3.399999999999999</v>
      </c>
      <c r="M48" s="11">
        <v>0</v>
      </c>
      <c r="N48" s="11">
        <v>0</v>
      </c>
      <c r="O48" s="11">
        <v>0.18</v>
      </c>
      <c r="P48" s="11">
        <v>0</v>
      </c>
      <c r="Q48" s="11">
        <v>3.58</v>
      </c>
      <c r="R48" s="11">
        <v>0</v>
      </c>
      <c r="S48" s="11">
        <v>3.58</v>
      </c>
      <c r="T48" s="11">
        <v>2</v>
      </c>
      <c r="U48" s="11">
        <v>1.58</v>
      </c>
      <c r="V48" s="11">
        <v>0</v>
      </c>
      <c r="W48" s="13">
        <v>2</v>
      </c>
      <c r="X48" s="13">
        <v>3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140</v>
      </c>
      <c r="C49" s="10" t="s">
        <v>141</v>
      </c>
      <c r="D49" s="7" t="s">
        <v>105</v>
      </c>
      <c r="E49" s="7" t="s">
        <v>46</v>
      </c>
      <c r="F49" s="7" t="s">
        <v>75</v>
      </c>
      <c r="G49" s="7"/>
      <c r="H49" s="7" t="s">
        <v>43</v>
      </c>
      <c r="I49" s="11">
        <v>2</v>
      </c>
      <c r="J49" s="11">
        <v>3</v>
      </c>
      <c r="K49" s="11">
        <v>0</v>
      </c>
      <c r="L49" s="11">
        <v>4.929999999999993</v>
      </c>
      <c r="M49" s="11">
        <v>0.32</v>
      </c>
      <c r="N49" s="11">
        <v>0</v>
      </c>
      <c r="O49" s="11">
        <v>0.18</v>
      </c>
      <c r="P49" s="11">
        <v>0.83</v>
      </c>
      <c r="Q49" s="11">
        <v>6.259999999999992</v>
      </c>
      <c r="R49" s="11">
        <v>0</v>
      </c>
      <c r="S49" s="11">
        <v>6.259999999999992</v>
      </c>
      <c r="T49" s="11">
        <v>2</v>
      </c>
      <c r="U49" s="11">
        <v>3</v>
      </c>
      <c r="V49" s="11">
        <v>1.259999999999992</v>
      </c>
      <c r="W49" s="13">
        <v>2</v>
      </c>
      <c r="X49" s="13">
        <v>3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142</v>
      </c>
      <c r="C50" s="10" t="s">
        <v>143</v>
      </c>
      <c r="D50" s="7" t="s">
        <v>105</v>
      </c>
      <c r="E50" s="7" t="s">
        <v>46</v>
      </c>
      <c r="F50" s="7" t="s">
        <v>75</v>
      </c>
      <c r="G50" s="7"/>
      <c r="H50" s="7" t="s">
        <v>43</v>
      </c>
      <c r="I50" s="11">
        <v>2</v>
      </c>
      <c r="J50" s="11">
        <v>3</v>
      </c>
      <c r="K50" s="11">
        <v>0</v>
      </c>
      <c r="L50" s="11">
        <v>2.140000000000001</v>
      </c>
      <c r="M50" s="11">
        <v>0.16</v>
      </c>
      <c r="N50" s="11">
        <v>0</v>
      </c>
      <c r="O50" s="11">
        <v>0.18</v>
      </c>
      <c r="P50" s="11">
        <v>1.63</v>
      </c>
      <c r="Q50" s="11">
        <v>4.11</v>
      </c>
      <c r="R50" s="11">
        <v>0</v>
      </c>
      <c r="S50" s="11">
        <v>4.11</v>
      </c>
      <c r="T50" s="11">
        <v>2</v>
      </c>
      <c r="U50" s="11">
        <v>2.11</v>
      </c>
      <c r="V50" s="11">
        <v>0</v>
      </c>
      <c r="W50" s="13">
        <v>2</v>
      </c>
      <c r="X50" s="13">
        <v>3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144</v>
      </c>
      <c r="C51" s="10" t="s">
        <v>145</v>
      </c>
      <c r="D51" s="7" t="s">
        <v>92</v>
      </c>
      <c r="E51" s="7" t="s">
        <v>51</v>
      </c>
      <c r="F51" s="7" t="s">
        <v>75</v>
      </c>
      <c r="G51" s="7"/>
      <c r="H51" s="7" t="s">
        <v>43</v>
      </c>
      <c r="I51" s="11">
        <v>2</v>
      </c>
      <c r="J51" s="11">
        <v>3</v>
      </c>
      <c r="K51" s="11">
        <v>0</v>
      </c>
      <c r="L51" s="11">
        <v>3.52</v>
      </c>
      <c r="M51" s="11">
        <v>0.16</v>
      </c>
      <c r="N51" s="11">
        <v>0</v>
      </c>
      <c r="O51" s="11">
        <v>0.26</v>
      </c>
      <c r="P51" s="11">
        <v>0.83</v>
      </c>
      <c r="Q51" s="11">
        <v>4.77</v>
      </c>
      <c r="R51" s="11">
        <v>0</v>
      </c>
      <c r="S51" s="11">
        <v>4.77</v>
      </c>
      <c r="T51" s="11">
        <v>2</v>
      </c>
      <c r="U51" s="11">
        <v>2.77</v>
      </c>
      <c r="V51" s="11">
        <v>0</v>
      </c>
      <c r="W51" s="13">
        <v>2</v>
      </c>
      <c r="X51" s="13">
        <v>3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146</v>
      </c>
      <c r="C52" s="10" t="s">
        <v>147</v>
      </c>
      <c r="D52" s="7" t="s">
        <v>105</v>
      </c>
      <c r="E52" s="7" t="s">
        <v>46</v>
      </c>
      <c r="F52" s="7" t="s">
        <v>75</v>
      </c>
      <c r="G52" s="7"/>
      <c r="H52" s="7" t="s">
        <v>43</v>
      </c>
      <c r="I52" s="11">
        <v>2</v>
      </c>
      <c r="J52" s="11">
        <v>3</v>
      </c>
      <c r="K52" s="11">
        <v>0</v>
      </c>
      <c r="L52" s="11">
        <v>2.52</v>
      </c>
      <c r="M52" s="11">
        <v>0.16</v>
      </c>
      <c r="N52" s="11">
        <v>0</v>
      </c>
      <c r="O52" s="11">
        <v>0.18</v>
      </c>
      <c r="P52" s="11">
        <v>0.8</v>
      </c>
      <c r="Q52" s="11">
        <v>3.660000000000001</v>
      </c>
      <c r="R52" s="11">
        <v>0</v>
      </c>
      <c r="S52" s="11">
        <v>3.660000000000001</v>
      </c>
      <c r="T52" s="11">
        <v>2</v>
      </c>
      <c r="U52" s="11">
        <v>1.660000000000001</v>
      </c>
      <c r="V52" s="11">
        <v>0</v>
      </c>
      <c r="W52" s="13">
        <v>2</v>
      </c>
      <c r="X52" s="13">
        <v>3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148</v>
      </c>
      <c r="C53" s="10" t="s">
        <v>149</v>
      </c>
      <c r="D53" s="7" t="s">
        <v>60</v>
      </c>
      <c r="E53" s="7" t="s">
        <v>46</v>
      </c>
      <c r="F53" s="7" t="s">
        <v>75</v>
      </c>
      <c r="G53" s="7"/>
      <c r="H53" s="7" t="s">
        <v>43</v>
      </c>
      <c r="I53" s="11">
        <v>2</v>
      </c>
      <c r="J53" s="11">
        <v>3</v>
      </c>
      <c r="K53" s="11">
        <v>0</v>
      </c>
      <c r="L53" s="11">
        <v>1.48</v>
      </c>
      <c r="M53" s="11">
        <v>0.08</v>
      </c>
      <c r="N53" s="11">
        <v>0</v>
      </c>
      <c r="O53" s="11">
        <v>0.36</v>
      </c>
      <c r="P53" s="11">
        <v>0</v>
      </c>
      <c r="Q53" s="11">
        <v>1.92</v>
      </c>
      <c r="R53" s="11">
        <v>0</v>
      </c>
      <c r="S53" s="11">
        <v>1.92</v>
      </c>
      <c r="T53" s="11">
        <v>1.92</v>
      </c>
      <c r="U53" s="11">
        <v>0</v>
      </c>
      <c r="V53" s="11">
        <v>0</v>
      </c>
      <c r="W53" s="13">
        <v>2</v>
      </c>
      <c r="X53" s="13">
        <v>3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150</v>
      </c>
      <c r="C54" s="10" t="s">
        <v>151</v>
      </c>
      <c r="D54" s="7" t="s">
        <v>152</v>
      </c>
      <c r="E54" s="7" t="s">
        <v>64</v>
      </c>
      <c r="F54" s="7" t="s">
        <v>75</v>
      </c>
      <c r="G54" s="7"/>
      <c r="H54" s="7" t="s">
        <v>43</v>
      </c>
      <c r="I54" s="11">
        <v>2</v>
      </c>
      <c r="J54" s="11">
        <v>3</v>
      </c>
      <c r="K54" s="11">
        <v>0</v>
      </c>
      <c r="L54" s="11">
        <v>4.999999999999996</v>
      </c>
      <c r="M54" s="11">
        <v>0.32</v>
      </c>
      <c r="N54" s="11">
        <v>0</v>
      </c>
      <c r="O54" s="11">
        <v>0.65</v>
      </c>
      <c r="P54" s="11">
        <v>0.83</v>
      </c>
      <c r="Q54" s="11">
        <v>6.799999999999997</v>
      </c>
      <c r="R54" s="11">
        <v>0</v>
      </c>
      <c r="S54" s="11">
        <v>6.799999999999997</v>
      </c>
      <c r="T54" s="11">
        <v>2</v>
      </c>
      <c r="U54" s="11">
        <v>3</v>
      </c>
      <c r="V54" s="11">
        <v>1.799999999999997</v>
      </c>
      <c r="W54" s="13">
        <v>2</v>
      </c>
      <c r="X54" s="13">
        <v>3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153</v>
      </c>
      <c r="C55" s="10" t="s">
        <v>154</v>
      </c>
      <c r="D55" s="7" t="s">
        <v>82</v>
      </c>
      <c r="E55" s="7" t="s">
        <v>46</v>
      </c>
      <c r="F55" s="7" t="s">
        <v>75</v>
      </c>
      <c r="G55" s="7"/>
      <c r="H55" s="7" t="s">
        <v>155</v>
      </c>
      <c r="I55" s="11">
        <v>2</v>
      </c>
      <c r="J55" s="11">
        <v>3</v>
      </c>
      <c r="K55" s="11">
        <v>1.33</v>
      </c>
      <c r="L55" s="11">
        <v>1.48</v>
      </c>
      <c r="M55" s="11">
        <v>0</v>
      </c>
      <c r="N55" s="11">
        <v>0</v>
      </c>
      <c r="O55" s="11">
        <v>0.8399999999999999</v>
      </c>
      <c r="P55" s="11">
        <v>0.8</v>
      </c>
      <c r="Q55" s="11">
        <v>4.449999999999999</v>
      </c>
      <c r="R55" s="11">
        <v>0</v>
      </c>
      <c r="S55" s="11">
        <v>4.449999999999999</v>
      </c>
      <c r="T55" s="11">
        <v>2</v>
      </c>
      <c r="U55" s="11">
        <v>2.449999999999999</v>
      </c>
      <c r="V55" s="11">
        <v>0</v>
      </c>
      <c r="W55" s="13">
        <v>2</v>
      </c>
      <c r="X55" s="13">
        <v>3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156</v>
      </c>
      <c r="C56" s="10" t="s">
        <v>157</v>
      </c>
      <c r="D56" s="7" t="s">
        <v>50</v>
      </c>
      <c r="E56" s="7" t="s">
        <v>46</v>
      </c>
      <c r="F56" s="7" t="s">
        <v>75</v>
      </c>
      <c r="G56" s="7"/>
      <c r="H56" s="7" t="s">
        <v>43</v>
      </c>
      <c r="I56" s="11">
        <v>2</v>
      </c>
      <c r="J56" s="11">
        <v>3</v>
      </c>
      <c r="K56" s="11">
        <v>0</v>
      </c>
      <c r="L56" s="11">
        <v>0.47</v>
      </c>
      <c r="M56" s="11">
        <v>0.08</v>
      </c>
      <c r="N56" s="11">
        <v>0</v>
      </c>
      <c r="O56" s="11">
        <v>0</v>
      </c>
      <c r="P56" s="11">
        <v>1.6</v>
      </c>
      <c r="Q56" s="11">
        <v>2.15</v>
      </c>
      <c r="R56" s="11">
        <v>0</v>
      </c>
      <c r="S56" s="11">
        <v>2.15</v>
      </c>
      <c r="T56" s="11">
        <v>2</v>
      </c>
      <c r="U56" s="11">
        <v>0.1500000000000004</v>
      </c>
      <c r="V56" s="11">
        <v>0</v>
      </c>
      <c r="W56" s="13">
        <v>2</v>
      </c>
      <c r="X56" s="13">
        <v>3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158</v>
      </c>
      <c r="C57" s="10" t="s">
        <v>159</v>
      </c>
      <c r="D57" s="7" t="s">
        <v>82</v>
      </c>
      <c r="E57" s="7" t="s">
        <v>51</v>
      </c>
      <c r="F57" s="7" t="s">
        <v>75</v>
      </c>
      <c r="G57" s="7"/>
      <c r="H57" s="7" t="s">
        <v>43</v>
      </c>
      <c r="I57" s="11">
        <v>2</v>
      </c>
      <c r="J57" s="11">
        <v>3</v>
      </c>
      <c r="K57" s="11">
        <v>0</v>
      </c>
      <c r="L57" s="11">
        <v>1.71</v>
      </c>
      <c r="M57" s="11">
        <v>0.16</v>
      </c>
      <c r="N57" s="11">
        <v>0</v>
      </c>
      <c r="O57" s="11">
        <v>0.36</v>
      </c>
      <c r="P57" s="11">
        <v>2</v>
      </c>
      <c r="Q57" s="11">
        <v>4.23</v>
      </c>
      <c r="R57" s="11">
        <v>0</v>
      </c>
      <c r="S57" s="11">
        <v>4.23</v>
      </c>
      <c r="T57" s="11">
        <v>2</v>
      </c>
      <c r="U57" s="11">
        <v>2.23</v>
      </c>
      <c r="V57" s="11">
        <v>0</v>
      </c>
      <c r="W57" s="13">
        <v>2</v>
      </c>
      <c r="X57" s="13">
        <v>3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160</v>
      </c>
      <c r="C58" s="10" t="s">
        <v>161</v>
      </c>
      <c r="D58" s="7" t="s">
        <v>78</v>
      </c>
      <c r="E58" s="7" t="s">
        <v>71</v>
      </c>
      <c r="F58" s="7" t="s">
        <v>162</v>
      </c>
      <c r="G58" s="7"/>
      <c r="H58" s="7" t="s">
        <v>47</v>
      </c>
      <c r="I58" s="11">
        <v>2</v>
      </c>
      <c r="J58" s="11">
        <v>3</v>
      </c>
      <c r="K58" s="11">
        <v>0.95</v>
      </c>
      <c r="L58" s="11">
        <v>2.81</v>
      </c>
      <c r="M58" s="11">
        <v>0.24</v>
      </c>
      <c r="N58" s="11">
        <v>0</v>
      </c>
      <c r="O58" s="11">
        <v>0.42</v>
      </c>
      <c r="P58" s="11">
        <v>2.46</v>
      </c>
      <c r="Q58" s="11">
        <v>6.879999999999998</v>
      </c>
      <c r="R58" s="11">
        <v>0</v>
      </c>
      <c r="S58" s="11">
        <v>6.879999999999998</v>
      </c>
      <c r="T58" s="11">
        <v>2</v>
      </c>
      <c r="U58" s="11">
        <v>3</v>
      </c>
      <c r="V58" s="11">
        <v>1.879999999999998</v>
      </c>
      <c r="W58" s="13">
        <v>2</v>
      </c>
      <c r="X58" s="13">
        <v>3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163</v>
      </c>
      <c r="C59" s="10" t="s">
        <v>164</v>
      </c>
      <c r="D59" s="7" t="s">
        <v>50</v>
      </c>
      <c r="E59" s="7" t="s">
        <v>71</v>
      </c>
      <c r="F59" s="7" t="s">
        <v>162</v>
      </c>
      <c r="G59" s="7"/>
      <c r="H59" s="7" t="s">
        <v>165</v>
      </c>
      <c r="I59" s="11">
        <v>2</v>
      </c>
      <c r="J59" s="11">
        <v>3</v>
      </c>
      <c r="K59" s="11">
        <v>0.95</v>
      </c>
      <c r="L59" s="11">
        <v>1.7</v>
      </c>
      <c r="M59" s="11">
        <v>0</v>
      </c>
      <c r="N59" s="11">
        <v>0</v>
      </c>
      <c r="O59" s="11">
        <v>0</v>
      </c>
      <c r="P59" s="11">
        <v>1.66</v>
      </c>
      <c r="Q59" s="11">
        <v>4.31</v>
      </c>
      <c r="R59" s="11">
        <v>0</v>
      </c>
      <c r="S59" s="11">
        <v>4.31</v>
      </c>
      <c r="T59" s="11">
        <v>2</v>
      </c>
      <c r="U59" s="11">
        <v>2.31</v>
      </c>
      <c r="V59" s="11">
        <v>0</v>
      </c>
      <c r="W59" s="13">
        <v>2</v>
      </c>
      <c r="X59" s="13">
        <v>3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166</v>
      </c>
      <c r="C60" s="10" t="s">
        <v>167</v>
      </c>
      <c r="D60" s="7" t="s">
        <v>82</v>
      </c>
      <c r="E60" s="7" t="s">
        <v>71</v>
      </c>
      <c r="F60" s="7" t="s">
        <v>162</v>
      </c>
      <c r="G60" s="7"/>
      <c r="H60" s="7" t="s">
        <v>168</v>
      </c>
      <c r="I60" s="11">
        <v>2</v>
      </c>
      <c r="J60" s="11">
        <v>3</v>
      </c>
      <c r="K60" s="11">
        <v>1</v>
      </c>
      <c r="L60" s="11">
        <v>0.8600000000000001</v>
      </c>
      <c r="M60" s="11">
        <v>0.16</v>
      </c>
      <c r="N60" s="11">
        <v>0</v>
      </c>
      <c r="O60" s="11">
        <v>0.9299999999999999</v>
      </c>
      <c r="P60" s="11">
        <v>0.8</v>
      </c>
      <c r="Q60" s="11">
        <v>3.75</v>
      </c>
      <c r="R60" s="11">
        <v>0</v>
      </c>
      <c r="S60" s="11">
        <v>3.75</v>
      </c>
      <c r="T60" s="11">
        <v>2</v>
      </c>
      <c r="U60" s="11">
        <v>1.75</v>
      </c>
      <c r="V60" s="11">
        <v>0</v>
      </c>
      <c r="W60" s="13">
        <v>2</v>
      </c>
      <c r="X60" s="13">
        <v>3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169</v>
      </c>
      <c r="C61" s="10" t="s">
        <v>170</v>
      </c>
      <c r="D61" s="7" t="s">
        <v>171</v>
      </c>
      <c r="E61" s="7" t="s">
        <v>71</v>
      </c>
      <c r="F61" s="7" t="s">
        <v>162</v>
      </c>
      <c r="G61" s="7"/>
      <c r="H61" s="7" t="s">
        <v>47</v>
      </c>
      <c r="I61" s="11">
        <v>2</v>
      </c>
      <c r="J61" s="11">
        <v>3</v>
      </c>
      <c r="K61" s="11">
        <v>0.95</v>
      </c>
      <c r="L61" s="11">
        <v>1.7</v>
      </c>
      <c r="M61" s="11">
        <v>0.16</v>
      </c>
      <c r="N61" s="11">
        <v>0</v>
      </c>
      <c r="O61" s="11">
        <v>0.7</v>
      </c>
      <c r="P61" s="11">
        <v>1.66</v>
      </c>
      <c r="Q61" s="11">
        <v>5.17</v>
      </c>
      <c r="R61" s="11">
        <v>0</v>
      </c>
      <c r="S61" s="11">
        <v>5.17</v>
      </c>
      <c r="T61" s="11">
        <v>2</v>
      </c>
      <c r="U61" s="11">
        <v>3</v>
      </c>
      <c r="V61" s="11">
        <v>0.1699999999999999</v>
      </c>
      <c r="W61" s="13">
        <v>2</v>
      </c>
      <c r="X61" s="13">
        <v>3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172</v>
      </c>
      <c r="C62" s="10" t="s">
        <v>173</v>
      </c>
      <c r="D62" s="7" t="s">
        <v>60</v>
      </c>
      <c r="E62" s="7" t="s">
        <v>71</v>
      </c>
      <c r="F62" s="7" t="s">
        <v>162</v>
      </c>
      <c r="G62" s="7"/>
      <c r="H62" s="7" t="s">
        <v>47</v>
      </c>
      <c r="I62" s="11">
        <v>2</v>
      </c>
      <c r="J62" s="11">
        <v>3</v>
      </c>
      <c r="K62" s="11">
        <v>0.95</v>
      </c>
      <c r="L62" s="11">
        <v>2.02</v>
      </c>
      <c r="M62" s="11">
        <v>0.08</v>
      </c>
      <c r="N62" s="11">
        <v>0</v>
      </c>
      <c r="O62" s="11">
        <v>0.8200000000000001</v>
      </c>
      <c r="P62" s="11">
        <v>2.49</v>
      </c>
      <c r="Q62" s="11">
        <v>6.359999999999998</v>
      </c>
      <c r="R62" s="11">
        <v>0</v>
      </c>
      <c r="S62" s="11">
        <v>6.359999999999998</v>
      </c>
      <c r="T62" s="11">
        <v>2</v>
      </c>
      <c r="U62" s="11">
        <v>3</v>
      </c>
      <c r="V62" s="11">
        <v>1.359999999999998</v>
      </c>
      <c r="W62" s="13">
        <v>2</v>
      </c>
      <c r="X62" s="13">
        <v>3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174</v>
      </c>
      <c r="C63" s="10" t="s">
        <v>175</v>
      </c>
      <c r="D63" s="7" t="s">
        <v>105</v>
      </c>
      <c r="E63" s="7" t="s">
        <v>71</v>
      </c>
      <c r="F63" s="7" t="s">
        <v>162</v>
      </c>
      <c r="G63" s="7"/>
      <c r="H63" s="7" t="s">
        <v>43</v>
      </c>
      <c r="I63" s="11">
        <v>2</v>
      </c>
      <c r="J63" s="11">
        <v>3</v>
      </c>
      <c r="K63" s="11">
        <v>0</v>
      </c>
      <c r="L63" s="11">
        <v>2.010000000000001</v>
      </c>
      <c r="M63" s="11">
        <v>0</v>
      </c>
      <c r="N63" s="11">
        <v>0</v>
      </c>
      <c r="O63" s="11">
        <v>0.18</v>
      </c>
      <c r="P63" s="11">
        <v>1.63</v>
      </c>
      <c r="Q63" s="11">
        <v>3.82</v>
      </c>
      <c r="R63" s="11">
        <v>0</v>
      </c>
      <c r="S63" s="11">
        <v>3.82</v>
      </c>
      <c r="T63" s="11">
        <v>2</v>
      </c>
      <c r="U63" s="11">
        <v>1.82</v>
      </c>
      <c r="V63" s="11">
        <v>0</v>
      </c>
      <c r="W63" s="13">
        <v>2</v>
      </c>
      <c r="X63" s="13">
        <v>3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176</v>
      </c>
      <c r="C64" s="10" t="s">
        <v>177</v>
      </c>
      <c r="D64" s="7" t="s">
        <v>50</v>
      </c>
      <c r="E64" s="7" t="s">
        <v>178</v>
      </c>
      <c r="F64" s="7" t="s">
        <v>162</v>
      </c>
      <c r="G64" s="7"/>
      <c r="H64" s="7"/>
      <c r="I64" s="11">
        <v>2</v>
      </c>
      <c r="J64" s="11">
        <v>3</v>
      </c>
      <c r="K64" s="11">
        <v>0</v>
      </c>
      <c r="L64" s="11">
        <v>2.29</v>
      </c>
      <c r="M64" s="11">
        <v>0.24</v>
      </c>
      <c r="N64" s="11">
        <v>0</v>
      </c>
      <c r="O64" s="11">
        <v>0</v>
      </c>
      <c r="P64" s="11">
        <v>0</v>
      </c>
      <c r="Q64" s="11">
        <v>2.530000000000001</v>
      </c>
      <c r="R64" s="11">
        <v>0</v>
      </c>
      <c r="S64" s="11">
        <v>2.530000000000001</v>
      </c>
      <c r="T64" s="11">
        <v>2</v>
      </c>
      <c r="U64" s="11">
        <v>0.5300000000000007</v>
      </c>
      <c r="V64" s="11">
        <v>0</v>
      </c>
      <c r="W64" s="13">
        <v>2</v>
      </c>
      <c r="X64" s="13">
        <v>3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179</v>
      </c>
      <c r="C65" s="10" t="s">
        <v>180</v>
      </c>
      <c r="D65" s="7" t="s">
        <v>105</v>
      </c>
      <c r="E65" s="7" t="s">
        <v>71</v>
      </c>
      <c r="F65" s="7" t="s">
        <v>162</v>
      </c>
      <c r="G65" s="7"/>
      <c r="H65" s="7" t="s">
        <v>43</v>
      </c>
      <c r="I65" s="11">
        <v>2</v>
      </c>
      <c r="J65" s="11">
        <v>3</v>
      </c>
      <c r="K65" s="11">
        <v>0</v>
      </c>
      <c r="L65" s="11">
        <v>2.410000000000001</v>
      </c>
      <c r="M65" s="11">
        <v>0.08</v>
      </c>
      <c r="N65" s="11">
        <v>0</v>
      </c>
      <c r="O65" s="11">
        <v>0.18</v>
      </c>
      <c r="P65" s="11">
        <v>0.83</v>
      </c>
      <c r="Q65" s="11">
        <v>3.500000000000001</v>
      </c>
      <c r="R65" s="11">
        <v>0</v>
      </c>
      <c r="S65" s="11">
        <v>3.500000000000001</v>
      </c>
      <c r="T65" s="11">
        <v>2</v>
      </c>
      <c r="U65" s="11">
        <v>1.500000000000001</v>
      </c>
      <c r="V65" s="11">
        <v>0</v>
      </c>
      <c r="W65" s="13">
        <v>2</v>
      </c>
      <c r="X65" s="13">
        <v>3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181</v>
      </c>
      <c r="C66" s="10" t="s">
        <v>182</v>
      </c>
      <c r="D66" s="7" t="s">
        <v>89</v>
      </c>
      <c r="E66" s="7" t="s">
        <v>71</v>
      </c>
      <c r="F66" s="7" t="s">
        <v>162</v>
      </c>
      <c r="G66" s="7"/>
      <c r="H66" s="7" t="s">
        <v>43</v>
      </c>
      <c r="I66" s="11">
        <v>2</v>
      </c>
      <c r="J66" s="11">
        <v>3</v>
      </c>
      <c r="K66" s="11">
        <v>0</v>
      </c>
      <c r="L66" s="11">
        <v>2.23</v>
      </c>
      <c r="M66" s="11">
        <v>0.4</v>
      </c>
      <c r="N66" s="11">
        <v>0</v>
      </c>
      <c r="O66" s="11">
        <v>1.31</v>
      </c>
      <c r="P66" s="11">
        <v>3.41</v>
      </c>
      <c r="Q66" s="11">
        <v>7.349999999999995</v>
      </c>
      <c r="R66" s="11">
        <v>0</v>
      </c>
      <c r="S66" s="11">
        <v>7.349999999999995</v>
      </c>
      <c r="T66" s="11">
        <v>2</v>
      </c>
      <c r="U66" s="11">
        <v>3</v>
      </c>
      <c r="V66" s="11">
        <v>2.349999999999995</v>
      </c>
      <c r="W66" s="13">
        <v>2</v>
      </c>
      <c r="X66" s="13">
        <v>3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183</v>
      </c>
      <c r="C67" s="10" t="s">
        <v>184</v>
      </c>
      <c r="D67" s="7" t="s">
        <v>60</v>
      </c>
      <c r="E67" s="7" t="s">
        <v>71</v>
      </c>
      <c r="F67" s="7" t="s">
        <v>162</v>
      </c>
      <c r="G67" s="7"/>
      <c r="H67" s="7" t="s">
        <v>43</v>
      </c>
      <c r="I67" s="11">
        <v>2</v>
      </c>
      <c r="J67" s="11">
        <v>3</v>
      </c>
      <c r="K67" s="11">
        <v>0</v>
      </c>
      <c r="L67" s="11">
        <v>2.52</v>
      </c>
      <c r="M67" s="11">
        <v>0.08</v>
      </c>
      <c r="N67" s="11">
        <v>0</v>
      </c>
      <c r="O67" s="11">
        <v>0.54</v>
      </c>
      <c r="P67" s="11">
        <v>0.8</v>
      </c>
      <c r="Q67" s="11">
        <v>3.94</v>
      </c>
      <c r="R67" s="11">
        <v>0</v>
      </c>
      <c r="S67" s="11">
        <v>3.94</v>
      </c>
      <c r="T67" s="11">
        <v>2</v>
      </c>
      <c r="U67" s="11">
        <v>1.94</v>
      </c>
      <c r="V67" s="11">
        <v>0</v>
      </c>
      <c r="W67" s="13">
        <v>2</v>
      </c>
      <c r="X67" s="13">
        <v>3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185</v>
      </c>
      <c r="C68" s="10" t="s">
        <v>186</v>
      </c>
      <c r="D68" s="7" t="s">
        <v>60</v>
      </c>
      <c r="E68" s="7" t="s">
        <v>71</v>
      </c>
      <c r="F68" s="7" t="s">
        <v>162</v>
      </c>
      <c r="G68" s="7"/>
      <c r="H68" s="7" t="s">
        <v>43</v>
      </c>
      <c r="I68" s="11">
        <v>2</v>
      </c>
      <c r="J68" s="11">
        <v>3</v>
      </c>
      <c r="K68" s="11">
        <v>0</v>
      </c>
      <c r="L68" s="11">
        <v>1.25</v>
      </c>
      <c r="M68" s="11">
        <v>0</v>
      </c>
      <c r="N68" s="11">
        <v>0</v>
      </c>
      <c r="O68" s="11">
        <v>0.54</v>
      </c>
      <c r="P68" s="11">
        <v>0.8</v>
      </c>
      <c r="Q68" s="11">
        <v>2.59</v>
      </c>
      <c r="R68" s="11">
        <v>0</v>
      </c>
      <c r="S68" s="11">
        <v>2.59</v>
      </c>
      <c r="T68" s="11">
        <v>2</v>
      </c>
      <c r="U68" s="11">
        <v>0.5900000000000003</v>
      </c>
      <c r="V68" s="11">
        <v>0</v>
      </c>
      <c r="W68" s="13">
        <v>2</v>
      </c>
      <c r="X68" s="13">
        <v>3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187</v>
      </c>
      <c r="C69" s="10" t="s">
        <v>188</v>
      </c>
      <c r="D69" s="7" t="s">
        <v>171</v>
      </c>
      <c r="E69" s="7" t="s">
        <v>71</v>
      </c>
      <c r="F69" s="7" t="s">
        <v>162</v>
      </c>
      <c r="G69" s="7"/>
      <c r="H69" s="7"/>
      <c r="I69" s="11">
        <v>2</v>
      </c>
      <c r="J69" s="11">
        <v>3</v>
      </c>
      <c r="K69" s="11">
        <v>0</v>
      </c>
      <c r="L69" s="11">
        <v>1.07</v>
      </c>
      <c r="M69" s="11">
        <v>0</v>
      </c>
      <c r="N69" s="11">
        <v>0</v>
      </c>
      <c r="O69" s="11">
        <v>0.6599999999999999</v>
      </c>
      <c r="P69" s="11">
        <v>0</v>
      </c>
      <c r="Q69" s="11">
        <v>1.73</v>
      </c>
      <c r="R69" s="11">
        <v>0</v>
      </c>
      <c r="S69" s="11">
        <v>1.73</v>
      </c>
      <c r="T69" s="11">
        <v>1.73</v>
      </c>
      <c r="U69" s="11">
        <v>0</v>
      </c>
      <c r="V69" s="11">
        <v>0</v>
      </c>
      <c r="W69" s="13">
        <v>2</v>
      </c>
      <c r="X69" s="13">
        <v>3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189</v>
      </c>
      <c r="C70" s="10" t="s">
        <v>190</v>
      </c>
      <c r="D70" s="7" t="s">
        <v>82</v>
      </c>
      <c r="E70" s="7" t="s">
        <v>71</v>
      </c>
      <c r="F70" s="7" t="s">
        <v>162</v>
      </c>
      <c r="G70" s="7"/>
      <c r="H70" s="7" t="s">
        <v>43</v>
      </c>
      <c r="I70" s="11">
        <v>2</v>
      </c>
      <c r="J70" s="11">
        <v>3</v>
      </c>
      <c r="K70" s="11">
        <v>0</v>
      </c>
      <c r="L70" s="11">
        <v>1.59</v>
      </c>
      <c r="M70" s="11">
        <v>0.16</v>
      </c>
      <c r="N70" s="11">
        <v>0</v>
      </c>
      <c r="O70" s="11">
        <v>0.8700000000000001</v>
      </c>
      <c r="P70" s="11">
        <v>1.63</v>
      </c>
      <c r="Q70" s="11">
        <v>4.25</v>
      </c>
      <c r="R70" s="11">
        <v>0</v>
      </c>
      <c r="S70" s="11">
        <v>4.25</v>
      </c>
      <c r="T70" s="11">
        <v>2</v>
      </c>
      <c r="U70" s="11">
        <v>2.25</v>
      </c>
      <c r="V70" s="11">
        <v>0</v>
      </c>
      <c r="W70" s="13">
        <v>2</v>
      </c>
      <c r="X70" s="13">
        <v>3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191</v>
      </c>
      <c r="C71" s="10" t="s">
        <v>192</v>
      </c>
      <c r="D71" s="7" t="s">
        <v>60</v>
      </c>
      <c r="E71" s="7" t="s">
        <v>120</v>
      </c>
      <c r="F71" s="7" t="s">
        <v>162</v>
      </c>
      <c r="G71" s="7"/>
      <c r="H71" s="7" t="s">
        <v>43</v>
      </c>
      <c r="I71" s="11">
        <v>2</v>
      </c>
      <c r="J71" s="11">
        <v>3</v>
      </c>
      <c r="K71" s="11">
        <v>0</v>
      </c>
      <c r="L71" s="11">
        <v>2.51</v>
      </c>
      <c r="M71" s="11">
        <v>0</v>
      </c>
      <c r="N71" s="11">
        <v>0</v>
      </c>
      <c r="O71" s="11">
        <v>0.36</v>
      </c>
      <c r="P71" s="11">
        <v>0.83</v>
      </c>
      <c r="Q71" s="11">
        <v>3.699999999999999</v>
      </c>
      <c r="R71" s="11">
        <v>0</v>
      </c>
      <c r="S71" s="11">
        <v>3.699999999999999</v>
      </c>
      <c r="T71" s="11">
        <v>2</v>
      </c>
      <c r="U71" s="11">
        <v>1.699999999999999</v>
      </c>
      <c r="V71" s="11">
        <v>0</v>
      </c>
      <c r="W71" s="13">
        <v>2</v>
      </c>
      <c r="X71" s="13">
        <v>3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193</v>
      </c>
      <c r="C72" s="10" t="s">
        <v>194</v>
      </c>
      <c r="D72" s="7" t="s">
        <v>152</v>
      </c>
      <c r="E72" s="7" t="s">
        <v>71</v>
      </c>
      <c r="F72" s="7" t="s">
        <v>162</v>
      </c>
      <c r="G72" s="7"/>
      <c r="H72" s="7" t="s">
        <v>43</v>
      </c>
      <c r="I72" s="11">
        <v>2</v>
      </c>
      <c r="J72" s="11">
        <v>3</v>
      </c>
      <c r="K72" s="11">
        <v>0</v>
      </c>
      <c r="L72" s="11">
        <v>3.03</v>
      </c>
      <c r="M72" s="11">
        <v>0.32</v>
      </c>
      <c r="N72" s="11">
        <v>0</v>
      </c>
      <c r="O72" s="11">
        <v>0.6</v>
      </c>
      <c r="P72" s="11">
        <v>0</v>
      </c>
      <c r="Q72" s="11">
        <v>3.95</v>
      </c>
      <c r="R72" s="11">
        <v>0</v>
      </c>
      <c r="S72" s="11">
        <v>3.95</v>
      </c>
      <c r="T72" s="11">
        <v>2</v>
      </c>
      <c r="U72" s="11">
        <v>1.95</v>
      </c>
      <c r="V72" s="11">
        <v>0</v>
      </c>
      <c r="W72" s="13">
        <v>2</v>
      </c>
      <c r="X72" s="13">
        <v>3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195</v>
      </c>
      <c r="C73" s="10" t="s">
        <v>196</v>
      </c>
      <c r="D73" s="7" t="s">
        <v>171</v>
      </c>
      <c r="E73" s="7" t="s">
        <v>120</v>
      </c>
      <c r="F73" s="7" t="s">
        <v>162</v>
      </c>
      <c r="G73" s="7"/>
      <c r="H73" s="7" t="s">
        <v>197</v>
      </c>
      <c r="I73" s="11">
        <v>2</v>
      </c>
      <c r="J73" s="11">
        <v>3</v>
      </c>
      <c r="K73" s="11">
        <v>0.95</v>
      </c>
      <c r="L73" s="11">
        <v>0.7100000000000002</v>
      </c>
      <c r="M73" s="11">
        <v>0.48</v>
      </c>
      <c r="N73" s="11">
        <v>0</v>
      </c>
      <c r="O73" s="11">
        <v>2.74</v>
      </c>
      <c r="P73" s="11">
        <v>0</v>
      </c>
      <c r="Q73" s="11">
        <v>4.880000000000001</v>
      </c>
      <c r="R73" s="11">
        <v>0</v>
      </c>
      <c r="S73" s="11">
        <v>4.880000000000001</v>
      </c>
      <c r="T73" s="11">
        <v>2</v>
      </c>
      <c r="U73" s="11">
        <v>2.880000000000001</v>
      </c>
      <c r="V73" s="11">
        <v>0</v>
      </c>
      <c r="W73" s="13">
        <v>2</v>
      </c>
      <c r="X73" s="13">
        <v>3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198</v>
      </c>
      <c r="C74" s="10" t="s">
        <v>199</v>
      </c>
      <c r="D74" s="7" t="s">
        <v>54</v>
      </c>
      <c r="E74" s="7" t="s">
        <v>71</v>
      </c>
      <c r="F74" s="7" t="s">
        <v>162</v>
      </c>
      <c r="G74" s="7"/>
      <c r="H74" s="7" t="s">
        <v>43</v>
      </c>
      <c r="I74" s="11">
        <v>2</v>
      </c>
      <c r="J74" s="11">
        <v>3</v>
      </c>
      <c r="K74" s="11">
        <v>0</v>
      </c>
      <c r="L74" s="11">
        <v>2.04</v>
      </c>
      <c r="M74" s="11">
        <v>0.32</v>
      </c>
      <c r="N74" s="11">
        <v>0</v>
      </c>
      <c r="O74" s="11">
        <v>0.75</v>
      </c>
      <c r="P74" s="11">
        <v>0.83</v>
      </c>
      <c r="Q74" s="11">
        <v>3.94</v>
      </c>
      <c r="R74" s="11">
        <v>0</v>
      </c>
      <c r="S74" s="11">
        <v>3.94</v>
      </c>
      <c r="T74" s="11">
        <v>2</v>
      </c>
      <c r="U74" s="11">
        <v>1.94</v>
      </c>
      <c r="V74" s="11">
        <v>0</v>
      </c>
      <c r="W74" s="13">
        <v>2</v>
      </c>
      <c r="X74" s="13">
        <v>3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200</v>
      </c>
      <c r="C75" s="10" t="s">
        <v>201</v>
      </c>
      <c r="D75" s="7" t="s">
        <v>152</v>
      </c>
      <c r="E75" s="7" t="s">
        <v>71</v>
      </c>
      <c r="F75" s="7" t="s">
        <v>162</v>
      </c>
      <c r="G75" s="7"/>
      <c r="H75" s="7" t="s">
        <v>47</v>
      </c>
      <c r="I75" s="11">
        <v>2</v>
      </c>
      <c r="J75" s="11">
        <v>3</v>
      </c>
      <c r="K75" s="11">
        <v>0.95</v>
      </c>
      <c r="L75" s="11">
        <v>2.030000000000001</v>
      </c>
      <c r="M75" s="11">
        <v>0.16</v>
      </c>
      <c r="N75" s="11">
        <v>0</v>
      </c>
      <c r="O75" s="11">
        <v>0.22</v>
      </c>
      <c r="P75" s="11">
        <v>1.66</v>
      </c>
      <c r="Q75" s="11">
        <v>5.02</v>
      </c>
      <c r="R75" s="11">
        <v>0</v>
      </c>
      <c r="S75" s="11">
        <v>5.02</v>
      </c>
      <c r="T75" s="11">
        <v>2</v>
      </c>
      <c r="U75" s="11">
        <v>3</v>
      </c>
      <c r="V75" s="11">
        <v>0.02000000000000046</v>
      </c>
      <c r="W75" s="13">
        <v>2</v>
      </c>
      <c r="X75" s="13">
        <v>3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202</v>
      </c>
      <c r="C76" s="10" t="s">
        <v>203</v>
      </c>
      <c r="D76" s="7" t="s">
        <v>54</v>
      </c>
      <c r="E76" s="7" t="s">
        <v>46</v>
      </c>
      <c r="F76" s="7" t="s">
        <v>204</v>
      </c>
      <c r="G76" s="7"/>
      <c r="H76" s="7" t="s">
        <v>43</v>
      </c>
      <c r="I76" s="11">
        <v>2</v>
      </c>
      <c r="J76" s="11">
        <v>3</v>
      </c>
      <c r="K76" s="11">
        <v>0</v>
      </c>
      <c r="L76" s="11">
        <v>2.81</v>
      </c>
      <c r="M76" s="11">
        <v>0.24</v>
      </c>
      <c r="N76" s="11">
        <v>0</v>
      </c>
      <c r="O76" s="11">
        <v>1.12</v>
      </c>
      <c r="P76" s="11">
        <v>0</v>
      </c>
      <c r="Q76" s="11">
        <v>4.170000000000001</v>
      </c>
      <c r="R76" s="11">
        <v>0</v>
      </c>
      <c r="S76" s="11">
        <v>4.170000000000001</v>
      </c>
      <c r="T76" s="11">
        <v>2</v>
      </c>
      <c r="U76" s="11">
        <v>2.170000000000001</v>
      </c>
      <c r="V76" s="11">
        <v>0</v>
      </c>
      <c r="W76" s="13">
        <v>2</v>
      </c>
      <c r="X76" s="13">
        <v>3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205</v>
      </c>
      <c r="C77" s="10" t="s">
        <v>206</v>
      </c>
      <c r="D77" s="7" t="s">
        <v>82</v>
      </c>
      <c r="E77" s="7" t="s">
        <v>120</v>
      </c>
      <c r="F77" s="7" t="s">
        <v>162</v>
      </c>
      <c r="G77" s="7"/>
      <c r="H77" s="7" t="s">
        <v>43</v>
      </c>
      <c r="I77" s="11">
        <v>2</v>
      </c>
      <c r="J77" s="11">
        <v>3</v>
      </c>
      <c r="K77" s="11">
        <v>0</v>
      </c>
      <c r="L77" s="11">
        <v>1.08</v>
      </c>
      <c r="M77" s="11">
        <v>0</v>
      </c>
      <c r="N77" s="11">
        <v>0</v>
      </c>
      <c r="O77" s="11">
        <v>0.6</v>
      </c>
      <c r="P77" s="11">
        <v>0</v>
      </c>
      <c r="Q77" s="11">
        <v>1.68</v>
      </c>
      <c r="R77" s="11">
        <v>0</v>
      </c>
      <c r="S77" s="11">
        <v>1.68</v>
      </c>
      <c r="T77" s="11">
        <v>1.68</v>
      </c>
      <c r="U77" s="11">
        <v>0</v>
      </c>
      <c r="V77" s="11">
        <v>0</v>
      </c>
      <c r="W77" s="13">
        <v>2</v>
      </c>
      <c r="X77" s="13">
        <v>3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207</v>
      </c>
      <c r="C78" s="10" t="s">
        <v>208</v>
      </c>
      <c r="D78" s="7" t="s">
        <v>82</v>
      </c>
      <c r="E78" s="7" t="s">
        <v>71</v>
      </c>
      <c r="F78" s="7" t="s">
        <v>162</v>
      </c>
      <c r="G78" s="7"/>
      <c r="H78" s="7" t="s">
        <v>209</v>
      </c>
      <c r="I78" s="11">
        <v>2</v>
      </c>
      <c r="J78" s="11">
        <v>3</v>
      </c>
      <c r="K78" s="11">
        <v>1</v>
      </c>
      <c r="L78" s="11">
        <v>1.71</v>
      </c>
      <c r="M78" s="11">
        <v>0.24</v>
      </c>
      <c r="N78" s="11">
        <v>0</v>
      </c>
      <c r="O78" s="11">
        <v>0.36</v>
      </c>
      <c r="P78" s="11">
        <v>1.66</v>
      </c>
      <c r="Q78" s="11">
        <v>4.97</v>
      </c>
      <c r="R78" s="11">
        <v>0</v>
      </c>
      <c r="S78" s="11">
        <v>4.97</v>
      </c>
      <c r="T78" s="11">
        <v>2</v>
      </c>
      <c r="U78" s="11">
        <v>2.97</v>
      </c>
      <c r="V78" s="11">
        <v>0</v>
      </c>
      <c r="W78" s="13">
        <v>2</v>
      </c>
      <c r="X78" s="13">
        <v>3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210</v>
      </c>
      <c r="C79" s="10" t="s">
        <v>211</v>
      </c>
      <c r="D79" s="7" t="s">
        <v>54</v>
      </c>
      <c r="E79" s="7" t="s">
        <v>120</v>
      </c>
      <c r="F79" s="7" t="s">
        <v>162</v>
      </c>
      <c r="G79" s="7"/>
      <c r="H79" s="7" t="s">
        <v>43</v>
      </c>
      <c r="I79" s="11">
        <v>2</v>
      </c>
      <c r="J79" s="11">
        <v>3</v>
      </c>
      <c r="K79" s="11">
        <v>0</v>
      </c>
      <c r="L79" s="11">
        <v>0.8</v>
      </c>
      <c r="M79" s="11">
        <v>0.16</v>
      </c>
      <c r="N79" s="11">
        <v>0</v>
      </c>
      <c r="O79" s="11">
        <v>0.48</v>
      </c>
      <c r="P79" s="11">
        <v>0</v>
      </c>
      <c r="Q79" s="11">
        <v>1.44</v>
      </c>
      <c r="R79" s="11">
        <v>0</v>
      </c>
      <c r="S79" s="11">
        <v>1.44</v>
      </c>
      <c r="T79" s="11">
        <v>1.44</v>
      </c>
      <c r="U79" s="11">
        <v>0</v>
      </c>
      <c r="V79" s="11">
        <v>0</v>
      </c>
      <c r="W79" s="13">
        <v>2</v>
      </c>
      <c r="X79" s="13">
        <v>3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212</v>
      </c>
      <c r="C80" s="10" t="s">
        <v>213</v>
      </c>
      <c r="D80" s="7" t="s">
        <v>214</v>
      </c>
      <c r="E80" s="7" t="s">
        <v>71</v>
      </c>
      <c r="F80" s="7" t="s">
        <v>162</v>
      </c>
      <c r="G80" s="7"/>
      <c r="H80" s="7" t="s">
        <v>79</v>
      </c>
      <c r="I80" s="11">
        <v>2</v>
      </c>
      <c r="J80" s="11">
        <v>3</v>
      </c>
      <c r="K80" s="11">
        <v>0.95</v>
      </c>
      <c r="L80" s="11">
        <v>0.54</v>
      </c>
      <c r="M80" s="11">
        <v>0</v>
      </c>
      <c r="N80" s="11">
        <v>0</v>
      </c>
      <c r="O80" s="11">
        <v>0.6</v>
      </c>
      <c r="P80" s="11">
        <v>2.46</v>
      </c>
      <c r="Q80" s="11">
        <v>4.550000000000001</v>
      </c>
      <c r="R80" s="11">
        <v>0</v>
      </c>
      <c r="S80" s="11">
        <v>4.550000000000001</v>
      </c>
      <c r="T80" s="11">
        <v>2</v>
      </c>
      <c r="U80" s="11">
        <v>2.550000000000001</v>
      </c>
      <c r="V80" s="11">
        <v>0</v>
      </c>
      <c r="W80" s="13">
        <v>2</v>
      </c>
      <c r="X80" s="13">
        <v>3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215</v>
      </c>
      <c r="C81" s="10" t="s">
        <v>216</v>
      </c>
      <c r="D81" s="7" t="s">
        <v>105</v>
      </c>
      <c r="E81" s="7" t="s">
        <v>120</v>
      </c>
      <c r="F81" s="7" t="s">
        <v>162</v>
      </c>
      <c r="G81" s="7"/>
      <c r="H81" s="7" t="s">
        <v>47</v>
      </c>
      <c r="I81" s="11">
        <v>2</v>
      </c>
      <c r="J81" s="11">
        <v>3</v>
      </c>
      <c r="K81" s="11">
        <v>0.95</v>
      </c>
      <c r="L81" s="11">
        <v>2.469999999999999</v>
      </c>
      <c r="M81" s="11">
        <v>0.4</v>
      </c>
      <c r="N81" s="11">
        <v>0</v>
      </c>
      <c r="O81" s="11">
        <v>0.24</v>
      </c>
      <c r="P81" s="11">
        <v>1.66</v>
      </c>
      <c r="Q81" s="11">
        <v>5.719999999999999</v>
      </c>
      <c r="R81" s="11">
        <v>0</v>
      </c>
      <c r="S81" s="11">
        <v>5.719999999999999</v>
      </c>
      <c r="T81" s="11">
        <v>2</v>
      </c>
      <c r="U81" s="11">
        <v>3</v>
      </c>
      <c r="V81" s="11">
        <v>0.7199999999999989</v>
      </c>
      <c r="W81" s="13">
        <v>2</v>
      </c>
      <c r="X81" s="13">
        <v>3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217</v>
      </c>
      <c r="C82" s="10" t="s">
        <v>218</v>
      </c>
      <c r="D82" s="7" t="s">
        <v>82</v>
      </c>
      <c r="E82" s="7" t="s">
        <v>71</v>
      </c>
      <c r="F82" s="7" t="s">
        <v>162</v>
      </c>
      <c r="G82" s="7"/>
      <c r="H82" s="7" t="s">
        <v>47</v>
      </c>
      <c r="I82" s="11">
        <v>2</v>
      </c>
      <c r="J82" s="11">
        <v>3</v>
      </c>
      <c r="K82" s="11">
        <v>0.95</v>
      </c>
      <c r="L82" s="11">
        <v>2.949999999999999</v>
      </c>
      <c r="M82" s="11">
        <v>0.24</v>
      </c>
      <c r="N82" s="11">
        <v>0</v>
      </c>
      <c r="O82" s="11">
        <v>0.78</v>
      </c>
      <c r="P82" s="11">
        <v>0</v>
      </c>
      <c r="Q82" s="11">
        <v>4.92</v>
      </c>
      <c r="R82" s="11">
        <v>0</v>
      </c>
      <c r="S82" s="11">
        <v>4.92</v>
      </c>
      <c r="T82" s="11">
        <v>2</v>
      </c>
      <c r="U82" s="11">
        <v>2.92</v>
      </c>
      <c r="V82" s="11">
        <v>0</v>
      </c>
      <c r="W82" s="13">
        <v>2</v>
      </c>
      <c r="X82" s="13">
        <v>3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219</v>
      </c>
      <c r="C83" s="10" t="s">
        <v>220</v>
      </c>
      <c r="D83" s="7" t="s">
        <v>54</v>
      </c>
      <c r="E83" s="7" t="s">
        <v>71</v>
      </c>
      <c r="F83" s="7" t="s">
        <v>162</v>
      </c>
      <c r="G83" s="7"/>
      <c r="H83" s="7" t="s">
        <v>43</v>
      </c>
      <c r="I83" s="11">
        <v>2</v>
      </c>
      <c r="J83" s="11">
        <v>3</v>
      </c>
      <c r="K83" s="11">
        <v>0</v>
      </c>
      <c r="L83" s="11">
        <v>2.71</v>
      </c>
      <c r="M83" s="11">
        <v>0.5599999999999999</v>
      </c>
      <c r="N83" s="11">
        <v>0</v>
      </c>
      <c r="O83" s="11">
        <v>0.26</v>
      </c>
      <c r="P83" s="11">
        <v>0</v>
      </c>
      <c r="Q83" s="11">
        <v>3.530000000000001</v>
      </c>
      <c r="R83" s="11">
        <v>0</v>
      </c>
      <c r="S83" s="11">
        <v>3.530000000000001</v>
      </c>
      <c r="T83" s="11">
        <v>2</v>
      </c>
      <c r="U83" s="11">
        <v>1.530000000000001</v>
      </c>
      <c r="V83" s="11">
        <v>0</v>
      </c>
      <c r="W83" s="13">
        <v>2</v>
      </c>
      <c r="X83" s="13">
        <v>3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221</v>
      </c>
      <c r="C84" s="10" t="s">
        <v>222</v>
      </c>
      <c r="D84" s="7" t="s">
        <v>50</v>
      </c>
      <c r="E84" s="7" t="s">
        <v>71</v>
      </c>
      <c r="F84" s="7" t="s">
        <v>162</v>
      </c>
      <c r="G84" s="7"/>
      <c r="H84" s="7" t="s">
        <v>43</v>
      </c>
      <c r="I84" s="11">
        <v>2</v>
      </c>
      <c r="J84" s="11">
        <v>3</v>
      </c>
      <c r="K84" s="11">
        <v>0</v>
      </c>
      <c r="L84" s="11">
        <v>2.350000000000001</v>
      </c>
      <c r="M84" s="11">
        <v>0</v>
      </c>
      <c r="N84" s="11">
        <v>0</v>
      </c>
      <c r="O84" s="11">
        <v>0</v>
      </c>
      <c r="P84" s="11">
        <v>0.8</v>
      </c>
      <c r="Q84" s="11">
        <v>3.150000000000001</v>
      </c>
      <c r="R84" s="11">
        <v>0</v>
      </c>
      <c r="S84" s="11">
        <v>3.150000000000001</v>
      </c>
      <c r="T84" s="11">
        <v>2</v>
      </c>
      <c r="U84" s="11">
        <v>1.150000000000001</v>
      </c>
      <c r="V84" s="11">
        <v>0</v>
      </c>
      <c r="W84" s="13">
        <v>2</v>
      </c>
      <c r="X84" s="13">
        <v>3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223</v>
      </c>
      <c r="C85" s="10" t="s">
        <v>224</v>
      </c>
      <c r="D85" s="7" t="s">
        <v>50</v>
      </c>
      <c r="E85" s="7" t="s">
        <v>71</v>
      </c>
      <c r="F85" s="7" t="s">
        <v>162</v>
      </c>
      <c r="G85" s="7"/>
      <c r="H85" s="7" t="s">
        <v>129</v>
      </c>
      <c r="I85" s="11">
        <v>2</v>
      </c>
      <c r="J85" s="11">
        <v>3</v>
      </c>
      <c r="K85" s="11">
        <v>0.95</v>
      </c>
      <c r="L85" s="11">
        <v>3.86</v>
      </c>
      <c r="M85" s="11">
        <v>0</v>
      </c>
      <c r="N85" s="11">
        <v>0</v>
      </c>
      <c r="O85" s="11">
        <v>0</v>
      </c>
      <c r="P85" s="11">
        <v>0</v>
      </c>
      <c r="Q85" s="11">
        <v>4.81</v>
      </c>
      <c r="R85" s="11">
        <v>0</v>
      </c>
      <c r="S85" s="11">
        <v>4.81</v>
      </c>
      <c r="T85" s="11">
        <v>2</v>
      </c>
      <c r="U85" s="11">
        <v>2.81</v>
      </c>
      <c r="V85" s="11">
        <v>0</v>
      </c>
      <c r="W85" s="13">
        <v>2</v>
      </c>
      <c r="X85" s="13">
        <v>3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225</v>
      </c>
      <c r="C86" s="10" t="s">
        <v>226</v>
      </c>
      <c r="D86" s="7" t="s">
        <v>50</v>
      </c>
      <c r="E86" s="7" t="s">
        <v>120</v>
      </c>
      <c r="F86" s="7" t="s">
        <v>162</v>
      </c>
      <c r="G86" s="7"/>
      <c r="H86" s="7" t="s">
        <v>43</v>
      </c>
      <c r="I86" s="11">
        <v>2</v>
      </c>
      <c r="J86" s="11">
        <v>3</v>
      </c>
      <c r="K86" s="11">
        <v>0</v>
      </c>
      <c r="L86" s="11">
        <v>1.700000000000001</v>
      </c>
      <c r="M86" s="11">
        <v>0.08</v>
      </c>
      <c r="N86" s="11">
        <v>0</v>
      </c>
      <c r="O86" s="11">
        <v>0</v>
      </c>
      <c r="P86" s="11">
        <v>0</v>
      </c>
      <c r="Q86" s="11">
        <v>1.780000000000001</v>
      </c>
      <c r="R86" s="11">
        <v>0</v>
      </c>
      <c r="S86" s="11">
        <v>1.780000000000001</v>
      </c>
      <c r="T86" s="11">
        <v>1.780000000000001</v>
      </c>
      <c r="U86" s="11">
        <v>0</v>
      </c>
      <c r="V86" s="11">
        <v>0</v>
      </c>
      <c r="W86" s="13">
        <v>2</v>
      </c>
      <c r="X86" s="13">
        <v>3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227</v>
      </c>
      <c r="C87" s="10" t="s">
        <v>228</v>
      </c>
      <c r="D87" s="7" t="s">
        <v>105</v>
      </c>
      <c r="E87" s="7" t="s">
        <v>120</v>
      </c>
      <c r="F87" s="7" t="s">
        <v>162</v>
      </c>
      <c r="G87" s="7"/>
      <c r="H87" s="7" t="s">
        <v>197</v>
      </c>
      <c r="I87" s="11">
        <v>2</v>
      </c>
      <c r="J87" s="11">
        <v>3</v>
      </c>
      <c r="K87" s="11">
        <v>0.95</v>
      </c>
      <c r="L87" s="11">
        <v>2.3</v>
      </c>
      <c r="M87" s="11">
        <v>0.24</v>
      </c>
      <c r="N87" s="11">
        <v>0</v>
      </c>
      <c r="O87" s="11">
        <v>0.54</v>
      </c>
      <c r="P87" s="11">
        <v>1.66</v>
      </c>
      <c r="Q87" s="11">
        <v>5.69</v>
      </c>
      <c r="R87" s="11">
        <v>0</v>
      </c>
      <c r="S87" s="11">
        <v>5.69</v>
      </c>
      <c r="T87" s="11">
        <v>2</v>
      </c>
      <c r="U87" s="11">
        <v>3</v>
      </c>
      <c r="V87" s="11">
        <v>0.6899999999999995</v>
      </c>
      <c r="W87" s="13">
        <v>2</v>
      </c>
      <c r="X87" s="13">
        <v>3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229</v>
      </c>
      <c r="C88" s="10" t="s">
        <v>230</v>
      </c>
      <c r="D88" s="7" t="s">
        <v>50</v>
      </c>
      <c r="E88" s="7" t="s">
        <v>71</v>
      </c>
      <c r="F88" s="7" t="s">
        <v>162</v>
      </c>
      <c r="G88" s="7"/>
      <c r="H88" s="7" t="s">
        <v>231</v>
      </c>
      <c r="I88" s="11">
        <v>2</v>
      </c>
      <c r="J88" s="11">
        <v>3</v>
      </c>
      <c r="K88" s="11">
        <v>1</v>
      </c>
      <c r="L88" s="11">
        <v>1.75</v>
      </c>
      <c r="M88" s="11">
        <v>0</v>
      </c>
      <c r="N88" s="11">
        <v>0</v>
      </c>
      <c r="O88" s="11">
        <v>0.44</v>
      </c>
      <c r="P88" s="11">
        <v>0.8</v>
      </c>
      <c r="Q88" s="11">
        <v>3.990000000000001</v>
      </c>
      <c r="R88" s="11">
        <v>0</v>
      </c>
      <c r="S88" s="11">
        <v>3.990000000000001</v>
      </c>
      <c r="T88" s="11">
        <v>2</v>
      </c>
      <c r="U88" s="11">
        <v>1.990000000000001</v>
      </c>
      <c r="V88" s="11">
        <v>0</v>
      </c>
      <c r="W88" s="13">
        <v>2</v>
      </c>
      <c r="X88" s="13">
        <v>3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232</v>
      </c>
      <c r="C89" s="10" t="s">
        <v>233</v>
      </c>
      <c r="D89" s="7" t="s">
        <v>40</v>
      </c>
      <c r="E89" s="7" t="s">
        <v>178</v>
      </c>
      <c r="F89" s="7" t="s">
        <v>162</v>
      </c>
      <c r="G89" s="7"/>
      <c r="H89" s="7" t="s">
        <v>231</v>
      </c>
      <c r="I89" s="11">
        <v>2</v>
      </c>
      <c r="J89" s="11">
        <v>3</v>
      </c>
      <c r="K89" s="11">
        <v>1</v>
      </c>
      <c r="L89" s="11">
        <v>2.4</v>
      </c>
      <c r="M89" s="11">
        <v>0</v>
      </c>
      <c r="N89" s="11">
        <v>0</v>
      </c>
      <c r="O89" s="11">
        <v>2.64</v>
      </c>
      <c r="P89" s="11">
        <v>0</v>
      </c>
      <c r="Q89" s="11">
        <v>6.04</v>
      </c>
      <c r="R89" s="11">
        <v>0</v>
      </c>
      <c r="S89" s="11">
        <v>6.04</v>
      </c>
      <c r="T89" s="11">
        <v>2</v>
      </c>
      <c r="U89" s="11">
        <v>3</v>
      </c>
      <c r="V89" s="11">
        <v>1.04</v>
      </c>
      <c r="W89" s="13">
        <v>2</v>
      </c>
      <c r="X89" s="13">
        <v>3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234</v>
      </c>
      <c r="C90" s="10" t="s">
        <v>235</v>
      </c>
      <c r="D90" s="7" t="s">
        <v>50</v>
      </c>
      <c r="E90" s="7" t="s">
        <v>120</v>
      </c>
      <c r="F90" s="7" t="s">
        <v>162</v>
      </c>
      <c r="G90" s="7"/>
      <c r="H90" s="7" t="s">
        <v>47</v>
      </c>
      <c r="I90" s="11">
        <v>2</v>
      </c>
      <c r="J90" s="11">
        <v>3</v>
      </c>
      <c r="K90" s="11">
        <v>0.95</v>
      </c>
      <c r="L90" s="11">
        <v>7.599999999999995</v>
      </c>
      <c r="M90" s="11">
        <v>0.08</v>
      </c>
      <c r="N90" s="11">
        <v>0</v>
      </c>
      <c r="O90" s="11">
        <v>0</v>
      </c>
      <c r="P90" s="11">
        <v>0</v>
      </c>
      <c r="Q90" s="11">
        <v>8.629999999999995</v>
      </c>
      <c r="R90" s="11">
        <v>0</v>
      </c>
      <c r="S90" s="11">
        <v>8.629999999999995</v>
      </c>
      <c r="T90" s="11">
        <v>2</v>
      </c>
      <c r="U90" s="11">
        <v>3</v>
      </c>
      <c r="V90" s="11">
        <v>3.629999999999995</v>
      </c>
      <c r="W90" s="13">
        <v>2</v>
      </c>
      <c r="X90" s="13">
        <v>3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236</v>
      </c>
      <c r="C91" s="10" t="s">
        <v>237</v>
      </c>
      <c r="D91" s="7" t="s">
        <v>50</v>
      </c>
      <c r="E91" s="7" t="s">
        <v>71</v>
      </c>
      <c r="F91" s="7" t="s">
        <v>162</v>
      </c>
      <c r="G91" s="7"/>
      <c r="H91" s="7" t="s">
        <v>47</v>
      </c>
      <c r="I91" s="11">
        <v>2</v>
      </c>
      <c r="J91" s="11">
        <v>3</v>
      </c>
      <c r="K91" s="11">
        <v>0.95</v>
      </c>
      <c r="L91" s="11">
        <v>4.1</v>
      </c>
      <c r="M91" s="11">
        <v>0</v>
      </c>
      <c r="N91" s="11">
        <v>0</v>
      </c>
      <c r="O91" s="11">
        <v>0</v>
      </c>
      <c r="P91" s="11">
        <v>1</v>
      </c>
      <c r="Q91" s="11">
        <v>6.049999999999999</v>
      </c>
      <c r="R91" s="11">
        <v>0</v>
      </c>
      <c r="S91" s="11">
        <v>6.049999999999999</v>
      </c>
      <c r="T91" s="11">
        <v>2</v>
      </c>
      <c r="U91" s="11">
        <v>3</v>
      </c>
      <c r="V91" s="11">
        <v>1.049999999999999</v>
      </c>
      <c r="W91" s="13">
        <v>2</v>
      </c>
      <c r="X91" s="13">
        <v>3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238</v>
      </c>
      <c r="C92" s="10" t="s">
        <v>239</v>
      </c>
      <c r="D92" s="7" t="s">
        <v>50</v>
      </c>
      <c r="E92" s="7" t="s">
        <v>120</v>
      </c>
      <c r="F92" s="7" t="s">
        <v>162</v>
      </c>
      <c r="G92" s="7"/>
      <c r="H92" s="7" t="s">
        <v>43</v>
      </c>
      <c r="I92" s="11">
        <v>2</v>
      </c>
      <c r="J92" s="11">
        <v>3</v>
      </c>
      <c r="K92" s="11">
        <v>0</v>
      </c>
      <c r="L92" s="11">
        <v>1.29</v>
      </c>
      <c r="M92" s="11">
        <v>0</v>
      </c>
      <c r="N92" s="11">
        <v>0</v>
      </c>
      <c r="O92" s="11">
        <v>0</v>
      </c>
      <c r="P92" s="11">
        <v>0</v>
      </c>
      <c r="Q92" s="11">
        <v>1.29</v>
      </c>
      <c r="R92" s="11">
        <v>0</v>
      </c>
      <c r="S92" s="11">
        <v>1.29</v>
      </c>
      <c r="T92" s="11">
        <v>1.29</v>
      </c>
      <c r="U92" s="11">
        <v>0</v>
      </c>
      <c r="V92" s="11">
        <v>0</v>
      </c>
      <c r="W92" s="13">
        <v>2</v>
      </c>
      <c r="X92" s="13">
        <v>3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3" spans="1:676">
      <c r="A93" s="7">
        <v>83</v>
      </c>
      <c r="B93" s="7" t="s">
        <v>240</v>
      </c>
      <c r="C93" s="10" t="s">
        <v>241</v>
      </c>
      <c r="D93" s="7" t="s">
        <v>105</v>
      </c>
      <c r="E93" s="7" t="s">
        <v>71</v>
      </c>
      <c r="F93" s="7" t="s">
        <v>162</v>
      </c>
      <c r="G93" s="7"/>
      <c r="H93" s="7" t="s">
        <v>43</v>
      </c>
      <c r="I93" s="11">
        <v>2</v>
      </c>
      <c r="J93" s="11">
        <v>3</v>
      </c>
      <c r="K93" s="11">
        <v>0</v>
      </c>
      <c r="L93" s="11">
        <v>1.83</v>
      </c>
      <c r="M93" s="11">
        <v>0.16</v>
      </c>
      <c r="N93" s="11">
        <v>0</v>
      </c>
      <c r="O93" s="11">
        <v>0.17</v>
      </c>
      <c r="P93" s="11">
        <v>0.8</v>
      </c>
      <c r="Q93" s="11">
        <v>2.96</v>
      </c>
      <c r="R93" s="11">
        <v>0</v>
      </c>
      <c r="S93" s="11">
        <v>2.96</v>
      </c>
      <c r="T93" s="11">
        <v>2</v>
      </c>
      <c r="U93" s="11">
        <v>0.9600000000000004</v>
      </c>
      <c r="V93" s="11">
        <v>0</v>
      </c>
      <c r="W93" s="13">
        <v>2</v>
      </c>
      <c r="X93" s="13">
        <v>3</v>
      </c>
      <c r="Y93" s="13" t="str">
        <f>MIN(W93,S93)</f>
        <v>0</v>
      </c>
      <c r="Z93" s="13" t="str">
        <f>MIN(X93,(S93-Y93))</f>
        <v>0</v>
      </c>
      <c r="AA93" s="13" t="str">
        <f>S93-SUM(Y93,Z93)</f>
        <v>0</v>
      </c>
      <c r="AB93" s="15"/>
      <c r="AC93" s="15"/>
      <c r="AD93" s="1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  <c r="PX93" s="5"/>
      <c r="PY93" s="5"/>
      <c r="PZ93" s="5"/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/>
      <c r="QL93" s="5"/>
      <c r="QM93" s="5"/>
      <c r="QN93" s="5"/>
      <c r="QO93" s="5"/>
      <c r="QP93" s="5"/>
      <c r="QQ93" s="5"/>
      <c r="QR93" s="5"/>
      <c r="QS93" s="5"/>
      <c r="QT93" s="5"/>
      <c r="QU93" s="5"/>
      <c r="QV93" s="5"/>
      <c r="QW93" s="5"/>
      <c r="QX93" s="5"/>
      <c r="QY93" s="5"/>
      <c r="QZ93" s="5"/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5"/>
      <c r="SB93" s="5"/>
      <c r="SC93" s="5"/>
      <c r="SD93" s="5"/>
      <c r="SE93" s="5"/>
      <c r="SF93" s="5"/>
      <c r="SG93" s="5"/>
      <c r="SH93" s="5"/>
      <c r="SI93" s="5"/>
      <c r="SJ93" s="5"/>
      <c r="SK93" s="5"/>
      <c r="SL93" s="5"/>
      <c r="SM93" s="5"/>
      <c r="SN93" s="5"/>
      <c r="SO93" s="5"/>
      <c r="SP93" s="5"/>
      <c r="SQ93" s="5"/>
      <c r="SR93" s="5"/>
      <c r="SS93" s="5"/>
      <c r="ST93" s="5"/>
      <c r="SU93" s="5"/>
      <c r="SV93" s="5"/>
      <c r="SW93" s="5"/>
      <c r="SX93" s="5"/>
      <c r="SY93" s="5"/>
      <c r="SZ93" s="5"/>
      <c r="TA93" s="5"/>
      <c r="TB93" s="5"/>
      <c r="TC93" s="5"/>
      <c r="TD93" s="5"/>
      <c r="TE93" s="5"/>
      <c r="TF93" s="5"/>
      <c r="TG93" s="5"/>
      <c r="TH93" s="5"/>
      <c r="TI93" s="5"/>
      <c r="TJ93" s="5"/>
      <c r="TK93" s="5"/>
      <c r="TL93" s="5"/>
      <c r="TM93" s="5"/>
      <c r="TN93" s="5"/>
      <c r="TO93" s="5"/>
      <c r="TP93" s="5"/>
      <c r="TQ93" s="5"/>
      <c r="TR93" s="5"/>
      <c r="TS93" s="5"/>
      <c r="TT93" s="5"/>
      <c r="TU93" s="5"/>
      <c r="TV93" s="5"/>
      <c r="TW93" s="5"/>
      <c r="TX93" s="5"/>
      <c r="TY93" s="5"/>
      <c r="TZ93" s="5"/>
      <c r="UA93" s="5"/>
      <c r="UB93" s="5"/>
      <c r="UC93" s="5"/>
      <c r="UD93" s="5"/>
      <c r="UE93" s="5"/>
      <c r="UF93" s="5"/>
      <c r="UG93" s="5"/>
      <c r="UH93" s="5"/>
      <c r="UI93" s="5"/>
      <c r="UJ93" s="5"/>
      <c r="UK93" s="5"/>
      <c r="UL93" s="5"/>
      <c r="UM93" s="5"/>
      <c r="UN93" s="5"/>
      <c r="UO93" s="5"/>
      <c r="UP93" s="5"/>
      <c r="UQ93" s="5"/>
      <c r="UR93" s="5"/>
      <c r="US93" s="5"/>
      <c r="UT93" s="5"/>
      <c r="UU93" s="5"/>
      <c r="UV93" s="5"/>
      <c r="UW93" s="5"/>
      <c r="UX93" s="5"/>
      <c r="UY93" s="5"/>
      <c r="UZ93" s="5"/>
      <c r="VA93" s="5"/>
      <c r="VB93" s="5"/>
      <c r="VC93" s="5"/>
      <c r="VD93" s="5"/>
      <c r="VE93" s="5"/>
      <c r="VF93" s="5"/>
      <c r="VG93" s="5"/>
      <c r="VH93" s="5"/>
      <c r="VI93" s="5"/>
      <c r="VJ93" s="5"/>
      <c r="VK93" s="5"/>
      <c r="VL93" s="5"/>
      <c r="VM93" s="5"/>
      <c r="VN93" s="5"/>
      <c r="VO93" s="5"/>
      <c r="VP93" s="5"/>
      <c r="VQ93" s="5"/>
      <c r="VR93" s="5"/>
      <c r="VS93" s="5"/>
      <c r="VT93" s="5"/>
      <c r="VU93" s="5"/>
      <c r="VV93" s="5"/>
      <c r="VW93" s="5"/>
      <c r="VX93" s="5"/>
      <c r="VY93" s="5"/>
      <c r="VZ93" s="5"/>
      <c r="WA93" s="5"/>
      <c r="WB93" s="5"/>
      <c r="WC93" s="5"/>
      <c r="WD93" s="5"/>
      <c r="WE93" s="5"/>
      <c r="WF93" s="5"/>
      <c r="WG93" s="5"/>
      <c r="WH93" s="5"/>
      <c r="WI93" s="5"/>
      <c r="WJ93" s="5"/>
      <c r="WK93" s="5"/>
      <c r="WL93" s="5"/>
      <c r="WM93" s="5"/>
      <c r="WN93" s="5"/>
      <c r="WO93" s="5"/>
      <c r="WP93" s="5"/>
      <c r="WQ93" s="5"/>
      <c r="WR93" s="5"/>
      <c r="WS93" s="5"/>
      <c r="WT93" s="5"/>
      <c r="WU93" s="5"/>
      <c r="WV93" s="5"/>
      <c r="WW93" s="5"/>
      <c r="WX93" s="5"/>
      <c r="WY93" s="5"/>
      <c r="WZ93" s="5"/>
      <c r="XA93" s="5"/>
      <c r="XB93" s="5"/>
      <c r="XC93" s="5"/>
      <c r="XD93" s="5"/>
      <c r="XE93" s="5"/>
      <c r="XF93" s="5"/>
      <c r="XG93" s="5"/>
      <c r="XH93" s="5"/>
      <c r="XI93" s="5"/>
      <c r="XJ93" s="5"/>
      <c r="XK93" s="5"/>
      <c r="XL93" s="5"/>
      <c r="XM93" s="5"/>
      <c r="XN93" s="5"/>
      <c r="XO93" s="5"/>
      <c r="XP93" s="5"/>
      <c r="XQ93" s="5"/>
      <c r="XR93" s="5"/>
      <c r="XS93" s="5"/>
      <c r="XT93" s="5"/>
      <c r="XU93" s="5"/>
      <c r="XV93" s="5"/>
      <c r="XW93" s="5"/>
      <c r="XX93" s="5"/>
      <c r="XY93" s="5"/>
      <c r="XZ93" s="5"/>
      <c r="YA93" s="5"/>
      <c r="YB93" s="5"/>
      <c r="YC93" s="5"/>
      <c r="YD93" s="5"/>
      <c r="YE93" s="5"/>
      <c r="YF93" s="5"/>
      <c r="YG93" s="5"/>
      <c r="YH93" s="5"/>
      <c r="YI93" s="5"/>
      <c r="YJ93" s="5"/>
      <c r="YK93" s="5"/>
      <c r="YL93" s="5"/>
      <c r="YM93" s="5"/>
      <c r="YN93" s="5"/>
      <c r="YO93" s="5"/>
      <c r="YP93" s="5"/>
      <c r="YQ93" s="5"/>
      <c r="YR93" s="5"/>
      <c r="YS93" s="5"/>
      <c r="YT93" s="5"/>
      <c r="YU93" s="5"/>
      <c r="YV93" s="5"/>
      <c r="YW93" s="5"/>
      <c r="YX93" s="5"/>
      <c r="YY93" s="5"/>
      <c r="YZ93" s="5"/>
    </row>
    <row r="94" spans="1:676">
      <c r="A94" s="7">
        <v>84</v>
      </c>
      <c r="B94" s="7" t="s">
        <v>242</v>
      </c>
      <c r="C94" s="10" t="s">
        <v>243</v>
      </c>
      <c r="D94" s="7" t="s">
        <v>78</v>
      </c>
      <c r="E94" s="7" t="s">
        <v>71</v>
      </c>
      <c r="F94" s="7" t="s">
        <v>162</v>
      </c>
      <c r="G94" s="7"/>
      <c r="H94" s="7" t="s">
        <v>43</v>
      </c>
      <c r="I94" s="11">
        <v>2</v>
      </c>
      <c r="J94" s="11">
        <v>3</v>
      </c>
      <c r="K94" s="11">
        <v>0</v>
      </c>
      <c r="L94" s="11">
        <v>0.29</v>
      </c>
      <c r="M94" s="11">
        <v>0.16</v>
      </c>
      <c r="N94" s="11">
        <v>0</v>
      </c>
      <c r="O94" s="11">
        <v>0.18</v>
      </c>
      <c r="P94" s="11">
        <v>0.83</v>
      </c>
      <c r="Q94" s="11">
        <v>1.46</v>
      </c>
      <c r="R94" s="11">
        <v>0</v>
      </c>
      <c r="S94" s="11">
        <v>1.46</v>
      </c>
      <c r="T94" s="11">
        <v>1.46</v>
      </c>
      <c r="U94" s="11">
        <v>0</v>
      </c>
      <c r="V94" s="11">
        <v>0</v>
      </c>
      <c r="W94" s="13">
        <v>2</v>
      </c>
      <c r="X94" s="13">
        <v>3</v>
      </c>
      <c r="Y94" s="13" t="str">
        <f>MIN(W94,S94)</f>
        <v>0</v>
      </c>
      <c r="Z94" s="13" t="str">
        <f>MIN(X94,(S94-Y94))</f>
        <v>0</v>
      </c>
      <c r="AA94" s="13" t="str">
        <f>S94-SUM(Y94,Z94)</f>
        <v>0</v>
      </c>
      <c r="AB94" s="15"/>
      <c r="AC94" s="15"/>
      <c r="AD94" s="1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/>
      <c r="SK94" s="5"/>
      <c r="SL94" s="5"/>
      <c r="SM94" s="5"/>
      <c r="SN94" s="5"/>
      <c r="SO94" s="5"/>
      <c r="SP94" s="5"/>
      <c r="SQ94" s="5"/>
      <c r="SR94" s="5"/>
      <c r="SS94" s="5"/>
      <c r="ST94" s="5"/>
      <c r="SU94" s="5"/>
      <c r="SV94" s="5"/>
      <c r="SW94" s="5"/>
      <c r="SX94" s="5"/>
      <c r="SY94" s="5"/>
      <c r="SZ94" s="5"/>
      <c r="TA94" s="5"/>
      <c r="TB94" s="5"/>
      <c r="TC94" s="5"/>
      <c r="TD94" s="5"/>
      <c r="TE94" s="5"/>
      <c r="TF94" s="5"/>
      <c r="TG94" s="5"/>
      <c r="TH94" s="5"/>
      <c r="TI94" s="5"/>
      <c r="TJ94" s="5"/>
      <c r="TK94" s="5"/>
      <c r="TL94" s="5"/>
      <c r="TM94" s="5"/>
      <c r="TN94" s="5"/>
      <c r="TO94" s="5"/>
      <c r="TP94" s="5"/>
      <c r="TQ94" s="5"/>
      <c r="TR94" s="5"/>
      <c r="TS94" s="5"/>
      <c r="TT94" s="5"/>
      <c r="TU94" s="5"/>
      <c r="TV94" s="5"/>
      <c r="TW94" s="5"/>
      <c r="TX94" s="5"/>
      <c r="TY94" s="5"/>
      <c r="TZ94" s="5"/>
      <c r="UA94" s="5"/>
      <c r="UB94" s="5"/>
      <c r="UC94" s="5"/>
      <c r="UD94" s="5"/>
      <c r="UE94" s="5"/>
      <c r="UF94" s="5"/>
      <c r="UG94" s="5"/>
      <c r="UH94" s="5"/>
      <c r="UI94" s="5"/>
      <c r="UJ94" s="5"/>
      <c r="UK94" s="5"/>
      <c r="UL94" s="5"/>
      <c r="UM94" s="5"/>
      <c r="UN94" s="5"/>
      <c r="UO94" s="5"/>
      <c r="UP94" s="5"/>
      <c r="UQ94" s="5"/>
      <c r="UR94" s="5"/>
      <c r="US94" s="5"/>
      <c r="UT94" s="5"/>
      <c r="UU94" s="5"/>
      <c r="UV94" s="5"/>
      <c r="UW94" s="5"/>
      <c r="UX94" s="5"/>
      <c r="UY94" s="5"/>
      <c r="UZ94" s="5"/>
      <c r="VA94" s="5"/>
      <c r="VB94" s="5"/>
      <c r="VC94" s="5"/>
      <c r="VD94" s="5"/>
      <c r="VE94" s="5"/>
      <c r="VF94" s="5"/>
      <c r="VG94" s="5"/>
      <c r="VH94" s="5"/>
      <c r="VI94" s="5"/>
      <c r="VJ94" s="5"/>
      <c r="VK94" s="5"/>
      <c r="VL94" s="5"/>
      <c r="VM94" s="5"/>
      <c r="VN94" s="5"/>
      <c r="VO94" s="5"/>
      <c r="VP94" s="5"/>
      <c r="VQ94" s="5"/>
      <c r="VR94" s="5"/>
      <c r="VS94" s="5"/>
      <c r="VT94" s="5"/>
      <c r="VU94" s="5"/>
      <c r="VV94" s="5"/>
      <c r="VW94" s="5"/>
      <c r="VX94" s="5"/>
      <c r="VY94" s="5"/>
      <c r="VZ94" s="5"/>
      <c r="WA94" s="5"/>
      <c r="WB94" s="5"/>
      <c r="WC94" s="5"/>
      <c r="WD94" s="5"/>
      <c r="WE94" s="5"/>
      <c r="WF94" s="5"/>
      <c r="WG94" s="5"/>
      <c r="WH94" s="5"/>
      <c r="WI94" s="5"/>
      <c r="WJ94" s="5"/>
      <c r="WK94" s="5"/>
      <c r="WL94" s="5"/>
      <c r="WM94" s="5"/>
      <c r="WN94" s="5"/>
      <c r="WO94" s="5"/>
      <c r="WP94" s="5"/>
      <c r="WQ94" s="5"/>
      <c r="WR94" s="5"/>
      <c r="WS94" s="5"/>
      <c r="WT94" s="5"/>
      <c r="WU94" s="5"/>
      <c r="WV94" s="5"/>
      <c r="WW94" s="5"/>
      <c r="WX94" s="5"/>
      <c r="WY94" s="5"/>
      <c r="WZ94" s="5"/>
      <c r="XA94" s="5"/>
      <c r="XB94" s="5"/>
      <c r="XC94" s="5"/>
      <c r="XD94" s="5"/>
      <c r="XE94" s="5"/>
      <c r="XF94" s="5"/>
      <c r="XG94" s="5"/>
      <c r="XH94" s="5"/>
      <c r="XI94" s="5"/>
      <c r="XJ94" s="5"/>
      <c r="XK94" s="5"/>
      <c r="XL94" s="5"/>
      <c r="XM94" s="5"/>
      <c r="XN94" s="5"/>
      <c r="XO94" s="5"/>
      <c r="XP94" s="5"/>
      <c r="XQ94" s="5"/>
      <c r="XR94" s="5"/>
      <c r="XS94" s="5"/>
      <c r="XT94" s="5"/>
      <c r="XU94" s="5"/>
      <c r="XV94" s="5"/>
      <c r="XW94" s="5"/>
      <c r="XX94" s="5"/>
      <c r="XY94" s="5"/>
      <c r="XZ94" s="5"/>
      <c r="YA94" s="5"/>
      <c r="YB94" s="5"/>
      <c r="YC94" s="5"/>
      <c r="YD94" s="5"/>
      <c r="YE94" s="5"/>
      <c r="YF94" s="5"/>
      <c r="YG94" s="5"/>
      <c r="YH94" s="5"/>
      <c r="YI94" s="5"/>
      <c r="YJ94" s="5"/>
      <c r="YK94" s="5"/>
      <c r="YL94" s="5"/>
      <c r="YM94" s="5"/>
      <c r="YN94" s="5"/>
      <c r="YO94" s="5"/>
      <c r="YP94" s="5"/>
      <c r="YQ94" s="5"/>
      <c r="YR94" s="5"/>
      <c r="YS94" s="5"/>
      <c r="YT94" s="5"/>
      <c r="YU94" s="5"/>
      <c r="YV94" s="5"/>
      <c r="YW94" s="5"/>
      <c r="YX94" s="5"/>
      <c r="YY94" s="5"/>
      <c r="YZ94" s="5"/>
    </row>
    <row r="95" spans="1:676">
      <c r="A95" s="7">
        <v>85</v>
      </c>
      <c r="B95" s="7" t="s">
        <v>244</v>
      </c>
      <c r="C95" s="10" t="s">
        <v>245</v>
      </c>
      <c r="D95" s="7" t="s">
        <v>105</v>
      </c>
      <c r="E95" s="7" t="s">
        <v>120</v>
      </c>
      <c r="F95" s="7" t="s">
        <v>162</v>
      </c>
      <c r="G95" s="7"/>
      <c r="H95" s="7" t="s">
        <v>43</v>
      </c>
      <c r="I95" s="11">
        <v>2</v>
      </c>
      <c r="J95" s="11">
        <v>3</v>
      </c>
      <c r="K95" s="11">
        <v>0</v>
      </c>
      <c r="L95" s="11">
        <v>4.699999999999995</v>
      </c>
      <c r="M95" s="11">
        <v>0.16</v>
      </c>
      <c r="N95" s="11">
        <v>0</v>
      </c>
      <c r="O95" s="11">
        <v>0.18</v>
      </c>
      <c r="P95" s="11">
        <v>0.8</v>
      </c>
      <c r="Q95" s="11">
        <v>5.83999999999999</v>
      </c>
      <c r="R95" s="11">
        <v>0</v>
      </c>
      <c r="S95" s="11">
        <v>5.83999999999999</v>
      </c>
      <c r="T95" s="11">
        <v>2</v>
      </c>
      <c r="U95" s="11">
        <v>3</v>
      </c>
      <c r="V95" s="11">
        <v>0.8399999999999901</v>
      </c>
      <c r="W95" s="13">
        <v>2</v>
      </c>
      <c r="X95" s="13">
        <v>3</v>
      </c>
      <c r="Y95" s="13" t="str">
        <f>MIN(W95,S95)</f>
        <v>0</v>
      </c>
      <c r="Z95" s="13" t="str">
        <f>MIN(X95,(S95-Y95))</f>
        <v>0</v>
      </c>
      <c r="AA95" s="13" t="str">
        <f>S95-SUM(Y95,Z95)</f>
        <v>0</v>
      </c>
      <c r="AB95" s="15"/>
      <c r="AC95" s="15"/>
      <c r="AD95" s="1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  <c r="PX95" s="5"/>
      <c r="PY95" s="5"/>
      <c r="PZ95" s="5"/>
      <c r="QA95" s="5"/>
      <c r="QB95" s="5"/>
      <c r="QC95" s="5"/>
      <c r="QD95" s="5"/>
      <c r="QE95" s="5"/>
      <c r="QF95" s="5"/>
      <c r="QG95" s="5"/>
      <c r="QH95" s="5"/>
      <c r="QI95" s="5"/>
      <c r="QJ95" s="5"/>
      <c r="QK95" s="5"/>
      <c r="QL95" s="5"/>
      <c r="QM95" s="5"/>
      <c r="QN95" s="5"/>
      <c r="QO95" s="5"/>
      <c r="QP95" s="5"/>
      <c r="QQ95" s="5"/>
      <c r="QR95" s="5"/>
      <c r="QS95" s="5"/>
      <c r="QT95" s="5"/>
      <c r="QU95" s="5"/>
      <c r="QV95" s="5"/>
      <c r="QW95" s="5"/>
      <c r="QX95" s="5"/>
      <c r="QY95" s="5"/>
      <c r="QZ95" s="5"/>
      <c r="RA95" s="5"/>
      <c r="RB95" s="5"/>
      <c r="RC95" s="5"/>
      <c r="RD95" s="5"/>
      <c r="RE95" s="5"/>
      <c r="RF95" s="5"/>
      <c r="RG95" s="5"/>
      <c r="RH95" s="5"/>
      <c r="RI95" s="5"/>
      <c r="RJ95" s="5"/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5"/>
      <c r="SA95" s="5"/>
      <c r="SB95" s="5"/>
      <c r="SC95" s="5"/>
      <c r="SD95" s="5"/>
      <c r="SE95" s="5"/>
      <c r="SF95" s="5"/>
      <c r="SG95" s="5"/>
      <c r="SH95" s="5"/>
      <c r="SI95" s="5"/>
      <c r="SJ95" s="5"/>
      <c r="SK95" s="5"/>
      <c r="SL95" s="5"/>
      <c r="SM95" s="5"/>
      <c r="SN95" s="5"/>
      <c r="SO95" s="5"/>
      <c r="SP95" s="5"/>
      <c r="SQ95" s="5"/>
      <c r="SR95" s="5"/>
      <c r="SS95" s="5"/>
      <c r="ST95" s="5"/>
      <c r="SU95" s="5"/>
      <c r="SV95" s="5"/>
      <c r="SW95" s="5"/>
      <c r="SX95" s="5"/>
      <c r="SY95" s="5"/>
      <c r="SZ95" s="5"/>
      <c r="TA95" s="5"/>
      <c r="TB95" s="5"/>
      <c r="TC95" s="5"/>
      <c r="TD95" s="5"/>
      <c r="TE95" s="5"/>
      <c r="TF95" s="5"/>
      <c r="TG95" s="5"/>
      <c r="TH95" s="5"/>
      <c r="TI95" s="5"/>
      <c r="TJ95" s="5"/>
      <c r="TK95" s="5"/>
      <c r="TL95" s="5"/>
      <c r="TM95" s="5"/>
      <c r="TN95" s="5"/>
      <c r="TO95" s="5"/>
      <c r="TP95" s="5"/>
      <c r="TQ95" s="5"/>
      <c r="TR95" s="5"/>
      <c r="TS95" s="5"/>
      <c r="TT95" s="5"/>
      <c r="TU95" s="5"/>
      <c r="TV95" s="5"/>
      <c r="TW95" s="5"/>
      <c r="TX95" s="5"/>
      <c r="TY95" s="5"/>
      <c r="TZ95" s="5"/>
      <c r="UA95" s="5"/>
      <c r="UB95" s="5"/>
      <c r="UC95" s="5"/>
      <c r="UD95" s="5"/>
      <c r="UE95" s="5"/>
      <c r="UF95" s="5"/>
      <c r="UG95" s="5"/>
      <c r="UH95" s="5"/>
      <c r="UI95" s="5"/>
      <c r="UJ95" s="5"/>
      <c r="UK95" s="5"/>
      <c r="UL95" s="5"/>
      <c r="UM95" s="5"/>
      <c r="UN95" s="5"/>
      <c r="UO95" s="5"/>
      <c r="UP95" s="5"/>
      <c r="UQ95" s="5"/>
      <c r="UR95" s="5"/>
      <c r="US95" s="5"/>
      <c r="UT95" s="5"/>
      <c r="UU95" s="5"/>
      <c r="UV95" s="5"/>
      <c r="UW95" s="5"/>
      <c r="UX95" s="5"/>
      <c r="UY95" s="5"/>
      <c r="UZ95" s="5"/>
      <c r="VA95" s="5"/>
      <c r="VB95" s="5"/>
      <c r="VC95" s="5"/>
      <c r="VD95" s="5"/>
      <c r="VE95" s="5"/>
      <c r="VF95" s="5"/>
      <c r="VG95" s="5"/>
      <c r="VH95" s="5"/>
      <c r="VI95" s="5"/>
      <c r="VJ95" s="5"/>
      <c r="VK95" s="5"/>
      <c r="VL95" s="5"/>
      <c r="VM95" s="5"/>
      <c r="VN95" s="5"/>
      <c r="VO95" s="5"/>
      <c r="VP95" s="5"/>
      <c r="VQ95" s="5"/>
      <c r="VR95" s="5"/>
      <c r="VS95" s="5"/>
      <c r="VT95" s="5"/>
      <c r="VU95" s="5"/>
      <c r="VV95" s="5"/>
      <c r="VW95" s="5"/>
      <c r="VX95" s="5"/>
      <c r="VY95" s="5"/>
      <c r="VZ95" s="5"/>
      <c r="WA95" s="5"/>
      <c r="WB95" s="5"/>
      <c r="WC95" s="5"/>
      <c r="WD95" s="5"/>
      <c r="WE95" s="5"/>
      <c r="WF95" s="5"/>
      <c r="WG95" s="5"/>
      <c r="WH95" s="5"/>
      <c r="WI95" s="5"/>
      <c r="WJ95" s="5"/>
      <c r="WK95" s="5"/>
      <c r="WL95" s="5"/>
      <c r="WM95" s="5"/>
      <c r="WN95" s="5"/>
      <c r="WO95" s="5"/>
      <c r="WP95" s="5"/>
      <c r="WQ95" s="5"/>
      <c r="WR95" s="5"/>
      <c r="WS95" s="5"/>
      <c r="WT95" s="5"/>
      <c r="WU95" s="5"/>
      <c r="WV95" s="5"/>
      <c r="WW95" s="5"/>
      <c r="WX95" s="5"/>
      <c r="WY95" s="5"/>
      <c r="WZ95" s="5"/>
      <c r="XA95" s="5"/>
      <c r="XB95" s="5"/>
      <c r="XC95" s="5"/>
      <c r="XD95" s="5"/>
      <c r="XE95" s="5"/>
      <c r="XF95" s="5"/>
      <c r="XG95" s="5"/>
      <c r="XH95" s="5"/>
      <c r="XI95" s="5"/>
      <c r="XJ95" s="5"/>
      <c r="XK95" s="5"/>
      <c r="XL95" s="5"/>
      <c r="XM95" s="5"/>
      <c r="XN95" s="5"/>
      <c r="XO95" s="5"/>
      <c r="XP95" s="5"/>
      <c r="XQ95" s="5"/>
      <c r="XR95" s="5"/>
      <c r="XS95" s="5"/>
      <c r="XT95" s="5"/>
      <c r="XU95" s="5"/>
      <c r="XV95" s="5"/>
      <c r="XW95" s="5"/>
      <c r="XX95" s="5"/>
      <c r="XY95" s="5"/>
      <c r="XZ95" s="5"/>
      <c r="YA95" s="5"/>
      <c r="YB95" s="5"/>
      <c r="YC95" s="5"/>
      <c r="YD95" s="5"/>
      <c r="YE95" s="5"/>
      <c r="YF95" s="5"/>
      <c r="YG95" s="5"/>
      <c r="YH95" s="5"/>
      <c r="YI95" s="5"/>
      <c r="YJ95" s="5"/>
      <c r="YK95" s="5"/>
      <c r="YL95" s="5"/>
      <c r="YM95" s="5"/>
      <c r="YN95" s="5"/>
      <c r="YO95" s="5"/>
      <c r="YP95" s="5"/>
      <c r="YQ95" s="5"/>
      <c r="YR95" s="5"/>
      <c r="YS95" s="5"/>
      <c r="YT95" s="5"/>
      <c r="YU95" s="5"/>
      <c r="YV95" s="5"/>
      <c r="YW95" s="5"/>
      <c r="YX95" s="5"/>
      <c r="YY95" s="5"/>
      <c r="YZ95" s="5"/>
    </row>
    <row r="96" spans="1:676">
      <c r="A96" s="7">
        <v>86</v>
      </c>
      <c r="B96" s="7" t="s">
        <v>246</v>
      </c>
      <c r="C96" s="10" t="s">
        <v>247</v>
      </c>
      <c r="D96" s="7" t="s">
        <v>171</v>
      </c>
      <c r="E96" s="7" t="s">
        <v>120</v>
      </c>
      <c r="F96" s="7" t="s">
        <v>162</v>
      </c>
      <c r="G96" s="7"/>
      <c r="H96" s="7" t="s">
        <v>43</v>
      </c>
      <c r="I96" s="11">
        <v>2</v>
      </c>
      <c r="J96" s="11">
        <v>3</v>
      </c>
      <c r="K96" s="11">
        <v>0</v>
      </c>
      <c r="L96" s="11">
        <v>1.18</v>
      </c>
      <c r="M96" s="11">
        <v>0.4</v>
      </c>
      <c r="N96" s="11">
        <v>0</v>
      </c>
      <c r="O96" s="11">
        <v>0.36</v>
      </c>
      <c r="P96" s="11">
        <v>0.83</v>
      </c>
      <c r="Q96" s="11">
        <v>2.77</v>
      </c>
      <c r="R96" s="11">
        <v>0</v>
      </c>
      <c r="S96" s="11">
        <v>2.77</v>
      </c>
      <c r="T96" s="11">
        <v>2</v>
      </c>
      <c r="U96" s="11">
        <v>0.7699999999999996</v>
      </c>
      <c r="V96" s="11">
        <v>0</v>
      </c>
      <c r="W96" s="13">
        <v>2</v>
      </c>
      <c r="X96" s="13">
        <v>3</v>
      </c>
      <c r="Y96" s="13" t="str">
        <f>MIN(W96,S96)</f>
        <v>0</v>
      </c>
      <c r="Z96" s="13" t="str">
        <f>MIN(X96,(S96-Y96))</f>
        <v>0</v>
      </c>
      <c r="AA96" s="13" t="str">
        <f>S96-SUM(Y96,Z96)</f>
        <v>0</v>
      </c>
      <c r="AB96" s="15"/>
      <c r="AC96" s="15"/>
      <c r="AD96" s="1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5"/>
      <c r="QS96" s="5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5"/>
      <c r="SB96" s="5"/>
      <c r="SC96" s="5"/>
      <c r="SD96" s="5"/>
      <c r="SE96" s="5"/>
      <c r="SF96" s="5"/>
      <c r="SG96" s="5"/>
      <c r="SH96" s="5"/>
      <c r="SI96" s="5"/>
      <c r="SJ96" s="5"/>
      <c r="SK96" s="5"/>
      <c r="SL96" s="5"/>
      <c r="SM96" s="5"/>
      <c r="SN96" s="5"/>
      <c r="SO96" s="5"/>
      <c r="SP96" s="5"/>
      <c r="SQ96" s="5"/>
      <c r="SR96" s="5"/>
      <c r="SS96" s="5"/>
      <c r="ST96" s="5"/>
      <c r="SU96" s="5"/>
      <c r="SV96" s="5"/>
      <c r="SW96" s="5"/>
      <c r="SX96" s="5"/>
      <c r="SY96" s="5"/>
      <c r="SZ96" s="5"/>
      <c r="TA96" s="5"/>
      <c r="TB96" s="5"/>
      <c r="TC96" s="5"/>
      <c r="TD96" s="5"/>
      <c r="TE96" s="5"/>
      <c r="TF96" s="5"/>
      <c r="TG96" s="5"/>
      <c r="TH96" s="5"/>
      <c r="TI96" s="5"/>
      <c r="TJ96" s="5"/>
      <c r="TK96" s="5"/>
      <c r="TL96" s="5"/>
      <c r="TM96" s="5"/>
      <c r="TN96" s="5"/>
      <c r="TO96" s="5"/>
      <c r="TP96" s="5"/>
      <c r="TQ96" s="5"/>
      <c r="TR96" s="5"/>
      <c r="TS96" s="5"/>
      <c r="TT96" s="5"/>
      <c r="TU96" s="5"/>
      <c r="TV96" s="5"/>
      <c r="TW96" s="5"/>
      <c r="TX96" s="5"/>
      <c r="TY96" s="5"/>
      <c r="TZ96" s="5"/>
      <c r="UA96" s="5"/>
      <c r="UB96" s="5"/>
      <c r="UC96" s="5"/>
      <c r="UD96" s="5"/>
      <c r="UE96" s="5"/>
      <c r="UF96" s="5"/>
      <c r="UG96" s="5"/>
      <c r="UH96" s="5"/>
      <c r="UI96" s="5"/>
      <c r="UJ96" s="5"/>
      <c r="UK96" s="5"/>
      <c r="UL96" s="5"/>
      <c r="UM96" s="5"/>
      <c r="UN96" s="5"/>
      <c r="UO96" s="5"/>
      <c r="UP96" s="5"/>
      <c r="UQ96" s="5"/>
      <c r="UR96" s="5"/>
      <c r="US96" s="5"/>
      <c r="UT96" s="5"/>
      <c r="UU96" s="5"/>
      <c r="UV96" s="5"/>
      <c r="UW96" s="5"/>
      <c r="UX96" s="5"/>
      <c r="UY96" s="5"/>
      <c r="UZ96" s="5"/>
      <c r="VA96" s="5"/>
      <c r="VB96" s="5"/>
      <c r="VC96" s="5"/>
      <c r="VD96" s="5"/>
      <c r="VE96" s="5"/>
      <c r="VF96" s="5"/>
      <c r="VG96" s="5"/>
      <c r="VH96" s="5"/>
      <c r="VI96" s="5"/>
      <c r="VJ96" s="5"/>
      <c r="VK96" s="5"/>
      <c r="VL96" s="5"/>
      <c r="VM96" s="5"/>
      <c r="VN96" s="5"/>
      <c r="VO96" s="5"/>
      <c r="VP96" s="5"/>
      <c r="VQ96" s="5"/>
      <c r="VR96" s="5"/>
      <c r="VS96" s="5"/>
      <c r="VT96" s="5"/>
      <c r="VU96" s="5"/>
      <c r="VV96" s="5"/>
      <c r="VW96" s="5"/>
      <c r="VX96" s="5"/>
      <c r="VY96" s="5"/>
      <c r="VZ96" s="5"/>
      <c r="WA96" s="5"/>
      <c r="WB96" s="5"/>
      <c r="WC96" s="5"/>
      <c r="WD96" s="5"/>
      <c r="WE96" s="5"/>
      <c r="WF96" s="5"/>
      <c r="WG96" s="5"/>
      <c r="WH96" s="5"/>
      <c r="WI96" s="5"/>
      <c r="WJ96" s="5"/>
      <c r="WK96" s="5"/>
      <c r="WL96" s="5"/>
      <c r="WM96" s="5"/>
      <c r="WN96" s="5"/>
      <c r="WO96" s="5"/>
      <c r="WP96" s="5"/>
      <c r="WQ96" s="5"/>
      <c r="WR96" s="5"/>
      <c r="WS96" s="5"/>
      <c r="WT96" s="5"/>
      <c r="WU96" s="5"/>
      <c r="WV96" s="5"/>
      <c r="WW96" s="5"/>
      <c r="WX96" s="5"/>
      <c r="WY96" s="5"/>
      <c r="WZ96" s="5"/>
      <c r="XA96" s="5"/>
      <c r="XB96" s="5"/>
      <c r="XC96" s="5"/>
      <c r="XD96" s="5"/>
      <c r="XE96" s="5"/>
      <c r="XF96" s="5"/>
      <c r="XG96" s="5"/>
      <c r="XH96" s="5"/>
      <c r="XI96" s="5"/>
      <c r="XJ96" s="5"/>
      <c r="XK96" s="5"/>
      <c r="XL96" s="5"/>
      <c r="XM96" s="5"/>
      <c r="XN96" s="5"/>
      <c r="XO96" s="5"/>
      <c r="XP96" s="5"/>
      <c r="XQ96" s="5"/>
      <c r="XR96" s="5"/>
      <c r="XS96" s="5"/>
      <c r="XT96" s="5"/>
      <c r="XU96" s="5"/>
      <c r="XV96" s="5"/>
      <c r="XW96" s="5"/>
      <c r="XX96" s="5"/>
      <c r="XY96" s="5"/>
      <c r="XZ96" s="5"/>
      <c r="YA96" s="5"/>
      <c r="YB96" s="5"/>
      <c r="YC96" s="5"/>
      <c r="YD96" s="5"/>
      <c r="YE96" s="5"/>
      <c r="YF96" s="5"/>
      <c r="YG96" s="5"/>
      <c r="YH96" s="5"/>
      <c r="YI96" s="5"/>
      <c r="YJ96" s="5"/>
      <c r="YK96" s="5"/>
      <c r="YL96" s="5"/>
      <c r="YM96" s="5"/>
      <c r="YN96" s="5"/>
      <c r="YO96" s="5"/>
      <c r="YP96" s="5"/>
      <c r="YQ96" s="5"/>
      <c r="YR96" s="5"/>
      <c r="YS96" s="5"/>
      <c r="YT96" s="5"/>
      <c r="YU96" s="5"/>
      <c r="YV96" s="5"/>
      <c r="YW96" s="5"/>
      <c r="YX96" s="5"/>
      <c r="YY96" s="5"/>
      <c r="YZ96" s="5"/>
    </row>
    <row r="97" spans="1:676">
      <c r="A97" s="7">
        <v>87</v>
      </c>
      <c r="B97" s="7" t="s">
        <v>248</v>
      </c>
      <c r="C97" s="10" t="s">
        <v>249</v>
      </c>
      <c r="D97" s="7" t="s">
        <v>60</v>
      </c>
      <c r="E97" s="7" t="s">
        <v>71</v>
      </c>
      <c r="F97" s="7" t="s">
        <v>162</v>
      </c>
      <c r="G97" s="7"/>
      <c r="H97" s="7" t="s">
        <v>168</v>
      </c>
      <c r="I97" s="11">
        <v>2</v>
      </c>
      <c r="J97" s="11">
        <v>3</v>
      </c>
      <c r="K97" s="11">
        <v>1</v>
      </c>
      <c r="L97" s="11">
        <v>0.8</v>
      </c>
      <c r="M97" s="11">
        <v>0.24</v>
      </c>
      <c r="N97" s="11">
        <v>0</v>
      </c>
      <c r="O97" s="11">
        <v>0.86</v>
      </c>
      <c r="P97" s="11">
        <v>2.46</v>
      </c>
      <c r="Q97" s="11">
        <v>5.36</v>
      </c>
      <c r="R97" s="11">
        <v>0</v>
      </c>
      <c r="S97" s="11">
        <v>5.36</v>
      </c>
      <c r="T97" s="11">
        <v>2</v>
      </c>
      <c r="U97" s="11">
        <v>3</v>
      </c>
      <c r="V97" s="11">
        <v>0.3600000000000003</v>
      </c>
      <c r="W97" s="13">
        <v>2</v>
      </c>
      <c r="X97" s="13">
        <v>3</v>
      </c>
      <c r="Y97" s="13" t="str">
        <f>MIN(W97,S97)</f>
        <v>0</v>
      </c>
      <c r="Z97" s="13" t="str">
        <f>MIN(X97,(S97-Y97))</f>
        <v>0</v>
      </c>
      <c r="AA97" s="13" t="str">
        <f>S97-SUM(Y97,Z97)</f>
        <v>0</v>
      </c>
      <c r="AB97" s="15"/>
      <c r="AC97" s="15"/>
      <c r="AD97" s="1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  <c r="PX97" s="5"/>
      <c r="PY97" s="5"/>
      <c r="PZ97" s="5"/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/>
      <c r="QL97" s="5"/>
      <c r="QM97" s="5"/>
      <c r="QN97" s="5"/>
      <c r="QO97" s="5"/>
      <c r="QP97" s="5"/>
      <c r="QQ97" s="5"/>
      <c r="QR97" s="5"/>
      <c r="QS97" s="5"/>
      <c r="QT97" s="5"/>
      <c r="QU97" s="5"/>
      <c r="QV97" s="5"/>
      <c r="QW97" s="5"/>
      <c r="QX97" s="5"/>
      <c r="QY97" s="5"/>
      <c r="QZ97" s="5"/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5"/>
      <c r="SB97" s="5"/>
      <c r="SC97" s="5"/>
      <c r="SD97" s="5"/>
      <c r="SE97" s="5"/>
      <c r="SF97" s="5"/>
      <c r="SG97" s="5"/>
      <c r="SH97" s="5"/>
      <c r="SI97" s="5"/>
      <c r="SJ97" s="5"/>
      <c r="SK97" s="5"/>
      <c r="SL97" s="5"/>
      <c r="SM97" s="5"/>
      <c r="SN97" s="5"/>
      <c r="SO97" s="5"/>
      <c r="SP97" s="5"/>
      <c r="SQ97" s="5"/>
      <c r="SR97" s="5"/>
      <c r="SS97" s="5"/>
      <c r="ST97" s="5"/>
      <c r="SU97" s="5"/>
      <c r="SV97" s="5"/>
      <c r="SW97" s="5"/>
      <c r="SX97" s="5"/>
      <c r="SY97" s="5"/>
      <c r="SZ97" s="5"/>
      <c r="TA97" s="5"/>
      <c r="TB97" s="5"/>
      <c r="TC97" s="5"/>
      <c r="TD97" s="5"/>
      <c r="TE97" s="5"/>
      <c r="TF97" s="5"/>
      <c r="TG97" s="5"/>
      <c r="TH97" s="5"/>
      <c r="TI97" s="5"/>
      <c r="TJ97" s="5"/>
      <c r="TK97" s="5"/>
      <c r="TL97" s="5"/>
      <c r="TM97" s="5"/>
      <c r="TN97" s="5"/>
      <c r="TO97" s="5"/>
      <c r="TP97" s="5"/>
      <c r="TQ97" s="5"/>
      <c r="TR97" s="5"/>
      <c r="TS97" s="5"/>
      <c r="TT97" s="5"/>
      <c r="TU97" s="5"/>
      <c r="TV97" s="5"/>
      <c r="TW97" s="5"/>
      <c r="TX97" s="5"/>
      <c r="TY97" s="5"/>
      <c r="TZ97" s="5"/>
      <c r="UA97" s="5"/>
      <c r="UB97" s="5"/>
      <c r="UC97" s="5"/>
      <c r="UD97" s="5"/>
      <c r="UE97" s="5"/>
      <c r="UF97" s="5"/>
      <c r="UG97" s="5"/>
      <c r="UH97" s="5"/>
      <c r="UI97" s="5"/>
      <c r="UJ97" s="5"/>
      <c r="UK97" s="5"/>
      <c r="UL97" s="5"/>
      <c r="UM97" s="5"/>
      <c r="UN97" s="5"/>
      <c r="UO97" s="5"/>
      <c r="UP97" s="5"/>
      <c r="UQ97" s="5"/>
      <c r="UR97" s="5"/>
      <c r="US97" s="5"/>
      <c r="UT97" s="5"/>
      <c r="UU97" s="5"/>
      <c r="UV97" s="5"/>
      <c r="UW97" s="5"/>
      <c r="UX97" s="5"/>
      <c r="UY97" s="5"/>
      <c r="UZ97" s="5"/>
      <c r="VA97" s="5"/>
      <c r="VB97" s="5"/>
      <c r="VC97" s="5"/>
      <c r="VD97" s="5"/>
      <c r="VE97" s="5"/>
      <c r="VF97" s="5"/>
      <c r="VG97" s="5"/>
      <c r="VH97" s="5"/>
      <c r="VI97" s="5"/>
      <c r="VJ97" s="5"/>
      <c r="VK97" s="5"/>
      <c r="VL97" s="5"/>
      <c r="VM97" s="5"/>
      <c r="VN97" s="5"/>
      <c r="VO97" s="5"/>
      <c r="VP97" s="5"/>
      <c r="VQ97" s="5"/>
      <c r="VR97" s="5"/>
      <c r="VS97" s="5"/>
      <c r="VT97" s="5"/>
      <c r="VU97" s="5"/>
      <c r="VV97" s="5"/>
      <c r="VW97" s="5"/>
      <c r="VX97" s="5"/>
      <c r="VY97" s="5"/>
      <c r="VZ97" s="5"/>
      <c r="WA97" s="5"/>
      <c r="WB97" s="5"/>
      <c r="WC97" s="5"/>
      <c r="WD97" s="5"/>
      <c r="WE97" s="5"/>
      <c r="WF97" s="5"/>
      <c r="WG97" s="5"/>
      <c r="WH97" s="5"/>
      <c r="WI97" s="5"/>
      <c r="WJ97" s="5"/>
      <c r="WK97" s="5"/>
      <c r="WL97" s="5"/>
      <c r="WM97" s="5"/>
      <c r="WN97" s="5"/>
      <c r="WO97" s="5"/>
      <c r="WP97" s="5"/>
      <c r="WQ97" s="5"/>
      <c r="WR97" s="5"/>
      <c r="WS97" s="5"/>
      <c r="WT97" s="5"/>
      <c r="WU97" s="5"/>
      <c r="WV97" s="5"/>
      <c r="WW97" s="5"/>
      <c r="WX97" s="5"/>
      <c r="WY97" s="5"/>
      <c r="WZ97" s="5"/>
      <c r="XA97" s="5"/>
      <c r="XB97" s="5"/>
      <c r="XC97" s="5"/>
      <c r="XD97" s="5"/>
      <c r="XE97" s="5"/>
      <c r="XF97" s="5"/>
      <c r="XG97" s="5"/>
      <c r="XH97" s="5"/>
      <c r="XI97" s="5"/>
      <c r="XJ97" s="5"/>
      <c r="XK97" s="5"/>
      <c r="XL97" s="5"/>
      <c r="XM97" s="5"/>
      <c r="XN97" s="5"/>
      <c r="XO97" s="5"/>
      <c r="XP97" s="5"/>
      <c r="XQ97" s="5"/>
      <c r="XR97" s="5"/>
      <c r="XS97" s="5"/>
      <c r="XT97" s="5"/>
      <c r="XU97" s="5"/>
      <c r="XV97" s="5"/>
      <c r="XW97" s="5"/>
      <c r="XX97" s="5"/>
      <c r="XY97" s="5"/>
      <c r="XZ97" s="5"/>
      <c r="YA97" s="5"/>
      <c r="YB97" s="5"/>
      <c r="YC97" s="5"/>
      <c r="YD97" s="5"/>
      <c r="YE97" s="5"/>
      <c r="YF97" s="5"/>
      <c r="YG97" s="5"/>
      <c r="YH97" s="5"/>
      <c r="YI97" s="5"/>
      <c r="YJ97" s="5"/>
      <c r="YK97" s="5"/>
      <c r="YL97" s="5"/>
      <c r="YM97" s="5"/>
      <c r="YN97" s="5"/>
      <c r="YO97" s="5"/>
      <c r="YP97" s="5"/>
      <c r="YQ97" s="5"/>
      <c r="YR97" s="5"/>
      <c r="YS97" s="5"/>
      <c r="YT97" s="5"/>
      <c r="YU97" s="5"/>
      <c r="YV97" s="5"/>
      <c r="YW97" s="5"/>
      <c r="YX97" s="5"/>
      <c r="YY97" s="5"/>
      <c r="YZ97" s="5"/>
    </row>
    <row r="98" spans="1:676">
      <c r="A98" s="7">
        <v>88</v>
      </c>
      <c r="B98" s="7" t="s">
        <v>250</v>
      </c>
      <c r="C98" s="10" t="s">
        <v>251</v>
      </c>
      <c r="D98" s="7" t="s">
        <v>82</v>
      </c>
      <c r="E98" s="7" t="s">
        <v>120</v>
      </c>
      <c r="F98" s="7" t="s">
        <v>162</v>
      </c>
      <c r="G98" s="7"/>
      <c r="H98" s="7" t="s">
        <v>43</v>
      </c>
      <c r="I98" s="11">
        <v>2</v>
      </c>
      <c r="J98" s="11">
        <v>3</v>
      </c>
      <c r="K98" s="11">
        <v>0</v>
      </c>
      <c r="L98" s="11">
        <v>0.17</v>
      </c>
      <c r="M98" s="11">
        <v>0.08</v>
      </c>
      <c r="N98" s="11">
        <v>0</v>
      </c>
      <c r="O98" s="11">
        <v>1.34</v>
      </c>
      <c r="P98" s="11">
        <v>0</v>
      </c>
      <c r="Q98" s="11">
        <v>1.59</v>
      </c>
      <c r="R98" s="11">
        <v>0</v>
      </c>
      <c r="S98" s="11">
        <v>1.59</v>
      </c>
      <c r="T98" s="11">
        <v>1.59</v>
      </c>
      <c r="U98" s="11">
        <v>0</v>
      </c>
      <c r="V98" s="11">
        <v>0</v>
      </c>
      <c r="W98" s="13">
        <v>2</v>
      </c>
      <c r="X98" s="13">
        <v>3</v>
      </c>
      <c r="Y98" s="13" t="str">
        <f>MIN(W98,S98)</f>
        <v>0</v>
      </c>
      <c r="Z98" s="13" t="str">
        <f>MIN(X98,(S98-Y98))</f>
        <v>0</v>
      </c>
      <c r="AA98" s="13" t="str">
        <f>S98-SUM(Y98,Z98)</f>
        <v>0</v>
      </c>
      <c r="AB98" s="15"/>
      <c r="AC98" s="15"/>
      <c r="AD98" s="1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  <c r="SG98" s="5"/>
      <c r="SH98" s="5"/>
      <c r="SI98" s="5"/>
      <c r="SJ98" s="5"/>
      <c r="SK98" s="5"/>
      <c r="SL98" s="5"/>
      <c r="SM98" s="5"/>
      <c r="SN98" s="5"/>
      <c r="SO98" s="5"/>
      <c r="SP98" s="5"/>
      <c r="SQ98" s="5"/>
      <c r="SR98" s="5"/>
      <c r="SS98" s="5"/>
      <c r="ST98" s="5"/>
      <c r="SU98" s="5"/>
      <c r="SV98" s="5"/>
      <c r="SW98" s="5"/>
      <c r="SX98" s="5"/>
      <c r="SY98" s="5"/>
      <c r="SZ98" s="5"/>
      <c r="TA98" s="5"/>
      <c r="TB98" s="5"/>
      <c r="TC98" s="5"/>
      <c r="TD98" s="5"/>
      <c r="TE98" s="5"/>
      <c r="TF98" s="5"/>
      <c r="TG98" s="5"/>
      <c r="TH98" s="5"/>
      <c r="TI98" s="5"/>
      <c r="TJ98" s="5"/>
      <c r="TK98" s="5"/>
      <c r="TL98" s="5"/>
      <c r="TM98" s="5"/>
      <c r="TN98" s="5"/>
      <c r="TO98" s="5"/>
      <c r="TP98" s="5"/>
      <c r="TQ98" s="5"/>
      <c r="TR98" s="5"/>
      <c r="TS98" s="5"/>
      <c r="TT98" s="5"/>
      <c r="TU98" s="5"/>
      <c r="TV98" s="5"/>
      <c r="TW98" s="5"/>
      <c r="TX98" s="5"/>
      <c r="TY98" s="5"/>
      <c r="TZ98" s="5"/>
      <c r="UA98" s="5"/>
      <c r="UB98" s="5"/>
      <c r="UC98" s="5"/>
      <c r="UD98" s="5"/>
      <c r="UE98" s="5"/>
      <c r="UF98" s="5"/>
      <c r="UG98" s="5"/>
      <c r="UH98" s="5"/>
      <c r="UI98" s="5"/>
      <c r="UJ98" s="5"/>
      <c r="UK98" s="5"/>
      <c r="UL98" s="5"/>
      <c r="UM98" s="5"/>
      <c r="UN98" s="5"/>
      <c r="UO98" s="5"/>
      <c r="UP98" s="5"/>
      <c r="UQ98" s="5"/>
      <c r="UR98" s="5"/>
      <c r="US98" s="5"/>
      <c r="UT98" s="5"/>
      <c r="UU98" s="5"/>
      <c r="UV98" s="5"/>
      <c r="UW98" s="5"/>
      <c r="UX98" s="5"/>
      <c r="UY98" s="5"/>
      <c r="UZ98" s="5"/>
      <c r="VA98" s="5"/>
      <c r="VB98" s="5"/>
      <c r="VC98" s="5"/>
      <c r="VD98" s="5"/>
      <c r="VE98" s="5"/>
      <c r="VF98" s="5"/>
      <c r="VG98" s="5"/>
      <c r="VH98" s="5"/>
      <c r="VI98" s="5"/>
      <c r="VJ98" s="5"/>
      <c r="VK98" s="5"/>
      <c r="VL98" s="5"/>
      <c r="VM98" s="5"/>
      <c r="VN98" s="5"/>
      <c r="VO98" s="5"/>
      <c r="VP98" s="5"/>
      <c r="VQ98" s="5"/>
      <c r="VR98" s="5"/>
      <c r="VS98" s="5"/>
      <c r="VT98" s="5"/>
      <c r="VU98" s="5"/>
      <c r="VV98" s="5"/>
      <c r="VW98" s="5"/>
      <c r="VX98" s="5"/>
      <c r="VY98" s="5"/>
      <c r="VZ98" s="5"/>
      <c r="WA98" s="5"/>
      <c r="WB98" s="5"/>
      <c r="WC98" s="5"/>
      <c r="WD98" s="5"/>
      <c r="WE98" s="5"/>
      <c r="WF98" s="5"/>
      <c r="WG98" s="5"/>
      <c r="WH98" s="5"/>
      <c r="WI98" s="5"/>
      <c r="WJ98" s="5"/>
      <c r="WK98" s="5"/>
      <c r="WL98" s="5"/>
      <c r="WM98" s="5"/>
      <c r="WN98" s="5"/>
      <c r="WO98" s="5"/>
      <c r="WP98" s="5"/>
      <c r="WQ98" s="5"/>
      <c r="WR98" s="5"/>
      <c r="WS98" s="5"/>
      <c r="WT98" s="5"/>
      <c r="WU98" s="5"/>
      <c r="WV98" s="5"/>
      <c r="WW98" s="5"/>
      <c r="WX98" s="5"/>
      <c r="WY98" s="5"/>
      <c r="WZ98" s="5"/>
      <c r="XA98" s="5"/>
      <c r="XB98" s="5"/>
      <c r="XC98" s="5"/>
      <c r="XD98" s="5"/>
      <c r="XE98" s="5"/>
      <c r="XF98" s="5"/>
      <c r="XG98" s="5"/>
      <c r="XH98" s="5"/>
      <c r="XI98" s="5"/>
      <c r="XJ98" s="5"/>
      <c r="XK98" s="5"/>
      <c r="XL98" s="5"/>
      <c r="XM98" s="5"/>
      <c r="XN98" s="5"/>
      <c r="XO98" s="5"/>
      <c r="XP98" s="5"/>
      <c r="XQ98" s="5"/>
      <c r="XR98" s="5"/>
      <c r="XS98" s="5"/>
      <c r="XT98" s="5"/>
      <c r="XU98" s="5"/>
      <c r="XV98" s="5"/>
      <c r="XW98" s="5"/>
      <c r="XX98" s="5"/>
      <c r="XY98" s="5"/>
      <c r="XZ98" s="5"/>
      <c r="YA98" s="5"/>
      <c r="YB98" s="5"/>
      <c r="YC98" s="5"/>
      <c r="YD98" s="5"/>
      <c r="YE98" s="5"/>
      <c r="YF98" s="5"/>
      <c r="YG98" s="5"/>
      <c r="YH98" s="5"/>
      <c r="YI98" s="5"/>
      <c r="YJ98" s="5"/>
      <c r="YK98" s="5"/>
      <c r="YL98" s="5"/>
      <c r="YM98" s="5"/>
      <c r="YN98" s="5"/>
      <c r="YO98" s="5"/>
      <c r="YP98" s="5"/>
      <c r="YQ98" s="5"/>
      <c r="YR98" s="5"/>
      <c r="YS98" s="5"/>
      <c r="YT98" s="5"/>
      <c r="YU98" s="5"/>
      <c r="YV98" s="5"/>
      <c r="YW98" s="5"/>
      <c r="YX98" s="5"/>
      <c r="YY98" s="5"/>
      <c r="YZ98" s="5"/>
    </row>
    <row r="99" spans="1:676">
      <c r="A99" s="7">
        <v>89</v>
      </c>
      <c r="B99" s="7" t="s">
        <v>252</v>
      </c>
      <c r="C99" s="10" t="s">
        <v>253</v>
      </c>
      <c r="D99" s="7" t="s">
        <v>82</v>
      </c>
      <c r="E99" s="7" t="s">
        <v>120</v>
      </c>
      <c r="F99" s="7" t="s">
        <v>162</v>
      </c>
      <c r="G99" s="7"/>
      <c r="H99" s="7" t="s">
        <v>43</v>
      </c>
      <c r="I99" s="11">
        <v>2</v>
      </c>
      <c r="J99" s="11">
        <v>3</v>
      </c>
      <c r="K99" s="11">
        <v>0</v>
      </c>
      <c r="L99" s="11">
        <v>1.43</v>
      </c>
      <c r="M99" s="11">
        <v>0.08</v>
      </c>
      <c r="N99" s="11">
        <v>0</v>
      </c>
      <c r="O99" s="11">
        <v>0.36</v>
      </c>
      <c r="P99" s="11">
        <v>1.66</v>
      </c>
      <c r="Q99" s="11">
        <v>3.53</v>
      </c>
      <c r="R99" s="11">
        <v>0</v>
      </c>
      <c r="S99" s="11">
        <v>3.53</v>
      </c>
      <c r="T99" s="11">
        <v>2</v>
      </c>
      <c r="U99" s="11">
        <v>1.53</v>
      </c>
      <c r="V99" s="11">
        <v>0</v>
      </c>
      <c r="W99" s="13">
        <v>2</v>
      </c>
      <c r="X99" s="13">
        <v>3</v>
      </c>
      <c r="Y99" s="13" t="str">
        <f>MIN(W99,S99)</f>
        <v>0</v>
      </c>
      <c r="Z99" s="13" t="str">
        <f>MIN(X99,(S99-Y99))</f>
        <v>0</v>
      </c>
      <c r="AA99" s="13" t="str">
        <f>S99-SUM(Y99,Z99)</f>
        <v>0</v>
      </c>
      <c r="AB99" s="15"/>
      <c r="AC99" s="15"/>
      <c r="AD99" s="1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5"/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5"/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5"/>
      <c r="SG99" s="5"/>
      <c r="SH99" s="5"/>
      <c r="SI99" s="5"/>
      <c r="SJ99" s="5"/>
      <c r="SK99" s="5"/>
      <c r="SL99" s="5"/>
      <c r="SM99" s="5"/>
      <c r="SN99" s="5"/>
      <c r="SO99" s="5"/>
      <c r="SP99" s="5"/>
      <c r="SQ99" s="5"/>
      <c r="SR99" s="5"/>
      <c r="SS99" s="5"/>
      <c r="ST99" s="5"/>
      <c r="SU99" s="5"/>
      <c r="SV99" s="5"/>
      <c r="SW99" s="5"/>
      <c r="SX99" s="5"/>
      <c r="SY99" s="5"/>
      <c r="SZ99" s="5"/>
      <c r="TA99" s="5"/>
      <c r="TB99" s="5"/>
      <c r="TC99" s="5"/>
      <c r="TD99" s="5"/>
      <c r="TE99" s="5"/>
      <c r="TF99" s="5"/>
      <c r="TG99" s="5"/>
      <c r="TH99" s="5"/>
      <c r="TI99" s="5"/>
      <c r="TJ99" s="5"/>
      <c r="TK99" s="5"/>
      <c r="TL99" s="5"/>
      <c r="TM99" s="5"/>
      <c r="TN99" s="5"/>
      <c r="TO99" s="5"/>
      <c r="TP99" s="5"/>
      <c r="TQ99" s="5"/>
      <c r="TR99" s="5"/>
      <c r="TS99" s="5"/>
      <c r="TT99" s="5"/>
      <c r="TU99" s="5"/>
      <c r="TV99" s="5"/>
      <c r="TW99" s="5"/>
      <c r="TX99" s="5"/>
      <c r="TY99" s="5"/>
      <c r="TZ99" s="5"/>
      <c r="UA99" s="5"/>
      <c r="UB99" s="5"/>
      <c r="UC99" s="5"/>
      <c r="UD99" s="5"/>
      <c r="UE99" s="5"/>
      <c r="UF99" s="5"/>
      <c r="UG99" s="5"/>
      <c r="UH99" s="5"/>
      <c r="UI99" s="5"/>
      <c r="UJ99" s="5"/>
      <c r="UK99" s="5"/>
      <c r="UL99" s="5"/>
      <c r="UM99" s="5"/>
      <c r="UN99" s="5"/>
      <c r="UO99" s="5"/>
      <c r="UP99" s="5"/>
      <c r="UQ99" s="5"/>
      <c r="UR99" s="5"/>
      <c r="US99" s="5"/>
      <c r="UT99" s="5"/>
      <c r="UU99" s="5"/>
      <c r="UV99" s="5"/>
      <c r="UW99" s="5"/>
      <c r="UX99" s="5"/>
      <c r="UY99" s="5"/>
      <c r="UZ99" s="5"/>
      <c r="VA99" s="5"/>
      <c r="VB99" s="5"/>
      <c r="VC99" s="5"/>
      <c r="VD99" s="5"/>
      <c r="VE99" s="5"/>
      <c r="VF99" s="5"/>
      <c r="VG99" s="5"/>
      <c r="VH99" s="5"/>
      <c r="VI99" s="5"/>
      <c r="VJ99" s="5"/>
      <c r="VK99" s="5"/>
      <c r="VL99" s="5"/>
      <c r="VM99" s="5"/>
      <c r="VN99" s="5"/>
      <c r="VO99" s="5"/>
      <c r="VP99" s="5"/>
      <c r="VQ99" s="5"/>
      <c r="VR99" s="5"/>
      <c r="VS99" s="5"/>
      <c r="VT99" s="5"/>
      <c r="VU99" s="5"/>
      <c r="VV99" s="5"/>
      <c r="VW99" s="5"/>
      <c r="VX99" s="5"/>
      <c r="VY99" s="5"/>
      <c r="VZ99" s="5"/>
      <c r="WA99" s="5"/>
      <c r="WB99" s="5"/>
      <c r="WC99" s="5"/>
      <c r="WD99" s="5"/>
      <c r="WE99" s="5"/>
      <c r="WF99" s="5"/>
      <c r="WG99" s="5"/>
      <c r="WH99" s="5"/>
      <c r="WI99" s="5"/>
      <c r="WJ99" s="5"/>
      <c r="WK99" s="5"/>
      <c r="WL99" s="5"/>
      <c r="WM99" s="5"/>
      <c r="WN99" s="5"/>
      <c r="WO99" s="5"/>
      <c r="WP99" s="5"/>
      <c r="WQ99" s="5"/>
      <c r="WR99" s="5"/>
      <c r="WS99" s="5"/>
      <c r="WT99" s="5"/>
      <c r="WU99" s="5"/>
      <c r="WV99" s="5"/>
      <c r="WW99" s="5"/>
      <c r="WX99" s="5"/>
      <c r="WY99" s="5"/>
      <c r="WZ99" s="5"/>
      <c r="XA99" s="5"/>
      <c r="XB99" s="5"/>
      <c r="XC99" s="5"/>
      <c r="XD99" s="5"/>
      <c r="XE99" s="5"/>
      <c r="XF99" s="5"/>
      <c r="XG99" s="5"/>
      <c r="XH99" s="5"/>
      <c r="XI99" s="5"/>
      <c r="XJ99" s="5"/>
      <c r="XK99" s="5"/>
      <c r="XL99" s="5"/>
      <c r="XM99" s="5"/>
      <c r="XN99" s="5"/>
      <c r="XO99" s="5"/>
      <c r="XP99" s="5"/>
      <c r="XQ99" s="5"/>
      <c r="XR99" s="5"/>
      <c r="XS99" s="5"/>
      <c r="XT99" s="5"/>
      <c r="XU99" s="5"/>
      <c r="XV99" s="5"/>
      <c r="XW99" s="5"/>
      <c r="XX99" s="5"/>
      <c r="XY99" s="5"/>
      <c r="XZ99" s="5"/>
      <c r="YA99" s="5"/>
      <c r="YB99" s="5"/>
      <c r="YC99" s="5"/>
      <c r="YD99" s="5"/>
      <c r="YE99" s="5"/>
      <c r="YF99" s="5"/>
      <c r="YG99" s="5"/>
      <c r="YH99" s="5"/>
      <c r="YI99" s="5"/>
      <c r="YJ99" s="5"/>
      <c r="YK99" s="5"/>
      <c r="YL99" s="5"/>
      <c r="YM99" s="5"/>
      <c r="YN99" s="5"/>
      <c r="YO99" s="5"/>
      <c r="YP99" s="5"/>
      <c r="YQ99" s="5"/>
      <c r="YR99" s="5"/>
      <c r="YS99" s="5"/>
      <c r="YT99" s="5"/>
      <c r="YU99" s="5"/>
      <c r="YV99" s="5"/>
      <c r="YW99" s="5"/>
      <c r="YX99" s="5"/>
      <c r="YY99" s="5"/>
      <c r="YZ99" s="5"/>
    </row>
    <row r="100" spans="1:676">
      <c r="A100" s="7">
        <v>90</v>
      </c>
      <c r="B100" s="7" t="s">
        <v>254</v>
      </c>
      <c r="C100" s="10" t="s">
        <v>255</v>
      </c>
      <c r="D100" s="7" t="s">
        <v>171</v>
      </c>
      <c r="E100" s="7" t="s">
        <v>120</v>
      </c>
      <c r="F100" s="7" t="s">
        <v>162</v>
      </c>
      <c r="G100" s="7"/>
      <c r="H100" s="7" t="s">
        <v>43</v>
      </c>
      <c r="I100" s="11">
        <v>2</v>
      </c>
      <c r="J100" s="11">
        <v>3</v>
      </c>
      <c r="K100" s="11">
        <v>0</v>
      </c>
      <c r="L100" s="11">
        <v>1.86</v>
      </c>
      <c r="M100" s="11">
        <v>0.48</v>
      </c>
      <c r="N100" s="11">
        <v>0</v>
      </c>
      <c r="O100" s="11">
        <v>0.36</v>
      </c>
      <c r="P100" s="11">
        <v>0.17</v>
      </c>
      <c r="Q100" s="11">
        <v>2.87</v>
      </c>
      <c r="R100" s="11">
        <v>0</v>
      </c>
      <c r="S100" s="11">
        <v>2.87</v>
      </c>
      <c r="T100" s="11">
        <v>2</v>
      </c>
      <c r="U100" s="11">
        <v>0.8699999999999997</v>
      </c>
      <c r="V100" s="11">
        <v>0</v>
      </c>
      <c r="W100" s="13">
        <v>2</v>
      </c>
      <c r="X100" s="13">
        <v>3</v>
      </c>
      <c r="Y100" s="13" t="str">
        <f>MIN(W100,S100)</f>
        <v>0</v>
      </c>
      <c r="Z100" s="13" t="str">
        <f>MIN(X100,(S100-Y100))</f>
        <v>0</v>
      </c>
      <c r="AA100" s="13" t="str">
        <f>S100-SUM(Y100,Z100)</f>
        <v>0</v>
      </c>
      <c r="AB100" s="15"/>
      <c r="AC100" s="15"/>
      <c r="AD100" s="1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  <c r="KE100" s="5"/>
      <c r="KF100" s="5"/>
      <c r="KG100" s="5"/>
      <c r="KH100" s="5"/>
      <c r="KI100" s="5"/>
      <c r="KJ100" s="5"/>
      <c r="KK100" s="5"/>
      <c r="KL100" s="5"/>
      <c r="KM100" s="5"/>
      <c r="KN100" s="5"/>
      <c r="KO100" s="5"/>
      <c r="KP100" s="5"/>
      <c r="KQ100" s="5"/>
      <c r="KR100" s="5"/>
      <c r="KS100" s="5"/>
      <c r="KT100" s="5"/>
      <c r="KU100" s="5"/>
      <c r="KV100" s="5"/>
      <c r="KW100" s="5"/>
      <c r="KX100" s="5"/>
      <c r="KY100" s="5"/>
      <c r="KZ100" s="5"/>
      <c r="LA100" s="5"/>
      <c r="LB100" s="5"/>
      <c r="LC100" s="5"/>
      <c r="LD100" s="5"/>
      <c r="LE100" s="5"/>
      <c r="LF100" s="5"/>
      <c r="LG100" s="5"/>
      <c r="LH100" s="5"/>
      <c r="LI100" s="5"/>
      <c r="LJ100" s="5"/>
      <c r="LK100" s="5"/>
      <c r="LL100" s="5"/>
      <c r="LM100" s="5"/>
      <c r="LN100" s="5"/>
      <c r="LO100" s="5"/>
      <c r="LP100" s="5"/>
      <c r="LQ100" s="5"/>
      <c r="LR100" s="5"/>
      <c r="LS100" s="5"/>
      <c r="LT100" s="5"/>
      <c r="LU100" s="5"/>
      <c r="LV100" s="5"/>
      <c r="LW100" s="5"/>
      <c r="LX100" s="5"/>
      <c r="LY100" s="5"/>
      <c r="LZ100" s="5"/>
      <c r="MA100" s="5"/>
      <c r="MB100" s="5"/>
      <c r="MC100" s="5"/>
      <c r="MD100" s="5"/>
      <c r="ME100" s="5"/>
      <c r="MF100" s="5"/>
      <c r="MG100" s="5"/>
      <c r="MH100" s="5"/>
      <c r="MI100" s="5"/>
      <c r="MJ100" s="5"/>
      <c r="MK100" s="5"/>
      <c r="ML100" s="5"/>
      <c r="MM100" s="5"/>
      <c r="MN100" s="5"/>
      <c r="MO100" s="5"/>
      <c r="MP100" s="5"/>
      <c r="MQ100" s="5"/>
      <c r="MR100" s="5"/>
      <c r="MS100" s="5"/>
      <c r="MT100" s="5"/>
      <c r="MU100" s="5"/>
      <c r="MV100" s="5"/>
      <c r="MW100" s="5"/>
      <c r="MX100" s="5"/>
      <c r="MY100" s="5"/>
      <c r="MZ100" s="5"/>
      <c r="NA100" s="5"/>
      <c r="NB100" s="5"/>
      <c r="NC100" s="5"/>
      <c r="ND100" s="5"/>
      <c r="NE100" s="5"/>
      <c r="NF100" s="5"/>
      <c r="NG100" s="5"/>
      <c r="NH100" s="5"/>
      <c r="NI100" s="5"/>
      <c r="NJ100" s="5"/>
      <c r="NK100" s="5"/>
      <c r="NL100" s="5"/>
      <c r="NM100" s="5"/>
      <c r="NN100" s="5"/>
      <c r="NO100" s="5"/>
      <c r="NP100" s="5"/>
      <c r="NQ100" s="5"/>
      <c r="NR100" s="5"/>
      <c r="NS100" s="5"/>
      <c r="NT100" s="5"/>
      <c r="NU100" s="5"/>
      <c r="NV100" s="5"/>
      <c r="NW100" s="5"/>
      <c r="NX100" s="5"/>
      <c r="NY100" s="5"/>
      <c r="NZ100" s="5"/>
      <c r="OA100" s="5"/>
      <c r="OB100" s="5"/>
      <c r="OC100" s="5"/>
      <c r="OD100" s="5"/>
      <c r="OE100" s="5"/>
      <c r="OF100" s="5"/>
      <c r="OG100" s="5"/>
      <c r="OH100" s="5"/>
      <c r="OI100" s="5"/>
      <c r="OJ100" s="5"/>
      <c r="OK100" s="5"/>
      <c r="OL100" s="5"/>
      <c r="OM100" s="5"/>
      <c r="ON100" s="5"/>
      <c r="OO100" s="5"/>
      <c r="OP100" s="5"/>
      <c r="OQ100" s="5"/>
      <c r="OR100" s="5"/>
      <c r="OS100" s="5"/>
      <c r="OT100" s="5"/>
      <c r="OU100" s="5"/>
      <c r="OV100" s="5"/>
      <c r="OW100" s="5"/>
      <c r="OX100" s="5"/>
      <c r="OY100" s="5"/>
      <c r="OZ100" s="5"/>
      <c r="PA100" s="5"/>
      <c r="PB100" s="5"/>
      <c r="PC100" s="5"/>
      <c r="PD100" s="5"/>
      <c r="PE100" s="5"/>
      <c r="PF100" s="5"/>
      <c r="PG100" s="5"/>
      <c r="PH100" s="5"/>
      <c r="PI100" s="5"/>
      <c r="PJ100" s="5"/>
      <c r="PK100" s="5"/>
      <c r="PL100" s="5"/>
      <c r="PM100" s="5"/>
      <c r="PN100" s="5"/>
      <c r="PO100" s="5"/>
      <c r="PP100" s="5"/>
      <c r="PQ100" s="5"/>
      <c r="PR100" s="5"/>
      <c r="PS100" s="5"/>
      <c r="PT100" s="5"/>
      <c r="PU100" s="5"/>
      <c r="PV100" s="5"/>
      <c r="PW100" s="5"/>
      <c r="PX100" s="5"/>
      <c r="PY100" s="5"/>
      <c r="PZ100" s="5"/>
      <c r="QA100" s="5"/>
      <c r="QB100" s="5"/>
      <c r="QC100" s="5"/>
      <c r="QD100" s="5"/>
      <c r="QE100" s="5"/>
      <c r="QF100" s="5"/>
      <c r="QG100" s="5"/>
      <c r="QH100" s="5"/>
      <c r="QI100" s="5"/>
      <c r="QJ100" s="5"/>
      <c r="QK100" s="5"/>
      <c r="QL100" s="5"/>
      <c r="QM100" s="5"/>
      <c r="QN100" s="5"/>
      <c r="QO100" s="5"/>
      <c r="QP100" s="5"/>
      <c r="QQ100" s="5"/>
      <c r="QR100" s="5"/>
      <c r="QS100" s="5"/>
      <c r="QT100" s="5"/>
      <c r="QU100" s="5"/>
      <c r="QV100" s="5"/>
      <c r="QW100" s="5"/>
      <c r="QX100" s="5"/>
      <c r="QY100" s="5"/>
      <c r="QZ100" s="5"/>
      <c r="RA100" s="5"/>
      <c r="RB100" s="5"/>
      <c r="RC100" s="5"/>
      <c r="RD100" s="5"/>
      <c r="RE100" s="5"/>
      <c r="RF100" s="5"/>
      <c r="RG100" s="5"/>
      <c r="RH100" s="5"/>
      <c r="RI100" s="5"/>
      <c r="RJ100" s="5"/>
      <c r="RK100" s="5"/>
      <c r="RL100" s="5"/>
      <c r="RM100" s="5"/>
      <c r="RN100" s="5"/>
      <c r="RO100" s="5"/>
      <c r="RP100" s="5"/>
      <c r="RQ100" s="5"/>
      <c r="RR100" s="5"/>
      <c r="RS100" s="5"/>
      <c r="RT100" s="5"/>
      <c r="RU100" s="5"/>
      <c r="RV100" s="5"/>
      <c r="RW100" s="5"/>
      <c r="RX100" s="5"/>
      <c r="RY100" s="5"/>
      <c r="RZ100" s="5"/>
      <c r="SA100" s="5"/>
      <c r="SB100" s="5"/>
      <c r="SC100" s="5"/>
      <c r="SD100" s="5"/>
      <c r="SE100" s="5"/>
      <c r="SF100" s="5"/>
      <c r="SG100" s="5"/>
      <c r="SH100" s="5"/>
      <c r="SI100" s="5"/>
      <c r="SJ100" s="5"/>
      <c r="SK100" s="5"/>
      <c r="SL100" s="5"/>
      <c r="SM100" s="5"/>
      <c r="SN100" s="5"/>
      <c r="SO100" s="5"/>
      <c r="SP100" s="5"/>
      <c r="SQ100" s="5"/>
      <c r="SR100" s="5"/>
      <c r="SS100" s="5"/>
      <c r="ST100" s="5"/>
      <c r="SU100" s="5"/>
      <c r="SV100" s="5"/>
      <c r="SW100" s="5"/>
      <c r="SX100" s="5"/>
      <c r="SY100" s="5"/>
      <c r="SZ100" s="5"/>
      <c r="TA100" s="5"/>
      <c r="TB100" s="5"/>
      <c r="TC100" s="5"/>
      <c r="TD100" s="5"/>
      <c r="TE100" s="5"/>
      <c r="TF100" s="5"/>
      <c r="TG100" s="5"/>
      <c r="TH100" s="5"/>
      <c r="TI100" s="5"/>
      <c r="TJ100" s="5"/>
      <c r="TK100" s="5"/>
      <c r="TL100" s="5"/>
      <c r="TM100" s="5"/>
      <c r="TN100" s="5"/>
      <c r="TO100" s="5"/>
      <c r="TP100" s="5"/>
      <c r="TQ100" s="5"/>
      <c r="TR100" s="5"/>
      <c r="TS100" s="5"/>
      <c r="TT100" s="5"/>
      <c r="TU100" s="5"/>
      <c r="TV100" s="5"/>
      <c r="TW100" s="5"/>
      <c r="TX100" s="5"/>
      <c r="TY100" s="5"/>
      <c r="TZ100" s="5"/>
      <c r="UA100" s="5"/>
      <c r="UB100" s="5"/>
      <c r="UC100" s="5"/>
      <c r="UD100" s="5"/>
      <c r="UE100" s="5"/>
      <c r="UF100" s="5"/>
      <c r="UG100" s="5"/>
      <c r="UH100" s="5"/>
      <c r="UI100" s="5"/>
      <c r="UJ100" s="5"/>
      <c r="UK100" s="5"/>
      <c r="UL100" s="5"/>
      <c r="UM100" s="5"/>
      <c r="UN100" s="5"/>
      <c r="UO100" s="5"/>
      <c r="UP100" s="5"/>
      <c r="UQ100" s="5"/>
      <c r="UR100" s="5"/>
      <c r="US100" s="5"/>
      <c r="UT100" s="5"/>
      <c r="UU100" s="5"/>
      <c r="UV100" s="5"/>
      <c r="UW100" s="5"/>
      <c r="UX100" s="5"/>
      <c r="UY100" s="5"/>
      <c r="UZ100" s="5"/>
      <c r="VA100" s="5"/>
      <c r="VB100" s="5"/>
      <c r="VC100" s="5"/>
      <c r="VD100" s="5"/>
      <c r="VE100" s="5"/>
      <c r="VF100" s="5"/>
      <c r="VG100" s="5"/>
      <c r="VH100" s="5"/>
      <c r="VI100" s="5"/>
      <c r="VJ100" s="5"/>
      <c r="VK100" s="5"/>
      <c r="VL100" s="5"/>
      <c r="VM100" s="5"/>
      <c r="VN100" s="5"/>
      <c r="VO100" s="5"/>
      <c r="VP100" s="5"/>
      <c r="VQ100" s="5"/>
      <c r="VR100" s="5"/>
      <c r="VS100" s="5"/>
      <c r="VT100" s="5"/>
      <c r="VU100" s="5"/>
      <c r="VV100" s="5"/>
      <c r="VW100" s="5"/>
      <c r="VX100" s="5"/>
      <c r="VY100" s="5"/>
      <c r="VZ100" s="5"/>
      <c r="WA100" s="5"/>
      <c r="WB100" s="5"/>
      <c r="WC100" s="5"/>
      <c r="WD100" s="5"/>
      <c r="WE100" s="5"/>
      <c r="WF100" s="5"/>
      <c r="WG100" s="5"/>
      <c r="WH100" s="5"/>
      <c r="WI100" s="5"/>
      <c r="WJ100" s="5"/>
      <c r="WK100" s="5"/>
      <c r="WL100" s="5"/>
      <c r="WM100" s="5"/>
      <c r="WN100" s="5"/>
      <c r="WO100" s="5"/>
      <c r="WP100" s="5"/>
      <c r="WQ100" s="5"/>
      <c r="WR100" s="5"/>
      <c r="WS100" s="5"/>
      <c r="WT100" s="5"/>
      <c r="WU100" s="5"/>
      <c r="WV100" s="5"/>
      <c r="WW100" s="5"/>
      <c r="WX100" s="5"/>
      <c r="WY100" s="5"/>
      <c r="WZ100" s="5"/>
      <c r="XA100" s="5"/>
      <c r="XB100" s="5"/>
      <c r="XC100" s="5"/>
      <c r="XD100" s="5"/>
      <c r="XE100" s="5"/>
      <c r="XF100" s="5"/>
      <c r="XG100" s="5"/>
      <c r="XH100" s="5"/>
      <c r="XI100" s="5"/>
      <c r="XJ100" s="5"/>
      <c r="XK100" s="5"/>
      <c r="XL100" s="5"/>
      <c r="XM100" s="5"/>
      <c r="XN100" s="5"/>
      <c r="XO100" s="5"/>
      <c r="XP100" s="5"/>
      <c r="XQ100" s="5"/>
      <c r="XR100" s="5"/>
      <c r="XS100" s="5"/>
      <c r="XT100" s="5"/>
      <c r="XU100" s="5"/>
      <c r="XV100" s="5"/>
      <c r="XW100" s="5"/>
      <c r="XX100" s="5"/>
      <c r="XY100" s="5"/>
      <c r="XZ100" s="5"/>
      <c r="YA100" s="5"/>
      <c r="YB100" s="5"/>
      <c r="YC100" s="5"/>
      <c r="YD100" s="5"/>
      <c r="YE100" s="5"/>
      <c r="YF100" s="5"/>
      <c r="YG100" s="5"/>
      <c r="YH100" s="5"/>
      <c r="YI100" s="5"/>
      <c r="YJ100" s="5"/>
      <c r="YK100" s="5"/>
      <c r="YL100" s="5"/>
      <c r="YM100" s="5"/>
      <c r="YN100" s="5"/>
      <c r="YO100" s="5"/>
      <c r="YP100" s="5"/>
      <c r="YQ100" s="5"/>
      <c r="YR100" s="5"/>
      <c r="YS100" s="5"/>
      <c r="YT100" s="5"/>
      <c r="YU100" s="5"/>
      <c r="YV100" s="5"/>
      <c r="YW100" s="5"/>
      <c r="YX100" s="5"/>
      <c r="YY100" s="5"/>
      <c r="YZ100" s="5"/>
    </row>
    <row r="101" spans="1:676">
      <c r="A101" s="7">
        <v>91</v>
      </c>
      <c r="B101" s="7" t="s">
        <v>256</v>
      </c>
      <c r="C101" s="10" t="s">
        <v>257</v>
      </c>
      <c r="D101" s="7" t="s">
        <v>105</v>
      </c>
      <c r="E101" s="7" t="s">
        <v>71</v>
      </c>
      <c r="F101" s="7" t="s">
        <v>162</v>
      </c>
      <c r="G101" s="7"/>
      <c r="H101" s="7" t="s">
        <v>43</v>
      </c>
      <c r="I101" s="11">
        <v>2</v>
      </c>
      <c r="J101" s="11">
        <v>3</v>
      </c>
      <c r="K101" s="11">
        <v>0</v>
      </c>
      <c r="L101" s="11">
        <v>2.54</v>
      </c>
      <c r="M101" s="11">
        <v>0.08</v>
      </c>
      <c r="N101" s="11">
        <v>0</v>
      </c>
      <c r="O101" s="11">
        <v>0.18</v>
      </c>
      <c r="P101" s="11">
        <v>0.83</v>
      </c>
      <c r="Q101" s="11">
        <v>3.63</v>
      </c>
      <c r="R101" s="11">
        <v>0</v>
      </c>
      <c r="S101" s="11">
        <v>3.63</v>
      </c>
      <c r="T101" s="11">
        <v>2</v>
      </c>
      <c r="U101" s="11">
        <v>1.63</v>
      </c>
      <c r="V101" s="11">
        <v>0</v>
      </c>
      <c r="W101" s="13">
        <v>2</v>
      </c>
      <c r="X101" s="13">
        <v>3</v>
      </c>
      <c r="Y101" s="13" t="str">
        <f>MIN(W101,S101)</f>
        <v>0</v>
      </c>
      <c r="Z101" s="13" t="str">
        <f>MIN(X101,(S101-Y101))</f>
        <v>0</v>
      </c>
      <c r="AA101" s="13" t="str">
        <f>S101-SUM(Y101,Z101)</f>
        <v>0</v>
      </c>
      <c r="AB101" s="15"/>
      <c r="AC101" s="15"/>
      <c r="AD101" s="1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  <c r="JF101" s="5"/>
      <c r="JG101" s="5"/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5"/>
      <c r="JZ101" s="5"/>
      <c r="KA101" s="5"/>
      <c r="KB101" s="5"/>
      <c r="KC101" s="5"/>
      <c r="KD101" s="5"/>
      <c r="KE101" s="5"/>
      <c r="KF101" s="5"/>
      <c r="KG101" s="5"/>
      <c r="KH101" s="5"/>
      <c r="KI101" s="5"/>
      <c r="KJ101" s="5"/>
      <c r="KK101" s="5"/>
      <c r="KL101" s="5"/>
      <c r="KM101" s="5"/>
      <c r="KN101" s="5"/>
      <c r="KO101" s="5"/>
      <c r="KP101" s="5"/>
      <c r="KQ101" s="5"/>
      <c r="KR101" s="5"/>
      <c r="KS101" s="5"/>
      <c r="KT101" s="5"/>
      <c r="KU101" s="5"/>
      <c r="KV101" s="5"/>
      <c r="KW101" s="5"/>
      <c r="KX101" s="5"/>
      <c r="KY101" s="5"/>
      <c r="KZ101" s="5"/>
      <c r="LA101" s="5"/>
      <c r="LB101" s="5"/>
      <c r="LC101" s="5"/>
      <c r="LD101" s="5"/>
      <c r="LE101" s="5"/>
      <c r="LF101" s="5"/>
      <c r="LG101" s="5"/>
      <c r="LH101" s="5"/>
      <c r="LI101" s="5"/>
      <c r="LJ101" s="5"/>
      <c r="LK101" s="5"/>
      <c r="LL101" s="5"/>
      <c r="LM101" s="5"/>
      <c r="LN101" s="5"/>
      <c r="LO101" s="5"/>
      <c r="LP101" s="5"/>
      <c r="LQ101" s="5"/>
      <c r="LR101" s="5"/>
      <c r="LS101" s="5"/>
      <c r="LT101" s="5"/>
      <c r="LU101" s="5"/>
      <c r="LV101" s="5"/>
      <c r="LW101" s="5"/>
      <c r="LX101" s="5"/>
      <c r="LY101" s="5"/>
      <c r="LZ101" s="5"/>
      <c r="MA101" s="5"/>
      <c r="MB101" s="5"/>
      <c r="MC101" s="5"/>
      <c r="MD101" s="5"/>
      <c r="ME101" s="5"/>
      <c r="MF101" s="5"/>
      <c r="MG101" s="5"/>
      <c r="MH101" s="5"/>
      <c r="MI101" s="5"/>
      <c r="MJ101" s="5"/>
      <c r="MK101" s="5"/>
      <c r="ML101" s="5"/>
      <c r="MM101" s="5"/>
      <c r="MN101" s="5"/>
      <c r="MO101" s="5"/>
      <c r="MP101" s="5"/>
      <c r="MQ101" s="5"/>
      <c r="MR101" s="5"/>
      <c r="MS101" s="5"/>
      <c r="MT101" s="5"/>
      <c r="MU101" s="5"/>
      <c r="MV101" s="5"/>
      <c r="MW101" s="5"/>
      <c r="MX101" s="5"/>
      <c r="MY101" s="5"/>
      <c r="MZ101" s="5"/>
      <c r="NA101" s="5"/>
      <c r="NB101" s="5"/>
      <c r="NC101" s="5"/>
      <c r="ND101" s="5"/>
      <c r="NE101" s="5"/>
      <c r="NF101" s="5"/>
      <c r="NG101" s="5"/>
      <c r="NH101" s="5"/>
      <c r="NI101" s="5"/>
      <c r="NJ101" s="5"/>
      <c r="NK101" s="5"/>
      <c r="NL101" s="5"/>
      <c r="NM101" s="5"/>
      <c r="NN101" s="5"/>
      <c r="NO101" s="5"/>
      <c r="NP101" s="5"/>
      <c r="NQ101" s="5"/>
      <c r="NR101" s="5"/>
      <c r="NS101" s="5"/>
      <c r="NT101" s="5"/>
      <c r="NU101" s="5"/>
      <c r="NV101" s="5"/>
      <c r="NW101" s="5"/>
      <c r="NX101" s="5"/>
      <c r="NY101" s="5"/>
      <c r="NZ101" s="5"/>
      <c r="OA101" s="5"/>
      <c r="OB101" s="5"/>
      <c r="OC101" s="5"/>
      <c r="OD101" s="5"/>
      <c r="OE101" s="5"/>
      <c r="OF101" s="5"/>
      <c r="OG101" s="5"/>
      <c r="OH101" s="5"/>
      <c r="OI101" s="5"/>
      <c r="OJ101" s="5"/>
      <c r="OK101" s="5"/>
      <c r="OL101" s="5"/>
      <c r="OM101" s="5"/>
      <c r="ON101" s="5"/>
      <c r="OO101" s="5"/>
      <c r="OP101" s="5"/>
      <c r="OQ101" s="5"/>
      <c r="OR101" s="5"/>
      <c r="OS101" s="5"/>
      <c r="OT101" s="5"/>
      <c r="OU101" s="5"/>
      <c r="OV101" s="5"/>
      <c r="OW101" s="5"/>
      <c r="OX101" s="5"/>
      <c r="OY101" s="5"/>
      <c r="OZ101" s="5"/>
      <c r="PA101" s="5"/>
      <c r="PB101" s="5"/>
      <c r="PC101" s="5"/>
      <c r="PD101" s="5"/>
      <c r="PE101" s="5"/>
      <c r="PF101" s="5"/>
      <c r="PG101" s="5"/>
      <c r="PH101" s="5"/>
      <c r="PI101" s="5"/>
      <c r="PJ101" s="5"/>
      <c r="PK101" s="5"/>
      <c r="PL101" s="5"/>
      <c r="PM101" s="5"/>
      <c r="PN101" s="5"/>
      <c r="PO101" s="5"/>
      <c r="PP101" s="5"/>
      <c r="PQ101" s="5"/>
      <c r="PR101" s="5"/>
      <c r="PS101" s="5"/>
      <c r="PT101" s="5"/>
      <c r="PU101" s="5"/>
      <c r="PV101" s="5"/>
      <c r="PW101" s="5"/>
      <c r="PX101" s="5"/>
      <c r="PY101" s="5"/>
      <c r="PZ101" s="5"/>
      <c r="QA101" s="5"/>
      <c r="QB101" s="5"/>
      <c r="QC101" s="5"/>
      <c r="QD101" s="5"/>
      <c r="QE101" s="5"/>
      <c r="QF101" s="5"/>
      <c r="QG101" s="5"/>
      <c r="QH101" s="5"/>
      <c r="QI101" s="5"/>
      <c r="QJ101" s="5"/>
      <c r="QK101" s="5"/>
      <c r="QL101" s="5"/>
      <c r="QM101" s="5"/>
      <c r="QN101" s="5"/>
      <c r="QO101" s="5"/>
      <c r="QP101" s="5"/>
      <c r="QQ101" s="5"/>
      <c r="QR101" s="5"/>
      <c r="QS101" s="5"/>
      <c r="QT101" s="5"/>
      <c r="QU101" s="5"/>
      <c r="QV101" s="5"/>
      <c r="QW101" s="5"/>
      <c r="QX101" s="5"/>
      <c r="QY101" s="5"/>
      <c r="QZ101" s="5"/>
      <c r="RA101" s="5"/>
      <c r="RB101" s="5"/>
      <c r="RC101" s="5"/>
      <c r="RD101" s="5"/>
      <c r="RE101" s="5"/>
      <c r="RF101" s="5"/>
      <c r="RG101" s="5"/>
      <c r="RH101" s="5"/>
      <c r="RI101" s="5"/>
      <c r="RJ101" s="5"/>
      <c r="RK101" s="5"/>
      <c r="RL101" s="5"/>
      <c r="RM101" s="5"/>
      <c r="RN101" s="5"/>
      <c r="RO101" s="5"/>
      <c r="RP101" s="5"/>
      <c r="RQ101" s="5"/>
      <c r="RR101" s="5"/>
      <c r="RS101" s="5"/>
      <c r="RT101" s="5"/>
      <c r="RU101" s="5"/>
      <c r="RV101" s="5"/>
      <c r="RW101" s="5"/>
      <c r="RX101" s="5"/>
      <c r="RY101" s="5"/>
      <c r="RZ101" s="5"/>
      <c r="SA101" s="5"/>
      <c r="SB101" s="5"/>
      <c r="SC101" s="5"/>
      <c r="SD101" s="5"/>
      <c r="SE101" s="5"/>
      <c r="SF101" s="5"/>
      <c r="SG101" s="5"/>
      <c r="SH101" s="5"/>
      <c r="SI101" s="5"/>
      <c r="SJ101" s="5"/>
      <c r="SK101" s="5"/>
      <c r="SL101" s="5"/>
      <c r="SM101" s="5"/>
      <c r="SN101" s="5"/>
      <c r="SO101" s="5"/>
      <c r="SP101" s="5"/>
      <c r="SQ101" s="5"/>
      <c r="SR101" s="5"/>
      <c r="SS101" s="5"/>
      <c r="ST101" s="5"/>
      <c r="SU101" s="5"/>
      <c r="SV101" s="5"/>
      <c r="SW101" s="5"/>
      <c r="SX101" s="5"/>
      <c r="SY101" s="5"/>
      <c r="SZ101" s="5"/>
      <c r="TA101" s="5"/>
      <c r="TB101" s="5"/>
      <c r="TC101" s="5"/>
      <c r="TD101" s="5"/>
      <c r="TE101" s="5"/>
      <c r="TF101" s="5"/>
      <c r="TG101" s="5"/>
      <c r="TH101" s="5"/>
      <c r="TI101" s="5"/>
      <c r="TJ101" s="5"/>
      <c r="TK101" s="5"/>
      <c r="TL101" s="5"/>
      <c r="TM101" s="5"/>
      <c r="TN101" s="5"/>
      <c r="TO101" s="5"/>
      <c r="TP101" s="5"/>
      <c r="TQ101" s="5"/>
      <c r="TR101" s="5"/>
      <c r="TS101" s="5"/>
      <c r="TT101" s="5"/>
      <c r="TU101" s="5"/>
      <c r="TV101" s="5"/>
      <c r="TW101" s="5"/>
      <c r="TX101" s="5"/>
      <c r="TY101" s="5"/>
      <c r="TZ101" s="5"/>
      <c r="UA101" s="5"/>
      <c r="UB101" s="5"/>
      <c r="UC101" s="5"/>
      <c r="UD101" s="5"/>
      <c r="UE101" s="5"/>
      <c r="UF101" s="5"/>
      <c r="UG101" s="5"/>
      <c r="UH101" s="5"/>
      <c r="UI101" s="5"/>
      <c r="UJ101" s="5"/>
      <c r="UK101" s="5"/>
      <c r="UL101" s="5"/>
      <c r="UM101" s="5"/>
      <c r="UN101" s="5"/>
      <c r="UO101" s="5"/>
      <c r="UP101" s="5"/>
      <c r="UQ101" s="5"/>
      <c r="UR101" s="5"/>
      <c r="US101" s="5"/>
      <c r="UT101" s="5"/>
      <c r="UU101" s="5"/>
      <c r="UV101" s="5"/>
      <c r="UW101" s="5"/>
      <c r="UX101" s="5"/>
      <c r="UY101" s="5"/>
      <c r="UZ101" s="5"/>
      <c r="VA101" s="5"/>
      <c r="VB101" s="5"/>
      <c r="VC101" s="5"/>
      <c r="VD101" s="5"/>
      <c r="VE101" s="5"/>
      <c r="VF101" s="5"/>
      <c r="VG101" s="5"/>
      <c r="VH101" s="5"/>
      <c r="VI101" s="5"/>
      <c r="VJ101" s="5"/>
      <c r="VK101" s="5"/>
      <c r="VL101" s="5"/>
      <c r="VM101" s="5"/>
      <c r="VN101" s="5"/>
      <c r="VO101" s="5"/>
      <c r="VP101" s="5"/>
      <c r="VQ101" s="5"/>
      <c r="VR101" s="5"/>
      <c r="VS101" s="5"/>
      <c r="VT101" s="5"/>
      <c r="VU101" s="5"/>
      <c r="VV101" s="5"/>
      <c r="VW101" s="5"/>
      <c r="VX101" s="5"/>
      <c r="VY101" s="5"/>
      <c r="VZ101" s="5"/>
      <c r="WA101" s="5"/>
      <c r="WB101" s="5"/>
      <c r="WC101" s="5"/>
      <c r="WD101" s="5"/>
      <c r="WE101" s="5"/>
      <c r="WF101" s="5"/>
      <c r="WG101" s="5"/>
      <c r="WH101" s="5"/>
      <c r="WI101" s="5"/>
      <c r="WJ101" s="5"/>
      <c r="WK101" s="5"/>
      <c r="WL101" s="5"/>
      <c r="WM101" s="5"/>
      <c r="WN101" s="5"/>
      <c r="WO101" s="5"/>
      <c r="WP101" s="5"/>
      <c r="WQ101" s="5"/>
      <c r="WR101" s="5"/>
      <c r="WS101" s="5"/>
      <c r="WT101" s="5"/>
      <c r="WU101" s="5"/>
      <c r="WV101" s="5"/>
      <c r="WW101" s="5"/>
      <c r="WX101" s="5"/>
      <c r="WY101" s="5"/>
      <c r="WZ101" s="5"/>
      <c r="XA101" s="5"/>
      <c r="XB101" s="5"/>
      <c r="XC101" s="5"/>
      <c r="XD101" s="5"/>
      <c r="XE101" s="5"/>
      <c r="XF101" s="5"/>
      <c r="XG101" s="5"/>
      <c r="XH101" s="5"/>
      <c r="XI101" s="5"/>
      <c r="XJ101" s="5"/>
      <c r="XK101" s="5"/>
      <c r="XL101" s="5"/>
      <c r="XM101" s="5"/>
      <c r="XN101" s="5"/>
      <c r="XO101" s="5"/>
      <c r="XP101" s="5"/>
      <c r="XQ101" s="5"/>
      <c r="XR101" s="5"/>
      <c r="XS101" s="5"/>
      <c r="XT101" s="5"/>
      <c r="XU101" s="5"/>
      <c r="XV101" s="5"/>
      <c r="XW101" s="5"/>
      <c r="XX101" s="5"/>
      <c r="XY101" s="5"/>
      <c r="XZ101" s="5"/>
      <c r="YA101" s="5"/>
      <c r="YB101" s="5"/>
      <c r="YC101" s="5"/>
      <c r="YD101" s="5"/>
      <c r="YE101" s="5"/>
      <c r="YF101" s="5"/>
      <c r="YG101" s="5"/>
      <c r="YH101" s="5"/>
      <c r="YI101" s="5"/>
      <c r="YJ101" s="5"/>
      <c r="YK101" s="5"/>
      <c r="YL101" s="5"/>
      <c r="YM101" s="5"/>
      <c r="YN101" s="5"/>
      <c r="YO101" s="5"/>
      <c r="YP101" s="5"/>
      <c r="YQ101" s="5"/>
      <c r="YR101" s="5"/>
      <c r="YS101" s="5"/>
      <c r="YT101" s="5"/>
      <c r="YU101" s="5"/>
      <c r="YV101" s="5"/>
      <c r="YW101" s="5"/>
      <c r="YX101" s="5"/>
      <c r="YY101" s="5"/>
      <c r="YZ101" s="5"/>
    </row>
    <row r="102" spans="1:676">
      <c r="A102" s="7">
        <v>92</v>
      </c>
      <c r="B102" s="7" t="s">
        <v>258</v>
      </c>
      <c r="C102" s="10" t="s">
        <v>259</v>
      </c>
      <c r="D102" s="7" t="s">
        <v>50</v>
      </c>
      <c r="E102" s="7" t="s">
        <v>71</v>
      </c>
      <c r="F102" s="7" t="s">
        <v>162</v>
      </c>
      <c r="G102" s="7"/>
      <c r="H102" s="7" t="s">
        <v>43</v>
      </c>
      <c r="I102" s="11">
        <v>2</v>
      </c>
      <c r="J102" s="11">
        <v>3</v>
      </c>
      <c r="K102" s="11">
        <v>0</v>
      </c>
      <c r="L102" s="11">
        <v>0.8600000000000001</v>
      </c>
      <c r="M102" s="11">
        <v>0.24</v>
      </c>
      <c r="N102" s="11">
        <v>0</v>
      </c>
      <c r="O102" s="11">
        <v>0</v>
      </c>
      <c r="P102" s="11">
        <v>4.03</v>
      </c>
      <c r="Q102" s="11">
        <v>5.13</v>
      </c>
      <c r="R102" s="11">
        <v>0</v>
      </c>
      <c r="S102" s="11">
        <v>5.13</v>
      </c>
      <c r="T102" s="11">
        <v>2</v>
      </c>
      <c r="U102" s="11">
        <v>3</v>
      </c>
      <c r="V102" s="11">
        <v>0.1299999999999999</v>
      </c>
      <c r="W102" s="13">
        <v>2</v>
      </c>
      <c r="X102" s="13">
        <v>3</v>
      </c>
      <c r="Y102" s="13" t="str">
        <f>MIN(W102,S102)</f>
        <v>0</v>
      </c>
      <c r="Z102" s="13" t="str">
        <f>MIN(X102,(S102-Y102))</f>
        <v>0</v>
      </c>
      <c r="AA102" s="13" t="str">
        <f>S102-SUM(Y102,Z102)</f>
        <v>0</v>
      </c>
      <c r="AB102" s="15"/>
      <c r="AC102" s="15"/>
      <c r="AD102" s="1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  <c r="IZ102" s="5"/>
      <c r="JA102" s="5"/>
      <c r="JB102" s="5"/>
      <c r="JC102" s="5"/>
      <c r="JD102" s="5"/>
      <c r="JE102" s="5"/>
      <c r="JF102" s="5"/>
      <c r="JG102" s="5"/>
      <c r="JH102" s="5"/>
      <c r="JI102" s="5"/>
      <c r="JJ102" s="5"/>
      <c r="JK102" s="5"/>
      <c r="JL102" s="5"/>
      <c r="JM102" s="5"/>
      <c r="JN102" s="5"/>
      <c r="JO102" s="5"/>
      <c r="JP102" s="5"/>
      <c r="JQ102" s="5"/>
      <c r="JR102" s="5"/>
      <c r="JS102" s="5"/>
      <c r="JT102" s="5"/>
      <c r="JU102" s="5"/>
      <c r="JV102" s="5"/>
      <c r="JW102" s="5"/>
      <c r="JX102" s="5"/>
      <c r="JY102" s="5"/>
      <c r="JZ102" s="5"/>
      <c r="KA102" s="5"/>
      <c r="KB102" s="5"/>
      <c r="KC102" s="5"/>
      <c r="KD102" s="5"/>
      <c r="KE102" s="5"/>
      <c r="KF102" s="5"/>
      <c r="KG102" s="5"/>
      <c r="KH102" s="5"/>
      <c r="KI102" s="5"/>
      <c r="KJ102" s="5"/>
      <c r="KK102" s="5"/>
      <c r="KL102" s="5"/>
      <c r="KM102" s="5"/>
      <c r="KN102" s="5"/>
      <c r="KO102" s="5"/>
      <c r="KP102" s="5"/>
      <c r="KQ102" s="5"/>
      <c r="KR102" s="5"/>
      <c r="KS102" s="5"/>
      <c r="KT102" s="5"/>
      <c r="KU102" s="5"/>
      <c r="KV102" s="5"/>
      <c r="KW102" s="5"/>
      <c r="KX102" s="5"/>
      <c r="KY102" s="5"/>
      <c r="KZ102" s="5"/>
      <c r="LA102" s="5"/>
      <c r="LB102" s="5"/>
      <c r="LC102" s="5"/>
      <c r="LD102" s="5"/>
      <c r="LE102" s="5"/>
      <c r="LF102" s="5"/>
      <c r="LG102" s="5"/>
      <c r="LH102" s="5"/>
      <c r="LI102" s="5"/>
      <c r="LJ102" s="5"/>
      <c r="LK102" s="5"/>
      <c r="LL102" s="5"/>
      <c r="LM102" s="5"/>
      <c r="LN102" s="5"/>
      <c r="LO102" s="5"/>
      <c r="LP102" s="5"/>
      <c r="LQ102" s="5"/>
      <c r="LR102" s="5"/>
      <c r="LS102" s="5"/>
      <c r="LT102" s="5"/>
      <c r="LU102" s="5"/>
      <c r="LV102" s="5"/>
      <c r="LW102" s="5"/>
      <c r="LX102" s="5"/>
      <c r="LY102" s="5"/>
      <c r="LZ102" s="5"/>
      <c r="MA102" s="5"/>
      <c r="MB102" s="5"/>
      <c r="MC102" s="5"/>
      <c r="MD102" s="5"/>
      <c r="ME102" s="5"/>
      <c r="MF102" s="5"/>
      <c r="MG102" s="5"/>
      <c r="MH102" s="5"/>
      <c r="MI102" s="5"/>
      <c r="MJ102" s="5"/>
      <c r="MK102" s="5"/>
      <c r="ML102" s="5"/>
      <c r="MM102" s="5"/>
      <c r="MN102" s="5"/>
      <c r="MO102" s="5"/>
      <c r="MP102" s="5"/>
      <c r="MQ102" s="5"/>
      <c r="MR102" s="5"/>
      <c r="MS102" s="5"/>
      <c r="MT102" s="5"/>
      <c r="MU102" s="5"/>
      <c r="MV102" s="5"/>
      <c r="MW102" s="5"/>
      <c r="MX102" s="5"/>
      <c r="MY102" s="5"/>
      <c r="MZ102" s="5"/>
      <c r="NA102" s="5"/>
      <c r="NB102" s="5"/>
      <c r="NC102" s="5"/>
      <c r="ND102" s="5"/>
      <c r="NE102" s="5"/>
      <c r="NF102" s="5"/>
      <c r="NG102" s="5"/>
      <c r="NH102" s="5"/>
      <c r="NI102" s="5"/>
      <c r="NJ102" s="5"/>
      <c r="NK102" s="5"/>
      <c r="NL102" s="5"/>
      <c r="NM102" s="5"/>
      <c r="NN102" s="5"/>
      <c r="NO102" s="5"/>
      <c r="NP102" s="5"/>
      <c r="NQ102" s="5"/>
      <c r="NR102" s="5"/>
      <c r="NS102" s="5"/>
      <c r="NT102" s="5"/>
      <c r="NU102" s="5"/>
      <c r="NV102" s="5"/>
      <c r="NW102" s="5"/>
      <c r="NX102" s="5"/>
      <c r="NY102" s="5"/>
      <c r="NZ102" s="5"/>
      <c r="OA102" s="5"/>
      <c r="OB102" s="5"/>
      <c r="OC102" s="5"/>
      <c r="OD102" s="5"/>
      <c r="OE102" s="5"/>
      <c r="OF102" s="5"/>
      <c r="OG102" s="5"/>
      <c r="OH102" s="5"/>
      <c r="OI102" s="5"/>
      <c r="OJ102" s="5"/>
      <c r="OK102" s="5"/>
      <c r="OL102" s="5"/>
      <c r="OM102" s="5"/>
      <c r="ON102" s="5"/>
      <c r="OO102" s="5"/>
      <c r="OP102" s="5"/>
      <c r="OQ102" s="5"/>
      <c r="OR102" s="5"/>
      <c r="OS102" s="5"/>
      <c r="OT102" s="5"/>
      <c r="OU102" s="5"/>
      <c r="OV102" s="5"/>
      <c r="OW102" s="5"/>
      <c r="OX102" s="5"/>
      <c r="OY102" s="5"/>
      <c r="OZ102" s="5"/>
      <c r="PA102" s="5"/>
      <c r="PB102" s="5"/>
      <c r="PC102" s="5"/>
      <c r="PD102" s="5"/>
      <c r="PE102" s="5"/>
      <c r="PF102" s="5"/>
      <c r="PG102" s="5"/>
      <c r="PH102" s="5"/>
      <c r="PI102" s="5"/>
      <c r="PJ102" s="5"/>
      <c r="PK102" s="5"/>
      <c r="PL102" s="5"/>
      <c r="PM102" s="5"/>
      <c r="PN102" s="5"/>
      <c r="PO102" s="5"/>
      <c r="PP102" s="5"/>
      <c r="PQ102" s="5"/>
      <c r="PR102" s="5"/>
      <c r="PS102" s="5"/>
      <c r="PT102" s="5"/>
      <c r="PU102" s="5"/>
      <c r="PV102" s="5"/>
      <c r="PW102" s="5"/>
      <c r="PX102" s="5"/>
      <c r="PY102" s="5"/>
      <c r="PZ102" s="5"/>
      <c r="QA102" s="5"/>
      <c r="QB102" s="5"/>
      <c r="QC102" s="5"/>
      <c r="QD102" s="5"/>
      <c r="QE102" s="5"/>
      <c r="QF102" s="5"/>
      <c r="QG102" s="5"/>
      <c r="QH102" s="5"/>
      <c r="QI102" s="5"/>
      <c r="QJ102" s="5"/>
      <c r="QK102" s="5"/>
      <c r="QL102" s="5"/>
      <c r="QM102" s="5"/>
      <c r="QN102" s="5"/>
      <c r="QO102" s="5"/>
      <c r="QP102" s="5"/>
      <c r="QQ102" s="5"/>
      <c r="QR102" s="5"/>
      <c r="QS102" s="5"/>
      <c r="QT102" s="5"/>
      <c r="QU102" s="5"/>
      <c r="QV102" s="5"/>
      <c r="QW102" s="5"/>
      <c r="QX102" s="5"/>
      <c r="QY102" s="5"/>
      <c r="QZ102" s="5"/>
      <c r="RA102" s="5"/>
      <c r="RB102" s="5"/>
      <c r="RC102" s="5"/>
      <c r="RD102" s="5"/>
      <c r="RE102" s="5"/>
      <c r="RF102" s="5"/>
      <c r="RG102" s="5"/>
      <c r="RH102" s="5"/>
      <c r="RI102" s="5"/>
      <c r="RJ102" s="5"/>
      <c r="RK102" s="5"/>
      <c r="RL102" s="5"/>
      <c r="RM102" s="5"/>
      <c r="RN102" s="5"/>
      <c r="RO102" s="5"/>
      <c r="RP102" s="5"/>
      <c r="RQ102" s="5"/>
      <c r="RR102" s="5"/>
      <c r="RS102" s="5"/>
      <c r="RT102" s="5"/>
      <c r="RU102" s="5"/>
      <c r="RV102" s="5"/>
      <c r="RW102" s="5"/>
      <c r="RX102" s="5"/>
      <c r="RY102" s="5"/>
      <c r="RZ102" s="5"/>
      <c r="SA102" s="5"/>
      <c r="SB102" s="5"/>
      <c r="SC102" s="5"/>
      <c r="SD102" s="5"/>
      <c r="SE102" s="5"/>
      <c r="SF102" s="5"/>
      <c r="SG102" s="5"/>
      <c r="SH102" s="5"/>
      <c r="SI102" s="5"/>
      <c r="SJ102" s="5"/>
      <c r="SK102" s="5"/>
      <c r="SL102" s="5"/>
      <c r="SM102" s="5"/>
      <c r="SN102" s="5"/>
      <c r="SO102" s="5"/>
      <c r="SP102" s="5"/>
      <c r="SQ102" s="5"/>
      <c r="SR102" s="5"/>
      <c r="SS102" s="5"/>
      <c r="ST102" s="5"/>
      <c r="SU102" s="5"/>
      <c r="SV102" s="5"/>
      <c r="SW102" s="5"/>
      <c r="SX102" s="5"/>
      <c r="SY102" s="5"/>
      <c r="SZ102" s="5"/>
      <c r="TA102" s="5"/>
      <c r="TB102" s="5"/>
      <c r="TC102" s="5"/>
      <c r="TD102" s="5"/>
      <c r="TE102" s="5"/>
      <c r="TF102" s="5"/>
      <c r="TG102" s="5"/>
      <c r="TH102" s="5"/>
      <c r="TI102" s="5"/>
      <c r="TJ102" s="5"/>
      <c r="TK102" s="5"/>
      <c r="TL102" s="5"/>
      <c r="TM102" s="5"/>
      <c r="TN102" s="5"/>
      <c r="TO102" s="5"/>
      <c r="TP102" s="5"/>
      <c r="TQ102" s="5"/>
      <c r="TR102" s="5"/>
      <c r="TS102" s="5"/>
      <c r="TT102" s="5"/>
      <c r="TU102" s="5"/>
      <c r="TV102" s="5"/>
      <c r="TW102" s="5"/>
      <c r="TX102" s="5"/>
      <c r="TY102" s="5"/>
      <c r="TZ102" s="5"/>
      <c r="UA102" s="5"/>
      <c r="UB102" s="5"/>
      <c r="UC102" s="5"/>
      <c r="UD102" s="5"/>
      <c r="UE102" s="5"/>
      <c r="UF102" s="5"/>
      <c r="UG102" s="5"/>
      <c r="UH102" s="5"/>
      <c r="UI102" s="5"/>
      <c r="UJ102" s="5"/>
      <c r="UK102" s="5"/>
      <c r="UL102" s="5"/>
      <c r="UM102" s="5"/>
      <c r="UN102" s="5"/>
      <c r="UO102" s="5"/>
      <c r="UP102" s="5"/>
      <c r="UQ102" s="5"/>
      <c r="UR102" s="5"/>
      <c r="US102" s="5"/>
      <c r="UT102" s="5"/>
      <c r="UU102" s="5"/>
      <c r="UV102" s="5"/>
      <c r="UW102" s="5"/>
      <c r="UX102" s="5"/>
      <c r="UY102" s="5"/>
      <c r="UZ102" s="5"/>
      <c r="VA102" s="5"/>
      <c r="VB102" s="5"/>
      <c r="VC102" s="5"/>
      <c r="VD102" s="5"/>
      <c r="VE102" s="5"/>
      <c r="VF102" s="5"/>
      <c r="VG102" s="5"/>
      <c r="VH102" s="5"/>
      <c r="VI102" s="5"/>
      <c r="VJ102" s="5"/>
      <c r="VK102" s="5"/>
      <c r="VL102" s="5"/>
      <c r="VM102" s="5"/>
      <c r="VN102" s="5"/>
      <c r="VO102" s="5"/>
      <c r="VP102" s="5"/>
      <c r="VQ102" s="5"/>
      <c r="VR102" s="5"/>
      <c r="VS102" s="5"/>
      <c r="VT102" s="5"/>
      <c r="VU102" s="5"/>
      <c r="VV102" s="5"/>
      <c r="VW102" s="5"/>
      <c r="VX102" s="5"/>
      <c r="VY102" s="5"/>
      <c r="VZ102" s="5"/>
      <c r="WA102" s="5"/>
      <c r="WB102" s="5"/>
      <c r="WC102" s="5"/>
      <c r="WD102" s="5"/>
      <c r="WE102" s="5"/>
      <c r="WF102" s="5"/>
      <c r="WG102" s="5"/>
      <c r="WH102" s="5"/>
      <c r="WI102" s="5"/>
      <c r="WJ102" s="5"/>
      <c r="WK102" s="5"/>
      <c r="WL102" s="5"/>
      <c r="WM102" s="5"/>
      <c r="WN102" s="5"/>
      <c r="WO102" s="5"/>
      <c r="WP102" s="5"/>
      <c r="WQ102" s="5"/>
      <c r="WR102" s="5"/>
      <c r="WS102" s="5"/>
      <c r="WT102" s="5"/>
      <c r="WU102" s="5"/>
      <c r="WV102" s="5"/>
      <c r="WW102" s="5"/>
      <c r="WX102" s="5"/>
      <c r="WY102" s="5"/>
      <c r="WZ102" s="5"/>
      <c r="XA102" s="5"/>
      <c r="XB102" s="5"/>
      <c r="XC102" s="5"/>
      <c r="XD102" s="5"/>
      <c r="XE102" s="5"/>
      <c r="XF102" s="5"/>
      <c r="XG102" s="5"/>
      <c r="XH102" s="5"/>
      <c r="XI102" s="5"/>
      <c r="XJ102" s="5"/>
      <c r="XK102" s="5"/>
      <c r="XL102" s="5"/>
      <c r="XM102" s="5"/>
      <c r="XN102" s="5"/>
      <c r="XO102" s="5"/>
      <c r="XP102" s="5"/>
      <c r="XQ102" s="5"/>
      <c r="XR102" s="5"/>
      <c r="XS102" s="5"/>
      <c r="XT102" s="5"/>
      <c r="XU102" s="5"/>
      <c r="XV102" s="5"/>
      <c r="XW102" s="5"/>
      <c r="XX102" s="5"/>
      <c r="XY102" s="5"/>
      <c r="XZ102" s="5"/>
      <c r="YA102" s="5"/>
      <c r="YB102" s="5"/>
      <c r="YC102" s="5"/>
      <c r="YD102" s="5"/>
      <c r="YE102" s="5"/>
      <c r="YF102" s="5"/>
      <c r="YG102" s="5"/>
      <c r="YH102" s="5"/>
      <c r="YI102" s="5"/>
      <c r="YJ102" s="5"/>
      <c r="YK102" s="5"/>
      <c r="YL102" s="5"/>
      <c r="YM102" s="5"/>
      <c r="YN102" s="5"/>
      <c r="YO102" s="5"/>
      <c r="YP102" s="5"/>
      <c r="YQ102" s="5"/>
      <c r="YR102" s="5"/>
      <c r="YS102" s="5"/>
      <c r="YT102" s="5"/>
      <c r="YU102" s="5"/>
      <c r="YV102" s="5"/>
      <c r="YW102" s="5"/>
      <c r="YX102" s="5"/>
      <c r="YY102" s="5"/>
      <c r="YZ102" s="5"/>
    </row>
    <row r="103" spans="1:676">
      <c r="A103" s="7">
        <v>93</v>
      </c>
      <c r="B103" s="7" t="s">
        <v>260</v>
      </c>
      <c r="C103" s="10" t="s">
        <v>261</v>
      </c>
      <c r="D103" s="7" t="s">
        <v>50</v>
      </c>
      <c r="E103" s="7" t="s">
        <v>71</v>
      </c>
      <c r="F103" s="7" t="s">
        <v>162</v>
      </c>
      <c r="G103" s="7"/>
      <c r="H103" s="7" t="s">
        <v>43</v>
      </c>
      <c r="I103" s="11">
        <v>2</v>
      </c>
      <c r="J103" s="11">
        <v>3</v>
      </c>
      <c r="K103" s="11">
        <v>0</v>
      </c>
      <c r="L103" s="11">
        <v>0.53</v>
      </c>
      <c r="M103" s="11">
        <v>0.08</v>
      </c>
      <c r="N103" s="11">
        <v>0</v>
      </c>
      <c r="O103" s="11">
        <v>0</v>
      </c>
      <c r="P103" s="11">
        <v>0</v>
      </c>
      <c r="Q103" s="11">
        <v>0.61</v>
      </c>
      <c r="R103" s="11">
        <v>0</v>
      </c>
      <c r="S103" s="11">
        <v>0.61</v>
      </c>
      <c r="T103" s="11">
        <v>0.61</v>
      </c>
      <c r="U103" s="11">
        <v>0</v>
      </c>
      <c r="V103" s="11">
        <v>0</v>
      </c>
      <c r="W103" s="13">
        <v>2</v>
      </c>
      <c r="X103" s="13">
        <v>3</v>
      </c>
      <c r="Y103" s="13" t="str">
        <f>MIN(W103,S103)</f>
        <v>0</v>
      </c>
      <c r="Z103" s="13" t="str">
        <f>MIN(X103,(S103-Y103))</f>
        <v>0</v>
      </c>
      <c r="AA103" s="13" t="str">
        <f>S103-SUM(Y103,Z103)</f>
        <v>0</v>
      </c>
      <c r="AB103" s="15"/>
      <c r="AC103" s="15"/>
      <c r="AD103" s="1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  <c r="IX103" s="5"/>
      <c r="IY103" s="5"/>
      <c r="IZ103" s="5"/>
      <c r="JA103" s="5"/>
      <c r="JB103" s="5"/>
      <c r="JC103" s="5"/>
      <c r="JD103" s="5"/>
      <c r="JE103" s="5"/>
      <c r="JF103" s="5"/>
      <c r="JG103" s="5"/>
      <c r="JH103" s="5"/>
      <c r="JI103" s="5"/>
      <c r="JJ103" s="5"/>
      <c r="JK103" s="5"/>
      <c r="JL103" s="5"/>
      <c r="JM103" s="5"/>
      <c r="JN103" s="5"/>
      <c r="JO103" s="5"/>
      <c r="JP103" s="5"/>
      <c r="JQ103" s="5"/>
      <c r="JR103" s="5"/>
      <c r="JS103" s="5"/>
      <c r="JT103" s="5"/>
      <c r="JU103" s="5"/>
      <c r="JV103" s="5"/>
      <c r="JW103" s="5"/>
      <c r="JX103" s="5"/>
      <c r="JY103" s="5"/>
      <c r="JZ103" s="5"/>
      <c r="KA103" s="5"/>
      <c r="KB103" s="5"/>
      <c r="KC103" s="5"/>
      <c r="KD103" s="5"/>
      <c r="KE103" s="5"/>
      <c r="KF103" s="5"/>
      <c r="KG103" s="5"/>
      <c r="KH103" s="5"/>
      <c r="KI103" s="5"/>
      <c r="KJ103" s="5"/>
      <c r="KK103" s="5"/>
      <c r="KL103" s="5"/>
      <c r="KM103" s="5"/>
      <c r="KN103" s="5"/>
      <c r="KO103" s="5"/>
      <c r="KP103" s="5"/>
      <c r="KQ103" s="5"/>
      <c r="KR103" s="5"/>
      <c r="KS103" s="5"/>
      <c r="KT103" s="5"/>
      <c r="KU103" s="5"/>
      <c r="KV103" s="5"/>
      <c r="KW103" s="5"/>
      <c r="KX103" s="5"/>
      <c r="KY103" s="5"/>
      <c r="KZ103" s="5"/>
      <c r="LA103" s="5"/>
      <c r="LB103" s="5"/>
      <c r="LC103" s="5"/>
      <c r="LD103" s="5"/>
      <c r="LE103" s="5"/>
      <c r="LF103" s="5"/>
      <c r="LG103" s="5"/>
      <c r="LH103" s="5"/>
      <c r="LI103" s="5"/>
      <c r="LJ103" s="5"/>
      <c r="LK103" s="5"/>
      <c r="LL103" s="5"/>
      <c r="LM103" s="5"/>
      <c r="LN103" s="5"/>
      <c r="LO103" s="5"/>
      <c r="LP103" s="5"/>
      <c r="LQ103" s="5"/>
      <c r="LR103" s="5"/>
      <c r="LS103" s="5"/>
      <c r="LT103" s="5"/>
      <c r="LU103" s="5"/>
      <c r="LV103" s="5"/>
      <c r="LW103" s="5"/>
      <c r="LX103" s="5"/>
      <c r="LY103" s="5"/>
      <c r="LZ103" s="5"/>
      <c r="MA103" s="5"/>
      <c r="MB103" s="5"/>
      <c r="MC103" s="5"/>
      <c r="MD103" s="5"/>
      <c r="ME103" s="5"/>
      <c r="MF103" s="5"/>
      <c r="MG103" s="5"/>
      <c r="MH103" s="5"/>
      <c r="MI103" s="5"/>
      <c r="MJ103" s="5"/>
      <c r="MK103" s="5"/>
      <c r="ML103" s="5"/>
      <c r="MM103" s="5"/>
      <c r="MN103" s="5"/>
      <c r="MO103" s="5"/>
      <c r="MP103" s="5"/>
      <c r="MQ103" s="5"/>
      <c r="MR103" s="5"/>
      <c r="MS103" s="5"/>
      <c r="MT103" s="5"/>
      <c r="MU103" s="5"/>
      <c r="MV103" s="5"/>
      <c r="MW103" s="5"/>
      <c r="MX103" s="5"/>
      <c r="MY103" s="5"/>
      <c r="MZ103" s="5"/>
      <c r="NA103" s="5"/>
      <c r="NB103" s="5"/>
      <c r="NC103" s="5"/>
      <c r="ND103" s="5"/>
      <c r="NE103" s="5"/>
      <c r="NF103" s="5"/>
      <c r="NG103" s="5"/>
      <c r="NH103" s="5"/>
      <c r="NI103" s="5"/>
      <c r="NJ103" s="5"/>
      <c r="NK103" s="5"/>
      <c r="NL103" s="5"/>
      <c r="NM103" s="5"/>
      <c r="NN103" s="5"/>
      <c r="NO103" s="5"/>
      <c r="NP103" s="5"/>
      <c r="NQ103" s="5"/>
      <c r="NR103" s="5"/>
      <c r="NS103" s="5"/>
      <c r="NT103" s="5"/>
      <c r="NU103" s="5"/>
      <c r="NV103" s="5"/>
      <c r="NW103" s="5"/>
      <c r="NX103" s="5"/>
      <c r="NY103" s="5"/>
      <c r="NZ103" s="5"/>
      <c r="OA103" s="5"/>
      <c r="OB103" s="5"/>
      <c r="OC103" s="5"/>
      <c r="OD103" s="5"/>
      <c r="OE103" s="5"/>
      <c r="OF103" s="5"/>
      <c r="OG103" s="5"/>
      <c r="OH103" s="5"/>
      <c r="OI103" s="5"/>
      <c r="OJ103" s="5"/>
      <c r="OK103" s="5"/>
      <c r="OL103" s="5"/>
      <c r="OM103" s="5"/>
      <c r="ON103" s="5"/>
      <c r="OO103" s="5"/>
      <c r="OP103" s="5"/>
      <c r="OQ103" s="5"/>
      <c r="OR103" s="5"/>
      <c r="OS103" s="5"/>
      <c r="OT103" s="5"/>
      <c r="OU103" s="5"/>
      <c r="OV103" s="5"/>
      <c r="OW103" s="5"/>
      <c r="OX103" s="5"/>
      <c r="OY103" s="5"/>
      <c r="OZ103" s="5"/>
      <c r="PA103" s="5"/>
      <c r="PB103" s="5"/>
      <c r="PC103" s="5"/>
      <c r="PD103" s="5"/>
      <c r="PE103" s="5"/>
      <c r="PF103" s="5"/>
      <c r="PG103" s="5"/>
      <c r="PH103" s="5"/>
      <c r="PI103" s="5"/>
      <c r="PJ103" s="5"/>
      <c r="PK103" s="5"/>
      <c r="PL103" s="5"/>
      <c r="PM103" s="5"/>
      <c r="PN103" s="5"/>
      <c r="PO103" s="5"/>
      <c r="PP103" s="5"/>
      <c r="PQ103" s="5"/>
      <c r="PR103" s="5"/>
      <c r="PS103" s="5"/>
      <c r="PT103" s="5"/>
      <c r="PU103" s="5"/>
      <c r="PV103" s="5"/>
      <c r="PW103" s="5"/>
      <c r="PX103" s="5"/>
      <c r="PY103" s="5"/>
      <c r="PZ103" s="5"/>
      <c r="QA103" s="5"/>
      <c r="QB103" s="5"/>
      <c r="QC103" s="5"/>
      <c r="QD103" s="5"/>
      <c r="QE103" s="5"/>
      <c r="QF103" s="5"/>
      <c r="QG103" s="5"/>
      <c r="QH103" s="5"/>
      <c r="QI103" s="5"/>
      <c r="QJ103" s="5"/>
      <c r="QK103" s="5"/>
      <c r="QL103" s="5"/>
      <c r="QM103" s="5"/>
      <c r="QN103" s="5"/>
      <c r="QO103" s="5"/>
      <c r="QP103" s="5"/>
      <c r="QQ103" s="5"/>
      <c r="QR103" s="5"/>
      <c r="QS103" s="5"/>
      <c r="QT103" s="5"/>
      <c r="QU103" s="5"/>
      <c r="QV103" s="5"/>
      <c r="QW103" s="5"/>
      <c r="QX103" s="5"/>
      <c r="QY103" s="5"/>
      <c r="QZ103" s="5"/>
      <c r="RA103" s="5"/>
      <c r="RB103" s="5"/>
      <c r="RC103" s="5"/>
      <c r="RD103" s="5"/>
      <c r="RE103" s="5"/>
      <c r="RF103" s="5"/>
      <c r="RG103" s="5"/>
      <c r="RH103" s="5"/>
      <c r="RI103" s="5"/>
      <c r="RJ103" s="5"/>
      <c r="RK103" s="5"/>
      <c r="RL103" s="5"/>
      <c r="RM103" s="5"/>
      <c r="RN103" s="5"/>
      <c r="RO103" s="5"/>
      <c r="RP103" s="5"/>
      <c r="RQ103" s="5"/>
      <c r="RR103" s="5"/>
      <c r="RS103" s="5"/>
      <c r="RT103" s="5"/>
      <c r="RU103" s="5"/>
      <c r="RV103" s="5"/>
      <c r="RW103" s="5"/>
      <c r="RX103" s="5"/>
      <c r="RY103" s="5"/>
      <c r="RZ103" s="5"/>
      <c r="SA103" s="5"/>
      <c r="SB103" s="5"/>
      <c r="SC103" s="5"/>
      <c r="SD103" s="5"/>
      <c r="SE103" s="5"/>
      <c r="SF103" s="5"/>
      <c r="SG103" s="5"/>
      <c r="SH103" s="5"/>
      <c r="SI103" s="5"/>
      <c r="SJ103" s="5"/>
      <c r="SK103" s="5"/>
      <c r="SL103" s="5"/>
      <c r="SM103" s="5"/>
      <c r="SN103" s="5"/>
      <c r="SO103" s="5"/>
      <c r="SP103" s="5"/>
      <c r="SQ103" s="5"/>
      <c r="SR103" s="5"/>
      <c r="SS103" s="5"/>
      <c r="ST103" s="5"/>
      <c r="SU103" s="5"/>
      <c r="SV103" s="5"/>
      <c r="SW103" s="5"/>
      <c r="SX103" s="5"/>
      <c r="SY103" s="5"/>
      <c r="SZ103" s="5"/>
      <c r="TA103" s="5"/>
      <c r="TB103" s="5"/>
      <c r="TC103" s="5"/>
      <c r="TD103" s="5"/>
      <c r="TE103" s="5"/>
      <c r="TF103" s="5"/>
      <c r="TG103" s="5"/>
      <c r="TH103" s="5"/>
      <c r="TI103" s="5"/>
      <c r="TJ103" s="5"/>
      <c r="TK103" s="5"/>
      <c r="TL103" s="5"/>
      <c r="TM103" s="5"/>
      <c r="TN103" s="5"/>
      <c r="TO103" s="5"/>
      <c r="TP103" s="5"/>
      <c r="TQ103" s="5"/>
      <c r="TR103" s="5"/>
      <c r="TS103" s="5"/>
      <c r="TT103" s="5"/>
      <c r="TU103" s="5"/>
      <c r="TV103" s="5"/>
      <c r="TW103" s="5"/>
      <c r="TX103" s="5"/>
      <c r="TY103" s="5"/>
      <c r="TZ103" s="5"/>
      <c r="UA103" s="5"/>
      <c r="UB103" s="5"/>
      <c r="UC103" s="5"/>
      <c r="UD103" s="5"/>
      <c r="UE103" s="5"/>
      <c r="UF103" s="5"/>
      <c r="UG103" s="5"/>
      <c r="UH103" s="5"/>
      <c r="UI103" s="5"/>
      <c r="UJ103" s="5"/>
      <c r="UK103" s="5"/>
      <c r="UL103" s="5"/>
      <c r="UM103" s="5"/>
      <c r="UN103" s="5"/>
      <c r="UO103" s="5"/>
      <c r="UP103" s="5"/>
      <c r="UQ103" s="5"/>
      <c r="UR103" s="5"/>
      <c r="US103" s="5"/>
      <c r="UT103" s="5"/>
      <c r="UU103" s="5"/>
      <c r="UV103" s="5"/>
      <c r="UW103" s="5"/>
      <c r="UX103" s="5"/>
      <c r="UY103" s="5"/>
      <c r="UZ103" s="5"/>
      <c r="VA103" s="5"/>
      <c r="VB103" s="5"/>
      <c r="VC103" s="5"/>
      <c r="VD103" s="5"/>
      <c r="VE103" s="5"/>
      <c r="VF103" s="5"/>
      <c r="VG103" s="5"/>
      <c r="VH103" s="5"/>
      <c r="VI103" s="5"/>
      <c r="VJ103" s="5"/>
      <c r="VK103" s="5"/>
      <c r="VL103" s="5"/>
      <c r="VM103" s="5"/>
      <c r="VN103" s="5"/>
      <c r="VO103" s="5"/>
      <c r="VP103" s="5"/>
      <c r="VQ103" s="5"/>
      <c r="VR103" s="5"/>
      <c r="VS103" s="5"/>
      <c r="VT103" s="5"/>
      <c r="VU103" s="5"/>
      <c r="VV103" s="5"/>
      <c r="VW103" s="5"/>
      <c r="VX103" s="5"/>
      <c r="VY103" s="5"/>
      <c r="VZ103" s="5"/>
      <c r="WA103" s="5"/>
      <c r="WB103" s="5"/>
      <c r="WC103" s="5"/>
      <c r="WD103" s="5"/>
      <c r="WE103" s="5"/>
      <c r="WF103" s="5"/>
      <c r="WG103" s="5"/>
      <c r="WH103" s="5"/>
      <c r="WI103" s="5"/>
      <c r="WJ103" s="5"/>
      <c r="WK103" s="5"/>
      <c r="WL103" s="5"/>
      <c r="WM103" s="5"/>
      <c r="WN103" s="5"/>
      <c r="WO103" s="5"/>
      <c r="WP103" s="5"/>
      <c r="WQ103" s="5"/>
      <c r="WR103" s="5"/>
      <c r="WS103" s="5"/>
      <c r="WT103" s="5"/>
      <c r="WU103" s="5"/>
      <c r="WV103" s="5"/>
      <c r="WW103" s="5"/>
      <c r="WX103" s="5"/>
      <c r="WY103" s="5"/>
      <c r="WZ103" s="5"/>
      <c r="XA103" s="5"/>
      <c r="XB103" s="5"/>
      <c r="XC103" s="5"/>
      <c r="XD103" s="5"/>
      <c r="XE103" s="5"/>
      <c r="XF103" s="5"/>
      <c r="XG103" s="5"/>
      <c r="XH103" s="5"/>
      <c r="XI103" s="5"/>
      <c r="XJ103" s="5"/>
      <c r="XK103" s="5"/>
      <c r="XL103" s="5"/>
      <c r="XM103" s="5"/>
      <c r="XN103" s="5"/>
      <c r="XO103" s="5"/>
      <c r="XP103" s="5"/>
      <c r="XQ103" s="5"/>
      <c r="XR103" s="5"/>
      <c r="XS103" s="5"/>
      <c r="XT103" s="5"/>
      <c r="XU103" s="5"/>
      <c r="XV103" s="5"/>
      <c r="XW103" s="5"/>
      <c r="XX103" s="5"/>
      <c r="XY103" s="5"/>
      <c r="XZ103" s="5"/>
      <c r="YA103" s="5"/>
      <c r="YB103" s="5"/>
      <c r="YC103" s="5"/>
      <c r="YD103" s="5"/>
      <c r="YE103" s="5"/>
      <c r="YF103" s="5"/>
      <c r="YG103" s="5"/>
      <c r="YH103" s="5"/>
      <c r="YI103" s="5"/>
      <c r="YJ103" s="5"/>
      <c r="YK103" s="5"/>
      <c r="YL103" s="5"/>
      <c r="YM103" s="5"/>
      <c r="YN103" s="5"/>
      <c r="YO103" s="5"/>
      <c r="YP103" s="5"/>
      <c r="YQ103" s="5"/>
      <c r="YR103" s="5"/>
      <c r="YS103" s="5"/>
      <c r="YT103" s="5"/>
      <c r="YU103" s="5"/>
      <c r="YV103" s="5"/>
      <c r="YW103" s="5"/>
      <c r="YX103" s="5"/>
      <c r="YY103" s="5"/>
      <c r="YZ103" s="5"/>
    </row>
    <row r="104" spans="1:676">
      <c r="A104" s="7">
        <v>94</v>
      </c>
      <c r="B104" s="7" t="s">
        <v>262</v>
      </c>
      <c r="C104" s="10" t="s">
        <v>263</v>
      </c>
      <c r="D104" s="7" t="s">
        <v>78</v>
      </c>
      <c r="E104" s="7" t="s">
        <v>120</v>
      </c>
      <c r="F104" s="7" t="s">
        <v>162</v>
      </c>
      <c r="G104" s="7"/>
      <c r="H104" s="7" t="s">
        <v>43</v>
      </c>
      <c r="I104" s="11">
        <v>2</v>
      </c>
      <c r="J104" s="11">
        <v>3</v>
      </c>
      <c r="K104" s="11">
        <v>0</v>
      </c>
      <c r="L104" s="11">
        <v>2.719999999999999</v>
      </c>
      <c r="M104" s="11">
        <v>0.4</v>
      </c>
      <c r="N104" s="11">
        <v>0</v>
      </c>
      <c r="O104" s="11">
        <v>0.35</v>
      </c>
      <c r="P104" s="11">
        <v>0</v>
      </c>
      <c r="Q104" s="11">
        <v>3.47</v>
      </c>
      <c r="R104" s="11">
        <v>0</v>
      </c>
      <c r="S104" s="11">
        <v>3.47</v>
      </c>
      <c r="T104" s="11">
        <v>2</v>
      </c>
      <c r="U104" s="11">
        <v>1.47</v>
      </c>
      <c r="V104" s="11">
        <v>0</v>
      </c>
      <c r="W104" s="13">
        <v>2</v>
      </c>
      <c r="X104" s="13">
        <v>3</v>
      </c>
      <c r="Y104" s="13" t="str">
        <f>MIN(W104,S104)</f>
        <v>0</v>
      </c>
      <c r="Z104" s="13" t="str">
        <f>MIN(X104,(S104-Y104))</f>
        <v>0</v>
      </c>
      <c r="AA104" s="13" t="str">
        <f>S104-SUM(Y104,Z104)</f>
        <v>0</v>
      </c>
      <c r="AB104" s="15"/>
      <c r="AC104" s="15"/>
      <c r="AD104" s="1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  <c r="IX104" s="5"/>
      <c r="IY104" s="5"/>
      <c r="IZ104" s="5"/>
      <c r="JA104" s="5"/>
      <c r="JB104" s="5"/>
      <c r="JC104" s="5"/>
      <c r="JD104" s="5"/>
      <c r="JE104" s="5"/>
      <c r="JF104" s="5"/>
      <c r="JG104" s="5"/>
      <c r="JH104" s="5"/>
      <c r="JI104" s="5"/>
      <c r="JJ104" s="5"/>
      <c r="JK104" s="5"/>
      <c r="JL104" s="5"/>
      <c r="JM104" s="5"/>
      <c r="JN104" s="5"/>
      <c r="JO104" s="5"/>
      <c r="JP104" s="5"/>
      <c r="JQ104" s="5"/>
      <c r="JR104" s="5"/>
      <c r="JS104" s="5"/>
      <c r="JT104" s="5"/>
      <c r="JU104" s="5"/>
      <c r="JV104" s="5"/>
      <c r="JW104" s="5"/>
      <c r="JX104" s="5"/>
      <c r="JY104" s="5"/>
      <c r="JZ104" s="5"/>
      <c r="KA104" s="5"/>
      <c r="KB104" s="5"/>
      <c r="KC104" s="5"/>
      <c r="KD104" s="5"/>
      <c r="KE104" s="5"/>
      <c r="KF104" s="5"/>
      <c r="KG104" s="5"/>
      <c r="KH104" s="5"/>
      <c r="KI104" s="5"/>
      <c r="KJ104" s="5"/>
      <c r="KK104" s="5"/>
      <c r="KL104" s="5"/>
      <c r="KM104" s="5"/>
      <c r="KN104" s="5"/>
      <c r="KO104" s="5"/>
      <c r="KP104" s="5"/>
      <c r="KQ104" s="5"/>
      <c r="KR104" s="5"/>
      <c r="KS104" s="5"/>
      <c r="KT104" s="5"/>
      <c r="KU104" s="5"/>
      <c r="KV104" s="5"/>
      <c r="KW104" s="5"/>
      <c r="KX104" s="5"/>
      <c r="KY104" s="5"/>
      <c r="KZ104" s="5"/>
      <c r="LA104" s="5"/>
      <c r="LB104" s="5"/>
      <c r="LC104" s="5"/>
      <c r="LD104" s="5"/>
      <c r="LE104" s="5"/>
      <c r="LF104" s="5"/>
      <c r="LG104" s="5"/>
      <c r="LH104" s="5"/>
      <c r="LI104" s="5"/>
      <c r="LJ104" s="5"/>
      <c r="LK104" s="5"/>
      <c r="LL104" s="5"/>
      <c r="LM104" s="5"/>
      <c r="LN104" s="5"/>
      <c r="LO104" s="5"/>
      <c r="LP104" s="5"/>
      <c r="LQ104" s="5"/>
      <c r="LR104" s="5"/>
      <c r="LS104" s="5"/>
      <c r="LT104" s="5"/>
      <c r="LU104" s="5"/>
      <c r="LV104" s="5"/>
      <c r="LW104" s="5"/>
      <c r="LX104" s="5"/>
      <c r="LY104" s="5"/>
      <c r="LZ104" s="5"/>
      <c r="MA104" s="5"/>
      <c r="MB104" s="5"/>
      <c r="MC104" s="5"/>
      <c r="MD104" s="5"/>
      <c r="ME104" s="5"/>
      <c r="MF104" s="5"/>
      <c r="MG104" s="5"/>
      <c r="MH104" s="5"/>
      <c r="MI104" s="5"/>
      <c r="MJ104" s="5"/>
      <c r="MK104" s="5"/>
      <c r="ML104" s="5"/>
      <c r="MM104" s="5"/>
      <c r="MN104" s="5"/>
      <c r="MO104" s="5"/>
      <c r="MP104" s="5"/>
      <c r="MQ104" s="5"/>
      <c r="MR104" s="5"/>
      <c r="MS104" s="5"/>
      <c r="MT104" s="5"/>
      <c r="MU104" s="5"/>
      <c r="MV104" s="5"/>
      <c r="MW104" s="5"/>
      <c r="MX104" s="5"/>
      <c r="MY104" s="5"/>
      <c r="MZ104" s="5"/>
      <c r="NA104" s="5"/>
      <c r="NB104" s="5"/>
      <c r="NC104" s="5"/>
      <c r="ND104" s="5"/>
      <c r="NE104" s="5"/>
      <c r="NF104" s="5"/>
      <c r="NG104" s="5"/>
      <c r="NH104" s="5"/>
      <c r="NI104" s="5"/>
      <c r="NJ104" s="5"/>
      <c r="NK104" s="5"/>
      <c r="NL104" s="5"/>
      <c r="NM104" s="5"/>
      <c r="NN104" s="5"/>
      <c r="NO104" s="5"/>
      <c r="NP104" s="5"/>
      <c r="NQ104" s="5"/>
      <c r="NR104" s="5"/>
      <c r="NS104" s="5"/>
      <c r="NT104" s="5"/>
      <c r="NU104" s="5"/>
      <c r="NV104" s="5"/>
      <c r="NW104" s="5"/>
      <c r="NX104" s="5"/>
      <c r="NY104" s="5"/>
      <c r="NZ104" s="5"/>
      <c r="OA104" s="5"/>
      <c r="OB104" s="5"/>
      <c r="OC104" s="5"/>
      <c r="OD104" s="5"/>
      <c r="OE104" s="5"/>
      <c r="OF104" s="5"/>
      <c r="OG104" s="5"/>
      <c r="OH104" s="5"/>
      <c r="OI104" s="5"/>
      <c r="OJ104" s="5"/>
      <c r="OK104" s="5"/>
      <c r="OL104" s="5"/>
      <c r="OM104" s="5"/>
      <c r="ON104" s="5"/>
      <c r="OO104" s="5"/>
      <c r="OP104" s="5"/>
      <c r="OQ104" s="5"/>
      <c r="OR104" s="5"/>
      <c r="OS104" s="5"/>
      <c r="OT104" s="5"/>
      <c r="OU104" s="5"/>
      <c r="OV104" s="5"/>
      <c r="OW104" s="5"/>
      <c r="OX104" s="5"/>
      <c r="OY104" s="5"/>
      <c r="OZ104" s="5"/>
      <c r="PA104" s="5"/>
      <c r="PB104" s="5"/>
      <c r="PC104" s="5"/>
      <c r="PD104" s="5"/>
      <c r="PE104" s="5"/>
      <c r="PF104" s="5"/>
      <c r="PG104" s="5"/>
      <c r="PH104" s="5"/>
      <c r="PI104" s="5"/>
      <c r="PJ104" s="5"/>
      <c r="PK104" s="5"/>
      <c r="PL104" s="5"/>
      <c r="PM104" s="5"/>
      <c r="PN104" s="5"/>
      <c r="PO104" s="5"/>
      <c r="PP104" s="5"/>
      <c r="PQ104" s="5"/>
      <c r="PR104" s="5"/>
      <c r="PS104" s="5"/>
      <c r="PT104" s="5"/>
      <c r="PU104" s="5"/>
      <c r="PV104" s="5"/>
      <c r="PW104" s="5"/>
      <c r="PX104" s="5"/>
      <c r="PY104" s="5"/>
      <c r="PZ104" s="5"/>
      <c r="QA104" s="5"/>
      <c r="QB104" s="5"/>
      <c r="QC104" s="5"/>
      <c r="QD104" s="5"/>
      <c r="QE104" s="5"/>
      <c r="QF104" s="5"/>
      <c r="QG104" s="5"/>
      <c r="QH104" s="5"/>
      <c r="QI104" s="5"/>
      <c r="QJ104" s="5"/>
      <c r="QK104" s="5"/>
      <c r="QL104" s="5"/>
      <c r="QM104" s="5"/>
      <c r="QN104" s="5"/>
      <c r="QO104" s="5"/>
      <c r="QP104" s="5"/>
      <c r="QQ104" s="5"/>
      <c r="QR104" s="5"/>
      <c r="QS104" s="5"/>
      <c r="QT104" s="5"/>
      <c r="QU104" s="5"/>
      <c r="QV104" s="5"/>
      <c r="QW104" s="5"/>
      <c r="QX104" s="5"/>
      <c r="QY104" s="5"/>
      <c r="QZ104" s="5"/>
      <c r="RA104" s="5"/>
      <c r="RB104" s="5"/>
      <c r="RC104" s="5"/>
      <c r="RD104" s="5"/>
      <c r="RE104" s="5"/>
      <c r="RF104" s="5"/>
      <c r="RG104" s="5"/>
      <c r="RH104" s="5"/>
      <c r="RI104" s="5"/>
      <c r="RJ104" s="5"/>
      <c r="RK104" s="5"/>
      <c r="RL104" s="5"/>
      <c r="RM104" s="5"/>
      <c r="RN104" s="5"/>
      <c r="RO104" s="5"/>
      <c r="RP104" s="5"/>
      <c r="RQ104" s="5"/>
      <c r="RR104" s="5"/>
      <c r="RS104" s="5"/>
      <c r="RT104" s="5"/>
      <c r="RU104" s="5"/>
      <c r="RV104" s="5"/>
      <c r="RW104" s="5"/>
      <c r="RX104" s="5"/>
      <c r="RY104" s="5"/>
      <c r="RZ104" s="5"/>
      <c r="SA104" s="5"/>
      <c r="SB104" s="5"/>
      <c r="SC104" s="5"/>
      <c r="SD104" s="5"/>
      <c r="SE104" s="5"/>
      <c r="SF104" s="5"/>
      <c r="SG104" s="5"/>
      <c r="SH104" s="5"/>
      <c r="SI104" s="5"/>
      <c r="SJ104" s="5"/>
      <c r="SK104" s="5"/>
      <c r="SL104" s="5"/>
      <c r="SM104" s="5"/>
      <c r="SN104" s="5"/>
      <c r="SO104" s="5"/>
      <c r="SP104" s="5"/>
      <c r="SQ104" s="5"/>
      <c r="SR104" s="5"/>
      <c r="SS104" s="5"/>
      <c r="ST104" s="5"/>
      <c r="SU104" s="5"/>
      <c r="SV104" s="5"/>
      <c r="SW104" s="5"/>
      <c r="SX104" s="5"/>
      <c r="SY104" s="5"/>
      <c r="SZ104" s="5"/>
      <c r="TA104" s="5"/>
      <c r="TB104" s="5"/>
      <c r="TC104" s="5"/>
      <c r="TD104" s="5"/>
      <c r="TE104" s="5"/>
      <c r="TF104" s="5"/>
      <c r="TG104" s="5"/>
      <c r="TH104" s="5"/>
      <c r="TI104" s="5"/>
      <c r="TJ104" s="5"/>
      <c r="TK104" s="5"/>
      <c r="TL104" s="5"/>
      <c r="TM104" s="5"/>
      <c r="TN104" s="5"/>
      <c r="TO104" s="5"/>
      <c r="TP104" s="5"/>
      <c r="TQ104" s="5"/>
      <c r="TR104" s="5"/>
      <c r="TS104" s="5"/>
      <c r="TT104" s="5"/>
      <c r="TU104" s="5"/>
      <c r="TV104" s="5"/>
      <c r="TW104" s="5"/>
      <c r="TX104" s="5"/>
      <c r="TY104" s="5"/>
      <c r="TZ104" s="5"/>
      <c r="UA104" s="5"/>
      <c r="UB104" s="5"/>
      <c r="UC104" s="5"/>
      <c r="UD104" s="5"/>
      <c r="UE104" s="5"/>
      <c r="UF104" s="5"/>
      <c r="UG104" s="5"/>
      <c r="UH104" s="5"/>
      <c r="UI104" s="5"/>
      <c r="UJ104" s="5"/>
      <c r="UK104" s="5"/>
      <c r="UL104" s="5"/>
      <c r="UM104" s="5"/>
      <c r="UN104" s="5"/>
      <c r="UO104" s="5"/>
      <c r="UP104" s="5"/>
      <c r="UQ104" s="5"/>
      <c r="UR104" s="5"/>
      <c r="US104" s="5"/>
      <c r="UT104" s="5"/>
      <c r="UU104" s="5"/>
      <c r="UV104" s="5"/>
      <c r="UW104" s="5"/>
      <c r="UX104" s="5"/>
      <c r="UY104" s="5"/>
      <c r="UZ104" s="5"/>
      <c r="VA104" s="5"/>
      <c r="VB104" s="5"/>
      <c r="VC104" s="5"/>
      <c r="VD104" s="5"/>
      <c r="VE104" s="5"/>
      <c r="VF104" s="5"/>
      <c r="VG104" s="5"/>
      <c r="VH104" s="5"/>
      <c r="VI104" s="5"/>
      <c r="VJ104" s="5"/>
      <c r="VK104" s="5"/>
      <c r="VL104" s="5"/>
      <c r="VM104" s="5"/>
      <c r="VN104" s="5"/>
      <c r="VO104" s="5"/>
      <c r="VP104" s="5"/>
      <c r="VQ104" s="5"/>
      <c r="VR104" s="5"/>
      <c r="VS104" s="5"/>
      <c r="VT104" s="5"/>
      <c r="VU104" s="5"/>
      <c r="VV104" s="5"/>
      <c r="VW104" s="5"/>
      <c r="VX104" s="5"/>
      <c r="VY104" s="5"/>
      <c r="VZ104" s="5"/>
      <c r="WA104" s="5"/>
      <c r="WB104" s="5"/>
      <c r="WC104" s="5"/>
      <c r="WD104" s="5"/>
      <c r="WE104" s="5"/>
      <c r="WF104" s="5"/>
      <c r="WG104" s="5"/>
      <c r="WH104" s="5"/>
      <c r="WI104" s="5"/>
      <c r="WJ104" s="5"/>
      <c r="WK104" s="5"/>
      <c r="WL104" s="5"/>
      <c r="WM104" s="5"/>
      <c r="WN104" s="5"/>
      <c r="WO104" s="5"/>
      <c r="WP104" s="5"/>
      <c r="WQ104" s="5"/>
      <c r="WR104" s="5"/>
      <c r="WS104" s="5"/>
      <c r="WT104" s="5"/>
      <c r="WU104" s="5"/>
      <c r="WV104" s="5"/>
      <c r="WW104" s="5"/>
      <c r="WX104" s="5"/>
      <c r="WY104" s="5"/>
      <c r="WZ104" s="5"/>
      <c r="XA104" s="5"/>
      <c r="XB104" s="5"/>
      <c r="XC104" s="5"/>
      <c r="XD104" s="5"/>
      <c r="XE104" s="5"/>
      <c r="XF104" s="5"/>
      <c r="XG104" s="5"/>
      <c r="XH104" s="5"/>
      <c r="XI104" s="5"/>
      <c r="XJ104" s="5"/>
      <c r="XK104" s="5"/>
      <c r="XL104" s="5"/>
      <c r="XM104" s="5"/>
      <c r="XN104" s="5"/>
      <c r="XO104" s="5"/>
      <c r="XP104" s="5"/>
      <c r="XQ104" s="5"/>
      <c r="XR104" s="5"/>
      <c r="XS104" s="5"/>
      <c r="XT104" s="5"/>
      <c r="XU104" s="5"/>
      <c r="XV104" s="5"/>
      <c r="XW104" s="5"/>
      <c r="XX104" s="5"/>
      <c r="XY104" s="5"/>
      <c r="XZ104" s="5"/>
      <c r="YA104" s="5"/>
      <c r="YB104" s="5"/>
      <c r="YC104" s="5"/>
      <c r="YD104" s="5"/>
      <c r="YE104" s="5"/>
      <c r="YF104" s="5"/>
      <c r="YG104" s="5"/>
      <c r="YH104" s="5"/>
      <c r="YI104" s="5"/>
      <c r="YJ104" s="5"/>
      <c r="YK104" s="5"/>
      <c r="YL104" s="5"/>
      <c r="YM104" s="5"/>
      <c r="YN104" s="5"/>
      <c r="YO104" s="5"/>
      <c r="YP104" s="5"/>
      <c r="YQ104" s="5"/>
      <c r="YR104" s="5"/>
      <c r="YS104" s="5"/>
      <c r="YT104" s="5"/>
      <c r="YU104" s="5"/>
      <c r="YV104" s="5"/>
      <c r="YW104" s="5"/>
      <c r="YX104" s="5"/>
      <c r="YY104" s="5"/>
      <c r="YZ104" s="5"/>
    </row>
    <row r="105" spans="1:676">
      <c r="A105" s="7">
        <v>95</v>
      </c>
      <c r="B105" s="7" t="s">
        <v>264</v>
      </c>
      <c r="C105" s="10" t="s">
        <v>265</v>
      </c>
      <c r="D105" s="7" t="s">
        <v>50</v>
      </c>
      <c r="E105" s="7" t="s">
        <v>120</v>
      </c>
      <c r="F105" s="7" t="s">
        <v>162</v>
      </c>
      <c r="G105" s="7"/>
      <c r="H105" s="7" t="s">
        <v>43</v>
      </c>
      <c r="I105" s="11">
        <v>2</v>
      </c>
      <c r="J105" s="11">
        <v>3</v>
      </c>
      <c r="K105" s="11">
        <v>0</v>
      </c>
      <c r="L105" s="11">
        <v>0.29</v>
      </c>
      <c r="M105" s="11">
        <v>0</v>
      </c>
      <c r="N105" s="11">
        <v>0</v>
      </c>
      <c r="O105" s="11">
        <v>0</v>
      </c>
      <c r="P105" s="11">
        <v>0</v>
      </c>
      <c r="Q105" s="11">
        <v>0.29</v>
      </c>
      <c r="R105" s="11">
        <v>0</v>
      </c>
      <c r="S105" s="11">
        <v>0.29</v>
      </c>
      <c r="T105" s="11">
        <v>0.29</v>
      </c>
      <c r="U105" s="11">
        <v>0</v>
      </c>
      <c r="V105" s="11">
        <v>0</v>
      </c>
      <c r="W105" s="13">
        <v>2</v>
      </c>
      <c r="X105" s="13">
        <v>3</v>
      </c>
      <c r="Y105" s="13" t="str">
        <f>MIN(W105,S105)</f>
        <v>0</v>
      </c>
      <c r="Z105" s="13" t="str">
        <f>MIN(X105,(S105-Y105))</f>
        <v>0</v>
      </c>
      <c r="AA105" s="13" t="str">
        <f>S105-SUM(Y105,Z105)</f>
        <v>0</v>
      </c>
      <c r="AB105" s="15"/>
      <c r="AC105" s="15"/>
      <c r="AD105" s="1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  <c r="IX105" s="5"/>
      <c r="IY105" s="5"/>
      <c r="IZ105" s="5"/>
      <c r="JA105" s="5"/>
      <c r="JB105" s="5"/>
      <c r="JC105" s="5"/>
      <c r="JD105" s="5"/>
      <c r="JE105" s="5"/>
      <c r="JF105" s="5"/>
      <c r="JG105" s="5"/>
      <c r="JH105" s="5"/>
      <c r="JI105" s="5"/>
      <c r="JJ105" s="5"/>
      <c r="JK105" s="5"/>
      <c r="JL105" s="5"/>
      <c r="JM105" s="5"/>
      <c r="JN105" s="5"/>
      <c r="JO105" s="5"/>
      <c r="JP105" s="5"/>
      <c r="JQ105" s="5"/>
      <c r="JR105" s="5"/>
      <c r="JS105" s="5"/>
      <c r="JT105" s="5"/>
      <c r="JU105" s="5"/>
      <c r="JV105" s="5"/>
      <c r="JW105" s="5"/>
      <c r="JX105" s="5"/>
      <c r="JY105" s="5"/>
      <c r="JZ105" s="5"/>
      <c r="KA105" s="5"/>
      <c r="KB105" s="5"/>
      <c r="KC105" s="5"/>
      <c r="KD105" s="5"/>
      <c r="KE105" s="5"/>
      <c r="KF105" s="5"/>
      <c r="KG105" s="5"/>
      <c r="KH105" s="5"/>
      <c r="KI105" s="5"/>
      <c r="KJ105" s="5"/>
      <c r="KK105" s="5"/>
      <c r="KL105" s="5"/>
      <c r="KM105" s="5"/>
      <c r="KN105" s="5"/>
      <c r="KO105" s="5"/>
      <c r="KP105" s="5"/>
      <c r="KQ105" s="5"/>
      <c r="KR105" s="5"/>
      <c r="KS105" s="5"/>
      <c r="KT105" s="5"/>
      <c r="KU105" s="5"/>
      <c r="KV105" s="5"/>
      <c r="KW105" s="5"/>
      <c r="KX105" s="5"/>
      <c r="KY105" s="5"/>
      <c r="KZ105" s="5"/>
      <c r="LA105" s="5"/>
      <c r="LB105" s="5"/>
      <c r="LC105" s="5"/>
      <c r="LD105" s="5"/>
      <c r="LE105" s="5"/>
      <c r="LF105" s="5"/>
      <c r="LG105" s="5"/>
      <c r="LH105" s="5"/>
      <c r="LI105" s="5"/>
      <c r="LJ105" s="5"/>
      <c r="LK105" s="5"/>
      <c r="LL105" s="5"/>
      <c r="LM105" s="5"/>
      <c r="LN105" s="5"/>
      <c r="LO105" s="5"/>
      <c r="LP105" s="5"/>
      <c r="LQ105" s="5"/>
      <c r="LR105" s="5"/>
      <c r="LS105" s="5"/>
      <c r="LT105" s="5"/>
      <c r="LU105" s="5"/>
      <c r="LV105" s="5"/>
      <c r="LW105" s="5"/>
      <c r="LX105" s="5"/>
      <c r="LY105" s="5"/>
      <c r="LZ105" s="5"/>
      <c r="MA105" s="5"/>
      <c r="MB105" s="5"/>
      <c r="MC105" s="5"/>
      <c r="MD105" s="5"/>
      <c r="ME105" s="5"/>
      <c r="MF105" s="5"/>
      <c r="MG105" s="5"/>
      <c r="MH105" s="5"/>
      <c r="MI105" s="5"/>
      <c r="MJ105" s="5"/>
      <c r="MK105" s="5"/>
      <c r="ML105" s="5"/>
      <c r="MM105" s="5"/>
      <c r="MN105" s="5"/>
      <c r="MO105" s="5"/>
      <c r="MP105" s="5"/>
      <c r="MQ105" s="5"/>
      <c r="MR105" s="5"/>
      <c r="MS105" s="5"/>
      <c r="MT105" s="5"/>
      <c r="MU105" s="5"/>
      <c r="MV105" s="5"/>
      <c r="MW105" s="5"/>
      <c r="MX105" s="5"/>
      <c r="MY105" s="5"/>
      <c r="MZ105" s="5"/>
      <c r="NA105" s="5"/>
      <c r="NB105" s="5"/>
      <c r="NC105" s="5"/>
      <c r="ND105" s="5"/>
      <c r="NE105" s="5"/>
      <c r="NF105" s="5"/>
      <c r="NG105" s="5"/>
      <c r="NH105" s="5"/>
      <c r="NI105" s="5"/>
      <c r="NJ105" s="5"/>
      <c r="NK105" s="5"/>
      <c r="NL105" s="5"/>
      <c r="NM105" s="5"/>
      <c r="NN105" s="5"/>
      <c r="NO105" s="5"/>
      <c r="NP105" s="5"/>
      <c r="NQ105" s="5"/>
      <c r="NR105" s="5"/>
      <c r="NS105" s="5"/>
      <c r="NT105" s="5"/>
      <c r="NU105" s="5"/>
      <c r="NV105" s="5"/>
      <c r="NW105" s="5"/>
      <c r="NX105" s="5"/>
      <c r="NY105" s="5"/>
      <c r="NZ105" s="5"/>
      <c r="OA105" s="5"/>
      <c r="OB105" s="5"/>
      <c r="OC105" s="5"/>
      <c r="OD105" s="5"/>
      <c r="OE105" s="5"/>
      <c r="OF105" s="5"/>
      <c r="OG105" s="5"/>
      <c r="OH105" s="5"/>
      <c r="OI105" s="5"/>
      <c r="OJ105" s="5"/>
      <c r="OK105" s="5"/>
      <c r="OL105" s="5"/>
      <c r="OM105" s="5"/>
      <c r="ON105" s="5"/>
      <c r="OO105" s="5"/>
      <c r="OP105" s="5"/>
      <c r="OQ105" s="5"/>
      <c r="OR105" s="5"/>
      <c r="OS105" s="5"/>
      <c r="OT105" s="5"/>
      <c r="OU105" s="5"/>
      <c r="OV105" s="5"/>
      <c r="OW105" s="5"/>
      <c r="OX105" s="5"/>
      <c r="OY105" s="5"/>
      <c r="OZ105" s="5"/>
      <c r="PA105" s="5"/>
      <c r="PB105" s="5"/>
      <c r="PC105" s="5"/>
      <c r="PD105" s="5"/>
      <c r="PE105" s="5"/>
      <c r="PF105" s="5"/>
      <c r="PG105" s="5"/>
      <c r="PH105" s="5"/>
      <c r="PI105" s="5"/>
      <c r="PJ105" s="5"/>
      <c r="PK105" s="5"/>
      <c r="PL105" s="5"/>
      <c r="PM105" s="5"/>
      <c r="PN105" s="5"/>
      <c r="PO105" s="5"/>
      <c r="PP105" s="5"/>
      <c r="PQ105" s="5"/>
      <c r="PR105" s="5"/>
      <c r="PS105" s="5"/>
      <c r="PT105" s="5"/>
      <c r="PU105" s="5"/>
      <c r="PV105" s="5"/>
      <c r="PW105" s="5"/>
      <c r="PX105" s="5"/>
      <c r="PY105" s="5"/>
      <c r="PZ105" s="5"/>
      <c r="QA105" s="5"/>
      <c r="QB105" s="5"/>
      <c r="QC105" s="5"/>
      <c r="QD105" s="5"/>
      <c r="QE105" s="5"/>
      <c r="QF105" s="5"/>
      <c r="QG105" s="5"/>
      <c r="QH105" s="5"/>
      <c r="QI105" s="5"/>
      <c r="QJ105" s="5"/>
      <c r="QK105" s="5"/>
      <c r="QL105" s="5"/>
      <c r="QM105" s="5"/>
      <c r="QN105" s="5"/>
      <c r="QO105" s="5"/>
      <c r="QP105" s="5"/>
      <c r="QQ105" s="5"/>
      <c r="QR105" s="5"/>
      <c r="QS105" s="5"/>
      <c r="QT105" s="5"/>
      <c r="QU105" s="5"/>
      <c r="QV105" s="5"/>
      <c r="QW105" s="5"/>
      <c r="QX105" s="5"/>
      <c r="QY105" s="5"/>
      <c r="QZ105" s="5"/>
      <c r="RA105" s="5"/>
      <c r="RB105" s="5"/>
      <c r="RC105" s="5"/>
      <c r="RD105" s="5"/>
      <c r="RE105" s="5"/>
      <c r="RF105" s="5"/>
      <c r="RG105" s="5"/>
      <c r="RH105" s="5"/>
      <c r="RI105" s="5"/>
      <c r="RJ105" s="5"/>
      <c r="RK105" s="5"/>
      <c r="RL105" s="5"/>
      <c r="RM105" s="5"/>
      <c r="RN105" s="5"/>
      <c r="RO105" s="5"/>
      <c r="RP105" s="5"/>
      <c r="RQ105" s="5"/>
      <c r="RR105" s="5"/>
      <c r="RS105" s="5"/>
      <c r="RT105" s="5"/>
      <c r="RU105" s="5"/>
      <c r="RV105" s="5"/>
      <c r="RW105" s="5"/>
      <c r="RX105" s="5"/>
      <c r="RY105" s="5"/>
      <c r="RZ105" s="5"/>
      <c r="SA105" s="5"/>
      <c r="SB105" s="5"/>
      <c r="SC105" s="5"/>
      <c r="SD105" s="5"/>
      <c r="SE105" s="5"/>
      <c r="SF105" s="5"/>
      <c r="SG105" s="5"/>
      <c r="SH105" s="5"/>
      <c r="SI105" s="5"/>
      <c r="SJ105" s="5"/>
      <c r="SK105" s="5"/>
      <c r="SL105" s="5"/>
      <c r="SM105" s="5"/>
      <c r="SN105" s="5"/>
      <c r="SO105" s="5"/>
      <c r="SP105" s="5"/>
      <c r="SQ105" s="5"/>
      <c r="SR105" s="5"/>
      <c r="SS105" s="5"/>
      <c r="ST105" s="5"/>
      <c r="SU105" s="5"/>
      <c r="SV105" s="5"/>
      <c r="SW105" s="5"/>
      <c r="SX105" s="5"/>
      <c r="SY105" s="5"/>
      <c r="SZ105" s="5"/>
      <c r="TA105" s="5"/>
      <c r="TB105" s="5"/>
      <c r="TC105" s="5"/>
      <c r="TD105" s="5"/>
      <c r="TE105" s="5"/>
      <c r="TF105" s="5"/>
      <c r="TG105" s="5"/>
      <c r="TH105" s="5"/>
      <c r="TI105" s="5"/>
      <c r="TJ105" s="5"/>
      <c r="TK105" s="5"/>
      <c r="TL105" s="5"/>
      <c r="TM105" s="5"/>
      <c r="TN105" s="5"/>
      <c r="TO105" s="5"/>
      <c r="TP105" s="5"/>
      <c r="TQ105" s="5"/>
      <c r="TR105" s="5"/>
      <c r="TS105" s="5"/>
      <c r="TT105" s="5"/>
      <c r="TU105" s="5"/>
      <c r="TV105" s="5"/>
      <c r="TW105" s="5"/>
      <c r="TX105" s="5"/>
      <c r="TY105" s="5"/>
      <c r="TZ105" s="5"/>
      <c r="UA105" s="5"/>
      <c r="UB105" s="5"/>
      <c r="UC105" s="5"/>
      <c r="UD105" s="5"/>
      <c r="UE105" s="5"/>
      <c r="UF105" s="5"/>
      <c r="UG105" s="5"/>
      <c r="UH105" s="5"/>
      <c r="UI105" s="5"/>
      <c r="UJ105" s="5"/>
      <c r="UK105" s="5"/>
      <c r="UL105" s="5"/>
      <c r="UM105" s="5"/>
      <c r="UN105" s="5"/>
      <c r="UO105" s="5"/>
      <c r="UP105" s="5"/>
      <c r="UQ105" s="5"/>
      <c r="UR105" s="5"/>
      <c r="US105" s="5"/>
      <c r="UT105" s="5"/>
      <c r="UU105" s="5"/>
      <c r="UV105" s="5"/>
      <c r="UW105" s="5"/>
      <c r="UX105" s="5"/>
      <c r="UY105" s="5"/>
      <c r="UZ105" s="5"/>
      <c r="VA105" s="5"/>
      <c r="VB105" s="5"/>
      <c r="VC105" s="5"/>
      <c r="VD105" s="5"/>
      <c r="VE105" s="5"/>
      <c r="VF105" s="5"/>
      <c r="VG105" s="5"/>
      <c r="VH105" s="5"/>
      <c r="VI105" s="5"/>
      <c r="VJ105" s="5"/>
      <c r="VK105" s="5"/>
      <c r="VL105" s="5"/>
      <c r="VM105" s="5"/>
      <c r="VN105" s="5"/>
      <c r="VO105" s="5"/>
      <c r="VP105" s="5"/>
      <c r="VQ105" s="5"/>
      <c r="VR105" s="5"/>
      <c r="VS105" s="5"/>
      <c r="VT105" s="5"/>
      <c r="VU105" s="5"/>
      <c r="VV105" s="5"/>
      <c r="VW105" s="5"/>
      <c r="VX105" s="5"/>
      <c r="VY105" s="5"/>
      <c r="VZ105" s="5"/>
      <c r="WA105" s="5"/>
      <c r="WB105" s="5"/>
      <c r="WC105" s="5"/>
      <c r="WD105" s="5"/>
      <c r="WE105" s="5"/>
      <c r="WF105" s="5"/>
      <c r="WG105" s="5"/>
      <c r="WH105" s="5"/>
      <c r="WI105" s="5"/>
      <c r="WJ105" s="5"/>
      <c r="WK105" s="5"/>
      <c r="WL105" s="5"/>
      <c r="WM105" s="5"/>
      <c r="WN105" s="5"/>
      <c r="WO105" s="5"/>
      <c r="WP105" s="5"/>
      <c r="WQ105" s="5"/>
      <c r="WR105" s="5"/>
      <c r="WS105" s="5"/>
      <c r="WT105" s="5"/>
      <c r="WU105" s="5"/>
      <c r="WV105" s="5"/>
      <c r="WW105" s="5"/>
      <c r="WX105" s="5"/>
      <c r="WY105" s="5"/>
      <c r="WZ105" s="5"/>
      <c r="XA105" s="5"/>
      <c r="XB105" s="5"/>
      <c r="XC105" s="5"/>
      <c r="XD105" s="5"/>
      <c r="XE105" s="5"/>
      <c r="XF105" s="5"/>
      <c r="XG105" s="5"/>
      <c r="XH105" s="5"/>
      <c r="XI105" s="5"/>
      <c r="XJ105" s="5"/>
      <c r="XK105" s="5"/>
      <c r="XL105" s="5"/>
      <c r="XM105" s="5"/>
      <c r="XN105" s="5"/>
      <c r="XO105" s="5"/>
      <c r="XP105" s="5"/>
      <c r="XQ105" s="5"/>
      <c r="XR105" s="5"/>
      <c r="XS105" s="5"/>
      <c r="XT105" s="5"/>
      <c r="XU105" s="5"/>
      <c r="XV105" s="5"/>
      <c r="XW105" s="5"/>
      <c r="XX105" s="5"/>
      <c r="XY105" s="5"/>
      <c r="XZ105" s="5"/>
      <c r="YA105" s="5"/>
      <c r="YB105" s="5"/>
      <c r="YC105" s="5"/>
      <c r="YD105" s="5"/>
      <c r="YE105" s="5"/>
      <c r="YF105" s="5"/>
      <c r="YG105" s="5"/>
      <c r="YH105" s="5"/>
      <c r="YI105" s="5"/>
      <c r="YJ105" s="5"/>
      <c r="YK105" s="5"/>
      <c r="YL105" s="5"/>
      <c r="YM105" s="5"/>
      <c r="YN105" s="5"/>
      <c r="YO105" s="5"/>
      <c r="YP105" s="5"/>
      <c r="YQ105" s="5"/>
      <c r="YR105" s="5"/>
      <c r="YS105" s="5"/>
      <c r="YT105" s="5"/>
      <c r="YU105" s="5"/>
      <c r="YV105" s="5"/>
      <c r="YW105" s="5"/>
      <c r="YX105" s="5"/>
      <c r="YY105" s="5"/>
      <c r="YZ105" s="5"/>
    </row>
    <row r="106" spans="1:676">
      <c r="A106" s="7">
        <v>96</v>
      </c>
      <c r="B106" s="7" t="s">
        <v>266</v>
      </c>
      <c r="C106" s="10" t="s">
        <v>267</v>
      </c>
      <c r="D106" s="7" t="s">
        <v>78</v>
      </c>
      <c r="E106" s="7" t="s">
        <v>178</v>
      </c>
      <c r="F106" s="7" t="s">
        <v>162</v>
      </c>
      <c r="G106" s="7"/>
      <c r="H106" s="7" t="s">
        <v>43</v>
      </c>
      <c r="I106" s="11">
        <v>2</v>
      </c>
      <c r="J106" s="11">
        <v>3</v>
      </c>
      <c r="K106" s="11">
        <v>0</v>
      </c>
      <c r="L106" s="11">
        <v>2.080000000000001</v>
      </c>
      <c r="M106" s="11">
        <v>0.4</v>
      </c>
      <c r="N106" s="11">
        <v>0</v>
      </c>
      <c r="O106" s="11">
        <v>0.18</v>
      </c>
      <c r="P106" s="11">
        <v>0.83</v>
      </c>
      <c r="Q106" s="11">
        <v>3.490000000000001</v>
      </c>
      <c r="R106" s="11">
        <v>0</v>
      </c>
      <c r="S106" s="11">
        <v>3.490000000000001</v>
      </c>
      <c r="T106" s="11">
        <v>2</v>
      </c>
      <c r="U106" s="11">
        <v>1.490000000000001</v>
      </c>
      <c r="V106" s="11">
        <v>0</v>
      </c>
      <c r="W106" s="13">
        <v>2</v>
      </c>
      <c r="X106" s="13">
        <v>3</v>
      </c>
      <c r="Y106" s="13" t="str">
        <f>MIN(W106,S106)</f>
        <v>0</v>
      </c>
      <c r="Z106" s="13" t="str">
        <f>MIN(X106,(S106-Y106))</f>
        <v>0</v>
      </c>
      <c r="AA106" s="13" t="str">
        <f>S106-SUM(Y106,Z106)</f>
        <v>0</v>
      </c>
      <c r="AB106" s="15"/>
      <c r="AC106" s="15"/>
      <c r="AD106" s="1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  <c r="IW106" s="5"/>
      <c r="IX106" s="5"/>
      <c r="IY106" s="5"/>
      <c r="IZ106" s="5"/>
      <c r="JA106" s="5"/>
      <c r="JB106" s="5"/>
      <c r="JC106" s="5"/>
      <c r="JD106" s="5"/>
      <c r="JE106" s="5"/>
      <c r="JF106" s="5"/>
      <c r="JG106" s="5"/>
      <c r="JH106" s="5"/>
      <c r="JI106" s="5"/>
      <c r="JJ106" s="5"/>
      <c r="JK106" s="5"/>
      <c r="JL106" s="5"/>
      <c r="JM106" s="5"/>
      <c r="JN106" s="5"/>
      <c r="JO106" s="5"/>
      <c r="JP106" s="5"/>
      <c r="JQ106" s="5"/>
      <c r="JR106" s="5"/>
      <c r="JS106" s="5"/>
      <c r="JT106" s="5"/>
      <c r="JU106" s="5"/>
      <c r="JV106" s="5"/>
      <c r="JW106" s="5"/>
      <c r="JX106" s="5"/>
      <c r="JY106" s="5"/>
      <c r="JZ106" s="5"/>
      <c r="KA106" s="5"/>
      <c r="KB106" s="5"/>
      <c r="KC106" s="5"/>
      <c r="KD106" s="5"/>
      <c r="KE106" s="5"/>
      <c r="KF106" s="5"/>
      <c r="KG106" s="5"/>
      <c r="KH106" s="5"/>
      <c r="KI106" s="5"/>
      <c r="KJ106" s="5"/>
      <c r="KK106" s="5"/>
      <c r="KL106" s="5"/>
      <c r="KM106" s="5"/>
      <c r="KN106" s="5"/>
      <c r="KO106" s="5"/>
      <c r="KP106" s="5"/>
      <c r="KQ106" s="5"/>
      <c r="KR106" s="5"/>
      <c r="KS106" s="5"/>
      <c r="KT106" s="5"/>
      <c r="KU106" s="5"/>
      <c r="KV106" s="5"/>
      <c r="KW106" s="5"/>
      <c r="KX106" s="5"/>
      <c r="KY106" s="5"/>
      <c r="KZ106" s="5"/>
      <c r="LA106" s="5"/>
      <c r="LB106" s="5"/>
      <c r="LC106" s="5"/>
      <c r="LD106" s="5"/>
      <c r="LE106" s="5"/>
      <c r="LF106" s="5"/>
      <c r="LG106" s="5"/>
      <c r="LH106" s="5"/>
      <c r="LI106" s="5"/>
      <c r="LJ106" s="5"/>
      <c r="LK106" s="5"/>
      <c r="LL106" s="5"/>
      <c r="LM106" s="5"/>
      <c r="LN106" s="5"/>
      <c r="LO106" s="5"/>
      <c r="LP106" s="5"/>
      <c r="LQ106" s="5"/>
      <c r="LR106" s="5"/>
      <c r="LS106" s="5"/>
      <c r="LT106" s="5"/>
      <c r="LU106" s="5"/>
      <c r="LV106" s="5"/>
      <c r="LW106" s="5"/>
      <c r="LX106" s="5"/>
      <c r="LY106" s="5"/>
      <c r="LZ106" s="5"/>
      <c r="MA106" s="5"/>
      <c r="MB106" s="5"/>
      <c r="MC106" s="5"/>
      <c r="MD106" s="5"/>
      <c r="ME106" s="5"/>
      <c r="MF106" s="5"/>
      <c r="MG106" s="5"/>
      <c r="MH106" s="5"/>
      <c r="MI106" s="5"/>
      <c r="MJ106" s="5"/>
      <c r="MK106" s="5"/>
      <c r="ML106" s="5"/>
      <c r="MM106" s="5"/>
      <c r="MN106" s="5"/>
      <c r="MO106" s="5"/>
      <c r="MP106" s="5"/>
      <c r="MQ106" s="5"/>
      <c r="MR106" s="5"/>
      <c r="MS106" s="5"/>
      <c r="MT106" s="5"/>
      <c r="MU106" s="5"/>
      <c r="MV106" s="5"/>
      <c r="MW106" s="5"/>
      <c r="MX106" s="5"/>
      <c r="MY106" s="5"/>
      <c r="MZ106" s="5"/>
      <c r="NA106" s="5"/>
      <c r="NB106" s="5"/>
      <c r="NC106" s="5"/>
      <c r="ND106" s="5"/>
      <c r="NE106" s="5"/>
      <c r="NF106" s="5"/>
      <c r="NG106" s="5"/>
      <c r="NH106" s="5"/>
      <c r="NI106" s="5"/>
      <c r="NJ106" s="5"/>
      <c r="NK106" s="5"/>
      <c r="NL106" s="5"/>
      <c r="NM106" s="5"/>
      <c r="NN106" s="5"/>
      <c r="NO106" s="5"/>
      <c r="NP106" s="5"/>
      <c r="NQ106" s="5"/>
      <c r="NR106" s="5"/>
      <c r="NS106" s="5"/>
      <c r="NT106" s="5"/>
      <c r="NU106" s="5"/>
      <c r="NV106" s="5"/>
      <c r="NW106" s="5"/>
      <c r="NX106" s="5"/>
      <c r="NY106" s="5"/>
      <c r="NZ106" s="5"/>
      <c r="OA106" s="5"/>
      <c r="OB106" s="5"/>
      <c r="OC106" s="5"/>
      <c r="OD106" s="5"/>
      <c r="OE106" s="5"/>
      <c r="OF106" s="5"/>
      <c r="OG106" s="5"/>
      <c r="OH106" s="5"/>
      <c r="OI106" s="5"/>
      <c r="OJ106" s="5"/>
      <c r="OK106" s="5"/>
      <c r="OL106" s="5"/>
      <c r="OM106" s="5"/>
      <c r="ON106" s="5"/>
      <c r="OO106" s="5"/>
      <c r="OP106" s="5"/>
      <c r="OQ106" s="5"/>
      <c r="OR106" s="5"/>
      <c r="OS106" s="5"/>
      <c r="OT106" s="5"/>
      <c r="OU106" s="5"/>
      <c r="OV106" s="5"/>
      <c r="OW106" s="5"/>
      <c r="OX106" s="5"/>
      <c r="OY106" s="5"/>
      <c r="OZ106" s="5"/>
      <c r="PA106" s="5"/>
      <c r="PB106" s="5"/>
      <c r="PC106" s="5"/>
      <c r="PD106" s="5"/>
      <c r="PE106" s="5"/>
      <c r="PF106" s="5"/>
      <c r="PG106" s="5"/>
      <c r="PH106" s="5"/>
      <c r="PI106" s="5"/>
      <c r="PJ106" s="5"/>
      <c r="PK106" s="5"/>
      <c r="PL106" s="5"/>
      <c r="PM106" s="5"/>
      <c r="PN106" s="5"/>
      <c r="PO106" s="5"/>
      <c r="PP106" s="5"/>
      <c r="PQ106" s="5"/>
      <c r="PR106" s="5"/>
      <c r="PS106" s="5"/>
      <c r="PT106" s="5"/>
      <c r="PU106" s="5"/>
      <c r="PV106" s="5"/>
      <c r="PW106" s="5"/>
      <c r="PX106" s="5"/>
      <c r="PY106" s="5"/>
      <c r="PZ106" s="5"/>
      <c r="QA106" s="5"/>
      <c r="QB106" s="5"/>
      <c r="QC106" s="5"/>
      <c r="QD106" s="5"/>
      <c r="QE106" s="5"/>
      <c r="QF106" s="5"/>
      <c r="QG106" s="5"/>
      <c r="QH106" s="5"/>
      <c r="QI106" s="5"/>
      <c r="QJ106" s="5"/>
      <c r="QK106" s="5"/>
      <c r="QL106" s="5"/>
      <c r="QM106" s="5"/>
      <c r="QN106" s="5"/>
      <c r="QO106" s="5"/>
      <c r="QP106" s="5"/>
      <c r="QQ106" s="5"/>
      <c r="QR106" s="5"/>
      <c r="QS106" s="5"/>
      <c r="QT106" s="5"/>
      <c r="QU106" s="5"/>
      <c r="QV106" s="5"/>
      <c r="QW106" s="5"/>
      <c r="QX106" s="5"/>
      <c r="QY106" s="5"/>
      <c r="QZ106" s="5"/>
      <c r="RA106" s="5"/>
      <c r="RB106" s="5"/>
      <c r="RC106" s="5"/>
      <c r="RD106" s="5"/>
      <c r="RE106" s="5"/>
      <c r="RF106" s="5"/>
      <c r="RG106" s="5"/>
      <c r="RH106" s="5"/>
      <c r="RI106" s="5"/>
      <c r="RJ106" s="5"/>
      <c r="RK106" s="5"/>
      <c r="RL106" s="5"/>
      <c r="RM106" s="5"/>
      <c r="RN106" s="5"/>
      <c r="RO106" s="5"/>
      <c r="RP106" s="5"/>
      <c r="RQ106" s="5"/>
      <c r="RR106" s="5"/>
      <c r="RS106" s="5"/>
      <c r="RT106" s="5"/>
      <c r="RU106" s="5"/>
      <c r="RV106" s="5"/>
      <c r="RW106" s="5"/>
      <c r="RX106" s="5"/>
      <c r="RY106" s="5"/>
      <c r="RZ106" s="5"/>
      <c r="SA106" s="5"/>
      <c r="SB106" s="5"/>
      <c r="SC106" s="5"/>
      <c r="SD106" s="5"/>
      <c r="SE106" s="5"/>
      <c r="SF106" s="5"/>
      <c r="SG106" s="5"/>
      <c r="SH106" s="5"/>
      <c r="SI106" s="5"/>
      <c r="SJ106" s="5"/>
      <c r="SK106" s="5"/>
      <c r="SL106" s="5"/>
      <c r="SM106" s="5"/>
      <c r="SN106" s="5"/>
      <c r="SO106" s="5"/>
      <c r="SP106" s="5"/>
      <c r="SQ106" s="5"/>
      <c r="SR106" s="5"/>
      <c r="SS106" s="5"/>
      <c r="ST106" s="5"/>
      <c r="SU106" s="5"/>
      <c r="SV106" s="5"/>
      <c r="SW106" s="5"/>
      <c r="SX106" s="5"/>
      <c r="SY106" s="5"/>
      <c r="SZ106" s="5"/>
      <c r="TA106" s="5"/>
      <c r="TB106" s="5"/>
      <c r="TC106" s="5"/>
      <c r="TD106" s="5"/>
      <c r="TE106" s="5"/>
      <c r="TF106" s="5"/>
      <c r="TG106" s="5"/>
      <c r="TH106" s="5"/>
      <c r="TI106" s="5"/>
      <c r="TJ106" s="5"/>
      <c r="TK106" s="5"/>
      <c r="TL106" s="5"/>
      <c r="TM106" s="5"/>
      <c r="TN106" s="5"/>
      <c r="TO106" s="5"/>
      <c r="TP106" s="5"/>
      <c r="TQ106" s="5"/>
      <c r="TR106" s="5"/>
      <c r="TS106" s="5"/>
      <c r="TT106" s="5"/>
      <c r="TU106" s="5"/>
      <c r="TV106" s="5"/>
      <c r="TW106" s="5"/>
      <c r="TX106" s="5"/>
      <c r="TY106" s="5"/>
      <c r="TZ106" s="5"/>
      <c r="UA106" s="5"/>
      <c r="UB106" s="5"/>
      <c r="UC106" s="5"/>
      <c r="UD106" s="5"/>
      <c r="UE106" s="5"/>
      <c r="UF106" s="5"/>
      <c r="UG106" s="5"/>
      <c r="UH106" s="5"/>
      <c r="UI106" s="5"/>
      <c r="UJ106" s="5"/>
      <c r="UK106" s="5"/>
      <c r="UL106" s="5"/>
      <c r="UM106" s="5"/>
      <c r="UN106" s="5"/>
      <c r="UO106" s="5"/>
      <c r="UP106" s="5"/>
      <c r="UQ106" s="5"/>
      <c r="UR106" s="5"/>
      <c r="US106" s="5"/>
      <c r="UT106" s="5"/>
      <c r="UU106" s="5"/>
      <c r="UV106" s="5"/>
      <c r="UW106" s="5"/>
      <c r="UX106" s="5"/>
      <c r="UY106" s="5"/>
      <c r="UZ106" s="5"/>
      <c r="VA106" s="5"/>
      <c r="VB106" s="5"/>
      <c r="VC106" s="5"/>
      <c r="VD106" s="5"/>
      <c r="VE106" s="5"/>
      <c r="VF106" s="5"/>
      <c r="VG106" s="5"/>
      <c r="VH106" s="5"/>
      <c r="VI106" s="5"/>
      <c r="VJ106" s="5"/>
      <c r="VK106" s="5"/>
      <c r="VL106" s="5"/>
      <c r="VM106" s="5"/>
      <c r="VN106" s="5"/>
      <c r="VO106" s="5"/>
      <c r="VP106" s="5"/>
      <c r="VQ106" s="5"/>
      <c r="VR106" s="5"/>
      <c r="VS106" s="5"/>
      <c r="VT106" s="5"/>
      <c r="VU106" s="5"/>
      <c r="VV106" s="5"/>
      <c r="VW106" s="5"/>
      <c r="VX106" s="5"/>
      <c r="VY106" s="5"/>
      <c r="VZ106" s="5"/>
      <c r="WA106" s="5"/>
      <c r="WB106" s="5"/>
      <c r="WC106" s="5"/>
      <c r="WD106" s="5"/>
      <c r="WE106" s="5"/>
      <c r="WF106" s="5"/>
      <c r="WG106" s="5"/>
      <c r="WH106" s="5"/>
      <c r="WI106" s="5"/>
      <c r="WJ106" s="5"/>
      <c r="WK106" s="5"/>
      <c r="WL106" s="5"/>
      <c r="WM106" s="5"/>
      <c r="WN106" s="5"/>
      <c r="WO106" s="5"/>
      <c r="WP106" s="5"/>
      <c r="WQ106" s="5"/>
      <c r="WR106" s="5"/>
      <c r="WS106" s="5"/>
      <c r="WT106" s="5"/>
      <c r="WU106" s="5"/>
      <c r="WV106" s="5"/>
      <c r="WW106" s="5"/>
      <c r="WX106" s="5"/>
      <c r="WY106" s="5"/>
      <c r="WZ106" s="5"/>
      <c r="XA106" s="5"/>
      <c r="XB106" s="5"/>
      <c r="XC106" s="5"/>
      <c r="XD106" s="5"/>
      <c r="XE106" s="5"/>
      <c r="XF106" s="5"/>
      <c r="XG106" s="5"/>
      <c r="XH106" s="5"/>
      <c r="XI106" s="5"/>
      <c r="XJ106" s="5"/>
      <c r="XK106" s="5"/>
      <c r="XL106" s="5"/>
      <c r="XM106" s="5"/>
      <c r="XN106" s="5"/>
      <c r="XO106" s="5"/>
      <c r="XP106" s="5"/>
      <c r="XQ106" s="5"/>
      <c r="XR106" s="5"/>
      <c r="XS106" s="5"/>
      <c r="XT106" s="5"/>
      <c r="XU106" s="5"/>
      <c r="XV106" s="5"/>
      <c r="XW106" s="5"/>
      <c r="XX106" s="5"/>
      <c r="XY106" s="5"/>
      <c r="XZ106" s="5"/>
      <c r="YA106" s="5"/>
      <c r="YB106" s="5"/>
      <c r="YC106" s="5"/>
      <c r="YD106" s="5"/>
      <c r="YE106" s="5"/>
      <c r="YF106" s="5"/>
      <c r="YG106" s="5"/>
      <c r="YH106" s="5"/>
      <c r="YI106" s="5"/>
      <c r="YJ106" s="5"/>
      <c r="YK106" s="5"/>
      <c r="YL106" s="5"/>
      <c r="YM106" s="5"/>
      <c r="YN106" s="5"/>
      <c r="YO106" s="5"/>
      <c r="YP106" s="5"/>
      <c r="YQ106" s="5"/>
      <c r="YR106" s="5"/>
      <c r="YS106" s="5"/>
      <c r="YT106" s="5"/>
      <c r="YU106" s="5"/>
      <c r="YV106" s="5"/>
      <c r="YW106" s="5"/>
      <c r="YX106" s="5"/>
      <c r="YY106" s="5"/>
      <c r="YZ106" s="5"/>
    </row>
    <row r="107" spans="1:676">
      <c r="A107" s="7">
        <v>97</v>
      </c>
      <c r="B107" s="7" t="s">
        <v>268</v>
      </c>
      <c r="C107" s="10" t="s">
        <v>269</v>
      </c>
      <c r="D107" s="7" t="s">
        <v>50</v>
      </c>
      <c r="E107" s="7" t="s">
        <v>120</v>
      </c>
      <c r="F107" s="7" t="s">
        <v>162</v>
      </c>
      <c r="G107" s="7"/>
      <c r="H107" s="7" t="s">
        <v>43</v>
      </c>
      <c r="I107" s="11">
        <v>2</v>
      </c>
      <c r="J107" s="11">
        <v>3</v>
      </c>
      <c r="K107" s="11">
        <v>0</v>
      </c>
      <c r="L107" s="11">
        <v>1.27</v>
      </c>
      <c r="M107" s="11">
        <v>0.08</v>
      </c>
      <c r="N107" s="11">
        <v>0</v>
      </c>
      <c r="O107" s="11">
        <v>0</v>
      </c>
      <c r="P107" s="11">
        <v>0</v>
      </c>
      <c r="Q107" s="11">
        <v>1.350000000000001</v>
      </c>
      <c r="R107" s="11">
        <v>0</v>
      </c>
      <c r="S107" s="11">
        <v>1.350000000000001</v>
      </c>
      <c r="T107" s="11">
        <v>1.350000000000001</v>
      </c>
      <c r="U107" s="11">
        <v>0</v>
      </c>
      <c r="V107" s="11">
        <v>0</v>
      </c>
      <c r="W107" s="13">
        <v>2</v>
      </c>
      <c r="X107" s="13">
        <v>3</v>
      </c>
      <c r="Y107" s="13" t="str">
        <f>MIN(W107,S107)</f>
        <v>0</v>
      </c>
      <c r="Z107" s="13" t="str">
        <f>MIN(X107,(S107-Y107))</f>
        <v>0</v>
      </c>
      <c r="AA107" s="13" t="str">
        <f>S107-SUM(Y107,Z107)</f>
        <v>0</v>
      </c>
      <c r="AB107" s="15"/>
      <c r="AC107" s="15"/>
      <c r="AD107" s="1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  <c r="IU107" s="5"/>
      <c r="IV107" s="5"/>
      <c r="IW107" s="5"/>
      <c r="IX107" s="5"/>
      <c r="IY107" s="5"/>
      <c r="IZ107" s="5"/>
      <c r="JA107" s="5"/>
      <c r="JB107" s="5"/>
      <c r="JC107" s="5"/>
      <c r="JD107" s="5"/>
      <c r="JE107" s="5"/>
      <c r="JF107" s="5"/>
      <c r="JG107" s="5"/>
      <c r="JH107" s="5"/>
      <c r="JI107" s="5"/>
      <c r="JJ107" s="5"/>
      <c r="JK107" s="5"/>
      <c r="JL107" s="5"/>
      <c r="JM107" s="5"/>
      <c r="JN107" s="5"/>
      <c r="JO107" s="5"/>
      <c r="JP107" s="5"/>
      <c r="JQ107" s="5"/>
      <c r="JR107" s="5"/>
      <c r="JS107" s="5"/>
      <c r="JT107" s="5"/>
      <c r="JU107" s="5"/>
      <c r="JV107" s="5"/>
      <c r="JW107" s="5"/>
      <c r="JX107" s="5"/>
      <c r="JY107" s="5"/>
      <c r="JZ107" s="5"/>
      <c r="KA107" s="5"/>
      <c r="KB107" s="5"/>
      <c r="KC107" s="5"/>
      <c r="KD107" s="5"/>
      <c r="KE107" s="5"/>
      <c r="KF107" s="5"/>
      <c r="KG107" s="5"/>
      <c r="KH107" s="5"/>
      <c r="KI107" s="5"/>
      <c r="KJ107" s="5"/>
      <c r="KK107" s="5"/>
      <c r="KL107" s="5"/>
      <c r="KM107" s="5"/>
      <c r="KN107" s="5"/>
      <c r="KO107" s="5"/>
      <c r="KP107" s="5"/>
      <c r="KQ107" s="5"/>
      <c r="KR107" s="5"/>
      <c r="KS107" s="5"/>
      <c r="KT107" s="5"/>
      <c r="KU107" s="5"/>
      <c r="KV107" s="5"/>
      <c r="KW107" s="5"/>
      <c r="KX107" s="5"/>
      <c r="KY107" s="5"/>
      <c r="KZ107" s="5"/>
      <c r="LA107" s="5"/>
      <c r="LB107" s="5"/>
      <c r="LC107" s="5"/>
      <c r="LD107" s="5"/>
      <c r="LE107" s="5"/>
      <c r="LF107" s="5"/>
      <c r="LG107" s="5"/>
      <c r="LH107" s="5"/>
      <c r="LI107" s="5"/>
      <c r="LJ107" s="5"/>
      <c r="LK107" s="5"/>
      <c r="LL107" s="5"/>
      <c r="LM107" s="5"/>
      <c r="LN107" s="5"/>
      <c r="LO107" s="5"/>
      <c r="LP107" s="5"/>
      <c r="LQ107" s="5"/>
      <c r="LR107" s="5"/>
      <c r="LS107" s="5"/>
      <c r="LT107" s="5"/>
      <c r="LU107" s="5"/>
      <c r="LV107" s="5"/>
      <c r="LW107" s="5"/>
      <c r="LX107" s="5"/>
      <c r="LY107" s="5"/>
      <c r="LZ107" s="5"/>
      <c r="MA107" s="5"/>
      <c r="MB107" s="5"/>
      <c r="MC107" s="5"/>
      <c r="MD107" s="5"/>
      <c r="ME107" s="5"/>
      <c r="MF107" s="5"/>
      <c r="MG107" s="5"/>
      <c r="MH107" s="5"/>
      <c r="MI107" s="5"/>
      <c r="MJ107" s="5"/>
      <c r="MK107" s="5"/>
      <c r="ML107" s="5"/>
      <c r="MM107" s="5"/>
      <c r="MN107" s="5"/>
      <c r="MO107" s="5"/>
      <c r="MP107" s="5"/>
      <c r="MQ107" s="5"/>
      <c r="MR107" s="5"/>
      <c r="MS107" s="5"/>
      <c r="MT107" s="5"/>
      <c r="MU107" s="5"/>
      <c r="MV107" s="5"/>
      <c r="MW107" s="5"/>
      <c r="MX107" s="5"/>
      <c r="MY107" s="5"/>
      <c r="MZ107" s="5"/>
      <c r="NA107" s="5"/>
      <c r="NB107" s="5"/>
      <c r="NC107" s="5"/>
      <c r="ND107" s="5"/>
      <c r="NE107" s="5"/>
      <c r="NF107" s="5"/>
      <c r="NG107" s="5"/>
      <c r="NH107" s="5"/>
      <c r="NI107" s="5"/>
      <c r="NJ107" s="5"/>
      <c r="NK107" s="5"/>
      <c r="NL107" s="5"/>
      <c r="NM107" s="5"/>
      <c r="NN107" s="5"/>
      <c r="NO107" s="5"/>
      <c r="NP107" s="5"/>
      <c r="NQ107" s="5"/>
      <c r="NR107" s="5"/>
      <c r="NS107" s="5"/>
      <c r="NT107" s="5"/>
      <c r="NU107" s="5"/>
      <c r="NV107" s="5"/>
      <c r="NW107" s="5"/>
      <c r="NX107" s="5"/>
      <c r="NY107" s="5"/>
      <c r="NZ107" s="5"/>
      <c r="OA107" s="5"/>
      <c r="OB107" s="5"/>
      <c r="OC107" s="5"/>
      <c r="OD107" s="5"/>
      <c r="OE107" s="5"/>
      <c r="OF107" s="5"/>
      <c r="OG107" s="5"/>
      <c r="OH107" s="5"/>
      <c r="OI107" s="5"/>
      <c r="OJ107" s="5"/>
      <c r="OK107" s="5"/>
      <c r="OL107" s="5"/>
      <c r="OM107" s="5"/>
      <c r="ON107" s="5"/>
      <c r="OO107" s="5"/>
      <c r="OP107" s="5"/>
      <c r="OQ107" s="5"/>
      <c r="OR107" s="5"/>
      <c r="OS107" s="5"/>
      <c r="OT107" s="5"/>
      <c r="OU107" s="5"/>
      <c r="OV107" s="5"/>
      <c r="OW107" s="5"/>
      <c r="OX107" s="5"/>
      <c r="OY107" s="5"/>
      <c r="OZ107" s="5"/>
      <c r="PA107" s="5"/>
      <c r="PB107" s="5"/>
      <c r="PC107" s="5"/>
      <c r="PD107" s="5"/>
      <c r="PE107" s="5"/>
      <c r="PF107" s="5"/>
      <c r="PG107" s="5"/>
      <c r="PH107" s="5"/>
      <c r="PI107" s="5"/>
      <c r="PJ107" s="5"/>
      <c r="PK107" s="5"/>
      <c r="PL107" s="5"/>
      <c r="PM107" s="5"/>
      <c r="PN107" s="5"/>
      <c r="PO107" s="5"/>
      <c r="PP107" s="5"/>
      <c r="PQ107" s="5"/>
      <c r="PR107" s="5"/>
      <c r="PS107" s="5"/>
      <c r="PT107" s="5"/>
      <c r="PU107" s="5"/>
      <c r="PV107" s="5"/>
      <c r="PW107" s="5"/>
      <c r="PX107" s="5"/>
      <c r="PY107" s="5"/>
      <c r="PZ107" s="5"/>
      <c r="QA107" s="5"/>
      <c r="QB107" s="5"/>
      <c r="QC107" s="5"/>
      <c r="QD107" s="5"/>
      <c r="QE107" s="5"/>
      <c r="QF107" s="5"/>
      <c r="QG107" s="5"/>
      <c r="QH107" s="5"/>
      <c r="QI107" s="5"/>
      <c r="QJ107" s="5"/>
      <c r="QK107" s="5"/>
      <c r="QL107" s="5"/>
      <c r="QM107" s="5"/>
      <c r="QN107" s="5"/>
      <c r="QO107" s="5"/>
      <c r="QP107" s="5"/>
      <c r="QQ107" s="5"/>
      <c r="QR107" s="5"/>
      <c r="QS107" s="5"/>
      <c r="QT107" s="5"/>
      <c r="QU107" s="5"/>
      <c r="QV107" s="5"/>
      <c r="QW107" s="5"/>
      <c r="QX107" s="5"/>
      <c r="QY107" s="5"/>
      <c r="QZ107" s="5"/>
      <c r="RA107" s="5"/>
      <c r="RB107" s="5"/>
      <c r="RC107" s="5"/>
      <c r="RD107" s="5"/>
      <c r="RE107" s="5"/>
      <c r="RF107" s="5"/>
      <c r="RG107" s="5"/>
      <c r="RH107" s="5"/>
      <c r="RI107" s="5"/>
      <c r="RJ107" s="5"/>
      <c r="RK107" s="5"/>
      <c r="RL107" s="5"/>
      <c r="RM107" s="5"/>
      <c r="RN107" s="5"/>
      <c r="RO107" s="5"/>
      <c r="RP107" s="5"/>
      <c r="RQ107" s="5"/>
      <c r="RR107" s="5"/>
      <c r="RS107" s="5"/>
      <c r="RT107" s="5"/>
      <c r="RU107" s="5"/>
      <c r="RV107" s="5"/>
      <c r="RW107" s="5"/>
      <c r="RX107" s="5"/>
      <c r="RY107" s="5"/>
      <c r="RZ107" s="5"/>
      <c r="SA107" s="5"/>
      <c r="SB107" s="5"/>
      <c r="SC107" s="5"/>
      <c r="SD107" s="5"/>
      <c r="SE107" s="5"/>
      <c r="SF107" s="5"/>
      <c r="SG107" s="5"/>
      <c r="SH107" s="5"/>
      <c r="SI107" s="5"/>
      <c r="SJ107" s="5"/>
      <c r="SK107" s="5"/>
      <c r="SL107" s="5"/>
      <c r="SM107" s="5"/>
      <c r="SN107" s="5"/>
      <c r="SO107" s="5"/>
      <c r="SP107" s="5"/>
      <c r="SQ107" s="5"/>
      <c r="SR107" s="5"/>
      <c r="SS107" s="5"/>
      <c r="ST107" s="5"/>
      <c r="SU107" s="5"/>
      <c r="SV107" s="5"/>
      <c r="SW107" s="5"/>
      <c r="SX107" s="5"/>
      <c r="SY107" s="5"/>
      <c r="SZ107" s="5"/>
      <c r="TA107" s="5"/>
      <c r="TB107" s="5"/>
      <c r="TC107" s="5"/>
      <c r="TD107" s="5"/>
      <c r="TE107" s="5"/>
      <c r="TF107" s="5"/>
      <c r="TG107" s="5"/>
      <c r="TH107" s="5"/>
      <c r="TI107" s="5"/>
      <c r="TJ107" s="5"/>
      <c r="TK107" s="5"/>
      <c r="TL107" s="5"/>
      <c r="TM107" s="5"/>
      <c r="TN107" s="5"/>
      <c r="TO107" s="5"/>
      <c r="TP107" s="5"/>
      <c r="TQ107" s="5"/>
      <c r="TR107" s="5"/>
      <c r="TS107" s="5"/>
      <c r="TT107" s="5"/>
      <c r="TU107" s="5"/>
      <c r="TV107" s="5"/>
      <c r="TW107" s="5"/>
      <c r="TX107" s="5"/>
      <c r="TY107" s="5"/>
      <c r="TZ107" s="5"/>
      <c r="UA107" s="5"/>
      <c r="UB107" s="5"/>
      <c r="UC107" s="5"/>
      <c r="UD107" s="5"/>
      <c r="UE107" s="5"/>
      <c r="UF107" s="5"/>
      <c r="UG107" s="5"/>
      <c r="UH107" s="5"/>
      <c r="UI107" s="5"/>
      <c r="UJ107" s="5"/>
      <c r="UK107" s="5"/>
      <c r="UL107" s="5"/>
      <c r="UM107" s="5"/>
      <c r="UN107" s="5"/>
      <c r="UO107" s="5"/>
      <c r="UP107" s="5"/>
      <c r="UQ107" s="5"/>
      <c r="UR107" s="5"/>
      <c r="US107" s="5"/>
      <c r="UT107" s="5"/>
      <c r="UU107" s="5"/>
      <c r="UV107" s="5"/>
      <c r="UW107" s="5"/>
      <c r="UX107" s="5"/>
      <c r="UY107" s="5"/>
      <c r="UZ107" s="5"/>
      <c r="VA107" s="5"/>
      <c r="VB107" s="5"/>
      <c r="VC107" s="5"/>
      <c r="VD107" s="5"/>
      <c r="VE107" s="5"/>
      <c r="VF107" s="5"/>
      <c r="VG107" s="5"/>
      <c r="VH107" s="5"/>
      <c r="VI107" s="5"/>
      <c r="VJ107" s="5"/>
      <c r="VK107" s="5"/>
      <c r="VL107" s="5"/>
      <c r="VM107" s="5"/>
      <c r="VN107" s="5"/>
      <c r="VO107" s="5"/>
      <c r="VP107" s="5"/>
      <c r="VQ107" s="5"/>
      <c r="VR107" s="5"/>
      <c r="VS107" s="5"/>
      <c r="VT107" s="5"/>
      <c r="VU107" s="5"/>
      <c r="VV107" s="5"/>
      <c r="VW107" s="5"/>
      <c r="VX107" s="5"/>
      <c r="VY107" s="5"/>
      <c r="VZ107" s="5"/>
      <c r="WA107" s="5"/>
      <c r="WB107" s="5"/>
      <c r="WC107" s="5"/>
      <c r="WD107" s="5"/>
      <c r="WE107" s="5"/>
      <c r="WF107" s="5"/>
      <c r="WG107" s="5"/>
      <c r="WH107" s="5"/>
      <c r="WI107" s="5"/>
      <c r="WJ107" s="5"/>
      <c r="WK107" s="5"/>
      <c r="WL107" s="5"/>
      <c r="WM107" s="5"/>
      <c r="WN107" s="5"/>
      <c r="WO107" s="5"/>
      <c r="WP107" s="5"/>
      <c r="WQ107" s="5"/>
      <c r="WR107" s="5"/>
      <c r="WS107" s="5"/>
      <c r="WT107" s="5"/>
      <c r="WU107" s="5"/>
      <c r="WV107" s="5"/>
      <c r="WW107" s="5"/>
      <c r="WX107" s="5"/>
      <c r="WY107" s="5"/>
      <c r="WZ107" s="5"/>
      <c r="XA107" s="5"/>
      <c r="XB107" s="5"/>
      <c r="XC107" s="5"/>
      <c r="XD107" s="5"/>
      <c r="XE107" s="5"/>
      <c r="XF107" s="5"/>
      <c r="XG107" s="5"/>
      <c r="XH107" s="5"/>
      <c r="XI107" s="5"/>
      <c r="XJ107" s="5"/>
      <c r="XK107" s="5"/>
      <c r="XL107" s="5"/>
      <c r="XM107" s="5"/>
      <c r="XN107" s="5"/>
      <c r="XO107" s="5"/>
      <c r="XP107" s="5"/>
      <c r="XQ107" s="5"/>
      <c r="XR107" s="5"/>
      <c r="XS107" s="5"/>
      <c r="XT107" s="5"/>
      <c r="XU107" s="5"/>
      <c r="XV107" s="5"/>
      <c r="XW107" s="5"/>
      <c r="XX107" s="5"/>
      <c r="XY107" s="5"/>
      <c r="XZ107" s="5"/>
      <c r="YA107" s="5"/>
      <c r="YB107" s="5"/>
      <c r="YC107" s="5"/>
      <c r="YD107" s="5"/>
      <c r="YE107" s="5"/>
      <c r="YF107" s="5"/>
      <c r="YG107" s="5"/>
      <c r="YH107" s="5"/>
      <c r="YI107" s="5"/>
      <c r="YJ107" s="5"/>
      <c r="YK107" s="5"/>
      <c r="YL107" s="5"/>
      <c r="YM107" s="5"/>
      <c r="YN107" s="5"/>
      <c r="YO107" s="5"/>
      <c r="YP107" s="5"/>
      <c r="YQ107" s="5"/>
      <c r="YR107" s="5"/>
      <c r="YS107" s="5"/>
      <c r="YT107" s="5"/>
      <c r="YU107" s="5"/>
      <c r="YV107" s="5"/>
      <c r="YW107" s="5"/>
      <c r="YX107" s="5"/>
      <c r="YY107" s="5"/>
      <c r="YZ107" s="5"/>
    </row>
    <row r="108" spans="1:676">
      <c r="A108" s="7">
        <v>98</v>
      </c>
      <c r="B108" s="7" t="s">
        <v>270</v>
      </c>
      <c r="C108" s="10" t="s">
        <v>271</v>
      </c>
      <c r="D108" s="7" t="s">
        <v>60</v>
      </c>
      <c r="E108" s="7" t="s">
        <v>71</v>
      </c>
      <c r="F108" s="7" t="s">
        <v>162</v>
      </c>
      <c r="G108" s="7"/>
      <c r="H108" s="7" t="s">
        <v>43</v>
      </c>
      <c r="I108" s="11">
        <v>2</v>
      </c>
      <c r="J108" s="11">
        <v>3</v>
      </c>
      <c r="K108" s="11">
        <v>0</v>
      </c>
      <c r="L108" s="11">
        <v>1.32</v>
      </c>
      <c r="M108" s="11">
        <v>0.08</v>
      </c>
      <c r="N108" s="11">
        <v>0</v>
      </c>
      <c r="O108" s="11">
        <v>0.18</v>
      </c>
      <c r="P108" s="11">
        <v>0.83</v>
      </c>
      <c r="Q108" s="11">
        <v>2.410000000000001</v>
      </c>
      <c r="R108" s="11">
        <v>0</v>
      </c>
      <c r="S108" s="11">
        <v>2.410000000000001</v>
      </c>
      <c r="T108" s="11">
        <v>2</v>
      </c>
      <c r="U108" s="11">
        <v>0.4100000000000006</v>
      </c>
      <c r="V108" s="11">
        <v>0</v>
      </c>
      <c r="W108" s="13">
        <v>2</v>
      </c>
      <c r="X108" s="13">
        <v>3</v>
      </c>
      <c r="Y108" s="13" t="str">
        <f>MIN(W108,S108)</f>
        <v>0</v>
      </c>
      <c r="Z108" s="13" t="str">
        <f>MIN(X108,(S108-Y108))</f>
        <v>0</v>
      </c>
      <c r="AA108" s="13" t="str">
        <f>S108-SUM(Y108,Z108)</f>
        <v>0</v>
      </c>
      <c r="AB108" s="15"/>
      <c r="AC108" s="15"/>
      <c r="AD108" s="1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  <c r="IU108" s="5"/>
      <c r="IV108" s="5"/>
      <c r="IW108" s="5"/>
      <c r="IX108" s="5"/>
      <c r="IY108" s="5"/>
      <c r="IZ108" s="5"/>
      <c r="JA108" s="5"/>
      <c r="JB108" s="5"/>
      <c r="JC108" s="5"/>
      <c r="JD108" s="5"/>
      <c r="JE108" s="5"/>
      <c r="JF108" s="5"/>
      <c r="JG108" s="5"/>
      <c r="JH108" s="5"/>
      <c r="JI108" s="5"/>
      <c r="JJ108" s="5"/>
      <c r="JK108" s="5"/>
      <c r="JL108" s="5"/>
      <c r="JM108" s="5"/>
      <c r="JN108" s="5"/>
      <c r="JO108" s="5"/>
      <c r="JP108" s="5"/>
      <c r="JQ108" s="5"/>
      <c r="JR108" s="5"/>
      <c r="JS108" s="5"/>
      <c r="JT108" s="5"/>
      <c r="JU108" s="5"/>
      <c r="JV108" s="5"/>
      <c r="JW108" s="5"/>
      <c r="JX108" s="5"/>
      <c r="JY108" s="5"/>
      <c r="JZ108" s="5"/>
      <c r="KA108" s="5"/>
      <c r="KB108" s="5"/>
      <c r="KC108" s="5"/>
      <c r="KD108" s="5"/>
      <c r="KE108" s="5"/>
      <c r="KF108" s="5"/>
      <c r="KG108" s="5"/>
      <c r="KH108" s="5"/>
      <c r="KI108" s="5"/>
      <c r="KJ108" s="5"/>
      <c r="KK108" s="5"/>
      <c r="KL108" s="5"/>
      <c r="KM108" s="5"/>
      <c r="KN108" s="5"/>
      <c r="KO108" s="5"/>
      <c r="KP108" s="5"/>
      <c r="KQ108" s="5"/>
      <c r="KR108" s="5"/>
      <c r="KS108" s="5"/>
      <c r="KT108" s="5"/>
      <c r="KU108" s="5"/>
      <c r="KV108" s="5"/>
      <c r="KW108" s="5"/>
      <c r="KX108" s="5"/>
      <c r="KY108" s="5"/>
      <c r="KZ108" s="5"/>
      <c r="LA108" s="5"/>
      <c r="LB108" s="5"/>
      <c r="LC108" s="5"/>
      <c r="LD108" s="5"/>
      <c r="LE108" s="5"/>
      <c r="LF108" s="5"/>
      <c r="LG108" s="5"/>
      <c r="LH108" s="5"/>
      <c r="LI108" s="5"/>
      <c r="LJ108" s="5"/>
      <c r="LK108" s="5"/>
      <c r="LL108" s="5"/>
      <c r="LM108" s="5"/>
      <c r="LN108" s="5"/>
      <c r="LO108" s="5"/>
      <c r="LP108" s="5"/>
      <c r="LQ108" s="5"/>
      <c r="LR108" s="5"/>
      <c r="LS108" s="5"/>
      <c r="LT108" s="5"/>
      <c r="LU108" s="5"/>
      <c r="LV108" s="5"/>
      <c r="LW108" s="5"/>
      <c r="LX108" s="5"/>
      <c r="LY108" s="5"/>
      <c r="LZ108" s="5"/>
      <c r="MA108" s="5"/>
      <c r="MB108" s="5"/>
      <c r="MC108" s="5"/>
      <c r="MD108" s="5"/>
      <c r="ME108" s="5"/>
      <c r="MF108" s="5"/>
      <c r="MG108" s="5"/>
      <c r="MH108" s="5"/>
      <c r="MI108" s="5"/>
      <c r="MJ108" s="5"/>
      <c r="MK108" s="5"/>
      <c r="ML108" s="5"/>
      <c r="MM108" s="5"/>
      <c r="MN108" s="5"/>
      <c r="MO108" s="5"/>
      <c r="MP108" s="5"/>
      <c r="MQ108" s="5"/>
      <c r="MR108" s="5"/>
      <c r="MS108" s="5"/>
      <c r="MT108" s="5"/>
      <c r="MU108" s="5"/>
      <c r="MV108" s="5"/>
      <c r="MW108" s="5"/>
      <c r="MX108" s="5"/>
      <c r="MY108" s="5"/>
      <c r="MZ108" s="5"/>
      <c r="NA108" s="5"/>
      <c r="NB108" s="5"/>
      <c r="NC108" s="5"/>
      <c r="ND108" s="5"/>
      <c r="NE108" s="5"/>
      <c r="NF108" s="5"/>
      <c r="NG108" s="5"/>
      <c r="NH108" s="5"/>
      <c r="NI108" s="5"/>
      <c r="NJ108" s="5"/>
      <c r="NK108" s="5"/>
      <c r="NL108" s="5"/>
      <c r="NM108" s="5"/>
      <c r="NN108" s="5"/>
      <c r="NO108" s="5"/>
      <c r="NP108" s="5"/>
      <c r="NQ108" s="5"/>
      <c r="NR108" s="5"/>
      <c r="NS108" s="5"/>
      <c r="NT108" s="5"/>
      <c r="NU108" s="5"/>
      <c r="NV108" s="5"/>
      <c r="NW108" s="5"/>
      <c r="NX108" s="5"/>
      <c r="NY108" s="5"/>
      <c r="NZ108" s="5"/>
      <c r="OA108" s="5"/>
      <c r="OB108" s="5"/>
      <c r="OC108" s="5"/>
      <c r="OD108" s="5"/>
      <c r="OE108" s="5"/>
      <c r="OF108" s="5"/>
      <c r="OG108" s="5"/>
      <c r="OH108" s="5"/>
      <c r="OI108" s="5"/>
      <c r="OJ108" s="5"/>
      <c r="OK108" s="5"/>
      <c r="OL108" s="5"/>
      <c r="OM108" s="5"/>
      <c r="ON108" s="5"/>
      <c r="OO108" s="5"/>
      <c r="OP108" s="5"/>
      <c r="OQ108" s="5"/>
      <c r="OR108" s="5"/>
      <c r="OS108" s="5"/>
      <c r="OT108" s="5"/>
      <c r="OU108" s="5"/>
      <c r="OV108" s="5"/>
      <c r="OW108" s="5"/>
      <c r="OX108" s="5"/>
      <c r="OY108" s="5"/>
      <c r="OZ108" s="5"/>
      <c r="PA108" s="5"/>
      <c r="PB108" s="5"/>
      <c r="PC108" s="5"/>
      <c r="PD108" s="5"/>
      <c r="PE108" s="5"/>
      <c r="PF108" s="5"/>
      <c r="PG108" s="5"/>
      <c r="PH108" s="5"/>
      <c r="PI108" s="5"/>
      <c r="PJ108" s="5"/>
      <c r="PK108" s="5"/>
      <c r="PL108" s="5"/>
      <c r="PM108" s="5"/>
      <c r="PN108" s="5"/>
      <c r="PO108" s="5"/>
      <c r="PP108" s="5"/>
      <c r="PQ108" s="5"/>
      <c r="PR108" s="5"/>
      <c r="PS108" s="5"/>
      <c r="PT108" s="5"/>
      <c r="PU108" s="5"/>
      <c r="PV108" s="5"/>
      <c r="PW108" s="5"/>
      <c r="PX108" s="5"/>
      <c r="PY108" s="5"/>
      <c r="PZ108" s="5"/>
      <c r="QA108" s="5"/>
      <c r="QB108" s="5"/>
      <c r="QC108" s="5"/>
      <c r="QD108" s="5"/>
      <c r="QE108" s="5"/>
      <c r="QF108" s="5"/>
      <c r="QG108" s="5"/>
      <c r="QH108" s="5"/>
      <c r="QI108" s="5"/>
      <c r="QJ108" s="5"/>
      <c r="QK108" s="5"/>
      <c r="QL108" s="5"/>
      <c r="QM108" s="5"/>
      <c r="QN108" s="5"/>
      <c r="QO108" s="5"/>
      <c r="QP108" s="5"/>
      <c r="QQ108" s="5"/>
      <c r="QR108" s="5"/>
      <c r="QS108" s="5"/>
      <c r="QT108" s="5"/>
      <c r="QU108" s="5"/>
      <c r="QV108" s="5"/>
      <c r="QW108" s="5"/>
      <c r="QX108" s="5"/>
      <c r="QY108" s="5"/>
      <c r="QZ108" s="5"/>
      <c r="RA108" s="5"/>
      <c r="RB108" s="5"/>
      <c r="RC108" s="5"/>
      <c r="RD108" s="5"/>
      <c r="RE108" s="5"/>
      <c r="RF108" s="5"/>
      <c r="RG108" s="5"/>
      <c r="RH108" s="5"/>
      <c r="RI108" s="5"/>
      <c r="RJ108" s="5"/>
      <c r="RK108" s="5"/>
      <c r="RL108" s="5"/>
      <c r="RM108" s="5"/>
      <c r="RN108" s="5"/>
      <c r="RO108" s="5"/>
      <c r="RP108" s="5"/>
      <c r="RQ108" s="5"/>
      <c r="RR108" s="5"/>
      <c r="RS108" s="5"/>
      <c r="RT108" s="5"/>
      <c r="RU108" s="5"/>
      <c r="RV108" s="5"/>
      <c r="RW108" s="5"/>
      <c r="RX108" s="5"/>
      <c r="RY108" s="5"/>
      <c r="RZ108" s="5"/>
      <c r="SA108" s="5"/>
      <c r="SB108" s="5"/>
      <c r="SC108" s="5"/>
      <c r="SD108" s="5"/>
      <c r="SE108" s="5"/>
      <c r="SF108" s="5"/>
      <c r="SG108" s="5"/>
      <c r="SH108" s="5"/>
      <c r="SI108" s="5"/>
      <c r="SJ108" s="5"/>
      <c r="SK108" s="5"/>
      <c r="SL108" s="5"/>
      <c r="SM108" s="5"/>
      <c r="SN108" s="5"/>
      <c r="SO108" s="5"/>
      <c r="SP108" s="5"/>
      <c r="SQ108" s="5"/>
      <c r="SR108" s="5"/>
      <c r="SS108" s="5"/>
      <c r="ST108" s="5"/>
      <c r="SU108" s="5"/>
      <c r="SV108" s="5"/>
      <c r="SW108" s="5"/>
      <c r="SX108" s="5"/>
      <c r="SY108" s="5"/>
      <c r="SZ108" s="5"/>
      <c r="TA108" s="5"/>
      <c r="TB108" s="5"/>
      <c r="TC108" s="5"/>
      <c r="TD108" s="5"/>
      <c r="TE108" s="5"/>
      <c r="TF108" s="5"/>
      <c r="TG108" s="5"/>
      <c r="TH108" s="5"/>
      <c r="TI108" s="5"/>
      <c r="TJ108" s="5"/>
      <c r="TK108" s="5"/>
      <c r="TL108" s="5"/>
      <c r="TM108" s="5"/>
      <c r="TN108" s="5"/>
      <c r="TO108" s="5"/>
      <c r="TP108" s="5"/>
      <c r="TQ108" s="5"/>
      <c r="TR108" s="5"/>
      <c r="TS108" s="5"/>
      <c r="TT108" s="5"/>
      <c r="TU108" s="5"/>
      <c r="TV108" s="5"/>
      <c r="TW108" s="5"/>
      <c r="TX108" s="5"/>
      <c r="TY108" s="5"/>
      <c r="TZ108" s="5"/>
      <c r="UA108" s="5"/>
      <c r="UB108" s="5"/>
      <c r="UC108" s="5"/>
      <c r="UD108" s="5"/>
      <c r="UE108" s="5"/>
      <c r="UF108" s="5"/>
      <c r="UG108" s="5"/>
      <c r="UH108" s="5"/>
      <c r="UI108" s="5"/>
      <c r="UJ108" s="5"/>
      <c r="UK108" s="5"/>
      <c r="UL108" s="5"/>
      <c r="UM108" s="5"/>
      <c r="UN108" s="5"/>
      <c r="UO108" s="5"/>
      <c r="UP108" s="5"/>
      <c r="UQ108" s="5"/>
      <c r="UR108" s="5"/>
      <c r="US108" s="5"/>
      <c r="UT108" s="5"/>
      <c r="UU108" s="5"/>
      <c r="UV108" s="5"/>
      <c r="UW108" s="5"/>
      <c r="UX108" s="5"/>
      <c r="UY108" s="5"/>
      <c r="UZ108" s="5"/>
      <c r="VA108" s="5"/>
      <c r="VB108" s="5"/>
      <c r="VC108" s="5"/>
      <c r="VD108" s="5"/>
      <c r="VE108" s="5"/>
      <c r="VF108" s="5"/>
      <c r="VG108" s="5"/>
      <c r="VH108" s="5"/>
      <c r="VI108" s="5"/>
      <c r="VJ108" s="5"/>
      <c r="VK108" s="5"/>
      <c r="VL108" s="5"/>
      <c r="VM108" s="5"/>
      <c r="VN108" s="5"/>
      <c r="VO108" s="5"/>
      <c r="VP108" s="5"/>
      <c r="VQ108" s="5"/>
      <c r="VR108" s="5"/>
      <c r="VS108" s="5"/>
      <c r="VT108" s="5"/>
      <c r="VU108" s="5"/>
      <c r="VV108" s="5"/>
      <c r="VW108" s="5"/>
      <c r="VX108" s="5"/>
      <c r="VY108" s="5"/>
      <c r="VZ108" s="5"/>
      <c r="WA108" s="5"/>
      <c r="WB108" s="5"/>
      <c r="WC108" s="5"/>
      <c r="WD108" s="5"/>
      <c r="WE108" s="5"/>
      <c r="WF108" s="5"/>
      <c r="WG108" s="5"/>
      <c r="WH108" s="5"/>
      <c r="WI108" s="5"/>
      <c r="WJ108" s="5"/>
      <c r="WK108" s="5"/>
      <c r="WL108" s="5"/>
      <c r="WM108" s="5"/>
      <c r="WN108" s="5"/>
      <c r="WO108" s="5"/>
      <c r="WP108" s="5"/>
      <c r="WQ108" s="5"/>
      <c r="WR108" s="5"/>
      <c r="WS108" s="5"/>
      <c r="WT108" s="5"/>
      <c r="WU108" s="5"/>
      <c r="WV108" s="5"/>
      <c r="WW108" s="5"/>
      <c r="WX108" s="5"/>
      <c r="WY108" s="5"/>
      <c r="WZ108" s="5"/>
      <c r="XA108" s="5"/>
      <c r="XB108" s="5"/>
      <c r="XC108" s="5"/>
      <c r="XD108" s="5"/>
      <c r="XE108" s="5"/>
      <c r="XF108" s="5"/>
      <c r="XG108" s="5"/>
      <c r="XH108" s="5"/>
      <c r="XI108" s="5"/>
      <c r="XJ108" s="5"/>
      <c r="XK108" s="5"/>
      <c r="XL108" s="5"/>
      <c r="XM108" s="5"/>
      <c r="XN108" s="5"/>
      <c r="XO108" s="5"/>
      <c r="XP108" s="5"/>
      <c r="XQ108" s="5"/>
      <c r="XR108" s="5"/>
      <c r="XS108" s="5"/>
      <c r="XT108" s="5"/>
      <c r="XU108" s="5"/>
      <c r="XV108" s="5"/>
      <c r="XW108" s="5"/>
      <c r="XX108" s="5"/>
      <c r="XY108" s="5"/>
      <c r="XZ108" s="5"/>
      <c r="YA108" s="5"/>
      <c r="YB108" s="5"/>
      <c r="YC108" s="5"/>
      <c r="YD108" s="5"/>
      <c r="YE108" s="5"/>
      <c r="YF108" s="5"/>
      <c r="YG108" s="5"/>
      <c r="YH108" s="5"/>
      <c r="YI108" s="5"/>
      <c r="YJ108" s="5"/>
      <c r="YK108" s="5"/>
      <c r="YL108" s="5"/>
      <c r="YM108" s="5"/>
      <c r="YN108" s="5"/>
      <c r="YO108" s="5"/>
      <c r="YP108" s="5"/>
      <c r="YQ108" s="5"/>
      <c r="YR108" s="5"/>
      <c r="YS108" s="5"/>
      <c r="YT108" s="5"/>
      <c r="YU108" s="5"/>
      <c r="YV108" s="5"/>
      <c r="YW108" s="5"/>
      <c r="YX108" s="5"/>
      <c r="YY108" s="5"/>
      <c r="YZ108" s="5"/>
    </row>
    <row r="109" spans="1:676">
      <c r="A109" s="7">
        <v>99</v>
      </c>
      <c r="B109" s="7" t="s">
        <v>272</v>
      </c>
      <c r="C109" s="10" t="s">
        <v>273</v>
      </c>
      <c r="D109" s="7" t="s">
        <v>50</v>
      </c>
      <c r="E109" s="7" t="s">
        <v>71</v>
      </c>
      <c r="F109" s="7" t="s">
        <v>162</v>
      </c>
      <c r="G109" s="7"/>
      <c r="H109" s="7" t="s">
        <v>43</v>
      </c>
      <c r="I109" s="11">
        <v>2</v>
      </c>
      <c r="J109" s="11">
        <v>3</v>
      </c>
      <c r="K109" s="11">
        <v>0</v>
      </c>
      <c r="L109" s="11">
        <v>0.75</v>
      </c>
      <c r="M109" s="11">
        <v>0</v>
      </c>
      <c r="N109" s="11">
        <v>0</v>
      </c>
      <c r="O109" s="11">
        <v>0</v>
      </c>
      <c r="P109" s="11">
        <v>1.6</v>
      </c>
      <c r="Q109" s="11">
        <v>2.35</v>
      </c>
      <c r="R109" s="11">
        <v>0</v>
      </c>
      <c r="S109" s="11">
        <v>2.35</v>
      </c>
      <c r="T109" s="11">
        <v>2</v>
      </c>
      <c r="U109" s="11">
        <v>0.3500000000000001</v>
      </c>
      <c r="V109" s="11">
        <v>0</v>
      </c>
      <c r="W109" s="13">
        <v>2</v>
      </c>
      <c r="X109" s="13">
        <v>3</v>
      </c>
      <c r="Y109" s="13" t="str">
        <f>MIN(W109,S109)</f>
        <v>0</v>
      </c>
      <c r="Z109" s="13" t="str">
        <f>MIN(X109,(S109-Y109))</f>
        <v>0</v>
      </c>
      <c r="AA109" s="13" t="str">
        <f>S109-SUM(Y109,Z109)</f>
        <v>0</v>
      </c>
      <c r="AB109" s="15"/>
      <c r="AC109" s="15"/>
      <c r="AD109" s="1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  <c r="HM109" s="5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5"/>
      <c r="IE109" s="5"/>
      <c r="IF109" s="5"/>
      <c r="IG109" s="5"/>
      <c r="IH109" s="5"/>
      <c r="II109" s="5"/>
      <c r="IJ109" s="5"/>
      <c r="IK109" s="5"/>
      <c r="IL109" s="5"/>
      <c r="IM109" s="5"/>
      <c r="IN109" s="5"/>
      <c r="IO109" s="5"/>
      <c r="IP109" s="5"/>
      <c r="IQ109" s="5"/>
      <c r="IR109" s="5"/>
      <c r="IS109" s="5"/>
      <c r="IT109" s="5"/>
      <c r="IU109" s="5"/>
      <c r="IV109" s="5"/>
      <c r="IW109" s="5"/>
      <c r="IX109" s="5"/>
      <c r="IY109" s="5"/>
      <c r="IZ109" s="5"/>
      <c r="JA109" s="5"/>
      <c r="JB109" s="5"/>
      <c r="JC109" s="5"/>
      <c r="JD109" s="5"/>
      <c r="JE109" s="5"/>
      <c r="JF109" s="5"/>
      <c r="JG109" s="5"/>
      <c r="JH109" s="5"/>
      <c r="JI109" s="5"/>
      <c r="JJ109" s="5"/>
      <c r="JK109" s="5"/>
      <c r="JL109" s="5"/>
      <c r="JM109" s="5"/>
      <c r="JN109" s="5"/>
      <c r="JO109" s="5"/>
      <c r="JP109" s="5"/>
      <c r="JQ109" s="5"/>
      <c r="JR109" s="5"/>
      <c r="JS109" s="5"/>
      <c r="JT109" s="5"/>
      <c r="JU109" s="5"/>
      <c r="JV109" s="5"/>
      <c r="JW109" s="5"/>
      <c r="JX109" s="5"/>
      <c r="JY109" s="5"/>
      <c r="JZ109" s="5"/>
      <c r="KA109" s="5"/>
      <c r="KB109" s="5"/>
      <c r="KC109" s="5"/>
      <c r="KD109" s="5"/>
      <c r="KE109" s="5"/>
      <c r="KF109" s="5"/>
      <c r="KG109" s="5"/>
      <c r="KH109" s="5"/>
      <c r="KI109" s="5"/>
      <c r="KJ109" s="5"/>
      <c r="KK109" s="5"/>
      <c r="KL109" s="5"/>
      <c r="KM109" s="5"/>
      <c r="KN109" s="5"/>
      <c r="KO109" s="5"/>
      <c r="KP109" s="5"/>
      <c r="KQ109" s="5"/>
      <c r="KR109" s="5"/>
      <c r="KS109" s="5"/>
      <c r="KT109" s="5"/>
      <c r="KU109" s="5"/>
      <c r="KV109" s="5"/>
      <c r="KW109" s="5"/>
      <c r="KX109" s="5"/>
      <c r="KY109" s="5"/>
      <c r="KZ109" s="5"/>
      <c r="LA109" s="5"/>
      <c r="LB109" s="5"/>
      <c r="LC109" s="5"/>
      <c r="LD109" s="5"/>
      <c r="LE109" s="5"/>
      <c r="LF109" s="5"/>
      <c r="LG109" s="5"/>
      <c r="LH109" s="5"/>
      <c r="LI109" s="5"/>
      <c r="LJ109" s="5"/>
      <c r="LK109" s="5"/>
      <c r="LL109" s="5"/>
      <c r="LM109" s="5"/>
      <c r="LN109" s="5"/>
      <c r="LO109" s="5"/>
      <c r="LP109" s="5"/>
      <c r="LQ109" s="5"/>
      <c r="LR109" s="5"/>
      <c r="LS109" s="5"/>
      <c r="LT109" s="5"/>
      <c r="LU109" s="5"/>
      <c r="LV109" s="5"/>
      <c r="LW109" s="5"/>
      <c r="LX109" s="5"/>
      <c r="LY109" s="5"/>
      <c r="LZ109" s="5"/>
      <c r="MA109" s="5"/>
      <c r="MB109" s="5"/>
      <c r="MC109" s="5"/>
      <c r="MD109" s="5"/>
      <c r="ME109" s="5"/>
      <c r="MF109" s="5"/>
      <c r="MG109" s="5"/>
      <c r="MH109" s="5"/>
      <c r="MI109" s="5"/>
      <c r="MJ109" s="5"/>
      <c r="MK109" s="5"/>
      <c r="ML109" s="5"/>
      <c r="MM109" s="5"/>
      <c r="MN109" s="5"/>
      <c r="MO109" s="5"/>
      <c r="MP109" s="5"/>
      <c r="MQ109" s="5"/>
      <c r="MR109" s="5"/>
      <c r="MS109" s="5"/>
      <c r="MT109" s="5"/>
      <c r="MU109" s="5"/>
      <c r="MV109" s="5"/>
      <c r="MW109" s="5"/>
      <c r="MX109" s="5"/>
      <c r="MY109" s="5"/>
      <c r="MZ109" s="5"/>
      <c r="NA109" s="5"/>
      <c r="NB109" s="5"/>
      <c r="NC109" s="5"/>
      <c r="ND109" s="5"/>
      <c r="NE109" s="5"/>
      <c r="NF109" s="5"/>
      <c r="NG109" s="5"/>
      <c r="NH109" s="5"/>
      <c r="NI109" s="5"/>
      <c r="NJ109" s="5"/>
      <c r="NK109" s="5"/>
      <c r="NL109" s="5"/>
      <c r="NM109" s="5"/>
      <c r="NN109" s="5"/>
      <c r="NO109" s="5"/>
      <c r="NP109" s="5"/>
      <c r="NQ109" s="5"/>
      <c r="NR109" s="5"/>
      <c r="NS109" s="5"/>
      <c r="NT109" s="5"/>
      <c r="NU109" s="5"/>
      <c r="NV109" s="5"/>
      <c r="NW109" s="5"/>
      <c r="NX109" s="5"/>
      <c r="NY109" s="5"/>
      <c r="NZ109" s="5"/>
      <c r="OA109" s="5"/>
      <c r="OB109" s="5"/>
      <c r="OC109" s="5"/>
      <c r="OD109" s="5"/>
      <c r="OE109" s="5"/>
      <c r="OF109" s="5"/>
      <c r="OG109" s="5"/>
      <c r="OH109" s="5"/>
      <c r="OI109" s="5"/>
      <c r="OJ109" s="5"/>
      <c r="OK109" s="5"/>
      <c r="OL109" s="5"/>
      <c r="OM109" s="5"/>
      <c r="ON109" s="5"/>
      <c r="OO109" s="5"/>
      <c r="OP109" s="5"/>
      <c r="OQ109" s="5"/>
      <c r="OR109" s="5"/>
      <c r="OS109" s="5"/>
      <c r="OT109" s="5"/>
      <c r="OU109" s="5"/>
      <c r="OV109" s="5"/>
      <c r="OW109" s="5"/>
      <c r="OX109" s="5"/>
      <c r="OY109" s="5"/>
      <c r="OZ109" s="5"/>
      <c r="PA109" s="5"/>
      <c r="PB109" s="5"/>
      <c r="PC109" s="5"/>
      <c r="PD109" s="5"/>
      <c r="PE109" s="5"/>
      <c r="PF109" s="5"/>
      <c r="PG109" s="5"/>
      <c r="PH109" s="5"/>
      <c r="PI109" s="5"/>
      <c r="PJ109" s="5"/>
      <c r="PK109" s="5"/>
      <c r="PL109" s="5"/>
      <c r="PM109" s="5"/>
      <c r="PN109" s="5"/>
      <c r="PO109" s="5"/>
      <c r="PP109" s="5"/>
      <c r="PQ109" s="5"/>
      <c r="PR109" s="5"/>
      <c r="PS109" s="5"/>
      <c r="PT109" s="5"/>
      <c r="PU109" s="5"/>
      <c r="PV109" s="5"/>
      <c r="PW109" s="5"/>
      <c r="PX109" s="5"/>
      <c r="PY109" s="5"/>
      <c r="PZ109" s="5"/>
      <c r="QA109" s="5"/>
      <c r="QB109" s="5"/>
      <c r="QC109" s="5"/>
      <c r="QD109" s="5"/>
      <c r="QE109" s="5"/>
      <c r="QF109" s="5"/>
      <c r="QG109" s="5"/>
      <c r="QH109" s="5"/>
      <c r="QI109" s="5"/>
      <c r="QJ109" s="5"/>
      <c r="QK109" s="5"/>
      <c r="QL109" s="5"/>
      <c r="QM109" s="5"/>
      <c r="QN109" s="5"/>
      <c r="QO109" s="5"/>
      <c r="QP109" s="5"/>
      <c r="QQ109" s="5"/>
      <c r="QR109" s="5"/>
      <c r="QS109" s="5"/>
      <c r="QT109" s="5"/>
      <c r="QU109" s="5"/>
      <c r="QV109" s="5"/>
      <c r="QW109" s="5"/>
      <c r="QX109" s="5"/>
      <c r="QY109" s="5"/>
      <c r="QZ109" s="5"/>
      <c r="RA109" s="5"/>
      <c r="RB109" s="5"/>
      <c r="RC109" s="5"/>
      <c r="RD109" s="5"/>
      <c r="RE109" s="5"/>
      <c r="RF109" s="5"/>
      <c r="RG109" s="5"/>
      <c r="RH109" s="5"/>
      <c r="RI109" s="5"/>
      <c r="RJ109" s="5"/>
      <c r="RK109" s="5"/>
      <c r="RL109" s="5"/>
      <c r="RM109" s="5"/>
      <c r="RN109" s="5"/>
      <c r="RO109" s="5"/>
      <c r="RP109" s="5"/>
      <c r="RQ109" s="5"/>
      <c r="RR109" s="5"/>
      <c r="RS109" s="5"/>
      <c r="RT109" s="5"/>
      <c r="RU109" s="5"/>
      <c r="RV109" s="5"/>
      <c r="RW109" s="5"/>
      <c r="RX109" s="5"/>
      <c r="RY109" s="5"/>
      <c r="RZ109" s="5"/>
      <c r="SA109" s="5"/>
      <c r="SB109" s="5"/>
      <c r="SC109" s="5"/>
      <c r="SD109" s="5"/>
      <c r="SE109" s="5"/>
      <c r="SF109" s="5"/>
      <c r="SG109" s="5"/>
      <c r="SH109" s="5"/>
      <c r="SI109" s="5"/>
      <c r="SJ109" s="5"/>
      <c r="SK109" s="5"/>
      <c r="SL109" s="5"/>
      <c r="SM109" s="5"/>
      <c r="SN109" s="5"/>
      <c r="SO109" s="5"/>
      <c r="SP109" s="5"/>
      <c r="SQ109" s="5"/>
      <c r="SR109" s="5"/>
      <c r="SS109" s="5"/>
      <c r="ST109" s="5"/>
      <c r="SU109" s="5"/>
      <c r="SV109" s="5"/>
      <c r="SW109" s="5"/>
      <c r="SX109" s="5"/>
      <c r="SY109" s="5"/>
      <c r="SZ109" s="5"/>
      <c r="TA109" s="5"/>
      <c r="TB109" s="5"/>
      <c r="TC109" s="5"/>
      <c r="TD109" s="5"/>
      <c r="TE109" s="5"/>
      <c r="TF109" s="5"/>
      <c r="TG109" s="5"/>
      <c r="TH109" s="5"/>
      <c r="TI109" s="5"/>
      <c r="TJ109" s="5"/>
      <c r="TK109" s="5"/>
      <c r="TL109" s="5"/>
      <c r="TM109" s="5"/>
      <c r="TN109" s="5"/>
      <c r="TO109" s="5"/>
      <c r="TP109" s="5"/>
      <c r="TQ109" s="5"/>
      <c r="TR109" s="5"/>
      <c r="TS109" s="5"/>
      <c r="TT109" s="5"/>
      <c r="TU109" s="5"/>
      <c r="TV109" s="5"/>
      <c r="TW109" s="5"/>
      <c r="TX109" s="5"/>
      <c r="TY109" s="5"/>
      <c r="TZ109" s="5"/>
      <c r="UA109" s="5"/>
      <c r="UB109" s="5"/>
      <c r="UC109" s="5"/>
      <c r="UD109" s="5"/>
      <c r="UE109" s="5"/>
      <c r="UF109" s="5"/>
      <c r="UG109" s="5"/>
      <c r="UH109" s="5"/>
      <c r="UI109" s="5"/>
      <c r="UJ109" s="5"/>
      <c r="UK109" s="5"/>
      <c r="UL109" s="5"/>
      <c r="UM109" s="5"/>
      <c r="UN109" s="5"/>
      <c r="UO109" s="5"/>
      <c r="UP109" s="5"/>
      <c r="UQ109" s="5"/>
      <c r="UR109" s="5"/>
      <c r="US109" s="5"/>
      <c r="UT109" s="5"/>
      <c r="UU109" s="5"/>
      <c r="UV109" s="5"/>
      <c r="UW109" s="5"/>
      <c r="UX109" s="5"/>
      <c r="UY109" s="5"/>
      <c r="UZ109" s="5"/>
      <c r="VA109" s="5"/>
      <c r="VB109" s="5"/>
      <c r="VC109" s="5"/>
      <c r="VD109" s="5"/>
      <c r="VE109" s="5"/>
      <c r="VF109" s="5"/>
      <c r="VG109" s="5"/>
      <c r="VH109" s="5"/>
      <c r="VI109" s="5"/>
      <c r="VJ109" s="5"/>
      <c r="VK109" s="5"/>
      <c r="VL109" s="5"/>
      <c r="VM109" s="5"/>
      <c r="VN109" s="5"/>
      <c r="VO109" s="5"/>
      <c r="VP109" s="5"/>
      <c r="VQ109" s="5"/>
      <c r="VR109" s="5"/>
      <c r="VS109" s="5"/>
      <c r="VT109" s="5"/>
      <c r="VU109" s="5"/>
      <c r="VV109" s="5"/>
      <c r="VW109" s="5"/>
      <c r="VX109" s="5"/>
      <c r="VY109" s="5"/>
      <c r="VZ109" s="5"/>
      <c r="WA109" s="5"/>
      <c r="WB109" s="5"/>
      <c r="WC109" s="5"/>
      <c r="WD109" s="5"/>
      <c r="WE109" s="5"/>
      <c r="WF109" s="5"/>
      <c r="WG109" s="5"/>
      <c r="WH109" s="5"/>
      <c r="WI109" s="5"/>
      <c r="WJ109" s="5"/>
      <c r="WK109" s="5"/>
      <c r="WL109" s="5"/>
      <c r="WM109" s="5"/>
      <c r="WN109" s="5"/>
      <c r="WO109" s="5"/>
      <c r="WP109" s="5"/>
      <c r="WQ109" s="5"/>
      <c r="WR109" s="5"/>
      <c r="WS109" s="5"/>
      <c r="WT109" s="5"/>
      <c r="WU109" s="5"/>
      <c r="WV109" s="5"/>
      <c r="WW109" s="5"/>
      <c r="WX109" s="5"/>
      <c r="WY109" s="5"/>
      <c r="WZ109" s="5"/>
      <c r="XA109" s="5"/>
      <c r="XB109" s="5"/>
      <c r="XC109" s="5"/>
      <c r="XD109" s="5"/>
      <c r="XE109" s="5"/>
      <c r="XF109" s="5"/>
      <c r="XG109" s="5"/>
      <c r="XH109" s="5"/>
      <c r="XI109" s="5"/>
      <c r="XJ109" s="5"/>
      <c r="XK109" s="5"/>
      <c r="XL109" s="5"/>
      <c r="XM109" s="5"/>
      <c r="XN109" s="5"/>
      <c r="XO109" s="5"/>
      <c r="XP109" s="5"/>
      <c r="XQ109" s="5"/>
      <c r="XR109" s="5"/>
      <c r="XS109" s="5"/>
      <c r="XT109" s="5"/>
      <c r="XU109" s="5"/>
      <c r="XV109" s="5"/>
      <c r="XW109" s="5"/>
      <c r="XX109" s="5"/>
      <c r="XY109" s="5"/>
      <c r="XZ109" s="5"/>
      <c r="YA109" s="5"/>
      <c r="YB109" s="5"/>
      <c r="YC109" s="5"/>
      <c r="YD109" s="5"/>
      <c r="YE109" s="5"/>
      <c r="YF109" s="5"/>
      <c r="YG109" s="5"/>
      <c r="YH109" s="5"/>
      <c r="YI109" s="5"/>
      <c r="YJ109" s="5"/>
      <c r="YK109" s="5"/>
      <c r="YL109" s="5"/>
      <c r="YM109" s="5"/>
      <c r="YN109" s="5"/>
      <c r="YO109" s="5"/>
      <c r="YP109" s="5"/>
      <c r="YQ109" s="5"/>
      <c r="YR109" s="5"/>
      <c r="YS109" s="5"/>
      <c r="YT109" s="5"/>
      <c r="YU109" s="5"/>
      <c r="YV109" s="5"/>
      <c r="YW109" s="5"/>
      <c r="YX109" s="5"/>
      <c r="YY109" s="5"/>
      <c r="YZ109" s="5"/>
    </row>
    <row r="110" spans="1:676">
      <c r="A110" s="7">
        <v>100</v>
      </c>
      <c r="B110" s="7" t="s">
        <v>274</v>
      </c>
      <c r="C110" s="10" t="s">
        <v>275</v>
      </c>
      <c r="D110" s="7" t="s">
        <v>50</v>
      </c>
      <c r="E110" s="7" t="s">
        <v>71</v>
      </c>
      <c r="F110" s="7" t="s">
        <v>162</v>
      </c>
      <c r="G110" s="7"/>
      <c r="H110" s="7" t="s">
        <v>43</v>
      </c>
      <c r="I110" s="11">
        <v>2</v>
      </c>
      <c r="J110" s="11">
        <v>3</v>
      </c>
      <c r="K110" s="11">
        <v>0</v>
      </c>
      <c r="L110" s="11">
        <v>2.110000000000001</v>
      </c>
      <c r="M110" s="11">
        <v>0</v>
      </c>
      <c r="N110" s="11">
        <v>0</v>
      </c>
      <c r="O110" s="11">
        <v>0</v>
      </c>
      <c r="P110" s="11">
        <v>0.83</v>
      </c>
      <c r="Q110" s="11">
        <v>2.94</v>
      </c>
      <c r="R110" s="11">
        <v>0</v>
      </c>
      <c r="S110" s="11">
        <v>2.94</v>
      </c>
      <c r="T110" s="11">
        <v>2</v>
      </c>
      <c r="U110" s="11">
        <v>0.9400000000000004</v>
      </c>
      <c r="V110" s="11">
        <v>0</v>
      </c>
      <c r="W110" s="13">
        <v>2</v>
      </c>
      <c r="X110" s="13">
        <v>3</v>
      </c>
      <c r="Y110" s="13" t="str">
        <f>MIN(W110,S110)</f>
        <v>0</v>
      </c>
      <c r="Z110" s="13" t="str">
        <f>MIN(X110,(S110-Y110))</f>
        <v>0</v>
      </c>
      <c r="AA110" s="13" t="str">
        <f>S110-SUM(Y110,Z110)</f>
        <v>0</v>
      </c>
      <c r="AB110" s="15"/>
      <c r="AC110" s="15"/>
      <c r="AD110" s="1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/>
      <c r="GE110" s="5"/>
      <c r="GF110" s="5"/>
      <c r="GG110" s="5"/>
      <c r="GH110" s="5"/>
      <c r="GI110" s="5"/>
      <c r="GJ110" s="5"/>
      <c r="GK110" s="5"/>
      <c r="GL110" s="5"/>
      <c r="GM110" s="5"/>
      <c r="GN110" s="5"/>
      <c r="GO110" s="5"/>
      <c r="GP110" s="5"/>
      <c r="GQ110" s="5"/>
      <c r="GR110" s="5"/>
      <c r="GS110" s="5"/>
      <c r="GT110" s="5"/>
      <c r="GU110" s="5"/>
      <c r="GV110" s="5"/>
      <c r="GW110" s="5"/>
      <c r="GX110" s="5"/>
      <c r="GY110" s="5"/>
      <c r="GZ110" s="5"/>
      <c r="HA110" s="5"/>
      <c r="HB110" s="5"/>
      <c r="HC110" s="5"/>
      <c r="HD110" s="5"/>
      <c r="HE110" s="5"/>
      <c r="HF110" s="5"/>
      <c r="HG110" s="5"/>
      <c r="HH110" s="5"/>
      <c r="HI110" s="5"/>
      <c r="HJ110" s="5"/>
      <c r="HK110" s="5"/>
      <c r="HL110" s="5"/>
      <c r="HM110" s="5"/>
      <c r="HN110" s="5"/>
      <c r="HO110" s="5"/>
      <c r="HP110" s="5"/>
      <c r="HQ110" s="5"/>
      <c r="HR110" s="5"/>
      <c r="HS110" s="5"/>
      <c r="HT110" s="5"/>
      <c r="HU110" s="5"/>
      <c r="HV110" s="5"/>
      <c r="HW110" s="5"/>
      <c r="HX110" s="5"/>
      <c r="HY110" s="5"/>
      <c r="HZ110" s="5"/>
      <c r="IA110" s="5"/>
      <c r="IB110" s="5"/>
      <c r="IC110" s="5"/>
      <c r="ID110" s="5"/>
      <c r="IE110" s="5"/>
      <c r="IF110" s="5"/>
      <c r="IG110" s="5"/>
      <c r="IH110" s="5"/>
      <c r="II110" s="5"/>
      <c r="IJ110" s="5"/>
      <c r="IK110" s="5"/>
      <c r="IL110" s="5"/>
      <c r="IM110" s="5"/>
      <c r="IN110" s="5"/>
      <c r="IO110" s="5"/>
      <c r="IP110" s="5"/>
      <c r="IQ110" s="5"/>
      <c r="IR110" s="5"/>
      <c r="IS110" s="5"/>
      <c r="IT110" s="5"/>
      <c r="IU110" s="5"/>
      <c r="IV110" s="5"/>
      <c r="IW110" s="5"/>
      <c r="IX110" s="5"/>
      <c r="IY110" s="5"/>
      <c r="IZ110" s="5"/>
      <c r="JA110" s="5"/>
      <c r="JB110" s="5"/>
      <c r="JC110" s="5"/>
      <c r="JD110" s="5"/>
      <c r="JE110" s="5"/>
      <c r="JF110" s="5"/>
      <c r="JG110" s="5"/>
      <c r="JH110" s="5"/>
      <c r="JI110" s="5"/>
      <c r="JJ110" s="5"/>
      <c r="JK110" s="5"/>
      <c r="JL110" s="5"/>
      <c r="JM110" s="5"/>
      <c r="JN110" s="5"/>
      <c r="JO110" s="5"/>
      <c r="JP110" s="5"/>
      <c r="JQ110" s="5"/>
      <c r="JR110" s="5"/>
      <c r="JS110" s="5"/>
      <c r="JT110" s="5"/>
      <c r="JU110" s="5"/>
      <c r="JV110" s="5"/>
      <c r="JW110" s="5"/>
      <c r="JX110" s="5"/>
      <c r="JY110" s="5"/>
      <c r="JZ110" s="5"/>
      <c r="KA110" s="5"/>
      <c r="KB110" s="5"/>
      <c r="KC110" s="5"/>
      <c r="KD110" s="5"/>
      <c r="KE110" s="5"/>
      <c r="KF110" s="5"/>
      <c r="KG110" s="5"/>
      <c r="KH110" s="5"/>
      <c r="KI110" s="5"/>
      <c r="KJ110" s="5"/>
      <c r="KK110" s="5"/>
      <c r="KL110" s="5"/>
      <c r="KM110" s="5"/>
      <c r="KN110" s="5"/>
      <c r="KO110" s="5"/>
      <c r="KP110" s="5"/>
      <c r="KQ110" s="5"/>
      <c r="KR110" s="5"/>
      <c r="KS110" s="5"/>
      <c r="KT110" s="5"/>
      <c r="KU110" s="5"/>
      <c r="KV110" s="5"/>
      <c r="KW110" s="5"/>
      <c r="KX110" s="5"/>
      <c r="KY110" s="5"/>
      <c r="KZ110" s="5"/>
      <c r="LA110" s="5"/>
      <c r="LB110" s="5"/>
      <c r="LC110" s="5"/>
      <c r="LD110" s="5"/>
      <c r="LE110" s="5"/>
      <c r="LF110" s="5"/>
      <c r="LG110" s="5"/>
      <c r="LH110" s="5"/>
      <c r="LI110" s="5"/>
      <c r="LJ110" s="5"/>
      <c r="LK110" s="5"/>
      <c r="LL110" s="5"/>
      <c r="LM110" s="5"/>
      <c r="LN110" s="5"/>
      <c r="LO110" s="5"/>
      <c r="LP110" s="5"/>
      <c r="LQ110" s="5"/>
      <c r="LR110" s="5"/>
      <c r="LS110" s="5"/>
      <c r="LT110" s="5"/>
      <c r="LU110" s="5"/>
      <c r="LV110" s="5"/>
      <c r="LW110" s="5"/>
      <c r="LX110" s="5"/>
      <c r="LY110" s="5"/>
      <c r="LZ110" s="5"/>
      <c r="MA110" s="5"/>
      <c r="MB110" s="5"/>
      <c r="MC110" s="5"/>
      <c r="MD110" s="5"/>
      <c r="ME110" s="5"/>
      <c r="MF110" s="5"/>
      <c r="MG110" s="5"/>
      <c r="MH110" s="5"/>
      <c r="MI110" s="5"/>
      <c r="MJ110" s="5"/>
      <c r="MK110" s="5"/>
      <c r="ML110" s="5"/>
      <c r="MM110" s="5"/>
      <c r="MN110" s="5"/>
      <c r="MO110" s="5"/>
      <c r="MP110" s="5"/>
      <c r="MQ110" s="5"/>
      <c r="MR110" s="5"/>
      <c r="MS110" s="5"/>
      <c r="MT110" s="5"/>
      <c r="MU110" s="5"/>
      <c r="MV110" s="5"/>
      <c r="MW110" s="5"/>
      <c r="MX110" s="5"/>
      <c r="MY110" s="5"/>
      <c r="MZ110" s="5"/>
      <c r="NA110" s="5"/>
      <c r="NB110" s="5"/>
      <c r="NC110" s="5"/>
      <c r="ND110" s="5"/>
      <c r="NE110" s="5"/>
      <c r="NF110" s="5"/>
      <c r="NG110" s="5"/>
      <c r="NH110" s="5"/>
      <c r="NI110" s="5"/>
      <c r="NJ110" s="5"/>
      <c r="NK110" s="5"/>
      <c r="NL110" s="5"/>
      <c r="NM110" s="5"/>
      <c r="NN110" s="5"/>
      <c r="NO110" s="5"/>
      <c r="NP110" s="5"/>
      <c r="NQ110" s="5"/>
      <c r="NR110" s="5"/>
      <c r="NS110" s="5"/>
      <c r="NT110" s="5"/>
      <c r="NU110" s="5"/>
      <c r="NV110" s="5"/>
      <c r="NW110" s="5"/>
      <c r="NX110" s="5"/>
      <c r="NY110" s="5"/>
      <c r="NZ110" s="5"/>
      <c r="OA110" s="5"/>
      <c r="OB110" s="5"/>
      <c r="OC110" s="5"/>
      <c r="OD110" s="5"/>
      <c r="OE110" s="5"/>
      <c r="OF110" s="5"/>
      <c r="OG110" s="5"/>
      <c r="OH110" s="5"/>
      <c r="OI110" s="5"/>
      <c r="OJ110" s="5"/>
      <c r="OK110" s="5"/>
      <c r="OL110" s="5"/>
      <c r="OM110" s="5"/>
      <c r="ON110" s="5"/>
      <c r="OO110" s="5"/>
      <c r="OP110" s="5"/>
      <c r="OQ110" s="5"/>
      <c r="OR110" s="5"/>
      <c r="OS110" s="5"/>
      <c r="OT110" s="5"/>
      <c r="OU110" s="5"/>
      <c r="OV110" s="5"/>
      <c r="OW110" s="5"/>
      <c r="OX110" s="5"/>
      <c r="OY110" s="5"/>
      <c r="OZ110" s="5"/>
      <c r="PA110" s="5"/>
      <c r="PB110" s="5"/>
      <c r="PC110" s="5"/>
      <c r="PD110" s="5"/>
      <c r="PE110" s="5"/>
      <c r="PF110" s="5"/>
      <c r="PG110" s="5"/>
      <c r="PH110" s="5"/>
      <c r="PI110" s="5"/>
      <c r="PJ110" s="5"/>
      <c r="PK110" s="5"/>
      <c r="PL110" s="5"/>
      <c r="PM110" s="5"/>
      <c r="PN110" s="5"/>
      <c r="PO110" s="5"/>
      <c r="PP110" s="5"/>
      <c r="PQ110" s="5"/>
      <c r="PR110" s="5"/>
      <c r="PS110" s="5"/>
      <c r="PT110" s="5"/>
      <c r="PU110" s="5"/>
      <c r="PV110" s="5"/>
      <c r="PW110" s="5"/>
      <c r="PX110" s="5"/>
      <c r="PY110" s="5"/>
      <c r="PZ110" s="5"/>
      <c r="QA110" s="5"/>
      <c r="QB110" s="5"/>
      <c r="QC110" s="5"/>
      <c r="QD110" s="5"/>
      <c r="QE110" s="5"/>
      <c r="QF110" s="5"/>
      <c r="QG110" s="5"/>
      <c r="QH110" s="5"/>
      <c r="QI110" s="5"/>
      <c r="QJ110" s="5"/>
      <c r="QK110" s="5"/>
      <c r="QL110" s="5"/>
      <c r="QM110" s="5"/>
      <c r="QN110" s="5"/>
      <c r="QO110" s="5"/>
      <c r="QP110" s="5"/>
      <c r="QQ110" s="5"/>
      <c r="QR110" s="5"/>
      <c r="QS110" s="5"/>
      <c r="QT110" s="5"/>
      <c r="QU110" s="5"/>
      <c r="QV110" s="5"/>
      <c r="QW110" s="5"/>
      <c r="QX110" s="5"/>
      <c r="QY110" s="5"/>
      <c r="QZ110" s="5"/>
      <c r="RA110" s="5"/>
      <c r="RB110" s="5"/>
      <c r="RC110" s="5"/>
      <c r="RD110" s="5"/>
      <c r="RE110" s="5"/>
      <c r="RF110" s="5"/>
      <c r="RG110" s="5"/>
      <c r="RH110" s="5"/>
      <c r="RI110" s="5"/>
      <c r="RJ110" s="5"/>
      <c r="RK110" s="5"/>
      <c r="RL110" s="5"/>
      <c r="RM110" s="5"/>
      <c r="RN110" s="5"/>
      <c r="RO110" s="5"/>
      <c r="RP110" s="5"/>
      <c r="RQ110" s="5"/>
      <c r="RR110" s="5"/>
      <c r="RS110" s="5"/>
      <c r="RT110" s="5"/>
      <c r="RU110" s="5"/>
      <c r="RV110" s="5"/>
      <c r="RW110" s="5"/>
      <c r="RX110" s="5"/>
      <c r="RY110" s="5"/>
      <c r="RZ110" s="5"/>
      <c r="SA110" s="5"/>
      <c r="SB110" s="5"/>
      <c r="SC110" s="5"/>
      <c r="SD110" s="5"/>
      <c r="SE110" s="5"/>
      <c r="SF110" s="5"/>
      <c r="SG110" s="5"/>
      <c r="SH110" s="5"/>
      <c r="SI110" s="5"/>
      <c r="SJ110" s="5"/>
      <c r="SK110" s="5"/>
      <c r="SL110" s="5"/>
      <c r="SM110" s="5"/>
      <c r="SN110" s="5"/>
      <c r="SO110" s="5"/>
      <c r="SP110" s="5"/>
      <c r="SQ110" s="5"/>
      <c r="SR110" s="5"/>
      <c r="SS110" s="5"/>
      <c r="ST110" s="5"/>
      <c r="SU110" s="5"/>
      <c r="SV110" s="5"/>
      <c r="SW110" s="5"/>
      <c r="SX110" s="5"/>
      <c r="SY110" s="5"/>
      <c r="SZ110" s="5"/>
      <c r="TA110" s="5"/>
      <c r="TB110" s="5"/>
      <c r="TC110" s="5"/>
      <c r="TD110" s="5"/>
      <c r="TE110" s="5"/>
      <c r="TF110" s="5"/>
      <c r="TG110" s="5"/>
      <c r="TH110" s="5"/>
      <c r="TI110" s="5"/>
      <c r="TJ110" s="5"/>
      <c r="TK110" s="5"/>
      <c r="TL110" s="5"/>
      <c r="TM110" s="5"/>
      <c r="TN110" s="5"/>
      <c r="TO110" s="5"/>
      <c r="TP110" s="5"/>
      <c r="TQ110" s="5"/>
      <c r="TR110" s="5"/>
      <c r="TS110" s="5"/>
      <c r="TT110" s="5"/>
      <c r="TU110" s="5"/>
      <c r="TV110" s="5"/>
      <c r="TW110" s="5"/>
      <c r="TX110" s="5"/>
      <c r="TY110" s="5"/>
      <c r="TZ110" s="5"/>
      <c r="UA110" s="5"/>
      <c r="UB110" s="5"/>
      <c r="UC110" s="5"/>
      <c r="UD110" s="5"/>
      <c r="UE110" s="5"/>
      <c r="UF110" s="5"/>
      <c r="UG110" s="5"/>
      <c r="UH110" s="5"/>
      <c r="UI110" s="5"/>
      <c r="UJ110" s="5"/>
      <c r="UK110" s="5"/>
      <c r="UL110" s="5"/>
      <c r="UM110" s="5"/>
      <c r="UN110" s="5"/>
      <c r="UO110" s="5"/>
      <c r="UP110" s="5"/>
      <c r="UQ110" s="5"/>
      <c r="UR110" s="5"/>
      <c r="US110" s="5"/>
      <c r="UT110" s="5"/>
      <c r="UU110" s="5"/>
      <c r="UV110" s="5"/>
      <c r="UW110" s="5"/>
      <c r="UX110" s="5"/>
      <c r="UY110" s="5"/>
      <c r="UZ110" s="5"/>
      <c r="VA110" s="5"/>
      <c r="VB110" s="5"/>
      <c r="VC110" s="5"/>
      <c r="VD110" s="5"/>
      <c r="VE110" s="5"/>
      <c r="VF110" s="5"/>
      <c r="VG110" s="5"/>
      <c r="VH110" s="5"/>
      <c r="VI110" s="5"/>
      <c r="VJ110" s="5"/>
      <c r="VK110" s="5"/>
      <c r="VL110" s="5"/>
      <c r="VM110" s="5"/>
      <c r="VN110" s="5"/>
      <c r="VO110" s="5"/>
      <c r="VP110" s="5"/>
      <c r="VQ110" s="5"/>
      <c r="VR110" s="5"/>
      <c r="VS110" s="5"/>
      <c r="VT110" s="5"/>
      <c r="VU110" s="5"/>
      <c r="VV110" s="5"/>
      <c r="VW110" s="5"/>
      <c r="VX110" s="5"/>
      <c r="VY110" s="5"/>
      <c r="VZ110" s="5"/>
      <c r="WA110" s="5"/>
      <c r="WB110" s="5"/>
      <c r="WC110" s="5"/>
      <c r="WD110" s="5"/>
      <c r="WE110" s="5"/>
      <c r="WF110" s="5"/>
      <c r="WG110" s="5"/>
      <c r="WH110" s="5"/>
      <c r="WI110" s="5"/>
      <c r="WJ110" s="5"/>
      <c r="WK110" s="5"/>
      <c r="WL110" s="5"/>
      <c r="WM110" s="5"/>
      <c r="WN110" s="5"/>
      <c r="WO110" s="5"/>
      <c r="WP110" s="5"/>
      <c r="WQ110" s="5"/>
      <c r="WR110" s="5"/>
      <c r="WS110" s="5"/>
      <c r="WT110" s="5"/>
      <c r="WU110" s="5"/>
      <c r="WV110" s="5"/>
      <c r="WW110" s="5"/>
      <c r="WX110" s="5"/>
      <c r="WY110" s="5"/>
      <c r="WZ110" s="5"/>
      <c r="XA110" s="5"/>
      <c r="XB110" s="5"/>
      <c r="XC110" s="5"/>
      <c r="XD110" s="5"/>
      <c r="XE110" s="5"/>
      <c r="XF110" s="5"/>
      <c r="XG110" s="5"/>
      <c r="XH110" s="5"/>
      <c r="XI110" s="5"/>
      <c r="XJ110" s="5"/>
      <c r="XK110" s="5"/>
      <c r="XL110" s="5"/>
      <c r="XM110" s="5"/>
      <c r="XN110" s="5"/>
      <c r="XO110" s="5"/>
      <c r="XP110" s="5"/>
      <c r="XQ110" s="5"/>
      <c r="XR110" s="5"/>
      <c r="XS110" s="5"/>
      <c r="XT110" s="5"/>
      <c r="XU110" s="5"/>
      <c r="XV110" s="5"/>
      <c r="XW110" s="5"/>
      <c r="XX110" s="5"/>
      <c r="XY110" s="5"/>
      <c r="XZ110" s="5"/>
      <c r="YA110" s="5"/>
      <c r="YB110" s="5"/>
      <c r="YC110" s="5"/>
      <c r="YD110" s="5"/>
      <c r="YE110" s="5"/>
      <c r="YF110" s="5"/>
      <c r="YG110" s="5"/>
      <c r="YH110" s="5"/>
      <c r="YI110" s="5"/>
      <c r="YJ110" s="5"/>
      <c r="YK110" s="5"/>
      <c r="YL110" s="5"/>
      <c r="YM110" s="5"/>
      <c r="YN110" s="5"/>
      <c r="YO110" s="5"/>
      <c r="YP110" s="5"/>
      <c r="YQ110" s="5"/>
      <c r="YR110" s="5"/>
      <c r="YS110" s="5"/>
      <c r="YT110" s="5"/>
      <c r="YU110" s="5"/>
      <c r="YV110" s="5"/>
      <c r="YW110" s="5"/>
      <c r="YX110" s="5"/>
      <c r="YY110" s="5"/>
      <c r="YZ110" s="5"/>
    </row>
    <row r="111" spans="1:676">
      <c r="A111" s="7">
        <v>101</v>
      </c>
      <c r="B111" s="7" t="s">
        <v>276</v>
      </c>
      <c r="C111" s="10" t="s">
        <v>277</v>
      </c>
      <c r="D111" s="7" t="s">
        <v>105</v>
      </c>
      <c r="E111" s="7" t="s">
        <v>71</v>
      </c>
      <c r="F111" s="7" t="s">
        <v>162</v>
      </c>
      <c r="G111" s="7"/>
      <c r="H111" s="7" t="s">
        <v>43</v>
      </c>
      <c r="I111" s="11">
        <v>2</v>
      </c>
      <c r="J111" s="11">
        <v>3</v>
      </c>
      <c r="K111" s="11">
        <v>0</v>
      </c>
      <c r="L111" s="11">
        <v>3.39</v>
      </c>
      <c r="M111" s="11">
        <v>0.16</v>
      </c>
      <c r="N111" s="11">
        <v>0</v>
      </c>
      <c r="O111" s="11">
        <v>0.18</v>
      </c>
      <c r="P111" s="11">
        <v>0.8</v>
      </c>
      <c r="Q111" s="11">
        <v>4.529999999999998</v>
      </c>
      <c r="R111" s="11">
        <v>0</v>
      </c>
      <c r="S111" s="11">
        <v>4.529999999999998</v>
      </c>
      <c r="T111" s="11">
        <v>2</v>
      </c>
      <c r="U111" s="11">
        <v>2.529999999999998</v>
      </c>
      <c r="V111" s="11">
        <v>0</v>
      </c>
      <c r="W111" s="13">
        <v>2</v>
      </c>
      <c r="X111" s="13">
        <v>3</v>
      </c>
      <c r="Y111" s="13" t="str">
        <f>MIN(W111,S111)</f>
        <v>0</v>
      </c>
      <c r="Z111" s="13" t="str">
        <f>MIN(X111,(S111-Y111))</f>
        <v>0</v>
      </c>
      <c r="AA111" s="13" t="str">
        <f>S111-SUM(Y111,Z111)</f>
        <v>0</v>
      </c>
      <c r="AB111" s="15"/>
      <c r="AC111" s="15"/>
      <c r="AD111" s="1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5"/>
      <c r="GF111" s="5"/>
      <c r="GG111" s="5"/>
      <c r="GH111" s="5"/>
      <c r="GI111" s="5"/>
      <c r="GJ111" s="5"/>
      <c r="GK111" s="5"/>
      <c r="GL111" s="5"/>
      <c r="GM111" s="5"/>
      <c r="GN111" s="5"/>
      <c r="GO111" s="5"/>
      <c r="GP111" s="5"/>
      <c r="GQ111" s="5"/>
      <c r="GR111" s="5"/>
      <c r="GS111" s="5"/>
      <c r="GT111" s="5"/>
      <c r="GU111" s="5"/>
      <c r="GV111" s="5"/>
      <c r="GW111" s="5"/>
      <c r="GX111" s="5"/>
      <c r="GY111" s="5"/>
      <c r="GZ111" s="5"/>
      <c r="HA111" s="5"/>
      <c r="HB111" s="5"/>
      <c r="HC111" s="5"/>
      <c r="HD111" s="5"/>
      <c r="HE111" s="5"/>
      <c r="HF111" s="5"/>
      <c r="HG111" s="5"/>
      <c r="HH111" s="5"/>
      <c r="HI111" s="5"/>
      <c r="HJ111" s="5"/>
      <c r="HK111" s="5"/>
      <c r="HL111" s="5"/>
      <c r="HM111" s="5"/>
      <c r="HN111" s="5"/>
      <c r="HO111" s="5"/>
      <c r="HP111" s="5"/>
      <c r="HQ111" s="5"/>
      <c r="HR111" s="5"/>
      <c r="HS111" s="5"/>
      <c r="HT111" s="5"/>
      <c r="HU111" s="5"/>
      <c r="HV111" s="5"/>
      <c r="HW111" s="5"/>
      <c r="HX111" s="5"/>
      <c r="HY111" s="5"/>
      <c r="HZ111" s="5"/>
      <c r="IA111" s="5"/>
      <c r="IB111" s="5"/>
      <c r="IC111" s="5"/>
      <c r="ID111" s="5"/>
      <c r="IE111" s="5"/>
      <c r="IF111" s="5"/>
      <c r="IG111" s="5"/>
      <c r="IH111" s="5"/>
      <c r="II111" s="5"/>
      <c r="IJ111" s="5"/>
      <c r="IK111" s="5"/>
      <c r="IL111" s="5"/>
      <c r="IM111" s="5"/>
      <c r="IN111" s="5"/>
      <c r="IO111" s="5"/>
      <c r="IP111" s="5"/>
      <c r="IQ111" s="5"/>
      <c r="IR111" s="5"/>
      <c r="IS111" s="5"/>
      <c r="IT111" s="5"/>
      <c r="IU111" s="5"/>
      <c r="IV111" s="5"/>
      <c r="IW111" s="5"/>
      <c r="IX111" s="5"/>
      <c r="IY111" s="5"/>
      <c r="IZ111" s="5"/>
      <c r="JA111" s="5"/>
      <c r="JB111" s="5"/>
      <c r="JC111" s="5"/>
      <c r="JD111" s="5"/>
      <c r="JE111" s="5"/>
      <c r="JF111" s="5"/>
      <c r="JG111" s="5"/>
      <c r="JH111" s="5"/>
      <c r="JI111" s="5"/>
      <c r="JJ111" s="5"/>
      <c r="JK111" s="5"/>
      <c r="JL111" s="5"/>
      <c r="JM111" s="5"/>
      <c r="JN111" s="5"/>
      <c r="JO111" s="5"/>
      <c r="JP111" s="5"/>
      <c r="JQ111" s="5"/>
      <c r="JR111" s="5"/>
      <c r="JS111" s="5"/>
      <c r="JT111" s="5"/>
      <c r="JU111" s="5"/>
      <c r="JV111" s="5"/>
      <c r="JW111" s="5"/>
      <c r="JX111" s="5"/>
      <c r="JY111" s="5"/>
      <c r="JZ111" s="5"/>
      <c r="KA111" s="5"/>
      <c r="KB111" s="5"/>
      <c r="KC111" s="5"/>
      <c r="KD111" s="5"/>
      <c r="KE111" s="5"/>
      <c r="KF111" s="5"/>
      <c r="KG111" s="5"/>
      <c r="KH111" s="5"/>
      <c r="KI111" s="5"/>
      <c r="KJ111" s="5"/>
      <c r="KK111" s="5"/>
      <c r="KL111" s="5"/>
      <c r="KM111" s="5"/>
      <c r="KN111" s="5"/>
      <c r="KO111" s="5"/>
      <c r="KP111" s="5"/>
      <c r="KQ111" s="5"/>
      <c r="KR111" s="5"/>
      <c r="KS111" s="5"/>
      <c r="KT111" s="5"/>
      <c r="KU111" s="5"/>
      <c r="KV111" s="5"/>
      <c r="KW111" s="5"/>
      <c r="KX111" s="5"/>
      <c r="KY111" s="5"/>
      <c r="KZ111" s="5"/>
      <c r="LA111" s="5"/>
      <c r="LB111" s="5"/>
      <c r="LC111" s="5"/>
      <c r="LD111" s="5"/>
      <c r="LE111" s="5"/>
      <c r="LF111" s="5"/>
      <c r="LG111" s="5"/>
      <c r="LH111" s="5"/>
      <c r="LI111" s="5"/>
      <c r="LJ111" s="5"/>
      <c r="LK111" s="5"/>
      <c r="LL111" s="5"/>
      <c r="LM111" s="5"/>
      <c r="LN111" s="5"/>
      <c r="LO111" s="5"/>
      <c r="LP111" s="5"/>
      <c r="LQ111" s="5"/>
      <c r="LR111" s="5"/>
      <c r="LS111" s="5"/>
      <c r="LT111" s="5"/>
      <c r="LU111" s="5"/>
      <c r="LV111" s="5"/>
      <c r="LW111" s="5"/>
      <c r="LX111" s="5"/>
      <c r="LY111" s="5"/>
      <c r="LZ111" s="5"/>
      <c r="MA111" s="5"/>
      <c r="MB111" s="5"/>
      <c r="MC111" s="5"/>
      <c r="MD111" s="5"/>
      <c r="ME111" s="5"/>
      <c r="MF111" s="5"/>
      <c r="MG111" s="5"/>
      <c r="MH111" s="5"/>
      <c r="MI111" s="5"/>
      <c r="MJ111" s="5"/>
      <c r="MK111" s="5"/>
      <c r="ML111" s="5"/>
      <c r="MM111" s="5"/>
      <c r="MN111" s="5"/>
      <c r="MO111" s="5"/>
      <c r="MP111" s="5"/>
      <c r="MQ111" s="5"/>
      <c r="MR111" s="5"/>
      <c r="MS111" s="5"/>
      <c r="MT111" s="5"/>
      <c r="MU111" s="5"/>
      <c r="MV111" s="5"/>
      <c r="MW111" s="5"/>
      <c r="MX111" s="5"/>
      <c r="MY111" s="5"/>
      <c r="MZ111" s="5"/>
      <c r="NA111" s="5"/>
      <c r="NB111" s="5"/>
      <c r="NC111" s="5"/>
      <c r="ND111" s="5"/>
      <c r="NE111" s="5"/>
      <c r="NF111" s="5"/>
      <c r="NG111" s="5"/>
      <c r="NH111" s="5"/>
      <c r="NI111" s="5"/>
      <c r="NJ111" s="5"/>
      <c r="NK111" s="5"/>
      <c r="NL111" s="5"/>
      <c r="NM111" s="5"/>
      <c r="NN111" s="5"/>
      <c r="NO111" s="5"/>
      <c r="NP111" s="5"/>
      <c r="NQ111" s="5"/>
      <c r="NR111" s="5"/>
      <c r="NS111" s="5"/>
      <c r="NT111" s="5"/>
      <c r="NU111" s="5"/>
      <c r="NV111" s="5"/>
      <c r="NW111" s="5"/>
      <c r="NX111" s="5"/>
      <c r="NY111" s="5"/>
      <c r="NZ111" s="5"/>
      <c r="OA111" s="5"/>
      <c r="OB111" s="5"/>
      <c r="OC111" s="5"/>
      <c r="OD111" s="5"/>
      <c r="OE111" s="5"/>
      <c r="OF111" s="5"/>
      <c r="OG111" s="5"/>
      <c r="OH111" s="5"/>
      <c r="OI111" s="5"/>
      <c r="OJ111" s="5"/>
      <c r="OK111" s="5"/>
      <c r="OL111" s="5"/>
      <c r="OM111" s="5"/>
      <c r="ON111" s="5"/>
      <c r="OO111" s="5"/>
      <c r="OP111" s="5"/>
      <c r="OQ111" s="5"/>
      <c r="OR111" s="5"/>
      <c r="OS111" s="5"/>
      <c r="OT111" s="5"/>
      <c r="OU111" s="5"/>
      <c r="OV111" s="5"/>
      <c r="OW111" s="5"/>
      <c r="OX111" s="5"/>
      <c r="OY111" s="5"/>
      <c r="OZ111" s="5"/>
      <c r="PA111" s="5"/>
      <c r="PB111" s="5"/>
      <c r="PC111" s="5"/>
      <c r="PD111" s="5"/>
      <c r="PE111" s="5"/>
      <c r="PF111" s="5"/>
      <c r="PG111" s="5"/>
      <c r="PH111" s="5"/>
      <c r="PI111" s="5"/>
      <c r="PJ111" s="5"/>
      <c r="PK111" s="5"/>
      <c r="PL111" s="5"/>
      <c r="PM111" s="5"/>
      <c r="PN111" s="5"/>
      <c r="PO111" s="5"/>
      <c r="PP111" s="5"/>
      <c r="PQ111" s="5"/>
      <c r="PR111" s="5"/>
      <c r="PS111" s="5"/>
      <c r="PT111" s="5"/>
      <c r="PU111" s="5"/>
      <c r="PV111" s="5"/>
      <c r="PW111" s="5"/>
      <c r="PX111" s="5"/>
      <c r="PY111" s="5"/>
      <c r="PZ111" s="5"/>
      <c r="QA111" s="5"/>
      <c r="QB111" s="5"/>
      <c r="QC111" s="5"/>
      <c r="QD111" s="5"/>
      <c r="QE111" s="5"/>
      <c r="QF111" s="5"/>
      <c r="QG111" s="5"/>
      <c r="QH111" s="5"/>
      <c r="QI111" s="5"/>
      <c r="QJ111" s="5"/>
      <c r="QK111" s="5"/>
      <c r="QL111" s="5"/>
      <c r="QM111" s="5"/>
      <c r="QN111" s="5"/>
      <c r="QO111" s="5"/>
      <c r="QP111" s="5"/>
      <c r="QQ111" s="5"/>
      <c r="QR111" s="5"/>
      <c r="QS111" s="5"/>
      <c r="QT111" s="5"/>
      <c r="QU111" s="5"/>
      <c r="QV111" s="5"/>
      <c r="QW111" s="5"/>
      <c r="QX111" s="5"/>
      <c r="QY111" s="5"/>
      <c r="QZ111" s="5"/>
      <c r="RA111" s="5"/>
      <c r="RB111" s="5"/>
      <c r="RC111" s="5"/>
      <c r="RD111" s="5"/>
      <c r="RE111" s="5"/>
      <c r="RF111" s="5"/>
      <c r="RG111" s="5"/>
      <c r="RH111" s="5"/>
      <c r="RI111" s="5"/>
      <c r="RJ111" s="5"/>
      <c r="RK111" s="5"/>
      <c r="RL111" s="5"/>
      <c r="RM111" s="5"/>
      <c r="RN111" s="5"/>
      <c r="RO111" s="5"/>
      <c r="RP111" s="5"/>
      <c r="RQ111" s="5"/>
      <c r="RR111" s="5"/>
      <c r="RS111" s="5"/>
      <c r="RT111" s="5"/>
      <c r="RU111" s="5"/>
      <c r="RV111" s="5"/>
      <c r="RW111" s="5"/>
      <c r="RX111" s="5"/>
      <c r="RY111" s="5"/>
      <c r="RZ111" s="5"/>
      <c r="SA111" s="5"/>
      <c r="SB111" s="5"/>
      <c r="SC111" s="5"/>
      <c r="SD111" s="5"/>
      <c r="SE111" s="5"/>
      <c r="SF111" s="5"/>
      <c r="SG111" s="5"/>
      <c r="SH111" s="5"/>
      <c r="SI111" s="5"/>
      <c r="SJ111" s="5"/>
      <c r="SK111" s="5"/>
      <c r="SL111" s="5"/>
      <c r="SM111" s="5"/>
      <c r="SN111" s="5"/>
      <c r="SO111" s="5"/>
      <c r="SP111" s="5"/>
      <c r="SQ111" s="5"/>
      <c r="SR111" s="5"/>
      <c r="SS111" s="5"/>
      <c r="ST111" s="5"/>
      <c r="SU111" s="5"/>
      <c r="SV111" s="5"/>
      <c r="SW111" s="5"/>
      <c r="SX111" s="5"/>
      <c r="SY111" s="5"/>
      <c r="SZ111" s="5"/>
      <c r="TA111" s="5"/>
      <c r="TB111" s="5"/>
      <c r="TC111" s="5"/>
      <c r="TD111" s="5"/>
      <c r="TE111" s="5"/>
      <c r="TF111" s="5"/>
      <c r="TG111" s="5"/>
      <c r="TH111" s="5"/>
      <c r="TI111" s="5"/>
      <c r="TJ111" s="5"/>
      <c r="TK111" s="5"/>
      <c r="TL111" s="5"/>
      <c r="TM111" s="5"/>
      <c r="TN111" s="5"/>
      <c r="TO111" s="5"/>
      <c r="TP111" s="5"/>
      <c r="TQ111" s="5"/>
      <c r="TR111" s="5"/>
      <c r="TS111" s="5"/>
      <c r="TT111" s="5"/>
      <c r="TU111" s="5"/>
      <c r="TV111" s="5"/>
      <c r="TW111" s="5"/>
      <c r="TX111" s="5"/>
      <c r="TY111" s="5"/>
      <c r="TZ111" s="5"/>
      <c r="UA111" s="5"/>
      <c r="UB111" s="5"/>
      <c r="UC111" s="5"/>
      <c r="UD111" s="5"/>
      <c r="UE111" s="5"/>
      <c r="UF111" s="5"/>
      <c r="UG111" s="5"/>
      <c r="UH111" s="5"/>
      <c r="UI111" s="5"/>
      <c r="UJ111" s="5"/>
      <c r="UK111" s="5"/>
      <c r="UL111" s="5"/>
      <c r="UM111" s="5"/>
      <c r="UN111" s="5"/>
      <c r="UO111" s="5"/>
      <c r="UP111" s="5"/>
      <c r="UQ111" s="5"/>
      <c r="UR111" s="5"/>
      <c r="US111" s="5"/>
      <c r="UT111" s="5"/>
      <c r="UU111" s="5"/>
      <c r="UV111" s="5"/>
      <c r="UW111" s="5"/>
      <c r="UX111" s="5"/>
      <c r="UY111" s="5"/>
      <c r="UZ111" s="5"/>
      <c r="VA111" s="5"/>
      <c r="VB111" s="5"/>
      <c r="VC111" s="5"/>
      <c r="VD111" s="5"/>
      <c r="VE111" s="5"/>
      <c r="VF111" s="5"/>
      <c r="VG111" s="5"/>
      <c r="VH111" s="5"/>
      <c r="VI111" s="5"/>
      <c r="VJ111" s="5"/>
      <c r="VK111" s="5"/>
      <c r="VL111" s="5"/>
      <c r="VM111" s="5"/>
      <c r="VN111" s="5"/>
      <c r="VO111" s="5"/>
      <c r="VP111" s="5"/>
      <c r="VQ111" s="5"/>
      <c r="VR111" s="5"/>
      <c r="VS111" s="5"/>
      <c r="VT111" s="5"/>
      <c r="VU111" s="5"/>
      <c r="VV111" s="5"/>
      <c r="VW111" s="5"/>
      <c r="VX111" s="5"/>
      <c r="VY111" s="5"/>
      <c r="VZ111" s="5"/>
      <c r="WA111" s="5"/>
      <c r="WB111" s="5"/>
      <c r="WC111" s="5"/>
      <c r="WD111" s="5"/>
      <c r="WE111" s="5"/>
      <c r="WF111" s="5"/>
      <c r="WG111" s="5"/>
      <c r="WH111" s="5"/>
      <c r="WI111" s="5"/>
      <c r="WJ111" s="5"/>
      <c r="WK111" s="5"/>
      <c r="WL111" s="5"/>
      <c r="WM111" s="5"/>
      <c r="WN111" s="5"/>
      <c r="WO111" s="5"/>
      <c r="WP111" s="5"/>
      <c r="WQ111" s="5"/>
      <c r="WR111" s="5"/>
      <c r="WS111" s="5"/>
      <c r="WT111" s="5"/>
      <c r="WU111" s="5"/>
      <c r="WV111" s="5"/>
      <c r="WW111" s="5"/>
      <c r="WX111" s="5"/>
      <c r="WY111" s="5"/>
      <c r="WZ111" s="5"/>
      <c r="XA111" s="5"/>
      <c r="XB111" s="5"/>
      <c r="XC111" s="5"/>
      <c r="XD111" s="5"/>
      <c r="XE111" s="5"/>
      <c r="XF111" s="5"/>
      <c r="XG111" s="5"/>
      <c r="XH111" s="5"/>
      <c r="XI111" s="5"/>
      <c r="XJ111" s="5"/>
      <c r="XK111" s="5"/>
      <c r="XL111" s="5"/>
      <c r="XM111" s="5"/>
      <c r="XN111" s="5"/>
      <c r="XO111" s="5"/>
      <c r="XP111" s="5"/>
      <c r="XQ111" s="5"/>
      <c r="XR111" s="5"/>
      <c r="XS111" s="5"/>
      <c r="XT111" s="5"/>
      <c r="XU111" s="5"/>
      <c r="XV111" s="5"/>
      <c r="XW111" s="5"/>
      <c r="XX111" s="5"/>
      <c r="XY111" s="5"/>
      <c r="XZ111" s="5"/>
      <c r="YA111" s="5"/>
      <c r="YB111" s="5"/>
      <c r="YC111" s="5"/>
      <c r="YD111" s="5"/>
      <c r="YE111" s="5"/>
      <c r="YF111" s="5"/>
      <c r="YG111" s="5"/>
      <c r="YH111" s="5"/>
      <c r="YI111" s="5"/>
      <c r="YJ111" s="5"/>
      <c r="YK111" s="5"/>
      <c r="YL111" s="5"/>
      <c r="YM111" s="5"/>
      <c r="YN111" s="5"/>
      <c r="YO111" s="5"/>
      <c r="YP111" s="5"/>
      <c r="YQ111" s="5"/>
      <c r="YR111" s="5"/>
      <c r="YS111" s="5"/>
      <c r="YT111" s="5"/>
      <c r="YU111" s="5"/>
      <c r="YV111" s="5"/>
      <c r="YW111" s="5"/>
      <c r="YX111" s="5"/>
      <c r="YY111" s="5"/>
      <c r="YZ111" s="5"/>
    </row>
    <row r="112" spans="1:676">
      <c r="A112" s="7">
        <v>102</v>
      </c>
      <c r="B112" s="7" t="s">
        <v>278</v>
      </c>
      <c r="C112" s="10" t="s">
        <v>279</v>
      </c>
      <c r="D112" s="7" t="s">
        <v>152</v>
      </c>
      <c r="E112" s="7" t="s">
        <v>120</v>
      </c>
      <c r="F112" s="7" t="s">
        <v>162</v>
      </c>
      <c r="G112" s="7"/>
      <c r="H112" s="7" t="s">
        <v>43</v>
      </c>
      <c r="I112" s="11">
        <v>2</v>
      </c>
      <c r="J112" s="11">
        <v>3</v>
      </c>
      <c r="K112" s="11">
        <v>0</v>
      </c>
      <c r="L112" s="11">
        <v>1.45</v>
      </c>
      <c r="M112" s="11">
        <v>0.24</v>
      </c>
      <c r="N112" s="11">
        <v>0</v>
      </c>
      <c r="O112" s="11">
        <v>0.36</v>
      </c>
      <c r="P112" s="11">
        <v>0</v>
      </c>
      <c r="Q112" s="11">
        <v>2.05</v>
      </c>
      <c r="R112" s="11">
        <v>0</v>
      </c>
      <c r="S112" s="11">
        <v>2.05</v>
      </c>
      <c r="T112" s="11">
        <v>2</v>
      </c>
      <c r="U112" s="11">
        <v>0.05000000000000027</v>
      </c>
      <c r="V112" s="11">
        <v>0</v>
      </c>
      <c r="W112" s="13">
        <v>2</v>
      </c>
      <c r="X112" s="13">
        <v>3</v>
      </c>
      <c r="Y112" s="13" t="str">
        <f>MIN(W112,S112)</f>
        <v>0</v>
      </c>
      <c r="Z112" s="13" t="str">
        <f>MIN(X112,(S112-Y112))</f>
        <v>0</v>
      </c>
      <c r="AA112" s="13" t="str">
        <f>S112-SUM(Y112,Z112)</f>
        <v>0</v>
      </c>
      <c r="AB112" s="15"/>
      <c r="AC112" s="15"/>
      <c r="AD112" s="1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  <c r="GV112" s="5"/>
      <c r="GW112" s="5"/>
      <c r="GX112" s="5"/>
      <c r="GY112" s="5"/>
      <c r="GZ112" s="5"/>
      <c r="HA112" s="5"/>
      <c r="HB112" s="5"/>
      <c r="HC112" s="5"/>
      <c r="HD112" s="5"/>
      <c r="HE112" s="5"/>
      <c r="HF112" s="5"/>
      <c r="HG112" s="5"/>
      <c r="HH112" s="5"/>
      <c r="HI112" s="5"/>
      <c r="HJ112" s="5"/>
      <c r="HK112" s="5"/>
      <c r="HL112" s="5"/>
      <c r="HM112" s="5"/>
      <c r="HN112" s="5"/>
      <c r="HO112" s="5"/>
      <c r="HP112" s="5"/>
      <c r="HQ112" s="5"/>
      <c r="HR112" s="5"/>
      <c r="HS112" s="5"/>
      <c r="HT112" s="5"/>
      <c r="HU112" s="5"/>
      <c r="HV112" s="5"/>
      <c r="HW112" s="5"/>
      <c r="HX112" s="5"/>
      <c r="HY112" s="5"/>
      <c r="HZ112" s="5"/>
      <c r="IA112" s="5"/>
      <c r="IB112" s="5"/>
      <c r="IC112" s="5"/>
      <c r="ID112" s="5"/>
      <c r="IE112" s="5"/>
      <c r="IF112" s="5"/>
      <c r="IG112" s="5"/>
      <c r="IH112" s="5"/>
      <c r="II112" s="5"/>
      <c r="IJ112" s="5"/>
      <c r="IK112" s="5"/>
      <c r="IL112" s="5"/>
      <c r="IM112" s="5"/>
      <c r="IN112" s="5"/>
      <c r="IO112" s="5"/>
      <c r="IP112" s="5"/>
      <c r="IQ112" s="5"/>
      <c r="IR112" s="5"/>
      <c r="IS112" s="5"/>
      <c r="IT112" s="5"/>
      <c r="IU112" s="5"/>
      <c r="IV112" s="5"/>
      <c r="IW112" s="5"/>
      <c r="IX112" s="5"/>
      <c r="IY112" s="5"/>
      <c r="IZ112" s="5"/>
      <c r="JA112" s="5"/>
      <c r="JB112" s="5"/>
      <c r="JC112" s="5"/>
      <c r="JD112" s="5"/>
      <c r="JE112" s="5"/>
      <c r="JF112" s="5"/>
      <c r="JG112" s="5"/>
      <c r="JH112" s="5"/>
      <c r="JI112" s="5"/>
      <c r="JJ112" s="5"/>
      <c r="JK112" s="5"/>
      <c r="JL112" s="5"/>
      <c r="JM112" s="5"/>
      <c r="JN112" s="5"/>
      <c r="JO112" s="5"/>
      <c r="JP112" s="5"/>
      <c r="JQ112" s="5"/>
      <c r="JR112" s="5"/>
      <c r="JS112" s="5"/>
      <c r="JT112" s="5"/>
      <c r="JU112" s="5"/>
      <c r="JV112" s="5"/>
      <c r="JW112" s="5"/>
      <c r="JX112" s="5"/>
      <c r="JY112" s="5"/>
      <c r="JZ112" s="5"/>
      <c r="KA112" s="5"/>
      <c r="KB112" s="5"/>
      <c r="KC112" s="5"/>
      <c r="KD112" s="5"/>
      <c r="KE112" s="5"/>
      <c r="KF112" s="5"/>
      <c r="KG112" s="5"/>
      <c r="KH112" s="5"/>
      <c r="KI112" s="5"/>
      <c r="KJ112" s="5"/>
      <c r="KK112" s="5"/>
      <c r="KL112" s="5"/>
      <c r="KM112" s="5"/>
      <c r="KN112" s="5"/>
      <c r="KO112" s="5"/>
      <c r="KP112" s="5"/>
      <c r="KQ112" s="5"/>
      <c r="KR112" s="5"/>
      <c r="KS112" s="5"/>
      <c r="KT112" s="5"/>
      <c r="KU112" s="5"/>
      <c r="KV112" s="5"/>
      <c r="KW112" s="5"/>
      <c r="KX112" s="5"/>
      <c r="KY112" s="5"/>
      <c r="KZ112" s="5"/>
      <c r="LA112" s="5"/>
      <c r="LB112" s="5"/>
      <c r="LC112" s="5"/>
      <c r="LD112" s="5"/>
      <c r="LE112" s="5"/>
      <c r="LF112" s="5"/>
      <c r="LG112" s="5"/>
      <c r="LH112" s="5"/>
      <c r="LI112" s="5"/>
      <c r="LJ112" s="5"/>
      <c r="LK112" s="5"/>
      <c r="LL112" s="5"/>
      <c r="LM112" s="5"/>
      <c r="LN112" s="5"/>
      <c r="LO112" s="5"/>
      <c r="LP112" s="5"/>
      <c r="LQ112" s="5"/>
      <c r="LR112" s="5"/>
      <c r="LS112" s="5"/>
      <c r="LT112" s="5"/>
      <c r="LU112" s="5"/>
      <c r="LV112" s="5"/>
      <c r="LW112" s="5"/>
      <c r="LX112" s="5"/>
      <c r="LY112" s="5"/>
      <c r="LZ112" s="5"/>
      <c r="MA112" s="5"/>
      <c r="MB112" s="5"/>
      <c r="MC112" s="5"/>
      <c r="MD112" s="5"/>
      <c r="ME112" s="5"/>
      <c r="MF112" s="5"/>
      <c r="MG112" s="5"/>
      <c r="MH112" s="5"/>
      <c r="MI112" s="5"/>
      <c r="MJ112" s="5"/>
      <c r="MK112" s="5"/>
      <c r="ML112" s="5"/>
      <c r="MM112" s="5"/>
      <c r="MN112" s="5"/>
      <c r="MO112" s="5"/>
      <c r="MP112" s="5"/>
      <c r="MQ112" s="5"/>
      <c r="MR112" s="5"/>
      <c r="MS112" s="5"/>
      <c r="MT112" s="5"/>
      <c r="MU112" s="5"/>
      <c r="MV112" s="5"/>
      <c r="MW112" s="5"/>
      <c r="MX112" s="5"/>
      <c r="MY112" s="5"/>
      <c r="MZ112" s="5"/>
      <c r="NA112" s="5"/>
      <c r="NB112" s="5"/>
      <c r="NC112" s="5"/>
      <c r="ND112" s="5"/>
      <c r="NE112" s="5"/>
      <c r="NF112" s="5"/>
      <c r="NG112" s="5"/>
      <c r="NH112" s="5"/>
      <c r="NI112" s="5"/>
      <c r="NJ112" s="5"/>
      <c r="NK112" s="5"/>
      <c r="NL112" s="5"/>
      <c r="NM112" s="5"/>
      <c r="NN112" s="5"/>
      <c r="NO112" s="5"/>
      <c r="NP112" s="5"/>
      <c r="NQ112" s="5"/>
      <c r="NR112" s="5"/>
      <c r="NS112" s="5"/>
      <c r="NT112" s="5"/>
      <c r="NU112" s="5"/>
      <c r="NV112" s="5"/>
      <c r="NW112" s="5"/>
      <c r="NX112" s="5"/>
      <c r="NY112" s="5"/>
      <c r="NZ112" s="5"/>
      <c r="OA112" s="5"/>
      <c r="OB112" s="5"/>
      <c r="OC112" s="5"/>
      <c r="OD112" s="5"/>
      <c r="OE112" s="5"/>
      <c r="OF112" s="5"/>
      <c r="OG112" s="5"/>
      <c r="OH112" s="5"/>
      <c r="OI112" s="5"/>
      <c r="OJ112" s="5"/>
      <c r="OK112" s="5"/>
      <c r="OL112" s="5"/>
      <c r="OM112" s="5"/>
      <c r="ON112" s="5"/>
      <c r="OO112" s="5"/>
      <c r="OP112" s="5"/>
      <c r="OQ112" s="5"/>
      <c r="OR112" s="5"/>
      <c r="OS112" s="5"/>
      <c r="OT112" s="5"/>
      <c r="OU112" s="5"/>
      <c r="OV112" s="5"/>
      <c r="OW112" s="5"/>
      <c r="OX112" s="5"/>
      <c r="OY112" s="5"/>
      <c r="OZ112" s="5"/>
      <c r="PA112" s="5"/>
      <c r="PB112" s="5"/>
      <c r="PC112" s="5"/>
      <c r="PD112" s="5"/>
      <c r="PE112" s="5"/>
      <c r="PF112" s="5"/>
      <c r="PG112" s="5"/>
      <c r="PH112" s="5"/>
      <c r="PI112" s="5"/>
      <c r="PJ112" s="5"/>
      <c r="PK112" s="5"/>
      <c r="PL112" s="5"/>
      <c r="PM112" s="5"/>
      <c r="PN112" s="5"/>
      <c r="PO112" s="5"/>
      <c r="PP112" s="5"/>
      <c r="PQ112" s="5"/>
      <c r="PR112" s="5"/>
      <c r="PS112" s="5"/>
      <c r="PT112" s="5"/>
      <c r="PU112" s="5"/>
      <c r="PV112" s="5"/>
      <c r="PW112" s="5"/>
      <c r="PX112" s="5"/>
      <c r="PY112" s="5"/>
      <c r="PZ112" s="5"/>
      <c r="QA112" s="5"/>
      <c r="QB112" s="5"/>
      <c r="QC112" s="5"/>
      <c r="QD112" s="5"/>
      <c r="QE112" s="5"/>
      <c r="QF112" s="5"/>
      <c r="QG112" s="5"/>
      <c r="QH112" s="5"/>
      <c r="QI112" s="5"/>
      <c r="QJ112" s="5"/>
      <c r="QK112" s="5"/>
      <c r="QL112" s="5"/>
      <c r="QM112" s="5"/>
      <c r="QN112" s="5"/>
      <c r="QO112" s="5"/>
      <c r="QP112" s="5"/>
      <c r="QQ112" s="5"/>
      <c r="QR112" s="5"/>
      <c r="QS112" s="5"/>
      <c r="QT112" s="5"/>
      <c r="QU112" s="5"/>
      <c r="QV112" s="5"/>
      <c r="QW112" s="5"/>
      <c r="QX112" s="5"/>
      <c r="QY112" s="5"/>
      <c r="QZ112" s="5"/>
      <c r="RA112" s="5"/>
      <c r="RB112" s="5"/>
      <c r="RC112" s="5"/>
      <c r="RD112" s="5"/>
      <c r="RE112" s="5"/>
      <c r="RF112" s="5"/>
      <c r="RG112" s="5"/>
      <c r="RH112" s="5"/>
      <c r="RI112" s="5"/>
      <c r="RJ112" s="5"/>
      <c r="RK112" s="5"/>
      <c r="RL112" s="5"/>
      <c r="RM112" s="5"/>
      <c r="RN112" s="5"/>
      <c r="RO112" s="5"/>
      <c r="RP112" s="5"/>
      <c r="RQ112" s="5"/>
      <c r="RR112" s="5"/>
      <c r="RS112" s="5"/>
      <c r="RT112" s="5"/>
      <c r="RU112" s="5"/>
      <c r="RV112" s="5"/>
      <c r="RW112" s="5"/>
      <c r="RX112" s="5"/>
      <c r="RY112" s="5"/>
      <c r="RZ112" s="5"/>
      <c r="SA112" s="5"/>
      <c r="SB112" s="5"/>
      <c r="SC112" s="5"/>
      <c r="SD112" s="5"/>
      <c r="SE112" s="5"/>
      <c r="SF112" s="5"/>
      <c r="SG112" s="5"/>
      <c r="SH112" s="5"/>
      <c r="SI112" s="5"/>
      <c r="SJ112" s="5"/>
      <c r="SK112" s="5"/>
      <c r="SL112" s="5"/>
      <c r="SM112" s="5"/>
      <c r="SN112" s="5"/>
      <c r="SO112" s="5"/>
      <c r="SP112" s="5"/>
      <c r="SQ112" s="5"/>
      <c r="SR112" s="5"/>
      <c r="SS112" s="5"/>
      <c r="ST112" s="5"/>
      <c r="SU112" s="5"/>
      <c r="SV112" s="5"/>
      <c r="SW112" s="5"/>
      <c r="SX112" s="5"/>
      <c r="SY112" s="5"/>
      <c r="SZ112" s="5"/>
      <c r="TA112" s="5"/>
      <c r="TB112" s="5"/>
      <c r="TC112" s="5"/>
      <c r="TD112" s="5"/>
      <c r="TE112" s="5"/>
      <c r="TF112" s="5"/>
      <c r="TG112" s="5"/>
      <c r="TH112" s="5"/>
      <c r="TI112" s="5"/>
      <c r="TJ112" s="5"/>
      <c r="TK112" s="5"/>
      <c r="TL112" s="5"/>
      <c r="TM112" s="5"/>
      <c r="TN112" s="5"/>
      <c r="TO112" s="5"/>
      <c r="TP112" s="5"/>
      <c r="TQ112" s="5"/>
      <c r="TR112" s="5"/>
      <c r="TS112" s="5"/>
      <c r="TT112" s="5"/>
      <c r="TU112" s="5"/>
      <c r="TV112" s="5"/>
      <c r="TW112" s="5"/>
      <c r="TX112" s="5"/>
      <c r="TY112" s="5"/>
      <c r="TZ112" s="5"/>
      <c r="UA112" s="5"/>
      <c r="UB112" s="5"/>
      <c r="UC112" s="5"/>
      <c r="UD112" s="5"/>
      <c r="UE112" s="5"/>
      <c r="UF112" s="5"/>
      <c r="UG112" s="5"/>
      <c r="UH112" s="5"/>
      <c r="UI112" s="5"/>
      <c r="UJ112" s="5"/>
      <c r="UK112" s="5"/>
      <c r="UL112" s="5"/>
      <c r="UM112" s="5"/>
      <c r="UN112" s="5"/>
      <c r="UO112" s="5"/>
      <c r="UP112" s="5"/>
      <c r="UQ112" s="5"/>
      <c r="UR112" s="5"/>
      <c r="US112" s="5"/>
      <c r="UT112" s="5"/>
      <c r="UU112" s="5"/>
      <c r="UV112" s="5"/>
      <c r="UW112" s="5"/>
      <c r="UX112" s="5"/>
      <c r="UY112" s="5"/>
      <c r="UZ112" s="5"/>
      <c r="VA112" s="5"/>
      <c r="VB112" s="5"/>
      <c r="VC112" s="5"/>
      <c r="VD112" s="5"/>
      <c r="VE112" s="5"/>
      <c r="VF112" s="5"/>
      <c r="VG112" s="5"/>
      <c r="VH112" s="5"/>
      <c r="VI112" s="5"/>
      <c r="VJ112" s="5"/>
      <c r="VK112" s="5"/>
      <c r="VL112" s="5"/>
      <c r="VM112" s="5"/>
      <c r="VN112" s="5"/>
      <c r="VO112" s="5"/>
      <c r="VP112" s="5"/>
      <c r="VQ112" s="5"/>
      <c r="VR112" s="5"/>
      <c r="VS112" s="5"/>
      <c r="VT112" s="5"/>
      <c r="VU112" s="5"/>
      <c r="VV112" s="5"/>
      <c r="VW112" s="5"/>
      <c r="VX112" s="5"/>
      <c r="VY112" s="5"/>
      <c r="VZ112" s="5"/>
      <c r="WA112" s="5"/>
      <c r="WB112" s="5"/>
      <c r="WC112" s="5"/>
      <c r="WD112" s="5"/>
      <c r="WE112" s="5"/>
      <c r="WF112" s="5"/>
      <c r="WG112" s="5"/>
      <c r="WH112" s="5"/>
      <c r="WI112" s="5"/>
      <c r="WJ112" s="5"/>
      <c r="WK112" s="5"/>
      <c r="WL112" s="5"/>
      <c r="WM112" s="5"/>
      <c r="WN112" s="5"/>
      <c r="WO112" s="5"/>
      <c r="WP112" s="5"/>
      <c r="WQ112" s="5"/>
      <c r="WR112" s="5"/>
      <c r="WS112" s="5"/>
      <c r="WT112" s="5"/>
      <c r="WU112" s="5"/>
      <c r="WV112" s="5"/>
      <c r="WW112" s="5"/>
      <c r="WX112" s="5"/>
      <c r="WY112" s="5"/>
      <c r="WZ112" s="5"/>
      <c r="XA112" s="5"/>
      <c r="XB112" s="5"/>
      <c r="XC112" s="5"/>
      <c r="XD112" s="5"/>
      <c r="XE112" s="5"/>
      <c r="XF112" s="5"/>
      <c r="XG112" s="5"/>
      <c r="XH112" s="5"/>
      <c r="XI112" s="5"/>
      <c r="XJ112" s="5"/>
      <c r="XK112" s="5"/>
      <c r="XL112" s="5"/>
      <c r="XM112" s="5"/>
      <c r="XN112" s="5"/>
      <c r="XO112" s="5"/>
      <c r="XP112" s="5"/>
      <c r="XQ112" s="5"/>
      <c r="XR112" s="5"/>
      <c r="XS112" s="5"/>
      <c r="XT112" s="5"/>
      <c r="XU112" s="5"/>
      <c r="XV112" s="5"/>
      <c r="XW112" s="5"/>
      <c r="XX112" s="5"/>
      <c r="XY112" s="5"/>
      <c r="XZ112" s="5"/>
      <c r="YA112" s="5"/>
      <c r="YB112" s="5"/>
      <c r="YC112" s="5"/>
      <c r="YD112" s="5"/>
      <c r="YE112" s="5"/>
      <c r="YF112" s="5"/>
      <c r="YG112" s="5"/>
      <c r="YH112" s="5"/>
      <c r="YI112" s="5"/>
      <c r="YJ112" s="5"/>
      <c r="YK112" s="5"/>
      <c r="YL112" s="5"/>
      <c r="YM112" s="5"/>
      <c r="YN112" s="5"/>
      <c r="YO112" s="5"/>
      <c r="YP112" s="5"/>
      <c r="YQ112" s="5"/>
      <c r="YR112" s="5"/>
      <c r="YS112" s="5"/>
      <c r="YT112" s="5"/>
      <c r="YU112" s="5"/>
      <c r="YV112" s="5"/>
      <c r="YW112" s="5"/>
      <c r="YX112" s="5"/>
      <c r="YY112" s="5"/>
      <c r="YZ112" s="5"/>
    </row>
    <row r="113" spans="1:676">
      <c r="A113" s="7">
        <v>103</v>
      </c>
      <c r="B113" s="7" t="s">
        <v>280</v>
      </c>
      <c r="C113" s="10" t="s">
        <v>281</v>
      </c>
      <c r="D113" s="7" t="s">
        <v>50</v>
      </c>
      <c r="E113" s="7" t="s">
        <v>71</v>
      </c>
      <c r="F113" s="7" t="s">
        <v>162</v>
      </c>
      <c r="G113" s="7"/>
      <c r="H113" s="7" t="s">
        <v>43</v>
      </c>
      <c r="I113" s="11">
        <v>2</v>
      </c>
      <c r="J113" s="11">
        <v>3</v>
      </c>
      <c r="K113" s="11">
        <v>0</v>
      </c>
      <c r="L113" s="11">
        <v>1.370000000000001</v>
      </c>
      <c r="M113" s="11">
        <v>0</v>
      </c>
      <c r="N113" s="11">
        <v>0</v>
      </c>
      <c r="O113" s="11">
        <v>0</v>
      </c>
      <c r="P113" s="11">
        <v>0</v>
      </c>
      <c r="Q113" s="11">
        <v>1.370000000000001</v>
      </c>
      <c r="R113" s="11">
        <v>0</v>
      </c>
      <c r="S113" s="11">
        <v>1.370000000000001</v>
      </c>
      <c r="T113" s="11">
        <v>1.370000000000001</v>
      </c>
      <c r="U113" s="11">
        <v>0</v>
      </c>
      <c r="V113" s="11">
        <v>0</v>
      </c>
      <c r="W113" s="13">
        <v>2</v>
      </c>
      <c r="X113" s="13">
        <v>3</v>
      </c>
      <c r="Y113" s="13" t="str">
        <f>MIN(W113,S113)</f>
        <v>0</v>
      </c>
      <c r="Z113" s="13" t="str">
        <f>MIN(X113,(S113-Y113))</f>
        <v>0</v>
      </c>
      <c r="AA113" s="13" t="str">
        <f>S113-SUM(Y113,Z113)</f>
        <v>0</v>
      </c>
      <c r="AB113" s="15"/>
      <c r="AC113" s="15"/>
      <c r="AD113" s="1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  <c r="FW113" s="5"/>
      <c r="FX113" s="5"/>
      <c r="FY113" s="5"/>
      <c r="FZ113" s="5"/>
      <c r="GA113" s="5"/>
      <c r="GB113" s="5"/>
      <c r="GC113" s="5"/>
      <c r="GD113" s="5"/>
      <c r="GE113" s="5"/>
      <c r="GF113" s="5"/>
      <c r="GG113" s="5"/>
      <c r="GH113" s="5"/>
      <c r="GI113" s="5"/>
      <c r="GJ113" s="5"/>
      <c r="GK113" s="5"/>
      <c r="GL113" s="5"/>
      <c r="GM113" s="5"/>
      <c r="GN113" s="5"/>
      <c r="GO113" s="5"/>
      <c r="GP113" s="5"/>
      <c r="GQ113" s="5"/>
      <c r="GR113" s="5"/>
      <c r="GS113" s="5"/>
      <c r="GT113" s="5"/>
      <c r="GU113" s="5"/>
      <c r="GV113" s="5"/>
      <c r="GW113" s="5"/>
      <c r="GX113" s="5"/>
      <c r="GY113" s="5"/>
      <c r="GZ113" s="5"/>
      <c r="HA113" s="5"/>
      <c r="HB113" s="5"/>
      <c r="HC113" s="5"/>
      <c r="HD113" s="5"/>
      <c r="HE113" s="5"/>
      <c r="HF113" s="5"/>
      <c r="HG113" s="5"/>
      <c r="HH113" s="5"/>
      <c r="HI113" s="5"/>
      <c r="HJ113" s="5"/>
      <c r="HK113" s="5"/>
      <c r="HL113" s="5"/>
      <c r="HM113" s="5"/>
      <c r="HN113" s="5"/>
      <c r="HO113" s="5"/>
      <c r="HP113" s="5"/>
      <c r="HQ113" s="5"/>
      <c r="HR113" s="5"/>
      <c r="HS113" s="5"/>
      <c r="HT113" s="5"/>
      <c r="HU113" s="5"/>
      <c r="HV113" s="5"/>
      <c r="HW113" s="5"/>
      <c r="HX113" s="5"/>
      <c r="HY113" s="5"/>
      <c r="HZ113" s="5"/>
      <c r="IA113" s="5"/>
      <c r="IB113" s="5"/>
      <c r="IC113" s="5"/>
      <c r="ID113" s="5"/>
      <c r="IE113" s="5"/>
      <c r="IF113" s="5"/>
      <c r="IG113" s="5"/>
      <c r="IH113" s="5"/>
      <c r="II113" s="5"/>
      <c r="IJ113" s="5"/>
      <c r="IK113" s="5"/>
      <c r="IL113" s="5"/>
      <c r="IM113" s="5"/>
      <c r="IN113" s="5"/>
      <c r="IO113" s="5"/>
      <c r="IP113" s="5"/>
      <c r="IQ113" s="5"/>
      <c r="IR113" s="5"/>
      <c r="IS113" s="5"/>
      <c r="IT113" s="5"/>
      <c r="IU113" s="5"/>
      <c r="IV113" s="5"/>
      <c r="IW113" s="5"/>
      <c r="IX113" s="5"/>
      <c r="IY113" s="5"/>
      <c r="IZ113" s="5"/>
      <c r="JA113" s="5"/>
      <c r="JB113" s="5"/>
      <c r="JC113" s="5"/>
      <c r="JD113" s="5"/>
      <c r="JE113" s="5"/>
      <c r="JF113" s="5"/>
      <c r="JG113" s="5"/>
      <c r="JH113" s="5"/>
      <c r="JI113" s="5"/>
      <c r="JJ113" s="5"/>
      <c r="JK113" s="5"/>
      <c r="JL113" s="5"/>
      <c r="JM113" s="5"/>
      <c r="JN113" s="5"/>
      <c r="JO113" s="5"/>
      <c r="JP113" s="5"/>
      <c r="JQ113" s="5"/>
      <c r="JR113" s="5"/>
      <c r="JS113" s="5"/>
      <c r="JT113" s="5"/>
      <c r="JU113" s="5"/>
      <c r="JV113" s="5"/>
      <c r="JW113" s="5"/>
      <c r="JX113" s="5"/>
      <c r="JY113" s="5"/>
      <c r="JZ113" s="5"/>
      <c r="KA113" s="5"/>
      <c r="KB113" s="5"/>
      <c r="KC113" s="5"/>
      <c r="KD113" s="5"/>
      <c r="KE113" s="5"/>
      <c r="KF113" s="5"/>
      <c r="KG113" s="5"/>
      <c r="KH113" s="5"/>
      <c r="KI113" s="5"/>
      <c r="KJ113" s="5"/>
      <c r="KK113" s="5"/>
      <c r="KL113" s="5"/>
      <c r="KM113" s="5"/>
      <c r="KN113" s="5"/>
      <c r="KO113" s="5"/>
      <c r="KP113" s="5"/>
      <c r="KQ113" s="5"/>
      <c r="KR113" s="5"/>
      <c r="KS113" s="5"/>
      <c r="KT113" s="5"/>
      <c r="KU113" s="5"/>
      <c r="KV113" s="5"/>
      <c r="KW113" s="5"/>
      <c r="KX113" s="5"/>
      <c r="KY113" s="5"/>
      <c r="KZ113" s="5"/>
      <c r="LA113" s="5"/>
      <c r="LB113" s="5"/>
      <c r="LC113" s="5"/>
      <c r="LD113" s="5"/>
      <c r="LE113" s="5"/>
      <c r="LF113" s="5"/>
      <c r="LG113" s="5"/>
      <c r="LH113" s="5"/>
      <c r="LI113" s="5"/>
      <c r="LJ113" s="5"/>
      <c r="LK113" s="5"/>
      <c r="LL113" s="5"/>
      <c r="LM113" s="5"/>
      <c r="LN113" s="5"/>
      <c r="LO113" s="5"/>
      <c r="LP113" s="5"/>
      <c r="LQ113" s="5"/>
      <c r="LR113" s="5"/>
      <c r="LS113" s="5"/>
      <c r="LT113" s="5"/>
      <c r="LU113" s="5"/>
      <c r="LV113" s="5"/>
      <c r="LW113" s="5"/>
      <c r="LX113" s="5"/>
      <c r="LY113" s="5"/>
      <c r="LZ113" s="5"/>
      <c r="MA113" s="5"/>
      <c r="MB113" s="5"/>
      <c r="MC113" s="5"/>
      <c r="MD113" s="5"/>
      <c r="ME113" s="5"/>
      <c r="MF113" s="5"/>
      <c r="MG113" s="5"/>
      <c r="MH113" s="5"/>
      <c r="MI113" s="5"/>
      <c r="MJ113" s="5"/>
      <c r="MK113" s="5"/>
      <c r="ML113" s="5"/>
      <c r="MM113" s="5"/>
      <c r="MN113" s="5"/>
      <c r="MO113" s="5"/>
      <c r="MP113" s="5"/>
      <c r="MQ113" s="5"/>
      <c r="MR113" s="5"/>
      <c r="MS113" s="5"/>
      <c r="MT113" s="5"/>
      <c r="MU113" s="5"/>
      <c r="MV113" s="5"/>
      <c r="MW113" s="5"/>
      <c r="MX113" s="5"/>
      <c r="MY113" s="5"/>
      <c r="MZ113" s="5"/>
      <c r="NA113" s="5"/>
      <c r="NB113" s="5"/>
      <c r="NC113" s="5"/>
      <c r="ND113" s="5"/>
      <c r="NE113" s="5"/>
      <c r="NF113" s="5"/>
      <c r="NG113" s="5"/>
      <c r="NH113" s="5"/>
      <c r="NI113" s="5"/>
      <c r="NJ113" s="5"/>
      <c r="NK113" s="5"/>
      <c r="NL113" s="5"/>
      <c r="NM113" s="5"/>
      <c r="NN113" s="5"/>
      <c r="NO113" s="5"/>
      <c r="NP113" s="5"/>
      <c r="NQ113" s="5"/>
      <c r="NR113" s="5"/>
      <c r="NS113" s="5"/>
      <c r="NT113" s="5"/>
      <c r="NU113" s="5"/>
      <c r="NV113" s="5"/>
      <c r="NW113" s="5"/>
      <c r="NX113" s="5"/>
      <c r="NY113" s="5"/>
      <c r="NZ113" s="5"/>
      <c r="OA113" s="5"/>
      <c r="OB113" s="5"/>
      <c r="OC113" s="5"/>
      <c r="OD113" s="5"/>
      <c r="OE113" s="5"/>
      <c r="OF113" s="5"/>
      <c r="OG113" s="5"/>
      <c r="OH113" s="5"/>
      <c r="OI113" s="5"/>
      <c r="OJ113" s="5"/>
      <c r="OK113" s="5"/>
      <c r="OL113" s="5"/>
      <c r="OM113" s="5"/>
      <c r="ON113" s="5"/>
      <c r="OO113" s="5"/>
      <c r="OP113" s="5"/>
      <c r="OQ113" s="5"/>
      <c r="OR113" s="5"/>
      <c r="OS113" s="5"/>
      <c r="OT113" s="5"/>
      <c r="OU113" s="5"/>
      <c r="OV113" s="5"/>
      <c r="OW113" s="5"/>
      <c r="OX113" s="5"/>
      <c r="OY113" s="5"/>
      <c r="OZ113" s="5"/>
      <c r="PA113" s="5"/>
      <c r="PB113" s="5"/>
      <c r="PC113" s="5"/>
      <c r="PD113" s="5"/>
      <c r="PE113" s="5"/>
      <c r="PF113" s="5"/>
      <c r="PG113" s="5"/>
      <c r="PH113" s="5"/>
      <c r="PI113" s="5"/>
      <c r="PJ113" s="5"/>
      <c r="PK113" s="5"/>
      <c r="PL113" s="5"/>
      <c r="PM113" s="5"/>
      <c r="PN113" s="5"/>
      <c r="PO113" s="5"/>
      <c r="PP113" s="5"/>
      <c r="PQ113" s="5"/>
      <c r="PR113" s="5"/>
      <c r="PS113" s="5"/>
      <c r="PT113" s="5"/>
      <c r="PU113" s="5"/>
      <c r="PV113" s="5"/>
      <c r="PW113" s="5"/>
      <c r="PX113" s="5"/>
      <c r="PY113" s="5"/>
      <c r="PZ113" s="5"/>
      <c r="QA113" s="5"/>
      <c r="QB113" s="5"/>
      <c r="QC113" s="5"/>
      <c r="QD113" s="5"/>
      <c r="QE113" s="5"/>
      <c r="QF113" s="5"/>
      <c r="QG113" s="5"/>
      <c r="QH113" s="5"/>
      <c r="QI113" s="5"/>
      <c r="QJ113" s="5"/>
      <c r="QK113" s="5"/>
      <c r="QL113" s="5"/>
      <c r="QM113" s="5"/>
      <c r="QN113" s="5"/>
      <c r="QO113" s="5"/>
      <c r="QP113" s="5"/>
      <c r="QQ113" s="5"/>
      <c r="QR113" s="5"/>
      <c r="QS113" s="5"/>
      <c r="QT113" s="5"/>
      <c r="QU113" s="5"/>
      <c r="QV113" s="5"/>
      <c r="QW113" s="5"/>
      <c r="QX113" s="5"/>
      <c r="QY113" s="5"/>
      <c r="QZ113" s="5"/>
      <c r="RA113" s="5"/>
      <c r="RB113" s="5"/>
      <c r="RC113" s="5"/>
      <c r="RD113" s="5"/>
      <c r="RE113" s="5"/>
      <c r="RF113" s="5"/>
      <c r="RG113" s="5"/>
      <c r="RH113" s="5"/>
      <c r="RI113" s="5"/>
      <c r="RJ113" s="5"/>
      <c r="RK113" s="5"/>
      <c r="RL113" s="5"/>
      <c r="RM113" s="5"/>
      <c r="RN113" s="5"/>
      <c r="RO113" s="5"/>
      <c r="RP113" s="5"/>
      <c r="RQ113" s="5"/>
      <c r="RR113" s="5"/>
      <c r="RS113" s="5"/>
      <c r="RT113" s="5"/>
      <c r="RU113" s="5"/>
      <c r="RV113" s="5"/>
      <c r="RW113" s="5"/>
      <c r="RX113" s="5"/>
      <c r="RY113" s="5"/>
      <c r="RZ113" s="5"/>
      <c r="SA113" s="5"/>
      <c r="SB113" s="5"/>
      <c r="SC113" s="5"/>
      <c r="SD113" s="5"/>
      <c r="SE113" s="5"/>
      <c r="SF113" s="5"/>
      <c r="SG113" s="5"/>
      <c r="SH113" s="5"/>
      <c r="SI113" s="5"/>
      <c r="SJ113" s="5"/>
      <c r="SK113" s="5"/>
      <c r="SL113" s="5"/>
      <c r="SM113" s="5"/>
      <c r="SN113" s="5"/>
      <c r="SO113" s="5"/>
      <c r="SP113" s="5"/>
      <c r="SQ113" s="5"/>
      <c r="SR113" s="5"/>
      <c r="SS113" s="5"/>
      <c r="ST113" s="5"/>
      <c r="SU113" s="5"/>
      <c r="SV113" s="5"/>
      <c r="SW113" s="5"/>
      <c r="SX113" s="5"/>
      <c r="SY113" s="5"/>
      <c r="SZ113" s="5"/>
      <c r="TA113" s="5"/>
      <c r="TB113" s="5"/>
      <c r="TC113" s="5"/>
      <c r="TD113" s="5"/>
      <c r="TE113" s="5"/>
      <c r="TF113" s="5"/>
      <c r="TG113" s="5"/>
      <c r="TH113" s="5"/>
      <c r="TI113" s="5"/>
      <c r="TJ113" s="5"/>
      <c r="TK113" s="5"/>
      <c r="TL113" s="5"/>
      <c r="TM113" s="5"/>
      <c r="TN113" s="5"/>
      <c r="TO113" s="5"/>
      <c r="TP113" s="5"/>
      <c r="TQ113" s="5"/>
      <c r="TR113" s="5"/>
      <c r="TS113" s="5"/>
      <c r="TT113" s="5"/>
      <c r="TU113" s="5"/>
      <c r="TV113" s="5"/>
      <c r="TW113" s="5"/>
      <c r="TX113" s="5"/>
      <c r="TY113" s="5"/>
      <c r="TZ113" s="5"/>
      <c r="UA113" s="5"/>
      <c r="UB113" s="5"/>
      <c r="UC113" s="5"/>
      <c r="UD113" s="5"/>
      <c r="UE113" s="5"/>
      <c r="UF113" s="5"/>
      <c r="UG113" s="5"/>
      <c r="UH113" s="5"/>
      <c r="UI113" s="5"/>
      <c r="UJ113" s="5"/>
      <c r="UK113" s="5"/>
      <c r="UL113" s="5"/>
      <c r="UM113" s="5"/>
      <c r="UN113" s="5"/>
      <c r="UO113" s="5"/>
      <c r="UP113" s="5"/>
      <c r="UQ113" s="5"/>
      <c r="UR113" s="5"/>
      <c r="US113" s="5"/>
      <c r="UT113" s="5"/>
      <c r="UU113" s="5"/>
      <c r="UV113" s="5"/>
      <c r="UW113" s="5"/>
      <c r="UX113" s="5"/>
      <c r="UY113" s="5"/>
      <c r="UZ113" s="5"/>
      <c r="VA113" s="5"/>
      <c r="VB113" s="5"/>
      <c r="VC113" s="5"/>
      <c r="VD113" s="5"/>
      <c r="VE113" s="5"/>
      <c r="VF113" s="5"/>
      <c r="VG113" s="5"/>
      <c r="VH113" s="5"/>
      <c r="VI113" s="5"/>
      <c r="VJ113" s="5"/>
      <c r="VK113" s="5"/>
      <c r="VL113" s="5"/>
      <c r="VM113" s="5"/>
      <c r="VN113" s="5"/>
      <c r="VO113" s="5"/>
      <c r="VP113" s="5"/>
      <c r="VQ113" s="5"/>
      <c r="VR113" s="5"/>
      <c r="VS113" s="5"/>
      <c r="VT113" s="5"/>
      <c r="VU113" s="5"/>
      <c r="VV113" s="5"/>
      <c r="VW113" s="5"/>
      <c r="VX113" s="5"/>
      <c r="VY113" s="5"/>
      <c r="VZ113" s="5"/>
      <c r="WA113" s="5"/>
      <c r="WB113" s="5"/>
      <c r="WC113" s="5"/>
      <c r="WD113" s="5"/>
      <c r="WE113" s="5"/>
      <c r="WF113" s="5"/>
      <c r="WG113" s="5"/>
      <c r="WH113" s="5"/>
      <c r="WI113" s="5"/>
      <c r="WJ113" s="5"/>
      <c r="WK113" s="5"/>
      <c r="WL113" s="5"/>
      <c r="WM113" s="5"/>
      <c r="WN113" s="5"/>
      <c r="WO113" s="5"/>
      <c r="WP113" s="5"/>
      <c r="WQ113" s="5"/>
      <c r="WR113" s="5"/>
      <c r="WS113" s="5"/>
      <c r="WT113" s="5"/>
      <c r="WU113" s="5"/>
      <c r="WV113" s="5"/>
      <c r="WW113" s="5"/>
      <c r="WX113" s="5"/>
      <c r="WY113" s="5"/>
      <c r="WZ113" s="5"/>
      <c r="XA113" s="5"/>
      <c r="XB113" s="5"/>
      <c r="XC113" s="5"/>
      <c r="XD113" s="5"/>
      <c r="XE113" s="5"/>
      <c r="XF113" s="5"/>
      <c r="XG113" s="5"/>
      <c r="XH113" s="5"/>
      <c r="XI113" s="5"/>
      <c r="XJ113" s="5"/>
      <c r="XK113" s="5"/>
      <c r="XL113" s="5"/>
      <c r="XM113" s="5"/>
      <c r="XN113" s="5"/>
      <c r="XO113" s="5"/>
      <c r="XP113" s="5"/>
      <c r="XQ113" s="5"/>
      <c r="XR113" s="5"/>
      <c r="XS113" s="5"/>
      <c r="XT113" s="5"/>
      <c r="XU113" s="5"/>
      <c r="XV113" s="5"/>
      <c r="XW113" s="5"/>
      <c r="XX113" s="5"/>
      <c r="XY113" s="5"/>
      <c r="XZ113" s="5"/>
      <c r="YA113" s="5"/>
      <c r="YB113" s="5"/>
      <c r="YC113" s="5"/>
      <c r="YD113" s="5"/>
      <c r="YE113" s="5"/>
      <c r="YF113" s="5"/>
      <c r="YG113" s="5"/>
      <c r="YH113" s="5"/>
      <c r="YI113" s="5"/>
      <c r="YJ113" s="5"/>
      <c r="YK113" s="5"/>
      <c r="YL113" s="5"/>
      <c r="YM113" s="5"/>
      <c r="YN113" s="5"/>
      <c r="YO113" s="5"/>
      <c r="YP113" s="5"/>
      <c r="YQ113" s="5"/>
      <c r="YR113" s="5"/>
      <c r="YS113" s="5"/>
      <c r="YT113" s="5"/>
      <c r="YU113" s="5"/>
      <c r="YV113" s="5"/>
      <c r="YW113" s="5"/>
      <c r="YX113" s="5"/>
      <c r="YY113" s="5"/>
      <c r="YZ113" s="5"/>
    </row>
    <row r="114" spans="1:676">
      <c r="A114" s="7">
        <v>104</v>
      </c>
      <c r="B114" s="7" t="s">
        <v>282</v>
      </c>
      <c r="C114" s="10" t="s">
        <v>283</v>
      </c>
      <c r="D114" s="7" t="s">
        <v>171</v>
      </c>
      <c r="E114" s="7" t="s">
        <v>71</v>
      </c>
      <c r="F114" s="7" t="s">
        <v>162</v>
      </c>
      <c r="G114" s="7"/>
      <c r="H114" s="7" t="s">
        <v>43</v>
      </c>
      <c r="I114" s="11">
        <v>2</v>
      </c>
      <c r="J114" s="11">
        <v>3</v>
      </c>
      <c r="K114" s="11">
        <v>0</v>
      </c>
      <c r="L114" s="11">
        <v>0.35</v>
      </c>
      <c r="M114" s="11">
        <v>0.08</v>
      </c>
      <c r="N114" s="11">
        <v>0</v>
      </c>
      <c r="O114" s="11">
        <v>0.36</v>
      </c>
      <c r="P114" s="11">
        <v>0.83</v>
      </c>
      <c r="Q114" s="11">
        <v>1.62</v>
      </c>
      <c r="R114" s="11">
        <v>0</v>
      </c>
      <c r="S114" s="11">
        <v>1.62</v>
      </c>
      <c r="T114" s="11">
        <v>1.62</v>
      </c>
      <c r="U114" s="11">
        <v>0</v>
      </c>
      <c r="V114" s="11">
        <v>0</v>
      </c>
      <c r="W114" s="13">
        <v>2</v>
      </c>
      <c r="X114" s="13">
        <v>3</v>
      </c>
      <c r="Y114" s="13" t="str">
        <f>MIN(W114,S114)</f>
        <v>0</v>
      </c>
      <c r="Z114" s="13" t="str">
        <f>MIN(X114,(S114-Y114))</f>
        <v>0</v>
      </c>
      <c r="AA114" s="13" t="str">
        <f>S114-SUM(Y114,Z114)</f>
        <v>0</v>
      </c>
      <c r="AB114" s="15"/>
      <c r="AC114" s="15"/>
      <c r="AD114" s="1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5"/>
      <c r="FD114" s="5"/>
      <c r="FE114" s="5"/>
      <c r="FF114" s="5"/>
      <c r="FG114" s="5"/>
      <c r="FH114" s="5"/>
      <c r="FI114" s="5"/>
      <c r="FJ114" s="5"/>
      <c r="FK114" s="5"/>
      <c r="FL114" s="5"/>
      <c r="FM114" s="5"/>
      <c r="FN114" s="5"/>
      <c r="FO114" s="5"/>
      <c r="FP114" s="5"/>
      <c r="FQ114" s="5"/>
      <c r="FR114" s="5"/>
      <c r="FS114" s="5"/>
      <c r="FT114" s="5"/>
      <c r="FU114" s="5"/>
      <c r="FV114" s="5"/>
      <c r="FW114" s="5"/>
      <c r="FX114" s="5"/>
      <c r="FY114" s="5"/>
      <c r="FZ114" s="5"/>
      <c r="GA114" s="5"/>
      <c r="GB114" s="5"/>
      <c r="GC114" s="5"/>
      <c r="GD114" s="5"/>
      <c r="GE114" s="5"/>
      <c r="GF114" s="5"/>
      <c r="GG114" s="5"/>
      <c r="GH114" s="5"/>
      <c r="GI114" s="5"/>
      <c r="GJ114" s="5"/>
      <c r="GK114" s="5"/>
      <c r="GL114" s="5"/>
      <c r="GM114" s="5"/>
      <c r="GN114" s="5"/>
      <c r="GO114" s="5"/>
      <c r="GP114" s="5"/>
      <c r="GQ114" s="5"/>
      <c r="GR114" s="5"/>
      <c r="GS114" s="5"/>
      <c r="GT114" s="5"/>
      <c r="GU114" s="5"/>
      <c r="GV114" s="5"/>
      <c r="GW114" s="5"/>
      <c r="GX114" s="5"/>
      <c r="GY114" s="5"/>
      <c r="GZ114" s="5"/>
      <c r="HA114" s="5"/>
      <c r="HB114" s="5"/>
      <c r="HC114" s="5"/>
      <c r="HD114" s="5"/>
      <c r="HE114" s="5"/>
      <c r="HF114" s="5"/>
      <c r="HG114" s="5"/>
      <c r="HH114" s="5"/>
      <c r="HI114" s="5"/>
      <c r="HJ114" s="5"/>
      <c r="HK114" s="5"/>
      <c r="HL114" s="5"/>
      <c r="HM114" s="5"/>
      <c r="HN114" s="5"/>
      <c r="HO114" s="5"/>
      <c r="HP114" s="5"/>
      <c r="HQ114" s="5"/>
      <c r="HR114" s="5"/>
      <c r="HS114" s="5"/>
      <c r="HT114" s="5"/>
      <c r="HU114" s="5"/>
      <c r="HV114" s="5"/>
      <c r="HW114" s="5"/>
      <c r="HX114" s="5"/>
      <c r="HY114" s="5"/>
      <c r="HZ114" s="5"/>
      <c r="IA114" s="5"/>
      <c r="IB114" s="5"/>
      <c r="IC114" s="5"/>
      <c r="ID114" s="5"/>
      <c r="IE114" s="5"/>
      <c r="IF114" s="5"/>
      <c r="IG114" s="5"/>
      <c r="IH114" s="5"/>
      <c r="II114" s="5"/>
      <c r="IJ114" s="5"/>
      <c r="IK114" s="5"/>
      <c r="IL114" s="5"/>
      <c r="IM114" s="5"/>
      <c r="IN114" s="5"/>
      <c r="IO114" s="5"/>
      <c r="IP114" s="5"/>
      <c r="IQ114" s="5"/>
      <c r="IR114" s="5"/>
      <c r="IS114" s="5"/>
      <c r="IT114" s="5"/>
      <c r="IU114" s="5"/>
      <c r="IV114" s="5"/>
      <c r="IW114" s="5"/>
      <c r="IX114" s="5"/>
      <c r="IY114" s="5"/>
      <c r="IZ114" s="5"/>
      <c r="JA114" s="5"/>
      <c r="JB114" s="5"/>
      <c r="JC114" s="5"/>
      <c r="JD114" s="5"/>
      <c r="JE114" s="5"/>
      <c r="JF114" s="5"/>
      <c r="JG114" s="5"/>
      <c r="JH114" s="5"/>
      <c r="JI114" s="5"/>
      <c r="JJ114" s="5"/>
      <c r="JK114" s="5"/>
      <c r="JL114" s="5"/>
      <c r="JM114" s="5"/>
      <c r="JN114" s="5"/>
      <c r="JO114" s="5"/>
      <c r="JP114" s="5"/>
      <c r="JQ114" s="5"/>
      <c r="JR114" s="5"/>
      <c r="JS114" s="5"/>
      <c r="JT114" s="5"/>
      <c r="JU114" s="5"/>
      <c r="JV114" s="5"/>
      <c r="JW114" s="5"/>
      <c r="JX114" s="5"/>
      <c r="JY114" s="5"/>
      <c r="JZ114" s="5"/>
      <c r="KA114" s="5"/>
      <c r="KB114" s="5"/>
      <c r="KC114" s="5"/>
      <c r="KD114" s="5"/>
      <c r="KE114" s="5"/>
      <c r="KF114" s="5"/>
      <c r="KG114" s="5"/>
      <c r="KH114" s="5"/>
      <c r="KI114" s="5"/>
      <c r="KJ114" s="5"/>
      <c r="KK114" s="5"/>
      <c r="KL114" s="5"/>
      <c r="KM114" s="5"/>
      <c r="KN114" s="5"/>
      <c r="KO114" s="5"/>
      <c r="KP114" s="5"/>
      <c r="KQ114" s="5"/>
      <c r="KR114" s="5"/>
      <c r="KS114" s="5"/>
      <c r="KT114" s="5"/>
      <c r="KU114" s="5"/>
      <c r="KV114" s="5"/>
      <c r="KW114" s="5"/>
      <c r="KX114" s="5"/>
      <c r="KY114" s="5"/>
      <c r="KZ114" s="5"/>
      <c r="LA114" s="5"/>
      <c r="LB114" s="5"/>
      <c r="LC114" s="5"/>
      <c r="LD114" s="5"/>
      <c r="LE114" s="5"/>
      <c r="LF114" s="5"/>
      <c r="LG114" s="5"/>
      <c r="LH114" s="5"/>
      <c r="LI114" s="5"/>
      <c r="LJ114" s="5"/>
      <c r="LK114" s="5"/>
      <c r="LL114" s="5"/>
      <c r="LM114" s="5"/>
      <c r="LN114" s="5"/>
      <c r="LO114" s="5"/>
      <c r="LP114" s="5"/>
      <c r="LQ114" s="5"/>
      <c r="LR114" s="5"/>
      <c r="LS114" s="5"/>
      <c r="LT114" s="5"/>
      <c r="LU114" s="5"/>
      <c r="LV114" s="5"/>
      <c r="LW114" s="5"/>
      <c r="LX114" s="5"/>
      <c r="LY114" s="5"/>
      <c r="LZ114" s="5"/>
      <c r="MA114" s="5"/>
      <c r="MB114" s="5"/>
      <c r="MC114" s="5"/>
      <c r="MD114" s="5"/>
      <c r="ME114" s="5"/>
      <c r="MF114" s="5"/>
      <c r="MG114" s="5"/>
      <c r="MH114" s="5"/>
      <c r="MI114" s="5"/>
      <c r="MJ114" s="5"/>
      <c r="MK114" s="5"/>
      <c r="ML114" s="5"/>
      <c r="MM114" s="5"/>
      <c r="MN114" s="5"/>
      <c r="MO114" s="5"/>
      <c r="MP114" s="5"/>
      <c r="MQ114" s="5"/>
      <c r="MR114" s="5"/>
      <c r="MS114" s="5"/>
      <c r="MT114" s="5"/>
      <c r="MU114" s="5"/>
      <c r="MV114" s="5"/>
      <c r="MW114" s="5"/>
      <c r="MX114" s="5"/>
      <c r="MY114" s="5"/>
      <c r="MZ114" s="5"/>
      <c r="NA114" s="5"/>
      <c r="NB114" s="5"/>
      <c r="NC114" s="5"/>
      <c r="ND114" s="5"/>
      <c r="NE114" s="5"/>
      <c r="NF114" s="5"/>
      <c r="NG114" s="5"/>
      <c r="NH114" s="5"/>
      <c r="NI114" s="5"/>
      <c r="NJ114" s="5"/>
      <c r="NK114" s="5"/>
      <c r="NL114" s="5"/>
      <c r="NM114" s="5"/>
      <c r="NN114" s="5"/>
      <c r="NO114" s="5"/>
      <c r="NP114" s="5"/>
      <c r="NQ114" s="5"/>
      <c r="NR114" s="5"/>
      <c r="NS114" s="5"/>
      <c r="NT114" s="5"/>
      <c r="NU114" s="5"/>
      <c r="NV114" s="5"/>
      <c r="NW114" s="5"/>
      <c r="NX114" s="5"/>
      <c r="NY114" s="5"/>
      <c r="NZ114" s="5"/>
      <c r="OA114" s="5"/>
      <c r="OB114" s="5"/>
      <c r="OC114" s="5"/>
      <c r="OD114" s="5"/>
      <c r="OE114" s="5"/>
      <c r="OF114" s="5"/>
      <c r="OG114" s="5"/>
      <c r="OH114" s="5"/>
      <c r="OI114" s="5"/>
      <c r="OJ114" s="5"/>
      <c r="OK114" s="5"/>
      <c r="OL114" s="5"/>
      <c r="OM114" s="5"/>
      <c r="ON114" s="5"/>
      <c r="OO114" s="5"/>
      <c r="OP114" s="5"/>
      <c r="OQ114" s="5"/>
      <c r="OR114" s="5"/>
      <c r="OS114" s="5"/>
      <c r="OT114" s="5"/>
      <c r="OU114" s="5"/>
      <c r="OV114" s="5"/>
      <c r="OW114" s="5"/>
      <c r="OX114" s="5"/>
      <c r="OY114" s="5"/>
      <c r="OZ114" s="5"/>
      <c r="PA114" s="5"/>
      <c r="PB114" s="5"/>
      <c r="PC114" s="5"/>
      <c r="PD114" s="5"/>
      <c r="PE114" s="5"/>
      <c r="PF114" s="5"/>
      <c r="PG114" s="5"/>
      <c r="PH114" s="5"/>
      <c r="PI114" s="5"/>
      <c r="PJ114" s="5"/>
      <c r="PK114" s="5"/>
      <c r="PL114" s="5"/>
      <c r="PM114" s="5"/>
      <c r="PN114" s="5"/>
      <c r="PO114" s="5"/>
      <c r="PP114" s="5"/>
      <c r="PQ114" s="5"/>
      <c r="PR114" s="5"/>
      <c r="PS114" s="5"/>
      <c r="PT114" s="5"/>
      <c r="PU114" s="5"/>
      <c r="PV114" s="5"/>
      <c r="PW114" s="5"/>
      <c r="PX114" s="5"/>
      <c r="PY114" s="5"/>
      <c r="PZ114" s="5"/>
      <c r="QA114" s="5"/>
      <c r="QB114" s="5"/>
      <c r="QC114" s="5"/>
      <c r="QD114" s="5"/>
      <c r="QE114" s="5"/>
      <c r="QF114" s="5"/>
      <c r="QG114" s="5"/>
      <c r="QH114" s="5"/>
      <c r="QI114" s="5"/>
      <c r="QJ114" s="5"/>
      <c r="QK114" s="5"/>
      <c r="QL114" s="5"/>
      <c r="QM114" s="5"/>
      <c r="QN114" s="5"/>
      <c r="QO114" s="5"/>
      <c r="QP114" s="5"/>
      <c r="QQ114" s="5"/>
      <c r="QR114" s="5"/>
      <c r="QS114" s="5"/>
      <c r="QT114" s="5"/>
      <c r="QU114" s="5"/>
      <c r="QV114" s="5"/>
      <c r="QW114" s="5"/>
      <c r="QX114" s="5"/>
      <c r="QY114" s="5"/>
      <c r="QZ114" s="5"/>
      <c r="RA114" s="5"/>
      <c r="RB114" s="5"/>
      <c r="RC114" s="5"/>
      <c r="RD114" s="5"/>
      <c r="RE114" s="5"/>
      <c r="RF114" s="5"/>
      <c r="RG114" s="5"/>
      <c r="RH114" s="5"/>
      <c r="RI114" s="5"/>
      <c r="RJ114" s="5"/>
      <c r="RK114" s="5"/>
      <c r="RL114" s="5"/>
      <c r="RM114" s="5"/>
      <c r="RN114" s="5"/>
      <c r="RO114" s="5"/>
      <c r="RP114" s="5"/>
      <c r="RQ114" s="5"/>
      <c r="RR114" s="5"/>
      <c r="RS114" s="5"/>
      <c r="RT114" s="5"/>
      <c r="RU114" s="5"/>
      <c r="RV114" s="5"/>
      <c r="RW114" s="5"/>
      <c r="RX114" s="5"/>
      <c r="RY114" s="5"/>
      <c r="RZ114" s="5"/>
      <c r="SA114" s="5"/>
      <c r="SB114" s="5"/>
      <c r="SC114" s="5"/>
      <c r="SD114" s="5"/>
      <c r="SE114" s="5"/>
      <c r="SF114" s="5"/>
      <c r="SG114" s="5"/>
      <c r="SH114" s="5"/>
      <c r="SI114" s="5"/>
      <c r="SJ114" s="5"/>
      <c r="SK114" s="5"/>
      <c r="SL114" s="5"/>
      <c r="SM114" s="5"/>
      <c r="SN114" s="5"/>
      <c r="SO114" s="5"/>
      <c r="SP114" s="5"/>
      <c r="SQ114" s="5"/>
      <c r="SR114" s="5"/>
      <c r="SS114" s="5"/>
      <c r="ST114" s="5"/>
      <c r="SU114" s="5"/>
      <c r="SV114" s="5"/>
      <c r="SW114" s="5"/>
      <c r="SX114" s="5"/>
      <c r="SY114" s="5"/>
      <c r="SZ114" s="5"/>
      <c r="TA114" s="5"/>
      <c r="TB114" s="5"/>
      <c r="TC114" s="5"/>
      <c r="TD114" s="5"/>
      <c r="TE114" s="5"/>
      <c r="TF114" s="5"/>
      <c r="TG114" s="5"/>
      <c r="TH114" s="5"/>
      <c r="TI114" s="5"/>
      <c r="TJ114" s="5"/>
      <c r="TK114" s="5"/>
      <c r="TL114" s="5"/>
      <c r="TM114" s="5"/>
      <c r="TN114" s="5"/>
      <c r="TO114" s="5"/>
      <c r="TP114" s="5"/>
      <c r="TQ114" s="5"/>
      <c r="TR114" s="5"/>
      <c r="TS114" s="5"/>
      <c r="TT114" s="5"/>
      <c r="TU114" s="5"/>
      <c r="TV114" s="5"/>
      <c r="TW114" s="5"/>
      <c r="TX114" s="5"/>
      <c r="TY114" s="5"/>
      <c r="TZ114" s="5"/>
      <c r="UA114" s="5"/>
      <c r="UB114" s="5"/>
      <c r="UC114" s="5"/>
      <c r="UD114" s="5"/>
      <c r="UE114" s="5"/>
      <c r="UF114" s="5"/>
      <c r="UG114" s="5"/>
      <c r="UH114" s="5"/>
      <c r="UI114" s="5"/>
      <c r="UJ114" s="5"/>
      <c r="UK114" s="5"/>
      <c r="UL114" s="5"/>
      <c r="UM114" s="5"/>
      <c r="UN114" s="5"/>
      <c r="UO114" s="5"/>
      <c r="UP114" s="5"/>
      <c r="UQ114" s="5"/>
      <c r="UR114" s="5"/>
      <c r="US114" s="5"/>
      <c r="UT114" s="5"/>
      <c r="UU114" s="5"/>
      <c r="UV114" s="5"/>
      <c r="UW114" s="5"/>
      <c r="UX114" s="5"/>
      <c r="UY114" s="5"/>
      <c r="UZ114" s="5"/>
      <c r="VA114" s="5"/>
      <c r="VB114" s="5"/>
      <c r="VC114" s="5"/>
      <c r="VD114" s="5"/>
      <c r="VE114" s="5"/>
      <c r="VF114" s="5"/>
      <c r="VG114" s="5"/>
      <c r="VH114" s="5"/>
      <c r="VI114" s="5"/>
      <c r="VJ114" s="5"/>
      <c r="VK114" s="5"/>
      <c r="VL114" s="5"/>
      <c r="VM114" s="5"/>
      <c r="VN114" s="5"/>
      <c r="VO114" s="5"/>
      <c r="VP114" s="5"/>
      <c r="VQ114" s="5"/>
      <c r="VR114" s="5"/>
      <c r="VS114" s="5"/>
      <c r="VT114" s="5"/>
      <c r="VU114" s="5"/>
      <c r="VV114" s="5"/>
      <c r="VW114" s="5"/>
      <c r="VX114" s="5"/>
      <c r="VY114" s="5"/>
      <c r="VZ114" s="5"/>
      <c r="WA114" s="5"/>
      <c r="WB114" s="5"/>
      <c r="WC114" s="5"/>
      <c r="WD114" s="5"/>
      <c r="WE114" s="5"/>
      <c r="WF114" s="5"/>
      <c r="WG114" s="5"/>
      <c r="WH114" s="5"/>
      <c r="WI114" s="5"/>
      <c r="WJ114" s="5"/>
      <c r="WK114" s="5"/>
      <c r="WL114" s="5"/>
      <c r="WM114" s="5"/>
      <c r="WN114" s="5"/>
      <c r="WO114" s="5"/>
      <c r="WP114" s="5"/>
      <c r="WQ114" s="5"/>
      <c r="WR114" s="5"/>
      <c r="WS114" s="5"/>
      <c r="WT114" s="5"/>
      <c r="WU114" s="5"/>
      <c r="WV114" s="5"/>
      <c r="WW114" s="5"/>
      <c r="WX114" s="5"/>
      <c r="WY114" s="5"/>
      <c r="WZ114" s="5"/>
      <c r="XA114" s="5"/>
      <c r="XB114" s="5"/>
      <c r="XC114" s="5"/>
      <c r="XD114" s="5"/>
      <c r="XE114" s="5"/>
      <c r="XF114" s="5"/>
      <c r="XG114" s="5"/>
      <c r="XH114" s="5"/>
      <c r="XI114" s="5"/>
      <c r="XJ114" s="5"/>
      <c r="XK114" s="5"/>
      <c r="XL114" s="5"/>
      <c r="XM114" s="5"/>
      <c r="XN114" s="5"/>
      <c r="XO114" s="5"/>
      <c r="XP114" s="5"/>
      <c r="XQ114" s="5"/>
      <c r="XR114" s="5"/>
      <c r="XS114" s="5"/>
      <c r="XT114" s="5"/>
      <c r="XU114" s="5"/>
      <c r="XV114" s="5"/>
      <c r="XW114" s="5"/>
      <c r="XX114" s="5"/>
      <c r="XY114" s="5"/>
      <c r="XZ114" s="5"/>
      <c r="YA114" s="5"/>
      <c r="YB114" s="5"/>
      <c r="YC114" s="5"/>
      <c r="YD114" s="5"/>
      <c r="YE114" s="5"/>
      <c r="YF114" s="5"/>
      <c r="YG114" s="5"/>
      <c r="YH114" s="5"/>
      <c r="YI114" s="5"/>
      <c r="YJ114" s="5"/>
      <c r="YK114" s="5"/>
      <c r="YL114" s="5"/>
      <c r="YM114" s="5"/>
      <c r="YN114" s="5"/>
      <c r="YO114" s="5"/>
      <c r="YP114" s="5"/>
      <c r="YQ114" s="5"/>
      <c r="YR114" s="5"/>
      <c r="YS114" s="5"/>
      <c r="YT114" s="5"/>
      <c r="YU114" s="5"/>
      <c r="YV114" s="5"/>
      <c r="YW114" s="5"/>
      <c r="YX114" s="5"/>
      <c r="YY114" s="5"/>
      <c r="YZ114" s="5"/>
    </row>
    <row r="115" spans="1:676">
      <c r="A115" s="7">
        <v>105</v>
      </c>
      <c r="B115" s="7" t="s">
        <v>284</v>
      </c>
      <c r="C115" s="10" t="s">
        <v>285</v>
      </c>
      <c r="D115" s="7" t="s">
        <v>60</v>
      </c>
      <c r="E115" s="7" t="s">
        <v>178</v>
      </c>
      <c r="F115" s="7" t="s">
        <v>162</v>
      </c>
      <c r="G115" s="7"/>
      <c r="H115" s="7" t="s">
        <v>43</v>
      </c>
      <c r="I115" s="11">
        <v>2</v>
      </c>
      <c r="J115" s="11">
        <v>3</v>
      </c>
      <c r="K115" s="11">
        <v>0</v>
      </c>
      <c r="L115" s="11">
        <v>2.34</v>
      </c>
      <c r="M115" s="11">
        <v>0.24</v>
      </c>
      <c r="N115" s="11">
        <v>0</v>
      </c>
      <c r="O115" s="11">
        <v>0.74</v>
      </c>
      <c r="P115" s="11">
        <v>0</v>
      </c>
      <c r="Q115" s="11">
        <v>3.32</v>
      </c>
      <c r="R115" s="11">
        <v>0</v>
      </c>
      <c r="S115" s="11">
        <v>3.32</v>
      </c>
      <c r="T115" s="11">
        <v>2</v>
      </c>
      <c r="U115" s="11">
        <v>1.32</v>
      </c>
      <c r="V115" s="11">
        <v>0</v>
      </c>
      <c r="W115" s="13">
        <v>2</v>
      </c>
      <c r="X115" s="13">
        <v>3</v>
      </c>
      <c r="Y115" s="13" t="str">
        <f>MIN(W115,S115)</f>
        <v>0</v>
      </c>
      <c r="Z115" s="13" t="str">
        <f>MIN(X115,(S115-Y115))</f>
        <v>0</v>
      </c>
      <c r="AA115" s="13" t="str">
        <f>S115-SUM(Y115,Z115)</f>
        <v>0</v>
      </c>
      <c r="AB115" s="15"/>
      <c r="AC115" s="15"/>
      <c r="AD115" s="1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/>
      <c r="FK115" s="5"/>
      <c r="FL115" s="5"/>
      <c r="FM115" s="5"/>
      <c r="FN115" s="5"/>
      <c r="FO115" s="5"/>
      <c r="FP115" s="5"/>
      <c r="FQ115" s="5"/>
      <c r="FR115" s="5"/>
      <c r="FS115" s="5"/>
      <c r="FT115" s="5"/>
      <c r="FU115" s="5"/>
      <c r="FV115" s="5"/>
      <c r="FW115" s="5"/>
      <c r="FX115" s="5"/>
      <c r="FY115" s="5"/>
      <c r="FZ115" s="5"/>
      <c r="GA115" s="5"/>
      <c r="GB115" s="5"/>
      <c r="GC115" s="5"/>
      <c r="GD115" s="5"/>
      <c r="GE115" s="5"/>
      <c r="GF115" s="5"/>
      <c r="GG115" s="5"/>
      <c r="GH115" s="5"/>
      <c r="GI115" s="5"/>
      <c r="GJ115" s="5"/>
      <c r="GK115" s="5"/>
      <c r="GL115" s="5"/>
      <c r="GM115" s="5"/>
      <c r="GN115" s="5"/>
      <c r="GO115" s="5"/>
      <c r="GP115" s="5"/>
      <c r="GQ115" s="5"/>
      <c r="GR115" s="5"/>
      <c r="GS115" s="5"/>
      <c r="GT115" s="5"/>
      <c r="GU115" s="5"/>
      <c r="GV115" s="5"/>
      <c r="GW115" s="5"/>
      <c r="GX115" s="5"/>
      <c r="GY115" s="5"/>
      <c r="GZ115" s="5"/>
      <c r="HA115" s="5"/>
      <c r="HB115" s="5"/>
      <c r="HC115" s="5"/>
      <c r="HD115" s="5"/>
      <c r="HE115" s="5"/>
      <c r="HF115" s="5"/>
      <c r="HG115" s="5"/>
      <c r="HH115" s="5"/>
      <c r="HI115" s="5"/>
      <c r="HJ115" s="5"/>
      <c r="HK115" s="5"/>
      <c r="HL115" s="5"/>
      <c r="HM115" s="5"/>
      <c r="HN115" s="5"/>
      <c r="HO115" s="5"/>
      <c r="HP115" s="5"/>
      <c r="HQ115" s="5"/>
      <c r="HR115" s="5"/>
      <c r="HS115" s="5"/>
      <c r="HT115" s="5"/>
      <c r="HU115" s="5"/>
      <c r="HV115" s="5"/>
      <c r="HW115" s="5"/>
      <c r="HX115" s="5"/>
      <c r="HY115" s="5"/>
      <c r="HZ115" s="5"/>
      <c r="IA115" s="5"/>
      <c r="IB115" s="5"/>
      <c r="IC115" s="5"/>
      <c r="ID115" s="5"/>
      <c r="IE115" s="5"/>
      <c r="IF115" s="5"/>
      <c r="IG115" s="5"/>
      <c r="IH115" s="5"/>
      <c r="II115" s="5"/>
      <c r="IJ115" s="5"/>
      <c r="IK115" s="5"/>
      <c r="IL115" s="5"/>
      <c r="IM115" s="5"/>
      <c r="IN115" s="5"/>
      <c r="IO115" s="5"/>
      <c r="IP115" s="5"/>
      <c r="IQ115" s="5"/>
      <c r="IR115" s="5"/>
      <c r="IS115" s="5"/>
      <c r="IT115" s="5"/>
      <c r="IU115" s="5"/>
      <c r="IV115" s="5"/>
      <c r="IW115" s="5"/>
      <c r="IX115" s="5"/>
      <c r="IY115" s="5"/>
      <c r="IZ115" s="5"/>
      <c r="JA115" s="5"/>
      <c r="JB115" s="5"/>
      <c r="JC115" s="5"/>
      <c r="JD115" s="5"/>
      <c r="JE115" s="5"/>
      <c r="JF115" s="5"/>
      <c r="JG115" s="5"/>
      <c r="JH115" s="5"/>
      <c r="JI115" s="5"/>
      <c r="JJ115" s="5"/>
      <c r="JK115" s="5"/>
      <c r="JL115" s="5"/>
      <c r="JM115" s="5"/>
      <c r="JN115" s="5"/>
      <c r="JO115" s="5"/>
      <c r="JP115" s="5"/>
      <c r="JQ115" s="5"/>
      <c r="JR115" s="5"/>
      <c r="JS115" s="5"/>
      <c r="JT115" s="5"/>
      <c r="JU115" s="5"/>
      <c r="JV115" s="5"/>
      <c r="JW115" s="5"/>
      <c r="JX115" s="5"/>
      <c r="JY115" s="5"/>
      <c r="JZ115" s="5"/>
      <c r="KA115" s="5"/>
      <c r="KB115" s="5"/>
      <c r="KC115" s="5"/>
      <c r="KD115" s="5"/>
      <c r="KE115" s="5"/>
      <c r="KF115" s="5"/>
      <c r="KG115" s="5"/>
      <c r="KH115" s="5"/>
      <c r="KI115" s="5"/>
      <c r="KJ115" s="5"/>
      <c r="KK115" s="5"/>
      <c r="KL115" s="5"/>
      <c r="KM115" s="5"/>
      <c r="KN115" s="5"/>
      <c r="KO115" s="5"/>
      <c r="KP115" s="5"/>
      <c r="KQ115" s="5"/>
      <c r="KR115" s="5"/>
      <c r="KS115" s="5"/>
      <c r="KT115" s="5"/>
      <c r="KU115" s="5"/>
      <c r="KV115" s="5"/>
      <c r="KW115" s="5"/>
      <c r="KX115" s="5"/>
      <c r="KY115" s="5"/>
      <c r="KZ115" s="5"/>
      <c r="LA115" s="5"/>
      <c r="LB115" s="5"/>
      <c r="LC115" s="5"/>
      <c r="LD115" s="5"/>
      <c r="LE115" s="5"/>
      <c r="LF115" s="5"/>
      <c r="LG115" s="5"/>
      <c r="LH115" s="5"/>
      <c r="LI115" s="5"/>
      <c r="LJ115" s="5"/>
      <c r="LK115" s="5"/>
      <c r="LL115" s="5"/>
      <c r="LM115" s="5"/>
      <c r="LN115" s="5"/>
      <c r="LO115" s="5"/>
      <c r="LP115" s="5"/>
      <c r="LQ115" s="5"/>
      <c r="LR115" s="5"/>
      <c r="LS115" s="5"/>
      <c r="LT115" s="5"/>
      <c r="LU115" s="5"/>
      <c r="LV115" s="5"/>
      <c r="LW115" s="5"/>
      <c r="LX115" s="5"/>
      <c r="LY115" s="5"/>
      <c r="LZ115" s="5"/>
      <c r="MA115" s="5"/>
      <c r="MB115" s="5"/>
      <c r="MC115" s="5"/>
      <c r="MD115" s="5"/>
      <c r="ME115" s="5"/>
      <c r="MF115" s="5"/>
      <c r="MG115" s="5"/>
      <c r="MH115" s="5"/>
      <c r="MI115" s="5"/>
      <c r="MJ115" s="5"/>
      <c r="MK115" s="5"/>
      <c r="ML115" s="5"/>
      <c r="MM115" s="5"/>
      <c r="MN115" s="5"/>
      <c r="MO115" s="5"/>
      <c r="MP115" s="5"/>
      <c r="MQ115" s="5"/>
      <c r="MR115" s="5"/>
      <c r="MS115" s="5"/>
      <c r="MT115" s="5"/>
      <c r="MU115" s="5"/>
      <c r="MV115" s="5"/>
      <c r="MW115" s="5"/>
      <c r="MX115" s="5"/>
      <c r="MY115" s="5"/>
      <c r="MZ115" s="5"/>
      <c r="NA115" s="5"/>
      <c r="NB115" s="5"/>
      <c r="NC115" s="5"/>
      <c r="ND115" s="5"/>
      <c r="NE115" s="5"/>
      <c r="NF115" s="5"/>
      <c r="NG115" s="5"/>
      <c r="NH115" s="5"/>
      <c r="NI115" s="5"/>
      <c r="NJ115" s="5"/>
      <c r="NK115" s="5"/>
      <c r="NL115" s="5"/>
      <c r="NM115" s="5"/>
      <c r="NN115" s="5"/>
      <c r="NO115" s="5"/>
      <c r="NP115" s="5"/>
      <c r="NQ115" s="5"/>
      <c r="NR115" s="5"/>
      <c r="NS115" s="5"/>
      <c r="NT115" s="5"/>
      <c r="NU115" s="5"/>
      <c r="NV115" s="5"/>
      <c r="NW115" s="5"/>
      <c r="NX115" s="5"/>
      <c r="NY115" s="5"/>
      <c r="NZ115" s="5"/>
      <c r="OA115" s="5"/>
      <c r="OB115" s="5"/>
      <c r="OC115" s="5"/>
      <c r="OD115" s="5"/>
      <c r="OE115" s="5"/>
      <c r="OF115" s="5"/>
      <c r="OG115" s="5"/>
      <c r="OH115" s="5"/>
      <c r="OI115" s="5"/>
      <c r="OJ115" s="5"/>
      <c r="OK115" s="5"/>
      <c r="OL115" s="5"/>
      <c r="OM115" s="5"/>
      <c r="ON115" s="5"/>
      <c r="OO115" s="5"/>
      <c r="OP115" s="5"/>
      <c r="OQ115" s="5"/>
      <c r="OR115" s="5"/>
      <c r="OS115" s="5"/>
      <c r="OT115" s="5"/>
      <c r="OU115" s="5"/>
      <c r="OV115" s="5"/>
      <c r="OW115" s="5"/>
      <c r="OX115" s="5"/>
      <c r="OY115" s="5"/>
      <c r="OZ115" s="5"/>
      <c r="PA115" s="5"/>
      <c r="PB115" s="5"/>
      <c r="PC115" s="5"/>
      <c r="PD115" s="5"/>
      <c r="PE115" s="5"/>
      <c r="PF115" s="5"/>
      <c r="PG115" s="5"/>
      <c r="PH115" s="5"/>
      <c r="PI115" s="5"/>
      <c r="PJ115" s="5"/>
      <c r="PK115" s="5"/>
      <c r="PL115" s="5"/>
      <c r="PM115" s="5"/>
      <c r="PN115" s="5"/>
      <c r="PO115" s="5"/>
      <c r="PP115" s="5"/>
      <c r="PQ115" s="5"/>
      <c r="PR115" s="5"/>
      <c r="PS115" s="5"/>
      <c r="PT115" s="5"/>
      <c r="PU115" s="5"/>
      <c r="PV115" s="5"/>
      <c r="PW115" s="5"/>
      <c r="PX115" s="5"/>
      <c r="PY115" s="5"/>
      <c r="PZ115" s="5"/>
      <c r="QA115" s="5"/>
      <c r="QB115" s="5"/>
      <c r="QC115" s="5"/>
      <c r="QD115" s="5"/>
      <c r="QE115" s="5"/>
      <c r="QF115" s="5"/>
      <c r="QG115" s="5"/>
      <c r="QH115" s="5"/>
      <c r="QI115" s="5"/>
      <c r="QJ115" s="5"/>
      <c r="QK115" s="5"/>
      <c r="QL115" s="5"/>
      <c r="QM115" s="5"/>
      <c r="QN115" s="5"/>
      <c r="QO115" s="5"/>
      <c r="QP115" s="5"/>
      <c r="QQ115" s="5"/>
      <c r="QR115" s="5"/>
      <c r="QS115" s="5"/>
      <c r="QT115" s="5"/>
      <c r="QU115" s="5"/>
      <c r="QV115" s="5"/>
      <c r="QW115" s="5"/>
      <c r="QX115" s="5"/>
      <c r="QY115" s="5"/>
      <c r="QZ115" s="5"/>
      <c r="RA115" s="5"/>
      <c r="RB115" s="5"/>
      <c r="RC115" s="5"/>
      <c r="RD115" s="5"/>
      <c r="RE115" s="5"/>
      <c r="RF115" s="5"/>
      <c r="RG115" s="5"/>
      <c r="RH115" s="5"/>
      <c r="RI115" s="5"/>
      <c r="RJ115" s="5"/>
      <c r="RK115" s="5"/>
      <c r="RL115" s="5"/>
      <c r="RM115" s="5"/>
      <c r="RN115" s="5"/>
      <c r="RO115" s="5"/>
      <c r="RP115" s="5"/>
      <c r="RQ115" s="5"/>
      <c r="RR115" s="5"/>
      <c r="RS115" s="5"/>
      <c r="RT115" s="5"/>
      <c r="RU115" s="5"/>
      <c r="RV115" s="5"/>
      <c r="RW115" s="5"/>
      <c r="RX115" s="5"/>
      <c r="RY115" s="5"/>
      <c r="RZ115" s="5"/>
      <c r="SA115" s="5"/>
      <c r="SB115" s="5"/>
      <c r="SC115" s="5"/>
      <c r="SD115" s="5"/>
      <c r="SE115" s="5"/>
      <c r="SF115" s="5"/>
      <c r="SG115" s="5"/>
      <c r="SH115" s="5"/>
      <c r="SI115" s="5"/>
      <c r="SJ115" s="5"/>
      <c r="SK115" s="5"/>
      <c r="SL115" s="5"/>
      <c r="SM115" s="5"/>
      <c r="SN115" s="5"/>
      <c r="SO115" s="5"/>
      <c r="SP115" s="5"/>
      <c r="SQ115" s="5"/>
      <c r="SR115" s="5"/>
      <c r="SS115" s="5"/>
      <c r="ST115" s="5"/>
      <c r="SU115" s="5"/>
      <c r="SV115" s="5"/>
      <c r="SW115" s="5"/>
      <c r="SX115" s="5"/>
      <c r="SY115" s="5"/>
      <c r="SZ115" s="5"/>
      <c r="TA115" s="5"/>
      <c r="TB115" s="5"/>
      <c r="TC115" s="5"/>
      <c r="TD115" s="5"/>
      <c r="TE115" s="5"/>
      <c r="TF115" s="5"/>
      <c r="TG115" s="5"/>
      <c r="TH115" s="5"/>
      <c r="TI115" s="5"/>
      <c r="TJ115" s="5"/>
      <c r="TK115" s="5"/>
      <c r="TL115" s="5"/>
      <c r="TM115" s="5"/>
      <c r="TN115" s="5"/>
      <c r="TO115" s="5"/>
      <c r="TP115" s="5"/>
      <c r="TQ115" s="5"/>
      <c r="TR115" s="5"/>
      <c r="TS115" s="5"/>
      <c r="TT115" s="5"/>
      <c r="TU115" s="5"/>
      <c r="TV115" s="5"/>
      <c r="TW115" s="5"/>
      <c r="TX115" s="5"/>
      <c r="TY115" s="5"/>
      <c r="TZ115" s="5"/>
      <c r="UA115" s="5"/>
      <c r="UB115" s="5"/>
      <c r="UC115" s="5"/>
      <c r="UD115" s="5"/>
      <c r="UE115" s="5"/>
      <c r="UF115" s="5"/>
      <c r="UG115" s="5"/>
      <c r="UH115" s="5"/>
      <c r="UI115" s="5"/>
      <c r="UJ115" s="5"/>
      <c r="UK115" s="5"/>
      <c r="UL115" s="5"/>
      <c r="UM115" s="5"/>
      <c r="UN115" s="5"/>
      <c r="UO115" s="5"/>
      <c r="UP115" s="5"/>
      <c r="UQ115" s="5"/>
      <c r="UR115" s="5"/>
      <c r="US115" s="5"/>
      <c r="UT115" s="5"/>
      <c r="UU115" s="5"/>
      <c r="UV115" s="5"/>
      <c r="UW115" s="5"/>
      <c r="UX115" s="5"/>
      <c r="UY115" s="5"/>
      <c r="UZ115" s="5"/>
      <c r="VA115" s="5"/>
      <c r="VB115" s="5"/>
      <c r="VC115" s="5"/>
      <c r="VD115" s="5"/>
      <c r="VE115" s="5"/>
      <c r="VF115" s="5"/>
      <c r="VG115" s="5"/>
      <c r="VH115" s="5"/>
      <c r="VI115" s="5"/>
      <c r="VJ115" s="5"/>
      <c r="VK115" s="5"/>
      <c r="VL115" s="5"/>
      <c r="VM115" s="5"/>
      <c r="VN115" s="5"/>
      <c r="VO115" s="5"/>
      <c r="VP115" s="5"/>
      <c r="VQ115" s="5"/>
      <c r="VR115" s="5"/>
      <c r="VS115" s="5"/>
      <c r="VT115" s="5"/>
      <c r="VU115" s="5"/>
      <c r="VV115" s="5"/>
      <c r="VW115" s="5"/>
      <c r="VX115" s="5"/>
      <c r="VY115" s="5"/>
      <c r="VZ115" s="5"/>
      <c r="WA115" s="5"/>
      <c r="WB115" s="5"/>
      <c r="WC115" s="5"/>
      <c r="WD115" s="5"/>
      <c r="WE115" s="5"/>
      <c r="WF115" s="5"/>
      <c r="WG115" s="5"/>
      <c r="WH115" s="5"/>
      <c r="WI115" s="5"/>
      <c r="WJ115" s="5"/>
      <c r="WK115" s="5"/>
      <c r="WL115" s="5"/>
      <c r="WM115" s="5"/>
      <c r="WN115" s="5"/>
      <c r="WO115" s="5"/>
      <c r="WP115" s="5"/>
      <c r="WQ115" s="5"/>
      <c r="WR115" s="5"/>
      <c r="WS115" s="5"/>
      <c r="WT115" s="5"/>
      <c r="WU115" s="5"/>
      <c r="WV115" s="5"/>
      <c r="WW115" s="5"/>
      <c r="WX115" s="5"/>
      <c r="WY115" s="5"/>
      <c r="WZ115" s="5"/>
      <c r="XA115" s="5"/>
      <c r="XB115" s="5"/>
      <c r="XC115" s="5"/>
      <c r="XD115" s="5"/>
      <c r="XE115" s="5"/>
      <c r="XF115" s="5"/>
      <c r="XG115" s="5"/>
      <c r="XH115" s="5"/>
      <c r="XI115" s="5"/>
      <c r="XJ115" s="5"/>
      <c r="XK115" s="5"/>
      <c r="XL115" s="5"/>
      <c r="XM115" s="5"/>
      <c r="XN115" s="5"/>
      <c r="XO115" s="5"/>
      <c r="XP115" s="5"/>
      <c r="XQ115" s="5"/>
      <c r="XR115" s="5"/>
      <c r="XS115" s="5"/>
      <c r="XT115" s="5"/>
      <c r="XU115" s="5"/>
      <c r="XV115" s="5"/>
      <c r="XW115" s="5"/>
      <c r="XX115" s="5"/>
      <c r="XY115" s="5"/>
      <c r="XZ115" s="5"/>
      <c r="YA115" s="5"/>
      <c r="YB115" s="5"/>
      <c r="YC115" s="5"/>
      <c r="YD115" s="5"/>
      <c r="YE115" s="5"/>
      <c r="YF115" s="5"/>
      <c r="YG115" s="5"/>
      <c r="YH115" s="5"/>
      <c r="YI115" s="5"/>
      <c r="YJ115" s="5"/>
      <c r="YK115" s="5"/>
      <c r="YL115" s="5"/>
      <c r="YM115" s="5"/>
      <c r="YN115" s="5"/>
      <c r="YO115" s="5"/>
      <c r="YP115" s="5"/>
      <c r="YQ115" s="5"/>
      <c r="YR115" s="5"/>
      <c r="YS115" s="5"/>
      <c r="YT115" s="5"/>
      <c r="YU115" s="5"/>
      <c r="YV115" s="5"/>
      <c r="YW115" s="5"/>
      <c r="YX115" s="5"/>
      <c r="YY115" s="5"/>
      <c r="YZ115" s="5"/>
    </row>
    <row r="116" spans="1:676">
      <c r="A116" s="7">
        <v>106</v>
      </c>
      <c r="B116" s="7" t="s">
        <v>286</v>
      </c>
      <c r="C116" s="10" t="s">
        <v>287</v>
      </c>
      <c r="D116" s="7" t="s">
        <v>54</v>
      </c>
      <c r="E116" s="7" t="s">
        <v>71</v>
      </c>
      <c r="F116" s="7" t="s">
        <v>162</v>
      </c>
      <c r="G116" s="7"/>
      <c r="H116" s="7" t="s">
        <v>43</v>
      </c>
      <c r="I116" s="11">
        <v>2</v>
      </c>
      <c r="J116" s="11">
        <v>3</v>
      </c>
      <c r="K116" s="11">
        <v>0</v>
      </c>
      <c r="L116" s="11">
        <v>4.73</v>
      </c>
      <c r="M116" s="11">
        <v>0.16</v>
      </c>
      <c r="N116" s="11">
        <v>0</v>
      </c>
      <c r="O116" s="11">
        <v>1.11</v>
      </c>
      <c r="P116" s="11">
        <v>1.66</v>
      </c>
      <c r="Q116" s="11">
        <v>7.659999999999995</v>
      </c>
      <c r="R116" s="11">
        <v>0</v>
      </c>
      <c r="S116" s="11">
        <v>7.659999999999995</v>
      </c>
      <c r="T116" s="11">
        <v>2</v>
      </c>
      <c r="U116" s="11">
        <v>3</v>
      </c>
      <c r="V116" s="11">
        <v>2.659999999999995</v>
      </c>
      <c r="W116" s="13">
        <v>2</v>
      </c>
      <c r="X116" s="13">
        <v>3</v>
      </c>
      <c r="Y116" s="13" t="str">
        <f>MIN(W116,S116)</f>
        <v>0</v>
      </c>
      <c r="Z116" s="13" t="str">
        <f>MIN(X116,(S116-Y116))</f>
        <v>0</v>
      </c>
      <c r="AA116" s="13" t="str">
        <f>S116-SUM(Y116,Z116)</f>
        <v>0</v>
      </c>
      <c r="AB116" s="15"/>
      <c r="AC116" s="15"/>
      <c r="AD116" s="1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  <c r="EX116" s="5"/>
      <c r="EY116" s="5"/>
      <c r="EZ116" s="5"/>
      <c r="FA116" s="5"/>
      <c r="FB116" s="5"/>
      <c r="FC116" s="5"/>
      <c r="FD116" s="5"/>
      <c r="FE116" s="5"/>
      <c r="FF116" s="5"/>
      <c r="FG116" s="5"/>
      <c r="FH116" s="5"/>
      <c r="FI116" s="5"/>
      <c r="FJ116" s="5"/>
      <c r="FK116" s="5"/>
      <c r="FL116" s="5"/>
      <c r="FM116" s="5"/>
      <c r="FN116" s="5"/>
      <c r="FO116" s="5"/>
      <c r="FP116" s="5"/>
      <c r="FQ116" s="5"/>
      <c r="FR116" s="5"/>
      <c r="FS116" s="5"/>
      <c r="FT116" s="5"/>
      <c r="FU116" s="5"/>
      <c r="FV116" s="5"/>
      <c r="FW116" s="5"/>
      <c r="FX116" s="5"/>
      <c r="FY116" s="5"/>
      <c r="FZ116" s="5"/>
      <c r="GA116" s="5"/>
      <c r="GB116" s="5"/>
      <c r="GC116" s="5"/>
      <c r="GD116" s="5"/>
      <c r="GE116" s="5"/>
      <c r="GF116" s="5"/>
      <c r="GG116" s="5"/>
      <c r="GH116" s="5"/>
      <c r="GI116" s="5"/>
      <c r="GJ116" s="5"/>
      <c r="GK116" s="5"/>
      <c r="GL116" s="5"/>
      <c r="GM116" s="5"/>
      <c r="GN116" s="5"/>
      <c r="GO116" s="5"/>
      <c r="GP116" s="5"/>
      <c r="GQ116" s="5"/>
      <c r="GR116" s="5"/>
      <c r="GS116" s="5"/>
      <c r="GT116" s="5"/>
      <c r="GU116" s="5"/>
      <c r="GV116" s="5"/>
      <c r="GW116" s="5"/>
      <c r="GX116" s="5"/>
      <c r="GY116" s="5"/>
      <c r="GZ116" s="5"/>
      <c r="HA116" s="5"/>
      <c r="HB116" s="5"/>
      <c r="HC116" s="5"/>
      <c r="HD116" s="5"/>
      <c r="HE116" s="5"/>
      <c r="HF116" s="5"/>
      <c r="HG116" s="5"/>
      <c r="HH116" s="5"/>
      <c r="HI116" s="5"/>
      <c r="HJ116" s="5"/>
      <c r="HK116" s="5"/>
      <c r="HL116" s="5"/>
      <c r="HM116" s="5"/>
      <c r="HN116" s="5"/>
      <c r="HO116" s="5"/>
      <c r="HP116" s="5"/>
      <c r="HQ116" s="5"/>
      <c r="HR116" s="5"/>
      <c r="HS116" s="5"/>
      <c r="HT116" s="5"/>
      <c r="HU116" s="5"/>
      <c r="HV116" s="5"/>
      <c r="HW116" s="5"/>
      <c r="HX116" s="5"/>
      <c r="HY116" s="5"/>
      <c r="HZ116" s="5"/>
      <c r="IA116" s="5"/>
      <c r="IB116" s="5"/>
      <c r="IC116" s="5"/>
      <c r="ID116" s="5"/>
      <c r="IE116" s="5"/>
      <c r="IF116" s="5"/>
      <c r="IG116" s="5"/>
      <c r="IH116" s="5"/>
      <c r="II116" s="5"/>
      <c r="IJ116" s="5"/>
      <c r="IK116" s="5"/>
      <c r="IL116" s="5"/>
      <c r="IM116" s="5"/>
      <c r="IN116" s="5"/>
      <c r="IO116" s="5"/>
      <c r="IP116" s="5"/>
      <c r="IQ116" s="5"/>
      <c r="IR116" s="5"/>
      <c r="IS116" s="5"/>
      <c r="IT116" s="5"/>
      <c r="IU116" s="5"/>
      <c r="IV116" s="5"/>
      <c r="IW116" s="5"/>
      <c r="IX116" s="5"/>
      <c r="IY116" s="5"/>
      <c r="IZ116" s="5"/>
      <c r="JA116" s="5"/>
      <c r="JB116" s="5"/>
      <c r="JC116" s="5"/>
      <c r="JD116" s="5"/>
      <c r="JE116" s="5"/>
      <c r="JF116" s="5"/>
      <c r="JG116" s="5"/>
      <c r="JH116" s="5"/>
      <c r="JI116" s="5"/>
      <c r="JJ116" s="5"/>
      <c r="JK116" s="5"/>
      <c r="JL116" s="5"/>
      <c r="JM116" s="5"/>
      <c r="JN116" s="5"/>
      <c r="JO116" s="5"/>
      <c r="JP116" s="5"/>
      <c r="JQ116" s="5"/>
      <c r="JR116" s="5"/>
      <c r="JS116" s="5"/>
      <c r="JT116" s="5"/>
      <c r="JU116" s="5"/>
      <c r="JV116" s="5"/>
      <c r="JW116" s="5"/>
      <c r="JX116" s="5"/>
      <c r="JY116" s="5"/>
      <c r="JZ116" s="5"/>
      <c r="KA116" s="5"/>
      <c r="KB116" s="5"/>
      <c r="KC116" s="5"/>
      <c r="KD116" s="5"/>
      <c r="KE116" s="5"/>
      <c r="KF116" s="5"/>
      <c r="KG116" s="5"/>
      <c r="KH116" s="5"/>
      <c r="KI116" s="5"/>
      <c r="KJ116" s="5"/>
      <c r="KK116" s="5"/>
      <c r="KL116" s="5"/>
      <c r="KM116" s="5"/>
      <c r="KN116" s="5"/>
      <c r="KO116" s="5"/>
      <c r="KP116" s="5"/>
      <c r="KQ116" s="5"/>
      <c r="KR116" s="5"/>
      <c r="KS116" s="5"/>
      <c r="KT116" s="5"/>
      <c r="KU116" s="5"/>
      <c r="KV116" s="5"/>
      <c r="KW116" s="5"/>
      <c r="KX116" s="5"/>
      <c r="KY116" s="5"/>
      <c r="KZ116" s="5"/>
      <c r="LA116" s="5"/>
      <c r="LB116" s="5"/>
      <c r="LC116" s="5"/>
      <c r="LD116" s="5"/>
      <c r="LE116" s="5"/>
      <c r="LF116" s="5"/>
      <c r="LG116" s="5"/>
      <c r="LH116" s="5"/>
      <c r="LI116" s="5"/>
      <c r="LJ116" s="5"/>
      <c r="LK116" s="5"/>
      <c r="LL116" s="5"/>
      <c r="LM116" s="5"/>
      <c r="LN116" s="5"/>
      <c r="LO116" s="5"/>
      <c r="LP116" s="5"/>
      <c r="LQ116" s="5"/>
      <c r="LR116" s="5"/>
      <c r="LS116" s="5"/>
      <c r="LT116" s="5"/>
      <c r="LU116" s="5"/>
      <c r="LV116" s="5"/>
      <c r="LW116" s="5"/>
      <c r="LX116" s="5"/>
      <c r="LY116" s="5"/>
      <c r="LZ116" s="5"/>
      <c r="MA116" s="5"/>
      <c r="MB116" s="5"/>
      <c r="MC116" s="5"/>
      <c r="MD116" s="5"/>
      <c r="ME116" s="5"/>
      <c r="MF116" s="5"/>
      <c r="MG116" s="5"/>
      <c r="MH116" s="5"/>
      <c r="MI116" s="5"/>
      <c r="MJ116" s="5"/>
      <c r="MK116" s="5"/>
      <c r="ML116" s="5"/>
      <c r="MM116" s="5"/>
      <c r="MN116" s="5"/>
      <c r="MO116" s="5"/>
      <c r="MP116" s="5"/>
      <c r="MQ116" s="5"/>
      <c r="MR116" s="5"/>
      <c r="MS116" s="5"/>
      <c r="MT116" s="5"/>
      <c r="MU116" s="5"/>
      <c r="MV116" s="5"/>
      <c r="MW116" s="5"/>
      <c r="MX116" s="5"/>
      <c r="MY116" s="5"/>
      <c r="MZ116" s="5"/>
      <c r="NA116" s="5"/>
      <c r="NB116" s="5"/>
      <c r="NC116" s="5"/>
      <c r="ND116" s="5"/>
      <c r="NE116" s="5"/>
      <c r="NF116" s="5"/>
      <c r="NG116" s="5"/>
      <c r="NH116" s="5"/>
      <c r="NI116" s="5"/>
      <c r="NJ116" s="5"/>
      <c r="NK116" s="5"/>
      <c r="NL116" s="5"/>
      <c r="NM116" s="5"/>
      <c r="NN116" s="5"/>
      <c r="NO116" s="5"/>
      <c r="NP116" s="5"/>
      <c r="NQ116" s="5"/>
      <c r="NR116" s="5"/>
      <c r="NS116" s="5"/>
      <c r="NT116" s="5"/>
      <c r="NU116" s="5"/>
      <c r="NV116" s="5"/>
      <c r="NW116" s="5"/>
      <c r="NX116" s="5"/>
      <c r="NY116" s="5"/>
      <c r="NZ116" s="5"/>
      <c r="OA116" s="5"/>
      <c r="OB116" s="5"/>
      <c r="OC116" s="5"/>
      <c r="OD116" s="5"/>
      <c r="OE116" s="5"/>
      <c r="OF116" s="5"/>
      <c r="OG116" s="5"/>
      <c r="OH116" s="5"/>
      <c r="OI116" s="5"/>
      <c r="OJ116" s="5"/>
      <c r="OK116" s="5"/>
      <c r="OL116" s="5"/>
      <c r="OM116" s="5"/>
      <c r="ON116" s="5"/>
      <c r="OO116" s="5"/>
      <c r="OP116" s="5"/>
      <c r="OQ116" s="5"/>
      <c r="OR116" s="5"/>
      <c r="OS116" s="5"/>
      <c r="OT116" s="5"/>
      <c r="OU116" s="5"/>
      <c r="OV116" s="5"/>
      <c r="OW116" s="5"/>
      <c r="OX116" s="5"/>
      <c r="OY116" s="5"/>
      <c r="OZ116" s="5"/>
      <c r="PA116" s="5"/>
      <c r="PB116" s="5"/>
      <c r="PC116" s="5"/>
      <c r="PD116" s="5"/>
      <c r="PE116" s="5"/>
      <c r="PF116" s="5"/>
      <c r="PG116" s="5"/>
      <c r="PH116" s="5"/>
      <c r="PI116" s="5"/>
      <c r="PJ116" s="5"/>
      <c r="PK116" s="5"/>
      <c r="PL116" s="5"/>
      <c r="PM116" s="5"/>
      <c r="PN116" s="5"/>
      <c r="PO116" s="5"/>
      <c r="PP116" s="5"/>
      <c r="PQ116" s="5"/>
      <c r="PR116" s="5"/>
      <c r="PS116" s="5"/>
      <c r="PT116" s="5"/>
      <c r="PU116" s="5"/>
      <c r="PV116" s="5"/>
      <c r="PW116" s="5"/>
      <c r="PX116" s="5"/>
      <c r="PY116" s="5"/>
      <c r="PZ116" s="5"/>
      <c r="QA116" s="5"/>
      <c r="QB116" s="5"/>
      <c r="QC116" s="5"/>
      <c r="QD116" s="5"/>
      <c r="QE116" s="5"/>
      <c r="QF116" s="5"/>
      <c r="QG116" s="5"/>
      <c r="QH116" s="5"/>
      <c r="QI116" s="5"/>
      <c r="QJ116" s="5"/>
      <c r="QK116" s="5"/>
      <c r="QL116" s="5"/>
      <c r="QM116" s="5"/>
      <c r="QN116" s="5"/>
      <c r="QO116" s="5"/>
      <c r="QP116" s="5"/>
      <c r="QQ116" s="5"/>
      <c r="QR116" s="5"/>
      <c r="QS116" s="5"/>
      <c r="QT116" s="5"/>
      <c r="QU116" s="5"/>
      <c r="QV116" s="5"/>
      <c r="QW116" s="5"/>
      <c r="QX116" s="5"/>
      <c r="QY116" s="5"/>
      <c r="QZ116" s="5"/>
      <c r="RA116" s="5"/>
      <c r="RB116" s="5"/>
      <c r="RC116" s="5"/>
      <c r="RD116" s="5"/>
      <c r="RE116" s="5"/>
      <c r="RF116" s="5"/>
      <c r="RG116" s="5"/>
      <c r="RH116" s="5"/>
      <c r="RI116" s="5"/>
      <c r="RJ116" s="5"/>
      <c r="RK116" s="5"/>
      <c r="RL116" s="5"/>
      <c r="RM116" s="5"/>
      <c r="RN116" s="5"/>
      <c r="RO116" s="5"/>
      <c r="RP116" s="5"/>
      <c r="RQ116" s="5"/>
      <c r="RR116" s="5"/>
      <c r="RS116" s="5"/>
      <c r="RT116" s="5"/>
      <c r="RU116" s="5"/>
      <c r="RV116" s="5"/>
      <c r="RW116" s="5"/>
      <c r="RX116" s="5"/>
      <c r="RY116" s="5"/>
      <c r="RZ116" s="5"/>
      <c r="SA116" s="5"/>
      <c r="SB116" s="5"/>
      <c r="SC116" s="5"/>
      <c r="SD116" s="5"/>
      <c r="SE116" s="5"/>
      <c r="SF116" s="5"/>
      <c r="SG116" s="5"/>
      <c r="SH116" s="5"/>
      <c r="SI116" s="5"/>
      <c r="SJ116" s="5"/>
      <c r="SK116" s="5"/>
      <c r="SL116" s="5"/>
      <c r="SM116" s="5"/>
      <c r="SN116" s="5"/>
      <c r="SO116" s="5"/>
      <c r="SP116" s="5"/>
      <c r="SQ116" s="5"/>
      <c r="SR116" s="5"/>
      <c r="SS116" s="5"/>
      <c r="ST116" s="5"/>
      <c r="SU116" s="5"/>
      <c r="SV116" s="5"/>
      <c r="SW116" s="5"/>
      <c r="SX116" s="5"/>
      <c r="SY116" s="5"/>
      <c r="SZ116" s="5"/>
      <c r="TA116" s="5"/>
      <c r="TB116" s="5"/>
      <c r="TC116" s="5"/>
      <c r="TD116" s="5"/>
      <c r="TE116" s="5"/>
      <c r="TF116" s="5"/>
      <c r="TG116" s="5"/>
      <c r="TH116" s="5"/>
      <c r="TI116" s="5"/>
      <c r="TJ116" s="5"/>
      <c r="TK116" s="5"/>
      <c r="TL116" s="5"/>
      <c r="TM116" s="5"/>
      <c r="TN116" s="5"/>
      <c r="TO116" s="5"/>
      <c r="TP116" s="5"/>
      <c r="TQ116" s="5"/>
      <c r="TR116" s="5"/>
      <c r="TS116" s="5"/>
      <c r="TT116" s="5"/>
      <c r="TU116" s="5"/>
      <c r="TV116" s="5"/>
      <c r="TW116" s="5"/>
      <c r="TX116" s="5"/>
      <c r="TY116" s="5"/>
      <c r="TZ116" s="5"/>
      <c r="UA116" s="5"/>
      <c r="UB116" s="5"/>
      <c r="UC116" s="5"/>
      <c r="UD116" s="5"/>
      <c r="UE116" s="5"/>
      <c r="UF116" s="5"/>
      <c r="UG116" s="5"/>
      <c r="UH116" s="5"/>
      <c r="UI116" s="5"/>
      <c r="UJ116" s="5"/>
      <c r="UK116" s="5"/>
      <c r="UL116" s="5"/>
      <c r="UM116" s="5"/>
      <c r="UN116" s="5"/>
      <c r="UO116" s="5"/>
      <c r="UP116" s="5"/>
      <c r="UQ116" s="5"/>
      <c r="UR116" s="5"/>
      <c r="US116" s="5"/>
      <c r="UT116" s="5"/>
      <c r="UU116" s="5"/>
      <c r="UV116" s="5"/>
      <c r="UW116" s="5"/>
      <c r="UX116" s="5"/>
      <c r="UY116" s="5"/>
      <c r="UZ116" s="5"/>
      <c r="VA116" s="5"/>
      <c r="VB116" s="5"/>
      <c r="VC116" s="5"/>
      <c r="VD116" s="5"/>
      <c r="VE116" s="5"/>
      <c r="VF116" s="5"/>
      <c r="VG116" s="5"/>
      <c r="VH116" s="5"/>
      <c r="VI116" s="5"/>
      <c r="VJ116" s="5"/>
      <c r="VK116" s="5"/>
      <c r="VL116" s="5"/>
      <c r="VM116" s="5"/>
      <c r="VN116" s="5"/>
      <c r="VO116" s="5"/>
      <c r="VP116" s="5"/>
      <c r="VQ116" s="5"/>
      <c r="VR116" s="5"/>
      <c r="VS116" s="5"/>
      <c r="VT116" s="5"/>
      <c r="VU116" s="5"/>
      <c r="VV116" s="5"/>
      <c r="VW116" s="5"/>
      <c r="VX116" s="5"/>
      <c r="VY116" s="5"/>
      <c r="VZ116" s="5"/>
      <c r="WA116" s="5"/>
      <c r="WB116" s="5"/>
      <c r="WC116" s="5"/>
      <c r="WD116" s="5"/>
      <c r="WE116" s="5"/>
      <c r="WF116" s="5"/>
      <c r="WG116" s="5"/>
      <c r="WH116" s="5"/>
      <c r="WI116" s="5"/>
      <c r="WJ116" s="5"/>
      <c r="WK116" s="5"/>
      <c r="WL116" s="5"/>
      <c r="WM116" s="5"/>
      <c r="WN116" s="5"/>
      <c r="WO116" s="5"/>
      <c r="WP116" s="5"/>
      <c r="WQ116" s="5"/>
      <c r="WR116" s="5"/>
      <c r="WS116" s="5"/>
      <c r="WT116" s="5"/>
      <c r="WU116" s="5"/>
      <c r="WV116" s="5"/>
      <c r="WW116" s="5"/>
      <c r="WX116" s="5"/>
      <c r="WY116" s="5"/>
      <c r="WZ116" s="5"/>
      <c r="XA116" s="5"/>
      <c r="XB116" s="5"/>
      <c r="XC116" s="5"/>
      <c r="XD116" s="5"/>
      <c r="XE116" s="5"/>
      <c r="XF116" s="5"/>
      <c r="XG116" s="5"/>
      <c r="XH116" s="5"/>
      <c r="XI116" s="5"/>
      <c r="XJ116" s="5"/>
      <c r="XK116" s="5"/>
      <c r="XL116" s="5"/>
      <c r="XM116" s="5"/>
      <c r="XN116" s="5"/>
      <c r="XO116" s="5"/>
      <c r="XP116" s="5"/>
      <c r="XQ116" s="5"/>
      <c r="XR116" s="5"/>
      <c r="XS116" s="5"/>
      <c r="XT116" s="5"/>
      <c r="XU116" s="5"/>
      <c r="XV116" s="5"/>
      <c r="XW116" s="5"/>
      <c r="XX116" s="5"/>
      <c r="XY116" s="5"/>
      <c r="XZ116" s="5"/>
      <c r="YA116" s="5"/>
      <c r="YB116" s="5"/>
      <c r="YC116" s="5"/>
      <c r="YD116" s="5"/>
      <c r="YE116" s="5"/>
      <c r="YF116" s="5"/>
      <c r="YG116" s="5"/>
      <c r="YH116" s="5"/>
      <c r="YI116" s="5"/>
      <c r="YJ116" s="5"/>
      <c r="YK116" s="5"/>
      <c r="YL116" s="5"/>
      <c r="YM116" s="5"/>
      <c r="YN116" s="5"/>
      <c r="YO116" s="5"/>
      <c r="YP116" s="5"/>
      <c r="YQ116" s="5"/>
      <c r="YR116" s="5"/>
      <c r="YS116" s="5"/>
      <c r="YT116" s="5"/>
      <c r="YU116" s="5"/>
      <c r="YV116" s="5"/>
      <c r="YW116" s="5"/>
      <c r="YX116" s="5"/>
      <c r="YY116" s="5"/>
      <c r="YZ116" s="5"/>
    </row>
    <row r="117" spans="1:676">
      <c r="A117" s="7">
        <v>107</v>
      </c>
      <c r="B117" s="7" t="s">
        <v>288</v>
      </c>
      <c r="C117" s="10" t="s">
        <v>289</v>
      </c>
      <c r="D117" s="7" t="s">
        <v>152</v>
      </c>
      <c r="E117" s="7" t="s">
        <v>120</v>
      </c>
      <c r="F117" s="7" t="s">
        <v>162</v>
      </c>
      <c r="G117" s="7"/>
      <c r="H117" s="7" t="s">
        <v>43</v>
      </c>
      <c r="I117" s="11">
        <v>2</v>
      </c>
      <c r="J117" s="11">
        <v>3</v>
      </c>
      <c r="K117" s="11">
        <v>0</v>
      </c>
      <c r="L117" s="11">
        <v>2.8</v>
      </c>
      <c r="M117" s="11">
        <v>0.08</v>
      </c>
      <c r="N117" s="11">
        <v>0</v>
      </c>
      <c r="O117" s="11">
        <v>0.18</v>
      </c>
      <c r="P117" s="11">
        <v>1.63</v>
      </c>
      <c r="Q117" s="11">
        <v>4.689999999999999</v>
      </c>
      <c r="R117" s="11">
        <v>0</v>
      </c>
      <c r="S117" s="11">
        <v>4.689999999999999</v>
      </c>
      <c r="T117" s="11">
        <v>2</v>
      </c>
      <c r="U117" s="11">
        <v>2.689999999999999</v>
      </c>
      <c r="V117" s="11">
        <v>0</v>
      </c>
      <c r="W117" s="13">
        <v>2</v>
      </c>
      <c r="X117" s="13">
        <v>3</v>
      </c>
      <c r="Y117" s="13" t="str">
        <f>MIN(W117,S117)</f>
        <v>0</v>
      </c>
      <c r="Z117" s="13" t="str">
        <f>MIN(X117,(S117-Y117))</f>
        <v>0</v>
      </c>
      <c r="AA117" s="13" t="str">
        <f>S117-SUM(Y117,Z117)</f>
        <v>0</v>
      </c>
      <c r="AB117" s="15"/>
      <c r="AC117" s="15"/>
      <c r="AD117" s="1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/>
      <c r="FH117" s="5"/>
      <c r="FI117" s="5"/>
      <c r="FJ117" s="5"/>
      <c r="FK117" s="5"/>
      <c r="FL117" s="5"/>
      <c r="FM117" s="5"/>
      <c r="FN117" s="5"/>
      <c r="FO117" s="5"/>
      <c r="FP117" s="5"/>
      <c r="FQ117" s="5"/>
      <c r="FR117" s="5"/>
      <c r="FS117" s="5"/>
      <c r="FT117" s="5"/>
      <c r="FU117" s="5"/>
      <c r="FV117" s="5"/>
      <c r="FW117" s="5"/>
      <c r="FX117" s="5"/>
      <c r="FY117" s="5"/>
      <c r="FZ117" s="5"/>
      <c r="GA117" s="5"/>
      <c r="GB117" s="5"/>
      <c r="GC117" s="5"/>
      <c r="GD117" s="5"/>
      <c r="GE117" s="5"/>
      <c r="GF117" s="5"/>
      <c r="GG117" s="5"/>
      <c r="GH117" s="5"/>
      <c r="GI117" s="5"/>
      <c r="GJ117" s="5"/>
      <c r="GK117" s="5"/>
      <c r="GL117" s="5"/>
      <c r="GM117" s="5"/>
      <c r="GN117" s="5"/>
      <c r="GO117" s="5"/>
      <c r="GP117" s="5"/>
      <c r="GQ117" s="5"/>
      <c r="GR117" s="5"/>
      <c r="GS117" s="5"/>
      <c r="GT117" s="5"/>
      <c r="GU117" s="5"/>
      <c r="GV117" s="5"/>
      <c r="GW117" s="5"/>
      <c r="GX117" s="5"/>
      <c r="GY117" s="5"/>
      <c r="GZ117" s="5"/>
      <c r="HA117" s="5"/>
      <c r="HB117" s="5"/>
      <c r="HC117" s="5"/>
      <c r="HD117" s="5"/>
      <c r="HE117" s="5"/>
      <c r="HF117" s="5"/>
      <c r="HG117" s="5"/>
      <c r="HH117" s="5"/>
      <c r="HI117" s="5"/>
      <c r="HJ117" s="5"/>
      <c r="HK117" s="5"/>
      <c r="HL117" s="5"/>
      <c r="HM117" s="5"/>
      <c r="HN117" s="5"/>
      <c r="HO117" s="5"/>
      <c r="HP117" s="5"/>
      <c r="HQ117" s="5"/>
      <c r="HR117" s="5"/>
      <c r="HS117" s="5"/>
      <c r="HT117" s="5"/>
      <c r="HU117" s="5"/>
      <c r="HV117" s="5"/>
      <c r="HW117" s="5"/>
      <c r="HX117" s="5"/>
      <c r="HY117" s="5"/>
      <c r="HZ117" s="5"/>
      <c r="IA117" s="5"/>
      <c r="IB117" s="5"/>
      <c r="IC117" s="5"/>
      <c r="ID117" s="5"/>
      <c r="IE117" s="5"/>
      <c r="IF117" s="5"/>
      <c r="IG117" s="5"/>
      <c r="IH117" s="5"/>
      <c r="II117" s="5"/>
      <c r="IJ117" s="5"/>
      <c r="IK117" s="5"/>
      <c r="IL117" s="5"/>
      <c r="IM117" s="5"/>
      <c r="IN117" s="5"/>
      <c r="IO117" s="5"/>
      <c r="IP117" s="5"/>
      <c r="IQ117" s="5"/>
      <c r="IR117" s="5"/>
      <c r="IS117" s="5"/>
      <c r="IT117" s="5"/>
      <c r="IU117" s="5"/>
      <c r="IV117" s="5"/>
      <c r="IW117" s="5"/>
      <c r="IX117" s="5"/>
      <c r="IY117" s="5"/>
      <c r="IZ117" s="5"/>
      <c r="JA117" s="5"/>
      <c r="JB117" s="5"/>
      <c r="JC117" s="5"/>
      <c r="JD117" s="5"/>
      <c r="JE117" s="5"/>
      <c r="JF117" s="5"/>
      <c r="JG117" s="5"/>
      <c r="JH117" s="5"/>
      <c r="JI117" s="5"/>
      <c r="JJ117" s="5"/>
      <c r="JK117" s="5"/>
      <c r="JL117" s="5"/>
      <c r="JM117" s="5"/>
      <c r="JN117" s="5"/>
      <c r="JO117" s="5"/>
      <c r="JP117" s="5"/>
      <c r="JQ117" s="5"/>
      <c r="JR117" s="5"/>
      <c r="JS117" s="5"/>
      <c r="JT117" s="5"/>
      <c r="JU117" s="5"/>
      <c r="JV117" s="5"/>
      <c r="JW117" s="5"/>
      <c r="JX117" s="5"/>
      <c r="JY117" s="5"/>
      <c r="JZ117" s="5"/>
      <c r="KA117" s="5"/>
      <c r="KB117" s="5"/>
      <c r="KC117" s="5"/>
      <c r="KD117" s="5"/>
      <c r="KE117" s="5"/>
      <c r="KF117" s="5"/>
      <c r="KG117" s="5"/>
      <c r="KH117" s="5"/>
      <c r="KI117" s="5"/>
      <c r="KJ117" s="5"/>
      <c r="KK117" s="5"/>
      <c r="KL117" s="5"/>
      <c r="KM117" s="5"/>
      <c r="KN117" s="5"/>
      <c r="KO117" s="5"/>
      <c r="KP117" s="5"/>
      <c r="KQ117" s="5"/>
      <c r="KR117" s="5"/>
      <c r="KS117" s="5"/>
      <c r="KT117" s="5"/>
      <c r="KU117" s="5"/>
      <c r="KV117" s="5"/>
      <c r="KW117" s="5"/>
      <c r="KX117" s="5"/>
      <c r="KY117" s="5"/>
      <c r="KZ117" s="5"/>
      <c r="LA117" s="5"/>
      <c r="LB117" s="5"/>
      <c r="LC117" s="5"/>
      <c r="LD117" s="5"/>
      <c r="LE117" s="5"/>
      <c r="LF117" s="5"/>
      <c r="LG117" s="5"/>
      <c r="LH117" s="5"/>
      <c r="LI117" s="5"/>
      <c r="LJ117" s="5"/>
      <c r="LK117" s="5"/>
      <c r="LL117" s="5"/>
      <c r="LM117" s="5"/>
      <c r="LN117" s="5"/>
      <c r="LO117" s="5"/>
      <c r="LP117" s="5"/>
      <c r="LQ117" s="5"/>
      <c r="LR117" s="5"/>
      <c r="LS117" s="5"/>
      <c r="LT117" s="5"/>
      <c r="LU117" s="5"/>
      <c r="LV117" s="5"/>
      <c r="LW117" s="5"/>
      <c r="LX117" s="5"/>
      <c r="LY117" s="5"/>
      <c r="LZ117" s="5"/>
      <c r="MA117" s="5"/>
      <c r="MB117" s="5"/>
      <c r="MC117" s="5"/>
      <c r="MD117" s="5"/>
      <c r="ME117" s="5"/>
      <c r="MF117" s="5"/>
      <c r="MG117" s="5"/>
      <c r="MH117" s="5"/>
      <c r="MI117" s="5"/>
      <c r="MJ117" s="5"/>
      <c r="MK117" s="5"/>
      <c r="ML117" s="5"/>
      <c r="MM117" s="5"/>
      <c r="MN117" s="5"/>
      <c r="MO117" s="5"/>
      <c r="MP117" s="5"/>
      <c r="MQ117" s="5"/>
      <c r="MR117" s="5"/>
      <c r="MS117" s="5"/>
      <c r="MT117" s="5"/>
      <c r="MU117" s="5"/>
      <c r="MV117" s="5"/>
      <c r="MW117" s="5"/>
      <c r="MX117" s="5"/>
      <c r="MY117" s="5"/>
      <c r="MZ117" s="5"/>
      <c r="NA117" s="5"/>
      <c r="NB117" s="5"/>
      <c r="NC117" s="5"/>
      <c r="ND117" s="5"/>
      <c r="NE117" s="5"/>
      <c r="NF117" s="5"/>
      <c r="NG117" s="5"/>
      <c r="NH117" s="5"/>
      <c r="NI117" s="5"/>
      <c r="NJ117" s="5"/>
      <c r="NK117" s="5"/>
      <c r="NL117" s="5"/>
      <c r="NM117" s="5"/>
      <c r="NN117" s="5"/>
      <c r="NO117" s="5"/>
      <c r="NP117" s="5"/>
      <c r="NQ117" s="5"/>
      <c r="NR117" s="5"/>
      <c r="NS117" s="5"/>
      <c r="NT117" s="5"/>
      <c r="NU117" s="5"/>
      <c r="NV117" s="5"/>
      <c r="NW117" s="5"/>
      <c r="NX117" s="5"/>
      <c r="NY117" s="5"/>
      <c r="NZ117" s="5"/>
      <c r="OA117" s="5"/>
      <c r="OB117" s="5"/>
      <c r="OC117" s="5"/>
      <c r="OD117" s="5"/>
      <c r="OE117" s="5"/>
      <c r="OF117" s="5"/>
      <c r="OG117" s="5"/>
      <c r="OH117" s="5"/>
      <c r="OI117" s="5"/>
      <c r="OJ117" s="5"/>
      <c r="OK117" s="5"/>
      <c r="OL117" s="5"/>
      <c r="OM117" s="5"/>
      <c r="ON117" s="5"/>
      <c r="OO117" s="5"/>
      <c r="OP117" s="5"/>
      <c r="OQ117" s="5"/>
      <c r="OR117" s="5"/>
      <c r="OS117" s="5"/>
      <c r="OT117" s="5"/>
      <c r="OU117" s="5"/>
      <c r="OV117" s="5"/>
      <c r="OW117" s="5"/>
      <c r="OX117" s="5"/>
      <c r="OY117" s="5"/>
      <c r="OZ117" s="5"/>
      <c r="PA117" s="5"/>
      <c r="PB117" s="5"/>
      <c r="PC117" s="5"/>
      <c r="PD117" s="5"/>
      <c r="PE117" s="5"/>
      <c r="PF117" s="5"/>
      <c r="PG117" s="5"/>
      <c r="PH117" s="5"/>
      <c r="PI117" s="5"/>
      <c r="PJ117" s="5"/>
      <c r="PK117" s="5"/>
      <c r="PL117" s="5"/>
      <c r="PM117" s="5"/>
      <c r="PN117" s="5"/>
      <c r="PO117" s="5"/>
      <c r="PP117" s="5"/>
      <c r="PQ117" s="5"/>
      <c r="PR117" s="5"/>
      <c r="PS117" s="5"/>
      <c r="PT117" s="5"/>
      <c r="PU117" s="5"/>
      <c r="PV117" s="5"/>
      <c r="PW117" s="5"/>
      <c r="PX117" s="5"/>
      <c r="PY117" s="5"/>
      <c r="PZ117" s="5"/>
      <c r="QA117" s="5"/>
      <c r="QB117" s="5"/>
      <c r="QC117" s="5"/>
      <c r="QD117" s="5"/>
      <c r="QE117" s="5"/>
      <c r="QF117" s="5"/>
      <c r="QG117" s="5"/>
      <c r="QH117" s="5"/>
      <c r="QI117" s="5"/>
      <c r="QJ117" s="5"/>
      <c r="QK117" s="5"/>
      <c r="QL117" s="5"/>
      <c r="QM117" s="5"/>
      <c r="QN117" s="5"/>
      <c r="QO117" s="5"/>
      <c r="QP117" s="5"/>
      <c r="QQ117" s="5"/>
      <c r="QR117" s="5"/>
      <c r="QS117" s="5"/>
      <c r="QT117" s="5"/>
      <c r="QU117" s="5"/>
      <c r="QV117" s="5"/>
      <c r="QW117" s="5"/>
      <c r="QX117" s="5"/>
      <c r="QY117" s="5"/>
      <c r="QZ117" s="5"/>
      <c r="RA117" s="5"/>
      <c r="RB117" s="5"/>
      <c r="RC117" s="5"/>
      <c r="RD117" s="5"/>
      <c r="RE117" s="5"/>
      <c r="RF117" s="5"/>
      <c r="RG117" s="5"/>
      <c r="RH117" s="5"/>
      <c r="RI117" s="5"/>
      <c r="RJ117" s="5"/>
      <c r="RK117" s="5"/>
      <c r="RL117" s="5"/>
      <c r="RM117" s="5"/>
      <c r="RN117" s="5"/>
      <c r="RO117" s="5"/>
      <c r="RP117" s="5"/>
      <c r="RQ117" s="5"/>
      <c r="RR117" s="5"/>
      <c r="RS117" s="5"/>
      <c r="RT117" s="5"/>
      <c r="RU117" s="5"/>
      <c r="RV117" s="5"/>
      <c r="RW117" s="5"/>
      <c r="RX117" s="5"/>
      <c r="RY117" s="5"/>
      <c r="RZ117" s="5"/>
      <c r="SA117" s="5"/>
      <c r="SB117" s="5"/>
      <c r="SC117" s="5"/>
      <c r="SD117" s="5"/>
      <c r="SE117" s="5"/>
      <c r="SF117" s="5"/>
      <c r="SG117" s="5"/>
      <c r="SH117" s="5"/>
      <c r="SI117" s="5"/>
      <c r="SJ117" s="5"/>
      <c r="SK117" s="5"/>
      <c r="SL117" s="5"/>
      <c r="SM117" s="5"/>
      <c r="SN117" s="5"/>
      <c r="SO117" s="5"/>
      <c r="SP117" s="5"/>
      <c r="SQ117" s="5"/>
      <c r="SR117" s="5"/>
      <c r="SS117" s="5"/>
      <c r="ST117" s="5"/>
      <c r="SU117" s="5"/>
      <c r="SV117" s="5"/>
      <c r="SW117" s="5"/>
      <c r="SX117" s="5"/>
      <c r="SY117" s="5"/>
      <c r="SZ117" s="5"/>
      <c r="TA117" s="5"/>
      <c r="TB117" s="5"/>
      <c r="TC117" s="5"/>
      <c r="TD117" s="5"/>
      <c r="TE117" s="5"/>
      <c r="TF117" s="5"/>
      <c r="TG117" s="5"/>
      <c r="TH117" s="5"/>
      <c r="TI117" s="5"/>
      <c r="TJ117" s="5"/>
      <c r="TK117" s="5"/>
      <c r="TL117" s="5"/>
      <c r="TM117" s="5"/>
      <c r="TN117" s="5"/>
      <c r="TO117" s="5"/>
      <c r="TP117" s="5"/>
      <c r="TQ117" s="5"/>
      <c r="TR117" s="5"/>
      <c r="TS117" s="5"/>
      <c r="TT117" s="5"/>
      <c r="TU117" s="5"/>
      <c r="TV117" s="5"/>
      <c r="TW117" s="5"/>
      <c r="TX117" s="5"/>
      <c r="TY117" s="5"/>
      <c r="TZ117" s="5"/>
      <c r="UA117" s="5"/>
      <c r="UB117" s="5"/>
      <c r="UC117" s="5"/>
      <c r="UD117" s="5"/>
      <c r="UE117" s="5"/>
      <c r="UF117" s="5"/>
      <c r="UG117" s="5"/>
      <c r="UH117" s="5"/>
      <c r="UI117" s="5"/>
      <c r="UJ117" s="5"/>
      <c r="UK117" s="5"/>
      <c r="UL117" s="5"/>
      <c r="UM117" s="5"/>
      <c r="UN117" s="5"/>
      <c r="UO117" s="5"/>
      <c r="UP117" s="5"/>
      <c r="UQ117" s="5"/>
      <c r="UR117" s="5"/>
      <c r="US117" s="5"/>
      <c r="UT117" s="5"/>
      <c r="UU117" s="5"/>
      <c r="UV117" s="5"/>
      <c r="UW117" s="5"/>
      <c r="UX117" s="5"/>
      <c r="UY117" s="5"/>
      <c r="UZ117" s="5"/>
      <c r="VA117" s="5"/>
      <c r="VB117" s="5"/>
      <c r="VC117" s="5"/>
      <c r="VD117" s="5"/>
      <c r="VE117" s="5"/>
      <c r="VF117" s="5"/>
      <c r="VG117" s="5"/>
      <c r="VH117" s="5"/>
      <c r="VI117" s="5"/>
      <c r="VJ117" s="5"/>
      <c r="VK117" s="5"/>
      <c r="VL117" s="5"/>
      <c r="VM117" s="5"/>
      <c r="VN117" s="5"/>
      <c r="VO117" s="5"/>
      <c r="VP117" s="5"/>
      <c r="VQ117" s="5"/>
      <c r="VR117" s="5"/>
      <c r="VS117" s="5"/>
      <c r="VT117" s="5"/>
      <c r="VU117" s="5"/>
      <c r="VV117" s="5"/>
      <c r="VW117" s="5"/>
      <c r="VX117" s="5"/>
      <c r="VY117" s="5"/>
      <c r="VZ117" s="5"/>
      <c r="WA117" s="5"/>
      <c r="WB117" s="5"/>
      <c r="WC117" s="5"/>
      <c r="WD117" s="5"/>
      <c r="WE117" s="5"/>
      <c r="WF117" s="5"/>
      <c r="WG117" s="5"/>
      <c r="WH117" s="5"/>
      <c r="WI117" s="5"/>
      <c r="WJ117" s="5"/>
      <c r="WK117" s="5"/>
      <c r="WL117" s="5"/>
      <c r="WM117" s="5"/>
      <c r="WN117" s="5"/>
      <c r="WO117" s="5"/>
      <c r="WP117" s="5"/>
      <c r="WQ117" s="5"/>
      <c r="WR117" s="5"/>
      <c r="WS117" s="5"/>
      <c r="WT117" s="5"/>
      <c r="WU117" s="5"/>
      <c r="WV117" s="5"/>
      <c r="WW117" s="5"/>
      <c r="WX117" s="5"/>
      <c r="WY117" s="5"/>
      <c r="WZ117" s="5"/>
      <c r="XA117" s="5"/>
      <c r="XB117" s="5"/>
      <c r="XC117" s="5"/>
      <c r="XD117" s="5"/>
      <c r="XE117" s="5"/>
      <c r="XF117" s="5"/>
      <c r="XG117" s="5"/>
      <c r="XH117" s="5"/>
      <c r="XI117" s="5"/>
      <c r="XJ117" s="5"/>
      <c r="XK117" s="5"/>
      <c r="XL117" s="5"/>
      <c r="XM117" s="5"/>
      <c r="XN117" s="5"/>
      <c r="XO117" s="5"/>
      <c r="XP117" s="5"/>
      <c r="XQ117" s="5"/>
      <c r="XR117" s="5"/>
      <c r="XS117" s="5"/>
      <c r="XT117" s="5"/>
      <c r="XU117" s="5"/>
      <c r="XV117" s="5"/>
      <c r="XW117" s="5"/>
      <c r="XX117" s="5"/>
      <c r="XY117" s="5"/>
      <c r="XZ117" s="5"/>
      <c r="YA117" s="5"/>
      <c r="YB117" s="5"/>
      <c r="YC117" s="5"/>
      <c r="YD117" s="5"/>
      <c r="YE117" s="5"/>
      <c r="YF117" s="5"/>
      <c r="YG117" s="5"/>
      <c r="YH117" s="5"/>
      <c r="YI117" s="5"/>
      <c r="YJ117" s="5"/>
      <c r="YK117" s="5"/>
      <c r="YL117" s="5"/>
      <c r="YM117" s="5"/>
      <c r="YN117" s="5"/>
      <c r="YO117" s="5"/>
      <c r="YP117" s="5"/>
      <c r="YQ117" s="5"/>
      <c r="YR117" s="5"/>
      <c r="YS117" s="5"/>
      <c r="YT117" s="5"/>
      <c r="YU117" s="5"/>
      <c r="YV117" s="5"/>
      <c r="YW117" s="5"/>
      <c r="YX117" s="5"/>
      <c r="YY117" s="5"/>
      <c r="YZ117" s="5"/>
    </row>
    <row r="118" spans="1:676">
      <c r="A118" s="7">
        <v>108</v>
      </c>
      <c r="B118" s="7" t="s">
        <v>290</v>
      </c>
      <c r="C118" s="10" t="s">
        <v>291</v>
      </c>
      <c r="D118" s="7" t="s">
        <v>60</v>
      </c>
      <c r="E118" s="7" t="s">
        <v>71</v>
      </c>
      <c r="F118" s="7" t="s">
        <v>162</v>
      </c>
      <c r="G118" s="7"/>
      <c r="H118" s="7" t="s">
        <v>43</v>
      </c>
      <c r="I118" s="11">
        <v>2</v>
      </c>
      <c r="J118" s="11">
        <v>3</v>
      </c>
      <c r="K118" s="11">
        <v>0</v>
      </c>
      <c r="L118" s="11">
        <v>2.22</v>
      </c>
      <c r="M118" s="11">
        <v>0</v>
      </c>
      <c r="N118" s="11">
        <v>0</v>
      </c>
      <c r="O118" s="11">
        <v>0</v>
      </c>
      <c r="P118" s="11">
        <v>0</v>
      </c>
      <c r="Q118" s="11">
        <v>2.22</v>
      </c>
      <c r="R118" s="11">
        <v>0</v>
      </c>
      <c r="S118" s="11">
        <v>2.22</v>
      </c>
      <c r="T118" s="11">
        <v>2</v>
      </c>
      <c r="U118" s="11">
        <v>0.2199999999999998</v>
      </c>
      <c r="V118" s="11">
        <v>0</v>
      </c>
      <c r="W118" s="13">
        <v>2</v>
      </c>
      <c r="X118" s="13">
        <v>3</v>
      </c>
      <c r="Y118" s="13" t="str">
        <f>MIN(W118,S118)</f>
        <v>0</v>
      </c>
      <c r="Z118" s="13" t="str">
        <f>MIN(X118,(S118-Y118))</f>
        <v>0</v>
      </c>
      <c r="AA118" s="13" t="str">
        <f>S118-SUM(Y118,Z118)</f>
        <v>0</v>
      </c>
      <c r="AB118" s="15"/>
      <c r="AC118" s="15"/>
      <c r="AD118" s="1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5"/>
      <c r="EP118" s="5"/>
      <c r="EQ118" s="5"/>
      <c r="ER118" s="5"/>
      <c r="ES118" s="5"/>
      <c r="ET118" s="5"/>
      <c r="EU118" s="5"/>
      <c r="EV118" s="5"/>
      <c r="EW118" s="5"/>
      <c r="EX118" s="5"/>
      <c r="EY118" s="5"/>
      <c r="EZ118" s="5"/>
      <c r="FA118" s="5"/>
      <c r="FB118" s="5"/>
      <c r="FC118" s="5"/>
      <c r="FD118" s="5"/>
      <c r="FE118" s="5"/>
      <c r="FF118" s="5"/>
      <c r="FG118" s="5"/>
      <c r="FH118" s="5"/>
      <c r="FI118" s="5"/>
      <c r="FJ118" s="5"/>
      <c r="FK118" s="5"/>
      <c r="FL118" s="5"/>
      <c r="FM118" s="5"/>
      <c r="FN118" s="5"/>
      <c r="FO118" s="5"/>
      <c r="FP118" s="5"/>
      <c r="FQ118" s="5"/>
      <c r="FR118" s="5"/>
      <c r="FS118" s="5"/>
      <c r="FT118" s="5"/>
      <c r="FU118" s="5"/>
      <c r="FV118" s="5"/>
      <c r="FW118" s="5"/>
      <c r="FX118" s="5"/>
      <c r="FY118" s="5"/>
      <c r="FZ118" s="5"/>
      <c r="GA118" s="5"/>
      <c r="GB118" s="5"/>
      <c r="GC118" s="5"/>
      <c r="GD118" s="5"/>
      <c r="GE118" s="5"/>
      <c r="GF118" s="5"/>
      <c r="GG118" s="5"/>
      <c r="GH118" s="5"/>
      <c r="GI118" s="5"/>
      <c r="GJ118" s="5"/>
      <c r="GK118" s="5"/>
      <c r="GL118" s="5"/>
      <c r="GM118" s="5"/>
      <c r="GN118" s="5"/>
      <c r="GO118" s="5"/>
      <c r="GP118" s="5"/>
      <c r="GQ118" s="5"/>
      <c r="GR118" s="5"/>
      <c r="GS118" s="5"/>
      <c r="GT118" s="5"/>
      <c r="GU118" s="5"/>
      <c r="GV118" s="5"/>
      <c r="GW118" s="5"/>
      <c r="GX118" s="5"/>
      <c r="GY118" s="5"/>
      <c r="GZ118" s="5"/>
      <c r="HA118" s="5"/>
      <c r="HB118" s="5"/>
      <c r="HC118" s="5"/>
      <c r="HD118" s="5"/>
      <c r="HE118" s="5"/>
      <c r="HF118" s="5"/>
      <c r="HG118" s="5"/>
      <c r="HH118" s="5"/>
      <c r="HI118" s="5"/>
      <c r="HJ118" s="5"/>
      <c r="HK118" s="5"/>
      <c r="HL118" s="5"/>
      <c r="HM118" s="5"/>
      <c r="HN118" s="5"/>
      <c r="HO118" s="5"/>
      <c r="HP118" s="5"/>
      <c r="HQ118" s="5"/>
      <c r="HR118" s="5"/>
      <c r="HS118" s="5"/>
      <c r="HT118" s="5"/>
      <c r="HU118" s="5"/>
      <c r="HV118" s="5"/>
      <c r="HW118" s="5"/>
      <c r="HX118" s="5"/>
      <c r="HY118" s="5"/>
      <c r="HZ118" s="5"/>
      <c r="IA118" s="5"/>
      <c r="IB118" s="5"/>
      <c r="IC118" s="5"/>
      <c r="ID118" s="5"/>
      <c r="IE118" s="5"/>
      <c r="IF118" s="5"/>
      <c r="IG118" s="5"/>
      <c r="IH118" s="5"/>
      <c r="II118" s="5"/>
      <c r="IJ118" s="5"/>
      <c r="IK118" s="5"/>
      <c r="IL118" s="5"/>
      <c r="IM118" s="5"/>
      <c r="IN118" s="5"/>
      <c r="IO118" s="5"/>
      <c r="IP118" s="5"/>
      <c r="IQ118" s="5"/>
      <c r="IR118" s="5"/>
      <c r="IS118" s="5"/>
      <c r="IT118" s="5"/>
      <c r="IU118" s="5"/>
      <c r="IV118" s="5"/>
      <c r="IW118" s="5"/>
      <c r="IX118" s="5"/>
      <c r="IY118" s="5"/>
      <c r="IZ118" s="5"/>
      <c r="JA118" s="5"/>
      <c r="JB118" s="5"/>
      <c r="JC118" s="5"/>
      <c r="JD118" s="5"/>
      <c r="JE118" s="5"/>
      <c r="JF118" s="5"/>
      <c r="JG118" s="5"/>
      <c r="JH118" s="5"/>
      <c r="JI118" s="5"/>
      <c r="JJ118" s="5"/>
      <c r="JK118" s="5"/>
      <c r="JL118" s="5"/>
      <c r="JM118" s="5"/>
      <c r="JN118" s="5"/>
      <c r="JO118" s="5"/>
      <c r="JP118" s="5"/>
      <c r="JQ118" s="5"/>
      <c r="JR118" s="5"/>
      <c r="JS118" s="5"/>
      <c r="JT118" s="5"/>
      <c r="JU118" s="5"/>
      <c r="JV118" s="5"/>
      <c r="JW118" s="5"/>
      <c r="JX118" s="5"/>
      <c r="JY118" s="5"/>
      <c r="JZ118" s="5"/>
      <c r="KA118" s="5"/>
      <c r="KB118" s="5"/>
      <c r="KC118" s="5"/>
      <c r="KD118" s="5"/>
      <c r="KE118" s="5"/>
      <c r="KF118" s="5"/>
      <c r="KG118" s="5"/>
      <c r="KH118" s="5"/>
      <c r="KI118" s="5"/>
      <c r="KJ118" s="5"/>
      <c r="KK118" s="5"/>
      <c r="KL118" s="5"/>
      <c r="KM118" s="5"/>
      <c r="KN118" s="5"/>
      <c r="KO118" s="5"/>
      <c r="KP118" s="5"/>
      <c r="KQ118" s="5"/>
      <c r="KR118" s="5"/>
      <c r="KS118" s="5"/>
      <c r="KT118" s="5"/>
      <c r="KU118" s="5"/>
      <c r="KV118" s="5"/>
      <c r="KW118" s="5"/>
      <c r="KX118" s="5"/>
      <c r="KY118" s="5"/>
      <c r="KZ118" s="5"/>
      <c r="LA118" s="5"/>
      <c r="LB118" s="5"/>
      <c r="LC118" s="5"/>
      <c r="LD118" s="5"/>
      <c r="LE118" s="5"/>
      <c r="LF118" s="5"/>
      <c r="LG118" s="5"/>
      <c r="LH118" s="5"/>
      <c r="LI118" s="5"/>
      <c r="LJ118" s="5"/>
      <c r="LK118" s="5"/>
      <c r="LL118" s="5"/>
      <c r="LM118" s="5"/>
      <c r="LN118" s="5"/>
      <c r="LO118" s="5"/>
      <c r="LP118" s="5"/>
      <c r="LQ118" s="5"/>
      <c r="LR118" s="5"/>
      <c r="LS118" s="5"/>
      <c r="LT118" s="5"/>
      <c r="LU118" s="5"/>
      <c r="LV118" s="5"/>
      <c r="LW118" s="5"/>
      <c r="LX118" s="5"/>
      <c r="LY118" s="5"/>
      <c r="LZ118" s="5"/>
      <c r="MA118" s="5"/>
      <c r="MB118" s="5"/>
      <c r="MC118" s="5"/>
      <c r="MD118" s="5"/>
      <c r="ME118" s="5"/>
      <c r="MF118" s="5"/>
      <c r="MG118" s="5"/>
      <c r="MH118" s="5"/>
      <c r="MI118" s="5"/>
      <c r="MJ118" s="5"/>
      <c r="MK118" s="5"/>
      <c r="ML118" s="5"/>
      <c r="MM118" s="5"/>
      <c r="MN118" s="5"/>
      <c r="MO118" s="5"/>
      <c r="MP118" s="5"/>
      <c r="MQ118" s="5"/>
      <c r="MR118" s="5"/>
      <c r="MS118" s="5"/>
      <c r="MT118" s="5"/>
      <c r="MU118" s="5"/>
      <c r="MV118" s="5"/>
      <c r="MW118" s="5"/>
      <c r="MX118" s="5"/>
      <c r="MY118" s="5"/>
      <c r="MZ118" s="5"/>
      <c r="NA118" s="5"/>
      <c r="NB118" s="5"/>
      <c r="NC118" s="5"/>
      <c r="ND118" s="5"/>
      <c r="NE118" s="5"/>
      <c r="NF118" s="5"/>
      <c r="NG118" s="5"/>
      <c r="NH118" s="5"/>
      <c r="NI118" s="5"/>
      <c r="NJ118" s="5"/>
      <c r="NK118" s="5"/>
      <c r="NL118" s="5"/>
      <c r="NM118" s="5"/>
      <c r="NN118" s="5"/>
      <c r="NO118" s="5"/>
      <c r="NP118" s="5"/>
      <c r="NQ118" s="5"/>
      <c r="NR118" s="5"/>
      <c r="NS118" s="5"/>
      <c r="NT118" s="5"/>
      <c r="NU118" s="5"/>
      <c r="NV118" s="5"/>
      <c r="NW118" s="5"/>
      <c r="NX118" s="5"/>
      <c r="NY118" s="5"/>
      <c r="NZ118" s="5"/>
      <c r="OA118" s="5"/>
      <c r="OB118" s="5"/>
      <c r="OC118" s="5"/>
      <c r="OD118" s="5"/>
      <c r="OE118" s="5"/>
      <c r="OF118" s="5"/>
      <c r="OG118" s="5"/>
      <c r="OH118" s="5"/>
      <c r="OI118" s="5"/>
      <c r="OJ118" s="5"/>
      <c r="OK118" s="5"/>
      <c r="OL118" s="5"/>
      <c r="OM118" s="5"/>
      <c r="ON118" s="5"/>
      <c r="OO118" s="5"/>
      <c r="OP118" s="5"/>
      <c r="OQ118" s="5"/>
      <c r="OR118" s="5"/>
      <c r="OS118" s="5"/>
      <c r="OT118" s="5"/>
      <c r="OU118" s="5"/>
      <c r="OV118" s="5"/>
      <c r="OW118" s="5"/>
      <c r="OX118" s="5"/>
      <c r="OY118" s="5"/>
      <c r="OZ118" s="5"/>
      <c r="PA118" s="5"/>
      <c r="PB118" s="5"/>
      <c r="PC118" s="5"/>
      <c r="PD118" s="5"/>
      <c r="PE118" s="5"/>
      <c r="PF118" s="5"/>
      <c r="PG118" s="5"/>
      <c r="PH118" s="5"/>
      <c r="PI118" s="5"/>
      <c r="PJ118" s="5"/>
      <c r="PK118" s="5"/>
      <c r="PL118" s="5"/>
      <c r="PM118" s="5"/>
      <c r="PN118" s="5"/>
      <c r="PO118" s="5"/>
      <c r="PP118" s="5"/>
      <c r="PQ118" s="5"/>
      <c r="PR118" s="5"/>
      <c r="PS118" s="5"/>
      <c r="PT118" s="5"/>
      <c r="PU118" s="5"/>
      <c r="PV118" s="5"/>
      <c r="PW118" s="5"/>
      <c r="PX118" s="5"/>
      <c r="PY118" s="5"/>
      <c r="PZ118" s="5"/>
      <c r="QA118" s="5"/>
      <c r="QB118" s="5"/>
      <c r="QC118" s="5"/>
      <c r="QD118" s="5"/>
      <c r="QE118" s="5"/>
      <c r="QF118" s="5"/>
      <c r="QG118" s="5"/>
      <c r="QH118" s="5"/>
      <c r="QI118" s="5"/>
      <c r="QJ118" s="5"/>
      <c r="QK118" s="5"/>
      <c r="QL118" s="5"/>
      <c r="QM118" s="5"/>
      <c r="QN118" s="5"/>
      <c r="QO118" s="5"/>
      <c r="QP118" s="5"/>
      <c r="QQ118" s="5"/>
      <c r="QR118" s="5"/>
      <c r="QS118" s="5"/>
      <c r="QT118" s="5"/>
      <c r="QU118" s="5"/>
      <c r="QV118" s="5"/>
      <c r="QW118" s="5"/>
      <c r="QX118" s="5"/>
      <c r="QY118" s="5"/>
      <c r="QZ118" s="5"/>
      <c r="RA118" s="5"/>
      <c r="RB118" s="5"/>
      <c r="RC118" s="5"/>
      <c r="RD118" s="5"/>
      <c r="RE118" s="5"/>
      <c r="RF118" s="5"/>
      <c r="RG118" s="5"/>
      <c r="RH118" s="5"/>
      <c r="RI118" s="5"/>
      <c r="RJ118" s="5"/>
      <c r="RK118" s="5"/>
      <c r="RL118" s="5"/>
      <c r="RM118" s="5"/>
      <c r="RN118" s="5"/>
      <c r="RO118" s="5"/>
      <c r="RP118" s="5"/>
      <c r="RQ118" s="5"/>
      <c r="RR118" s="5"/>
      <c r="RS118" s="5"/>
      <c r="RT118" s="5"/>
      <c r="RU118" s="5"/>
      <c r="RV118" s="5"/>
      <c r="RW118" s="5"/>
      <c r="RX118" s="5"/>
      <c r="RY118" s="5"/>
      <c r="RZ118" s="5"/>
      <c r="SA118" s="5"/>
      <c r="SB118" s="5"/>
      <c r="SC118" s="5"/>
      <c r="SD118" s="5"/>
      <c r="SE118" s="5"/>
      <c r="SF118" s="5"/>
      <c r="SG118" s="5"/>
      <c r="SH118" s="5"/>
      <c r="SI118" s="5"/>
      <c r="SJ118" s="5"/>
      <c r="SK118" s="5"/>
      <c r="SL118" s="5"/>
      <c r="SM118" s="5"/>
      <c r="SN118" s="5"/>
      <c r="SO118" s="5"/>
      <c r="SP118" s="5"/>
      <c r="SQ118" s="5"/>
      <c r="SR118" s="5"/>
      <c r="SS118" s="5"/>
      <c r="ST118" s="5"/>
      <c r="SU118" s="5"/>
      <c r="SV118" s="5"/>
      <c r="SW118" s="5"/>
      <c r="SX118" s="5"/>
      <c r="SY118" s="5"/>
      <c r="SZ118" s="5"/>
      <c r="TA118" s="5"/>
      <c r="TB118" s="5"/>
      <c r="TC118" s="5"/>
      <c r="TD118" s="5"/>
      <c r="TE118" s="5"/>
      <c r="TF118" s="5"/>
      <c r="TG118" s="5"/>
      <c r="TH118" s="5"/>
      <c r="TI118" s="5"/>
      <c r="TJ118" s="5"/>
      <c r="TK118" s="5"/>
      <c r="TL118" s="5"/>
      <c r="TM118" s="5"/>
      <c r="TN118" s="5"/>
      <c r="TO118" s="5"/>
      <c r="TP118" s="5"/>
      <c r="TQ118" s="5"/>
      <c r="TR118" s="5"/>
      <c r="TS118" s="5"/>
      <c r="TT118" s="5"/>
      <c r="TU118" s="5"/>
      <c r="TV118" s="5"/>
      <c r="TW118" s="5"/>
      <c r="TX118" s="5"/>
      <c r="TY118" s="5"/>
      <c r="TZ118" s="5"/>
      <c r="UA118" s="5"/>
      <c r="UB118" s="5"/>
      <c r="UC118" s="5"/>
      <c r="UD118" s="5"/>
      <c r="UE118" s="5"/>
      <c r="UF118" s="5"/>
      <c r="UG118" s="5"/>
      <c r="UH118" s="5"/>
      <c r="UI118" s="5"/>
      <c r="UJ118" s="5"/>
      <c r="UK118" s="5"/>
      <c r="UL118" s="5"/>
      <c r="UM118" s="5"/>
      <c r="UN118" s="5"/>
      <c r="UO118" s="5"/>
      <c r="UP118" s="5"/>
      <c r="UQ118" s="5"/>
      <c r="UR118" s="5"/>
      <c r="US118" s="5"/>
      <c r="UT118" s="5"/>
      <c r="UU118" s="5"/>
      <c r="UV118" s="5"/>
      <c r="UW118" s="5"/>
      <c r="UX118" s="5"/>
      <c r="UY118" s="5"/>
      <c r="UZ118" s="5"/>
      <c r="VA118" s="5"/>
      <c r="VB118" s="5"/>
      <c r="VC118" s="5"/>
      <c r="VD118" s="5"/>
      <c r="VE118" s="5"/>
      <c r="VF118" s="5"/>
      <c r="VG118" s="5"/>
      <c r="VH118" s="5"/>
      <c r="VI118" s="5"/>
      <c r="VJ118" s="5"/>
      <c r="VK118" s="5"/>
      <c r="VL118" s="5"/>
      <c r="VM118" s="5"/>
      <c r="VN118" s="5"/>
      <c r="VO118" s="5"/>
      <c r="VP118" s="5"/>
      <c r="VQ118" s="5"/>
      <c r="VR118" s="5"/>
      <c r="VS118" s="5"/>
      <c r="VT118" s="5"/>
      <c r="VU118" s="5"/>
      <c r="VV118" s="5"/>
      <c r="VW118" s="5"/>
      <c r="VX118" s="5"/>
      <c r="VY118" s="5"/>
      <c r="VZ118" s="5"/>
      <c r="WA118" s="5"/>
      <c r="WB118" s="5"/>
      <c r="WC118" s="5"/>
      <c r="WD118" s="5"/>
      <c r="WE118" s="5"/>
      <c r="WF118" s="5"/>
      <c r="WG118" s="5"/>
      <c r="WH118" s="5"/>
      <c r="WI118" s="5"/>
      <c r="WJ118" s="5"/>
      <c r="WK118" s="5"/>
      <c r="WL118" s="5"/>
      <c r="WM118" s="5"/>
      <c r="WN118" s="5"/>
      <c r="WO118" s="5"/>
      <c r="WP118" s="5"/>
      <c r="WQ118" s="5"/>
      <c r="WR118" s="5"/>
      <c r="WS118" s="5"/>
      <c r="WT118" s="5"/>
      <c r="WU118" s="5"/>
      <c r="WV118" s="5"/>
      <c r="WW118" s="5"/>
      <c r="WX118" s="5"/>
      <c r="WY118" s="5"/>
      <c r="WZ118" s="5"/>
      <c r="XA118" s="5"/>
      <c r="XB118" s="5"/>
      <c r="XC118" s="5"/>
      <c r="XD118" s="5"/>
      <c r="XE118" s="5"/>
      <c r="XF118" s="5"/>
      <c r="XG118" s="5"/>
      <c r="XH118" s="5"/>
      <c r="XI118" s="5"/>
      <c r="XJ118" s="5"/>
      <c r="XK118" s="5"/>
      <c r="XL118" s="5"/>
      <c r="XM118" s="5"/>
      <c r="XN118" s="5"/>
      <c r="XO118" s="5"/>
      <c r="XP118" s="5"/>
      <c r="XQ118" s="5"/>
      <c r="XR118" s="5"/>
      <c r="XS118" s="5"/>
      <c r="XT118" s="5"/>
      <c r="XU118" s="5"/>
      <c r="XV118" s="5"/>
      <c r="XW118" s="5"/>
      <c r="XX118" s="5"/>
      <c r="XY118" s="5"/>
      <c r="XZ118" s="5"/>
      <c r="YA118" s="5"/>
      <c r="YB118" s="5"/>
      <c r="YC118" s="5"/>
      <c r="YD118" s="5"/>
      <c r="YE118" s="5"/>
      <c r="YF118" s="5"/>
      <c r="YG118" s="5"/>
      <c r="YH118" s="5"/>
      <c r="YI118" s="5"/>
      <c r="YJ118" s="5"/>
      <c r="YK118" s="5"/>
      <c r="YL118" s="5"/>
      <c r="YM118" s="5"/>
      <c r="YN118" s="5"/>
      <c r="YO118" s="5"/>
      <c r="YP118" s="5"/>
      <c r="YQ118" s="5"/>
      <c r="YR118" s="5"/>
      <c r="YS118" s="5"/>
      <c r="YT118" s="5"/>
      <c r="YU118" s="5"/>
      <c r="YV118" s="5"/>
      <c r="YW118" s="5"/>
      <c r="YX118" s="5"/>
      <c r="YY118" s="5"/>
      <c r="YZ118" s="5"/>
    </row>
    <row r="119" spans="1:676">
      <c r="A119" s="7">
        <v>109</v>
      </c>
      <c r="B119" s="7" t="s">
        <v>292</v>
      </c>
      <c r="C119" s="10" t="s">
        <v>293</v>
      </c>
      <c r="D119" s="7" t="s">
        <v>50</v>
      </c>
      <c r="E119" s="7" t="s">
        <v>71</v>
      </c>
      <c r="F119" s="7" t="s">
        <v>162</v>
      </c>
      <c r="G119" s="7"/>
      <c r="H119" s="7" t="s">
        <v>43</v>
      </c>
      <c r="I119" s="11">
        <v>2</v>
      </c>
      <c r="J119" s="11">
        <v>3</v>
      </c>
      <c r="K119" s="11">
        <v>0</v>
      </c>
      <c r="L119" s="11">
        <v>0.46</v>
      </c>
      <c r="M119" s="11">
        <v>0</v>
      </c>
      <c r="N119" s="11">
        <v>0</v>
      </c>
      <c r="O119" s="11">
        <v>0</v>
      </c>
      <c r="P119" s="11">
        <v>0</v>
      </c>
      <c r="Q119" s="11">
        <v>0.46</v>
      </c>
      <c r="R119" s="11">
        <v>0</v>
      </c>
      <c r="S119" s="11">
        <v>0.46</v>
      </c>
      <c r="T119" s="11">
        <v>0.46</v>
      </c>
      <c r="U119" s="11">
        <v>0</v>
      </c>
      <c r="V119" s="11">
        <v>0</v>
      </c>
      <c r="W119" s="13">
        <v>2</v>
      </c>
      <c r="X119" s="13">
        <v>3</v>
      </c>
      <c r="Y119" s="13" t="str">
        <f>MIN(W119,S119)</f>
        <v>0</v>
      </c>
      <c r="Z119" s="13" t="str">
        <f>MIN(X119,(S119-Y119))</f>
        <v>0</v>
      </c>
      <c r="AA119" s="13" t="str">
        <f>S119-SUM(Y119,Z119)</f>
        <v>0</v>
      </c>
      <c r="AB119" s="15"/>
      <c r="AC119" s="15"/>
      <c r="AD119" s="1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  <c r="EC119" s="5"/>
      <c r="ED119" s="5"/>
      <c r="EE119" s="5"/>
      <c r="EF119" s="5"/>
      <c r="EG119" s="5"/>
      <c r="EH119" s="5"/>
      <c r="EI119" s="5"/>
      <c r="EJ119" s="5"/>
      <c r="EK119" s="5"/>
      <c r="EL119" s="5"/>
      <c r="EM119" s="5"/>
      <c r="EN119" s="5"/>
      <c r="EO119" s="5"/>
      <c r="EP119" s="5"/>
      <c r="EQ119" s="5"/>
      <c r="ER119" s="5"/>
      <c r="ES119" s="5"/>
      <c r="ET119" s="5"/>
      <c r="EU119" s="5"/>
      <c r="EV119" s="5"/>
      <c r="EW119" s="5"/>
      <c r="EX119" s="5"/>
      <c r="EY119" s="5"/>
      <c r="EZ119" s="5"/>
      <c r="FA119" s="5"/>
      <c r="FB119" s="5"/>
      <c r="FC119" s="5"/>
      <c r="FD119" s="5"/>
      <c r="FE119" s="5"/>
      <c r="FF119" s="5"/>
      <c r="FG119" s="5"/>
      <c r="FH119" s="5"/>
      <c r="FI119" s="5"/>
      <c r="FJ119" s="5"/>
      <c r="FK119" s="5"/>
      <c r="FL119" s="5"/>
      <c r="FM119" s="5"/>
      <c r="FN119" s="5"/>
      <c r="FO119" s="5"/>
      <c r="FP119" s="5"/>
      <c r="FQ119" s="5"/>
      <c r="FR119" s="5"/>
      <c r="FS119" s="5"/>
      <c r="FT119" s="5"/>
      <c r="FU119" s="5"/>
      <c r="FV119" s="5"/>
      <c r="FW119" s="5"/>
      <c r="FX119" s="5"/>
      <c r="FY119" s="5"/>
      <c r="FZ119" s="5"/>
      <c r="GA119" s="5"/>
      <c r="GB119" s="5"/>
      <c r="GC119" s="5"/>
      <c r="GD119" s="5"/>
      <c r="GE119" s="5"/>
      <c r="GF119" s="5"/>
      <c r="GG119" s="5"/>
      <c r="GH119" s="5"/>
      <c r="GI119" s="5"/>
      <c r="GJ119" s="5"/>
      <c r="GK119" s="5"/>
      <c r="GL119" s="5"/>
      <c r="GM119" s="5"/>
      <c r="GN119" s="5"/>
      <c r="GO119" s="5"/>
      <c r="GP119" s="5"/>
      <c r="GQ119" s="5"/>
      <c r="GR119" s="5"/>
      <c r="GS119" s="5"/>
      <c r="GT119" s="5"/>
      <c r="GU119" s="5"/>
      <c r="GV119" s="5"/>
      <c r="GW119" s="5"/>
      <c r="GX119" s="5"/>
      <c r="GY119" s="5"/>
      <c r="GZ119" s="5"/>
      <c r="HA119" s="5"/>
      <c r="HB119" s="5"/>
      <c r="HC119" s="5"/>
      <c r="HD119" s="5"/>
      <c r="HE119" s="5"/>
      <c r="HF119" s="5"/>
      <c r="HG119" s="5"/>
      <c r="HH119" s="5"/>
      <c r="HI119" s="5"/>
      <c r="HJ119" s="5"/>
      <c r="HK119" s="5"/>
      <c r="HL119" s="5"/>
      <c r="HM119" s="5"/>
      <c r="HN119" s="5"/>
      <c r="HO119" s="5"/>
      <c r="HP119" s="5"/>
      <c r="HQ119" s="5"/>
      <c r="HR119" s="5"/>
      <c r="HS119" s="5"/>
      <c r="HT119" s="5"/>
      <c r="HU119" s="5"/>
      <c r="HV119" s="5"/>
      <c r="HW119" s="5"/>
      <c r="HX119" s="5"/>
      <c r="HY119" s="5"/>
      <c r="HZ119" s="5"/>
      <c r="IA119" s="5"/>
      <c r="IB119" s="5"/>
      <c r="IC119" s="5"/>
      <c r="ID119" s="5"/>
      <c r="IE119" s="5"/>
      <c r="IF119" s="5"/>
      <c r="IG119" s="5"/>
      <c r="IH119" s="5"/>
      <c r="II119" s="5"/>
      <c r="IJ119" s="5"/>
      <c r="IK119" s="5"/>
      <c r="IL119" s="5"/>
      <c r="IM119" s="5"/>
      <c r="IN119" s="5"/>
      <c r="IO119" s="5"/>
      <c r="IP119" s="5"/>
      <c r="IQ119" s="5"/>
      <c r="IR119" s="5"/>
      <c r="IS119" s="5"/>
      <c r="IT119" s="5"/>
      <c r="IU119" s="5"/>
      <c r="IV119" s="5"/>
      <c r="IW119" s="5"/>
      <c r="IX119" s="5"/>
      <c r="IY119" s="5"/>
      <c r="IZ119" s="5"/>
      <c r="JA119" s="5"/>
      <c r="JB119" s="5"/>
      <c r="JC119" s="5"/>
      <c r="JD119" s="5"/>
      <c r="JE119" s="5"/>
      <c r="JF119" s="5"/>
      <c r="JG119" s="5"/>
      <c r="JH119" s="5"/>
      <c r="JI119" s="5"/>
      <c r="JJ119" s="5"/>
      <c r="JK119" s="5"/>
      <c r="JL119" s="5"/>
      <c r="JM119" s="5"/>
      <c r="JN119" s="5"/>
      <c r="JO119" s="5"/>
      <c r="JP119" s="5"/>
      <c r="JQ119" s="5"/>
      <c r="JR119" s="5"/>
      <c r="JS119" s="5"/>
      <c r="JT119" s="5"/>
      <c r="JU119" s="5"/>
      <c r="JV119" s="5"/>
      <c r="JW119" s="5"/>
      <c r="JX119" s="5"/>
      <c r="JY119" s="5"/>
      <c r="JZ119" s="5"/>
      <c r="KA119" s="5"/>
      <c r="KB119" s="5"/>
      <c r="KC119" s="5"/>
      <c r="KD119" s="5"/>
      <c r="KE119" s="5"/>
      <c r="KF119" s="5"/>
      <c r="KG119" s="5"/>
      <c r="KH119" s="5"/>
      <c r="KI119" s="5"/>
      <c r="KJ119" s="5"/>
      <c r="KK119" s="5"/>
      <c r="KL119" s="5"/>
      <c r="KM119" s="5"/>
      <c r="KN119" s="5"/>
      <c r="KO119" s="5"/>
      <c r="KP119" s="5"/>
      <c r="KQ119" s="5"/>
      <c r="KR119" s="5"/>
      <c r="KS119" s="5"/>
      <c r="KT119" s="5"/>
      <c r="KU119" s="5"/>
      <c r="KV119" s="5"/>
      <c r="KW119" s="5"/>
      <c r="KX119" s="5"/>
      <c r="KY119" s="5"/>
      <c r="KZ119" s="5"/>
      <c r="LA119" s="5"/>
      <c r="LB119" s="5"/>
      <c r="LC119" s="5"/>
      <c r="LD119" s="5"/>
      <c r="LE119" s="5"/>
      <c r="LF119" s="5"/>
      <c r="LG119" s="5"/>
      <c r="LH119" s="5"/>
      <c r="LI119" s="5"/>
      <c r="LJ119" s="5"/>
      <c r="LK119" s="5"/>
      <c r="LL119" s="5"/>
      <c r="LM119" s="5"/>
      <c r="LN119" s="5"/>
      <c r="LO119" s="5"/>
      <c r="LP119" s="5"/>
      <c r="LQ119" s="5"/>
      <c r="LR119" s="5"/>
      <c r="LS119" s="5"/>
      <c r="LT119" s="5"/>
      <c r="LU119" s="5"/>
      <c r="LV119" s="5"/>
      <c r="LW119" s="5"/>
      <c r="LX119" s="5"/>
      <c r="LY119" s="5"/>
      <c r="LZ119" s="5"/>
      <c r="MA119" s="5"/>
      <c r="MB119" s="5"/>
      <c r="MC119" s="5"/>
      <c r="MD119" s="5"/>
      <c r="ME119" s="5"/>
      <c r="MF119" s="5"/>
      <c r="MG119" s="5"/>
      <c r="MH119" s="5"/>
      <c r="MI119" s="5"/>
      <c r="MJ119" s="5"/>
      <c r="MK119" s="5"/>
      <c r="ML119" s="5"/>
      <c r="MM119" s="5"/>
      <c r="MN119" s="5"/>
      <c r="MO119" s="5"/>
      <c r="MP119" s="5"/>
      <c r="MQ119" s="5"/>
      <c r="MR119" s="5"/>
      <c r="MS119" s="5"/>
      <c r="MT119" s="5"/>
      <c r="MU119" s="5"/>
      <c r="MV119" s="5"/>
      <c r="MW119" s="5"/>
      <c r="MX119" s="5"/>
      <c r="MY119" s="5"/>
      <c r="MZ119" s="5"/>
      <c r="NA119" s="5"/>
      <c r="NB119" s="5"/>
      <c r="NC119" s="5"/>
      <c r="ND119" s="5"/>
      <c r="NE119" s="5"/>
      <c r="NF119" s="5"/>
      <c r="NG119" s="5"/>
      <c r="NH119" s="5"/>
      <c r="NI119" s="5"/>
      <c r="NJ119" s="5"/>
      <c r="NK119" s="5"/>
      <c r="NL119" s="5"/>
      <c r="NM119" s="5"/>
      <c r="NN119" s="5"/>
      <c r="NO119" s="5"/>
      <c r="NP119" s="5"/>
      <c r="NQ119" s="5"/>
      <c r="NR119" s="5"/>
      <c r="NS119" s="5"/>
      <c r="NT119" s="5"/>
      <c r="NU119" s="5"/>
      <c r="NV119" s="5"/>
      <c r="NW119" s="5"/>
      <c r="NX119" s="5"/>
      <c r="NY119" s="5"/>
      <c r="NZ119" s="5"/>
      <c r="OA119" s="5"/>
      <c r="OB119" s="5"/>
      <c r="OC119" s="5"/>
      <c r="OD119" s="5"/>
      <c r="OE119" s="5"/>
      <c r="OF119" s="5"/>
      <c r="OG119" s="5"/>
      <c r="OH119" s="5"/>
      <c r="OI119" s="5"/>
      <c r="OJ119" s="5"/>
      <c r="OK119" s="5"/>
      <c r="OL119" s="5"/>
      <c r="OM119" s="5"/>
      <c r="ON119" s="5"/>
      <c r="OO119" s="5"/>
      <c r="OP119" s="5"/>
      <c r="OQ119" s="5"/>
      <c r="OR119" s="5"/>
      <c r="OS119" s="5"/>
      <c r="OT119" s="5"/>
      <c r="OU119" s="5"/>
      <c r="OV119" s="5"/>
      <c r="OW119" s="5"/>
      <c r="OX119" s="5"/>
      <c r="OY119" s="5"/>
      <c r="OZ119" s="5"/>
      <c r="PA119" s="5"/>
      <c r="PB119" s="5"/>
      <c r="PC119" s="5"/>
      <c r="PD119" s="5"/>
      <c r="PE119" s="5"/>
      <c r="PF119" s="5"/>
      <c r="PG119" s="5"/>
      <c r="PH119" s="5"/>
      <c r="PI119" s="5"/>
      <c r="PJ119" s="5"/>
      <c r="PK119" s="5"/>
      <c r="PL119" s="5"/>
      <c r="PM119" s="5"/>
      <c r="PN119" s="5"/>
      <c r="PO119" s="5"/>
      <c r="PP119" s="5"/>
      <c r="PQ119" s="5"/>
      <c r="PR119" s="5"/>
      <c r="PS119" s="5"/>
      <c r="PT119" s="5"/>
      <c r="PU119" s="5"/>
      <c r="PV119" s="5"/>
      <c r="PW119" s="5"/>
      <c r="PX119" s="5"/>
      <c r="PY119" s="5"/>
      <c r="PZ119" s="5"/>
      <c r="QA119" s="5"/>
      <c r="QB119" s="5"/>
      <c r="QC119" s="5"/>
      <c r="QD119" s="5"/>
      <c r="QE119" s="5"/>
      <c r="QF119" s="5"/>
      <c r="QG119" s="5"/>
      <c r="QH119" s="5"/>
      <c r="QI119" s="5"/>
      <c r="QJ119" s="5"/>
      <c r="QK119" s="5"/>
      <c r="QL119" s="5"/>
      <c r="QM119" s="5"/>
      <c r="QN119" s="5"/>
      <c r="QO119" s="5"/>
      <c r="QP119" s="5"/>
      <c r="QQ119" s="5"/>
      <c r="QR119" s="5"/>
      <c r="QS119" s="5"/>
      <c r="QT119" s="5"/>
      <c r="QU119" s="5"/>
      <c r="QV119" s="5"/>
      <c r="QW119" s="5"/>
      <c r="QX119" s="5"/>
      <c r="QY119" s="5"/>
      <c r="QZ119" s="5"/>
      <c r="RA119" s="5"/>
      <c r="RB119" s="5"/>
      <c r="RC119" s="5"/>
      <c r="RD119" s="5"/>
      <c r="RE119" s="5"/>
      <c r="RF119" s="5"/>
      <c r="RG119" s="5"/>
      <c r="RH119" s="5"/>
      <c r="RI119" s="5"/>
      <c r="RJ119" s="5"/>
      <c r="RK119" s="5"/>
      <c r="RL119" s="5"/>
      <c r="RM119" s="5"/>
      <c r="RN119" s="5"/>
      <c r="RO119" s="5"/>
      <c r="RP119" s="5"/>
      <c r="RQ119" s="5"/>
      <c r="RR119" s="5"/>
      <c r="RS119" s="5"/>
      <c r="RT119" s="5"/>
      <c r="RU119" s="5"/>
      <c r="RV119" s="5"/>
      <c r="RW119" s="5"/>
      <c r="RX119" s="5"/>
      <c r="RY119" s="5"/>
      <c r="RZ119" s="5"/>
      <c r="SA119" s="5"/>
      <c r="SB119" s="5"/>
      <c r="SC119" s="5"/>
      <c r="SD119" s="5"/>
      <c r="SE119" s="5"/>
      <c r="SF119" s="5"/>
      <c r="SG119" s="5"/>
      <c r="SH119" s="5"/>
      <c r="SI119" s="5"/>
      <c r="SJ119" s="5"/>
      <c r="SK119" s="5"/>
      <c r="SL119" s="5"/>
      <c r="SM119" s="5"/>
      <c r="SN119" s="5"/>
      <c r="SO119" s="5"/>
      <c r="SP119" s="5"/>
      <c r="SQ119" s="5"/>
      <c r="SR119" s="5"/>
      <c r="SS119" s="5"/>
      <c r="ST119" s="5"/>
      <c r="SU119" s="5"/>
      <c r="SV119" s="5"/>
      <c r="SW119" s="5"/>
      <c r="SX119" s="5"/>
      <c r="SY119" s="5"/>
      <c r="SZ119" s="5"/>
      <c r="TA119" s="5"/>
      <c r="TB119" s="5"/>
      <c r="TC119" s="5"/>
      <c r="TD119" s="5"/>
      <c r="TE119" s="5"/>
      <c r="TF119" s="5"/>
      <c r="TG119" s="5"/>
      <c r="TH119" s="5"/>
      <c r="TI119" s="5"/>
      <c r="TJ119" s="5"/>
      <c r="TK119" s="5"/>
      <c r="TL119" s="5"/>
      <c r="TM119" s="5"/>
      <c r="TN119" s="5"/>
      <c r="TO119" s="5"/>
      <c r="TP119" s="5"/>
      <c r="TQ119" s="5"/>
      <c r="TR119" s="5"/>
      <c r="TS119" s="5"/>
      <c r="TT119" s="5"/>
      <c r="TU119" s="5"/>
      <c r="TV119" s="5"/>
      <c r="TW119" s="5"/>
      <c r="TX119" s="5"/>
      <c r="TY119" s="5"/>
      <c r="TZ119" s="5"/>
      <c r="UA119" s="5"/>
      <c r="UB119" s="5"/>
      <c r="UC119" s="5"/>
      <c r="UD119" s="5"/>
      <c r="UE119" s="5"/>
      <c r="UF119" s="5"/>
      <c r="UG119" s="5"/>
      <c r="UH119" s="5"/>
      <c r="UI119" s="5"/>
      <c r="UJ119" s="5"/>
      <c r="UK119" s="5"/>
      <c r="UL119" s="5"/>
      <c r="UM119" s="5"/>
      <c r="UN119" s="5"/>
      <c r="UO119" s="5"/>
      <c r="UP119" s="5"/>
      <c r="UQ119" s="5"/>
      <c r="UR119" s="5"/>
      <c r="US119" s="5"/>
      <c r="UT119" s="5"/>
      <c r="UU119" s="5"/>
      <c r="UV119" s="5"/>
      <c r="UW119" s="5"/>
      <c r="UX119" s="5"/>
      <c r="UY119" s="5"/>
      <c r="UZ119" s="5"/>
      <c r="VA119" s="5"/>
      <c r="VB119" s="5"/>
      <c r="VC119" s="5"/>
      <c r="VD119" s="5"/>
      <c r="VE119" s="5"/>
      <c r="VF119" s="5"/>
      <c r="VG119" s="5"/>
      <c r="VH119" s="5"/>
      <c r="VI119" s="5"/>
      <c r="VJ119" s="5"/>
      <c r="VK119" s="5"/>
      <c r="VL119" s="5"/>
      <c r="VM119" s="5"/>
      <c r="VN119" s="5"/>
      <c r="VO119" s="5"/>
      <c r="VP119" s="5"/>
      <c r="VQ119" s="5"/>
      <c r="VR119" s="5"/>
      <c r="VS119" s="5"/>
      <c r="VT119" s="5"/>
      <c r="VU119" s="5"/>
      <c r="VV119" s="5"/>
      <c r="VW119" s="5"/>
      <c r="VX119" s="5"/>
      <c r="VY119" s="5"/>
      <c r="VZ119" s="5"/>
      <c r="WA119" s="5"/>
      <c r="WB119" s="5"/>
      <c r="WC119" s="5"/>
      <c r="WD119" s="5"/>
      <c r="WE119" s="5"/>
      <c r="WF119" s="5"/>
      <c r="WG119" s="5"/>
      <c r="WH119" s="5"/>
      <c r="WI119" s="5"/>
      <c r="WJ119" s="5"/>
      <c r="WK119" s="5"/>
      <c r="WL119" s="5"/>
      <c r="WM119" s="5"/>
      <c r="WN119" s="5"/>
      <c r="WO119" s="5"/>
      <c r="WP119" s="5"/>
      <c r="WQ119" s="5"/>
      <c r="WR119" s="5"/>
      <c r="WS119" s="5"/>
      <c r="WT119" s="5"/>
      <c r="WU119" s="5"/>
      <c r="WV119" s="5"/>
      <c r="WW119" s="5"/>
      <c r="WX119" s="5"/>
      <c r="WY119" s="5"/>
      <c r="WZ119" s="5"/>
      <c r="XA119" s="5"/>
      <c r="XB119" s="5"/>
      <c r="XC119" s="5"/>
      <c r="XD119" s="5"/>
      <c r="XE119" s="5"/>
      <c r="XF119" s="5"/>
      <c r="XG119" s="5"/>
      <c r="XH119" s="5"/>
      <c r="XI119" s="5"/>
      <c r="XJ119" s="5"/>
      <c r="XK119" s="5"/>
      <c r="XL119" s="5"/>
      <c r="XM119" s="5"/>
      <c r="XN119" s="5"/>
      <c r="XO119" s="5"/>
      <c r="XP119" s="5"/>
      <c r="XQ119" s="5"/>
      <c r="XR119" s="5"/>
      <c r="XS119" s="5"/>
      <c r="XT119" s="5"/>
      <c r="XU119" s="5"/>
      <c r="XV119" s="5"/>
      <c r="XW119" s="5"/>
      <c r="XX119" s="5"/>
      <c r="XY119" s="5"/>
      <c r="XZ119" s="5"/>
      <c r="YA119" s="5"/>
      <c r="YB119" s="5"/>
      <c r="YC119" s="5"/>
      <c r="YD119" s="5"/>
      <c r="YE119" s="5"/>
      <c r="YF119" s="5"/>
      <c r="YG119" s="5"/>
      <c r="YH119" s="5"/>
      <c r="YI119" s="5"/>
      <c r="YJ119" s="5"/>
      <c r="YK119" s="5"/>
      <c r="YL119" s="5"/>
      <c r="YM119" s="5"/>
      <c r="YN119" s="5"/>
      <c r="YO119" s="5"/>
      <c r="YP119" s="5"/>
      <c r="YQ119" s="5"/>
      <c r="YR119" s="5"/>
      <c r="YS119" s="5"/>
      <c r="YT119" s="5"/>
      <c r="YU119" s="5"/>
      <c r="YV119" s="5"/>
      <c r="YW119" s="5"/>
      <c r="YX119" s="5"/>
      <c r="YY119" s="5"/>
      <c r="YZ119" s="5"/>
    </row>
    <row r="120" spans="1:676">
      <c r="A120" s="7">
        <v>110</v>
      </c>
      <c r="B120" s="7" t="s">
        <v>294</v>
      </c>
      <c r="C120" s="10" t="s">
        <v>295</v>
      </c>
      <c r="D120" s="7" t="s">
        <v>60</v>
      </c>
      <c r="E120" s="7" t="s">
        <v>71</v>
      </c>
      <c r="F120" s="7" t="s">
        <v>162</v>
      </c>
      <c r="G120" s="7"/>
      <c r="H120" s="7" t="s">
        <v>47</v>
      </c>
      <c r="I120" s="11">
        <v>2</v>
      </c>
      <c r="J120" s="11">
        <v>3</v>
      </c>
      <c r="K120" s="11">
        <v>0.95</v>
      </c>
      <c r="L120" s="11">
        <v>1.99</v>
      </c>
      <c r="M120" s="11">
        <v>0</v>
      </c>
      <c r="N120" s="11">
        <v>0</v>
      </c>
      <c r="O120" s="11">
        <v>0.96</v>
      </c>
      <c r="P120" s="11">
        <v>1.66</v>
      </c>
      <c r="Q120" s="11">
        <v>5.56</v>
      </c>
      <c r="R120" s="11">
        <v>0</v>
      </c>
      <c r="S120" s="11">
        <v>5.56</v>
      </c>
      <c r="T120" s="11">
        <v>2</v>
      </c>
      <c r="U120" s="11">
        <v>3</v>
      </c>
      <c r="V120" s="11">
        <v>0.5599999999999996</v>
      </c>
      <c r="W120" s="13">
        <v>2</v>
      </c>
      <c r="X120" s="13">
        <v>3</v>
      </c>
      <c r="Y120" s="13" t="str">
        <f>MIN(W120,S120)</f>
        <v>0</v>
      </c>
      <c r="Z120" s="13" t="str">
        <f>MIN(X120,(S120-Y120))</f>
        <v>0</v>
      </c>
      <c r="AA120" s="13" t="str">
        <f>S120-SUM(Y120,Z120)</f>
        <v>0</v>
      </c>
      <c r="AB120" s="15"/>
      <c r="AC120" s="15"/>
      <c r="AD120" s="1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  <c r="DH120" s="5"/>
      <c r="DI120" s="5"/>
      <c r="DJ120" s="5"/>
      <c r="DK120" s="5"/>
      <c r="DL120" s="5"/>
      <c r="DM120" s="5"/>
      <c r="DN120" s="5"/>
      <c r="DO120" s="5"/>
      <c r="DP120" s="5"/>
      <c r="DQ120" s="5"/>
      <c r="DR120" s="5"/>
      <c r="DS120" s="5"/>
      <c r="DT120" s="5"/>
      <c r="DU120" s="5"/>
      <c r="DV120" s="5"/>
      <c r="DW120" s="5"/>
      <c r="DX120" s="5"/>
      <c r="DY120" s="5"/>
      <c r="DZ120" s="5"/>
      <c r="EA120" s="5"/>
      <c r="EB120" s="5"/>
      <c r="EC120" s="5"/>
      <c r="ED120" s="5"/>
      <c r="EE120" s="5"/>
      <c r="EF120" s="5"/>
      <c r="EG120" s="5"/>
      <c r="EH120" s="5"/>
      <c r="EI120" s="5"/>
      <c r="EJ120" s="5"/>
      <c r="EK120" s="5"/>
      <c r="EL120" s="5"/>
      <c r="EM120" s="5"/>
      <c r="EN120" s="5"/>
      <c r="EO120" s="5"/>
      <c r="EP120" s="5"/>
      <c r="EQ120" s="5"/>
      <c r="ER120" s="5"/>
      <c r="ES120" s="5"/>
      <c r="ET120" s="5"/>
      <c r="EU120" s="5"/>
      <c r="EV120" s="5"/>
      <c r="EW120" s="5"/>
      <c r="EX120" s="5"/>
      <c r="EY120" s="5"/>
      <c r="EZ120" s="5"/>
      <c r="FA120" s="5"/>
      <c r="FB120" s="5"/>
      <c r="FC120" s="5"/>
      <c r="FD120" s="5"/>
      <c r="FE120" s="5"/>
      <c r="FF120" s="5"/>
      <c r="FG120" s="5"/>
      <c r="FH120" s="5"/>
      <c r="FI120" s="5"/>
      <c r="FJ120" s="5"/>
      <c r="FK120" s="5"/>
      <c r="FL120" s="5"/>
      <c r="FM120" s="5"/>
      <c r="FN120" s="5"/>
      <c r="FO120" s="5"/>
      <c r="FP120" s="5"/>
      <c r="FQ120" s="5"/>
      <c r="FR120" s="5"/>
      <c r="FS120" s="5"/>
      <c r="FT120" s="5"/>
      <c r="FU120" s="5"/>
      <c r="FV120" s="5"/>
      <c r="FW120" s="5"/>
      <c r="FX120" s="5"/>
      <c r="FY120" s="5"/>
      <c r="FZ120" s="5"/>
      <c r="GA120" s="5"/>
      <c r="GB120" s="5"/>
      <c r="GC120" s="5"/>
      <c r="GD120" s="5"/>
      <c r="GE120" s="5"/>
      <c r="GF120" s="5"/>
      <c r="GG120" s="5"/>
      <c r="GH120" s="5"/>
      <c r="GI120" s="5"/>
      <c r="GJ120" s="5"/>
      <c r="GK120" s="5"/>
      <c r="GL120" s="5"/>
      <c r="GM120" s="5"/>
      <c r="GN120" s="5"/>
      <c r="GO120" s="5"/>
      <c r="GP120" s="5"/>
      <c r="GQ120" s="5"/>
      <c r="GR120" s="5"/>
      <c r="GS120" s="5"/>
      <c r="GT120" s="5"/>
      <c r="GU120" s="5"/>
      <c r="GV120" s="5"/>
      <c r="GW120" s="5"/>
      <c r="GX120" s="5"/>
      <c r="GY120" s="5"/>
      <c r="GZ120" s="5"/>
      <c r="HA120" s="5"/>
      <c r="HB120" s="5"/>
      <c r="HC120" s="5"/>
      <c r="HD120" s="5"/>
      <c r="HE120" s="5"/>
      <c r="HF120" s="5"/>
      <c r="HG120" s="5"/>
      <c r="HH120" s="5"/>
      <c r="HI120" s="5"/>
      <c r="HJ120" s="5"/>
      <c r="HK120" s="5"/>
      <c r="HL120" s="5"/>
      <c r="HM120" s="5"/>
      <c r="HN120" s="5"/>
      <c r="HO120" s="5"/>
      <c r="HP120" s="5"/>
      <c r="HQ120" s="5"/>
      <c r="HR120" s="5"/>
      <c r="HS120" s="5"/>
      <c r="HT120" s="5"/>
      <c r="HU120" s="5"/>
      <c r="HV120" s="5"/>
      <c r="HW120" s="5"/>
      <c r="HX120" s="5"/>
      <c r="HY120" s="5"/>
      <c r="HZ120" s="5"/>
      <c r="IA120" s="5"/>
      <c r="IB120" s="5"/>
      <c r="IC120" s="5"/>
      <c r="ID120" s="5"/>
      <c r="IE120" s="5"/>
      <c r="IF120" s="5"/>
      <c r="IG120" s="5"/>
      <c r="IH120" s="5"/>
      <c r="II120" s="5"/>
      <c r="IJ120" s="5"/>
      <c r="IK120" s="5"/>
      <c r="IL120" s="5"/>
      <c r="IM120" s="5"/>
      <c r="IN120" s="5"/>
      <c r="IO120" s="5"/>
      <c r="IP120" s="5"/>
      <c r="IQ120" s="5"/>
      <c r="IR120" s="5"/>
      <c r="IS120" s="5"/>
      <c r="IT120" s="5"/>
      <c r="IU120" s="5"/>
      <c r="IV120" s="5"/>
      <c r="IW120" s="5"/>
      <c r="IX120" s="5"/>
      <c r="IY120" s="5"/>
      <c r="IZ120" s="5"/>
      <c r="JA120" s="5"/>
      <c r="JB120" s="5"/>
      <c r="JC120" s="5"/>
      <c r="JD120" s="5"/>
      <c r="JE120" s="5"/>
      <c r="JF120" s="5"/>
      <c r="JG120" s="5"/>
      <c r="JH120" s="5"/>
      <c r="JI120" s="5"/>
      <c r="JJ120" s="5"/>
      <c r="JK120" s="5"/>
      <c r="JL120" s="5"/>
      <c r="JM120" s="5"/>
      <c r="JN120" s="5"/>
      <c r="JO120" s="5"/>
      <c r="JP120" s="5"/>
      <c r="JQ120" s="5"/>
      <c r="JR120" s="5"/>
      <c r="JS120" s="5"/>
      <c r="JT120" s="5"/>
      <c r="JU120" s="5"/>
      <c r="JV120" s="5"/>
      <c r="JW120" s="5"/>
      <c r="JX120" s="5"/>
      <c r="JY120" s="5"/>
      <c r="JZ120" s="5"/>
      <c r="KA120" s="5"/>
      <c r="KB120" s="5"/>
      <c r="KC120" s="5"/>
      <c r="KD120" s="5"/>
      <c r="KE120" s="5"/>
      <c r="KF120" s="5"/>
      <c r="KG120" s="5"/>
      <c r="KH120" s="5"/>
      <c r="KI120" s="5"/>
      <c r="KJ120" s="5"/>
      <c r="KK120" s="5"/>
      <c r="KL120" s="5"/>
      <c r="KM120" s="5"/>
      <c r="KN120" s="5"/>
      <c r="KO120" s="5"/>
      <c r="KP120" s="5"/>
      <c r="KQ120" s="5"/>
      <c r="KR120" s="5"/>
      <c r="KS120" s="5"/>
      <c r="KT120" s="5"/>
      <c r="KU120" s="5"/>
      <c r="KV120" s="5"/>
      <c r="KW120" s="5"/>
      <c r="KX120" s="5"/>
      <c r="KY120" s="5"/>
      <c r="KZ120" s="5"/>
      <c r="LA120" s="5"/>
      <c r="LB120" s="5"/>
      <c r="LC120" s="5"/>
      <c r="LD120" s="5"/>
      <c r="LE120" s="5"/>
      <c r="LF120" s="5"/>
      <c r="LG120" s="5"/>
      <c r="LH120" s="5"/>
      <c r="LI120" s="5"/>
      <c r="LJ120" s="5"/>
      <c r="LK120" s="5"/>
      <c r="LL120" s="5"/>
      <c r="LM120" s="5"/>
      <c r="LN120" s="5"/>
      <c r="LO120" s="5"/>
      <c r="LP120" s="5"/>
      <c r="LQ120" s="5"/>
      <c r="LR120" s="5"/>
      <c r="LS120" s="5"/>
      <c r="LT120" s="5"/>
      <c r="LU120" s="5"/>
      <c r="LV120" s="5"/>
      <c r="LW120" s="5"/>
      <c r="LX120" s="5"/>
      <c r="LY120" s="5"/>
      <c r="LZ120" s="5"/>
      <c r="MA120" s="5"/>
      <c r="MB120" s="5"/>
      <c r="MC120" s="5"/>
      <c r="MD120" s="5"/>
      <c r="ME120" s="5"/>
      <c r="MF120" s="5"/>
      <c r="MG120" s="5"/>
      <c r="MH120" s="5"/>
      <c r="MI120" s="5"/>
      <c r="MJ120" s="5"/>
      <c r="MK120" s="5"/>
      <c r="ML120" s="5"/>
      <c r="MM120" s="5"/>
      <c r="MN120" s="5"/>
      <c r="MO120" s="5"/>
      <c r="MP120" s="5"/>
      <c r="MQ120" s="5"/>
      <c r="MR120" s="5"/>
      <c r="MS120" s="5"/>
      <c r="MT120" s="5"/>
      <c r="MU120" s="5"/>
      <c r="MV120" s="5"/>
      <c r="MW120" s="5"/>
      <c r="MX120" s="5"/>
      <c r="MY120" s="5"/>
      <c r="MZ120" s="5"/>
      <c r="NA120" s="5"/>
      <c r="NB120" s="5"/>
      <c r="NC120" s="5"/>
      <c r="ND120" s="5"/>
      <c r="NE120" s="5"/>
      <c r="NF120" s="5"/>
      <c r="NG120" s="5"/>
      <c r="NH120" s="5"/>
      <c r="NI120" s="5"/>
      <c r="NJ120" s="5"/>
      <c r="NK120" s="5"/>
      <c r="NL120" s="5"/>
      <c r="NM120" s="5"/>
      <c r="NN120" s="5"/>
      <c r="NO120" s="5"/>
      <c r="NP120" s="5"/>
      <c r="NQ120" s="5"/>
      <c r="NR120" s="5"/>
      <c r="NS120" s="5"/>
      <c r="NT120" s="5"/>
      <c r="NU120" s="5"/>
      <c r="NV120" s="5"/>
      <c r="NW120" s="5"/>
      <c r="NX120" s="5"/>
      <c r="NY120" s="5"/>
      <c r="NZ120" s="5"/>
      <c r="OA120" s="5"/>
      <c r="OB120" s="5"/>
      <c r="OC120" s="5"/>
      <c r="OD120" s="5"/>
      <c r="OE120" s="5"/>
      <c r="OF120" s="5"/>
      <c r="OG120" s="5"/>
      <c r="OH120" s="5"/>
      <c r="OI120" s="5"/>
      <c r="OJ120" s="5"/>
      <c r="OK120" s="5"/>
      <c r="OL120" s="5"/>
      <c r="OM120" s="5"/>
      <c r="ON120" s="5"/>
      <c r="OO120" s="5"/>
      <c r="OP120" s="5"/>
      <c r="OQ120" s="5"/>
      <c r="OR120" s="5"/>
      <c r="OS120" s="5"/>
      <c r="OT120" s="5"/>
      <c r="OU120" s="5"/>
      <c r="OV120" s="5"/>
      <c r="OW120" s="5"/>
      <c r="OX120" s="5"/>
      <c r="OY120" s="5"/>
      <c r="OZ120" s="5"/>
      <c r="PA120" s="5"/>
      <c r="PB120" s="5"/>
      <c r="PC120" s="5"/>
      <c r="PD120" s="5"/>
      <c r="PE120" s="5"/>
      <c r="PF120" s="5"/>
      <c r="PG120" s="5"/>
      <c r="PH120" s="5"/>
      <c r="PI120" s="5"/>
      <c r="PJ120" s="5"/>
      <c r="PK120" s="5"/>
      <c r="PL120" s="5"/>
      <c r="PM120" s="5"/>
      <c r="PN120" s="5"/>
      <c r="PO120" s="5"/>
      <c r="PP120" s="5"/>
      <c r="PQ120" s="5"/>
      <c r="PR120" s="5"/>
      <c r="PS120" s="5"/>
      <c r="PT120" s="5"/>
      <c r="PU120" s="5"/>
      <c r="PV120" s="5"/>
      <c r="PW120" s="5"/>
      <c r="PX120" s="5"/>
      <c r="PY120" s="5"/>
      <c r="PZ120" s="5"/>
      <c r="QA120" s="5"/>
      <c r="QB120" s="5"/>
      <c r="QC120" s="5"/>
      <c r="QD120" s="5"/>
      <c r="QE120" s="5"/>
      <c r="QF120" s="5"/>
      <c r="QG120" s="5"/>
      <c r="QH120" s="5"/>
      <c r="QI120" s="5"/>
      <c r="QJ120" s="5"/>
      <c r="QK120" s="5"/>
      <c r="QL120" s="5"/>
      <c r="QM120" s="5"/>
      <c r="QN120" s="5"/>
      <c r="QO120" s="5"/>
      <c r="QP120" s="5"/>
      <c r="QQ120" s="5"/>
      <c r="QR120" s="5"/>
      <c r="QS120" s="5"/>
      <c r="QT120" s="5"/>
      <c r="QU120" s="5"/>
      <c r="QV120" s="5"/>
      <c r="QW120" s="5"/>
      <c r="QX120" s="5"/>
      <c r="QY120" s="5"/>
      <c r="QZ120" s="5"/>
      <c r="RA120" s="5"/>
      <c r="RB120" s="5"/>
      <c r="RC120" s="5"/>
      <c r="RD120" s="5"/>
      <c r="RE120" s="5"/>
      <c r="RF120" s="5"/>
      <c r="RG120" s="5"/>
      <c r="RH120" s="5"/>
      <c r="RI120" s="5"/>
      <c r="RJ120" s="5"/>
      <c r="RK120" s="5"/>
      <c r="RL120" s="5"/>
      <c r="RM120" s="5"/>
      <c r="RN120" s="5"/>
      <c r="RO120" s="5"/>
      <c r="RP120" s="5"/>
      <c r="RQ120" s="5"/>
      <c r="RR120" s="5"/>
      <c r="RS120" s="5"/>
      <c r="RT120" s="5"/>
      <c r="RU120" s="5"/>
      <c r="RV120" s="5"/>
      <c r="RW120" s="5"/>
      <c r="RX120" s="5"/>
      <c r="RY120" s="5"/>
      <c r="RZ120" s="5"/>
      <c r="SA120" s="5"/>
      <c r="SB120" s="5"/>
      <c r="SC120" s="5"/>
      <c r="SD120" s="5"/>
      <c r="SE120" s="5"/>
      <c r="SF120" s="5"/>
      <c r="SG120" s="5"/>
      <c r="SH120" s="5"/>
      <c r="SI120" s="5"/>
      <c r="SJ120" s="5"/>
      <c r="SK120" s="5"/>
      <c r="SL120" s="5"/>
      <c r="SM120" s="5"/>
      <c r="SN120" s="5"/>
      <c r="SO120" s="5"/>
      <c r="SP120" s="5"/>
      <c r="SQ120" s="5"/>
      <c r="SR120" s="5"/>
      <c r="SS120" s="5"/>
      <c r="ST120" s="5"/>
      <c r="SU120" s="5"/>
      <c r="SV120" s="5"/>
      <c r="SW120" s="5"/>
      <c r="SX120" s="5"/>
      <c r="SY120" s="5"/>
      <c r="SZ120" s="5"/>
      <c r="TA120" s="5"/>
      <c r="TB120" s="5"/>
      <c r="TC120" s="5"/>
      <c r="TD120" s="5"/>
      <c r="TE120" s="5"/>
      <c r="TF120" s="5"/>
      <c r="TG120" s="5"/>
      <c r="TH120" s="5"/>
      <c r="TI120" s="5"/>
      <c r="TJ120" s="5"/>
      <c r="TK120" s="5"/>
      <c r="TL120" s="5"/>
      <c r="TM120" s="5"/>
      <c r="TN120" s="5"/>
      <c r="TO120" s="5"/>
      <c r="TP120" s="5"/>
      <c r="TQ120" s="5"/>
      <c r="TR120" s="5"/>
      <c r="TS120" s="5"/>
      <c r="TT120" s="5"/>
      <c r="TU120" s="5"/>
      <c r="TV120" s="5"/>
      <c r="TW120" s="5"/>
      <c r="TX120" s="5"/>
      <c r="TY120" s="5"/>
      <c r="TZ120" s="5"/>
      <c r="UA120" s="5"/>
      <c r="UB120" s="5"/>
      <c r="UC120" s="5"/>
      <c r="UD120" s="5"/>
      <c r="UE120" s="5"/>
      <c r="UF120" s="5"/>
      <c r="UG120" s="5"/>
      <c r="UH120" s="5"/>
      <c r="UI120" s="5"/>
      <c r="UJ120" s="5"/>
      <c r="UK120" s="5"/>
      <c r="UL120" s="5"/>
      <c r="UM120" s="5"/>
      <c r="UN120" s="5"/>
      <c r="UO120" s="5"/>
      <c r="UP120" s="5"/>
      <c r="UQ120" s="5"/>
      <c r="UR120" s="5"/>
      <c r="US120" s="5"/>
      <c r="UT120" s="5"/>
      <c r="UU120" s="5"/>
      <c r="UV120" s="5"/>
      <c r="UW120" s="5"/>
      <c r="UX120" s="5"/>
      <c r="UY120" s="5"/>
      <c r="UZ120" s="5"/>
      <c r="VA120" s="5"/>
      <c r="VB120" s="5"/>
      <c r="VC120" s="5"/>
      <c r="VD120" s="5"/>
      <c r="VE120" s="5"/>
      <c r="VF120" s="5"/>
      <c r="VG120" s="5"/>
      <c r="VH120" s="5"/>
      <c r="VI120" s="5"/>
      <c r="VJ120" s="5"/>
      <c r="VK120" s="5"/>
      <c r="VL120" s="5"/>
      <c r="VM120" s="5"/>
      <c r="VN120" s="5"/>
      <c r="VO120" s="5"/>
      <c r="VP120" s="5"/>
      <c r="VQ120" s="5"/>
      <c r="VR120" s="5"/>
      <c r="VS120" s="5"/>
      <c r="VT120" s="5"/>
      <c r="VU120" s="5"/>
      <c r="VV120" s="5"/>
      <c r="VW120" s="5"/>
      <c r="VX120" s="5"/>
      <c r="VY120" s="5"/>
      <c r="VZ120" s="5"/>
      <c r="WA120" s="5"/>
      <c r="WB120" s="5"/>
      <c r="WC120" s="5"/>
      <c r="WD120" s="5"/>
      <c r="WE120" s="5"/>
      <c r="WF120" s="5"/>
      <c r="WG120" s="5"/>
      <c r="WH120" s="5"/>
      <c r="WI120" s="5"/>
      <c r="WJ120" s="5"/>
      <c r="WK120" s="5"/>
      <c r="WL120" s="5"/>
      <c r="WM120" s="5"/>
      <c r="WN120" s="5"/>
      <c r="WO120" s="5"/>
      <c r="WP120" s="5"/>
      <c r="WQ120" s="5"/>
      <c r="WR120" s="5"/>
      <c r="WS120" s="5"/>
      <c r="WT120" s="5"/>
      <c r="WU120" s="5"/>
      <c r="WV120" s="5"/>
      <c r="WW120" s="5"/>
      <c r="WX120" s="5"/>
      <c r="WY120" s="5"/>
      <c r="WZ120" s="5"/>
      <c r="XA120" s="5"/>
      <c r="XB120" s="5"/>
      <c r="XC120" s="5"/>
      <c r="XD120" s="5"/>
      <c r="XE120" s="5"/>
      <c r="XF120" s="5"/>
      <c r="XG120" s="5"/>
      <c r="XH120" s="5"/>
      <c r="XI120" s="5"/>
      <c r="XJ120" s="5"/>
      <c r="XK120" s="5"/>
      <c r="XL120" s="5"/>
      <c r="XM120" s="5"/>
      <c r="XN120" s="5"/>
      <c r="XO120" s="5"/>
      <c r="XP120" s="5"/>
      <c r="XQ120" s="5"/>
      <c r="XR120" s="5"/>
      <c r="XS120" s="5"/>
      <c r="XT120" s="5"/>
      <c r="XU120" s="5"/>
      <c r="XV120" s="5"/>
      <c r="XW120" s="5"/>
      <c r="XX120" s="5"/>
      <c r="XY120" s="5"/>
      <c r="XZ120" s="5"/>
      <c r="YA120" s="5"/>
      <c r="YB120" s="5"/>
      <c r="YC120" s="5"/>
      <c r="YD120" s="5"/>
      <c r="YE120" s="5"/>
      <c r="YF120" s="5"/>
      <c r="YG120" s="5"/>
      <c r="YH120" s="5"/>
      <c r="YI120" s="5"/>
      <c r="YJ120" s="5"/>
      <c r="YK120" s="5"/>
      <c r="YL120" s="5"/>
      <c r="YM120" s="5"/>
      <c r="YN120" s="5"/>
      <c r="YO120" s="5"/>
      <c r="YP120" s="5"/>
      <c r="YQ120" s="5"/>
      <c r="YR120" s="5"/>
      <c r="YS120" s="5"/>
      <c r="YT120" s="5"/>
      <c r="YU120" s="5"/>
      <c r="YV120" s="5"/>
      <c r="YW120" s="5"/>
      <c r="YX120" s="5"/>
      <c r="YY120" s="5"/>
      <c r="YZ120" s="5"/>
    </row>
    <row r="121" spans="1:676">
      <c r="A121" s="7">
        <v>111</v>
      </c>
      <c r="B121" s="7" t="s">
        <v>296</v>
      </c>
      <c r="C121" s="10" t="s">
        <v>297</v>
      </c>
      <c r="D121" s="7" t="s">
        <v>54</v>
      </c>
      <c r="E121" s="7" t="s">
        <v>71</v>
      </c>
      <c r="F121" s="7" t="s">
        <v>162</v>
      </c>
      <c r="G121" s="7"/>
      <c r="H121" s="7" t="s">
        <v>43</v>
      </c>
      <c r="I121" s="11">
        <v>2</v>
      </c>
      <c r="J121" s="11">
        <v>3</v>
      </c>
      <c r="K121" s="11">
        <v>0</v>
      </c>
      <c r="L121" s="11">
        <v>0.4</v>
      </c>
      <c r="M121" s="11">
        <v>0.08</v>
      </c>
      <c r="N121" s="11">
        <v>0</v>
      </c>
      <c r="O121" s="11">
        <v>1.15</v>
      </c>
      <c r="P121" s="11">
        <v>0.83</v>
      </c>
      <c r="Q121" s="11">
        <v>2.46</v>
      </c>
      <c r="R121" s="11">
        <v>0</v>
      </c>
      <c r="S121" s="11">
        <v>2.46</v>
      </c>
      <c r="T121" s="11">
        <v>2</v>
      </c>
      <c r="U121" s="11">
        <v>0.46</v>
      </c>
      <c r="V121" s="11">
        <v>0</v>
      </c>
      <c r="W121" s="13">
        <v>2</v>
      </c>
      <c r="X121" s="13">
        <v>3</v>
      </c>
      <c r="Y121" s="13" t="str">
        <f>MIN(W121,S121)</f>
        <v>0</v>
      </c>
      <c r="Z121" s="13" t="str">
        <f>MIN(X121,(S121-Y121))</f>
        <v>0</v>
      </c>
      <c r="AA121" s="13" t="str">
        <f>S121-SUM(Y121,Z121)</f>
        <v>0</v>
      </c>
      <c r="AB121" s="15"/>
      <c r="AC121" s="15"/>
      <c r="AD121" s="1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5"/>
      <c r="CY121" s="5"/>
      <c r="CZ121" s="5"/>
      <c r="DA121" s="5"/>
      <c r="DB121" s="5"/>
      <c r="DC121" s="5"/>
      <c r="DD121" s="5"/>
      <c r="DE121" s="5"/>
      <c r="DF121" s="5"/>
      <c r="DG121" s="5"/>
      <c r="DH121" s="5"/>
      <c r="DI121" s="5"/>
      <c r="DJ121" s="5"/>
      <c r="DK121" s="5"/>
      <c r="DL121" s="5"/>
      <c r="DM121" s="5"/>
      <c r="DN121" s="5"/>
      <c r="DO121" s="5"/>
      <c r="DP121" s="5"/>
      <c r="DQ121" s="5"/>
      <c r="DR121" s="5"/>
      <c r="DS121" s="5"/>
      <c r="DT121" s="5"/>
      <c r="DU121" s="5"/>
      <c r="DV121" s="5"/>
      <c r="DW121" s="5"/>
      <c r="DX121" s="5"/>
      <c r="DY121" s="5"/>
      <c r="DZ121" s="5"/>
      <c r="EA121" s="5"/>
      <c r="EB121" s="5"/>
      <c r="EC121" s="5"/>
      <c r="ED121" s="5"/>
      <c r="EE121" s="5"/>
      <c r="EF121" s="5"/>
      <c r="EG121" s="5"/>
      <c r="EH121" s="5"/>
      <c r="EI121" s="5"/>
      <c r="EJ121" s="5"/>
      <c r="EK121" s="5"/>
      <c r="EL121" s="5"/>
      <c r="EM121" s="5"/>
      <c r="EN121" s="5"/>
      <c r="EO121" s="5"/>
      <c r="EP121" s="5"/>
      <c r="EQ121" s="5"/>
      <c r="ER121" s="5"/>
      <c r="ES121" s="5"/>
      <c r="ET121" s="5"/>
      <c r="EU121" s="5"/>
      <c r="EV121" s="5"/>
      <c r="EW121" s="5"/>
      <c r="EX121" s="5"/>
      <c r="EY121" s="5"/>
      <c r="EZ121" s="5"/>
      <c r="FA121" s="5"/>
      <c r="FB121" s="5"/>
      <c r="FC121" s="5"/>
      <c r="FD121" s="5"/>
      <c r="FE121" s="5"/>
      <c r="FF121" s="5"/>
      <c r="FG121" s="5"/>
      <c r="FH121" s="5"/>
      <c r="FI121" s="5"/>
      <c r="FJ121" s="5"/>
      <c r="FK121" s="5"/>
      <c r="FL121" s="5"/>
      <c r="FM121" s="5"/>
      <c r="FN121" s="5"/>
      <c r="FO121" s="5"/>
      <c r="FP121" s="5"/>
      <c r="FQ121" s="5"/>
      <c r="FR121" s="5"/>
      <c r="FS121" s="5"/>
      <c r="FT121" s="5"/>
      <c r="FU121" s="5"/>
      <c r="FV121" s="5"/>
      <c r="FW121" s="5"/>
      <c r="FX121" s="5"/>
      <c r="FY121" s="5"/>
      <c r="FZ121" s="5"/>
      <c r="GA121" s="5"/>
      <c r="GB121" s="5"/>
      <c r="GC121" s="5"/>
      <c r="GD121" s="5"/>
      <c r="GE121" s="5"/>
      <c r="GF121" s="5"/>
      <c r="GG121" s="5"/>
      <c r="GH121" s="5"/>
      <c r="GI121" s="5"/>
      <c r="GJ121" s="5"/>
      <c r="GK121" s="5"/>
      <c r="GL121" s="5"/>
      <c r="GM121" s="5"/>
      <c r="GN121" s="5"/>
      <c r="GO121" s="5"/>
      <c r="GP121" s="5"/>
      <c r="GQ121" s="5"/>
      <c r="GR121" s="5"/>
      <c r="GS121" s="5"/>
      <c r="GT121" s="5"/>
      <c r="GU121" s="5"/>
      <c r="GV121" s="5"/>
      <c r="GW121" s="5"/>
      <c r="GX121" s="5"/>
      <c r="GY121" s="5"/>
      <c r="GZ121" s="5"/>
      <c r="HA121" s="5"/>
      <c r="HB121" s="5"/>
      <c r="HC121" s="5"/>
      <c r="HD121" s="5"/>
      <c r="HE121" s="5"/>
      <c r="HF121" s="5"/>
      <c r="HG121" s="5"/>
      <c r="HH121" s="5"/>
      <c r="HI121" s="5"/>
      <c r="HJ121" s="5"/>
      <c r="HK121" s="5"/>
      <c r="HL121" s="5"/>
      <c r="HM121" s="5"/>
      <c r="HN121" s="5"/>
      <c r="HO121" s="5"/>
      <c r="HP121" s="5"/>
      <c r="HQ121" s="5"/>
      <c r="HR121" s="5"/>
      <c r="HS121" s="5"/>
      <c r="HT121" s="5"/>
      <c r="HU121" s="5"/>
      <c r="HV121" s="5"/>
      <c r="HW121" s="5"/>
      <c r="HX121" s="5"/>
      <c r="HY121" s="5"/>
      <c r="HZ121" s="5"/>
      <c r="IA121" s="5"/>
      <c r="IB121" s="5"/>
      <c r="IC121" s="5"/>
      <c r="ID121" s="5"/>
      <c r="IE121" s="5"/>
      <c r="IF121" s="5"/>
      <c r="IG121" s="5"/>
      <c r="IH121" s="5"/>
      <c r="II121" s="5"/>
      <c r="IJ121" s="5"/>
      <c r="IK121" s="5"/>
      <c r="IL121" s="5"/>
      <c r="IM121" s="5"/>
      <c r="IN121" s="5"/>
      <c r="IO121" s="5"/>
      <c r="IP121" s="5"/>
      <c r="IQ121" s="5"/>
      <c r="IR121" s="5"/>
      <c r="IS121" s="5"/>
      <c r="IT121" s="5"/>
      <c r="IU121" s="5"/>
      <c r="IV121" s="5"/>
      <c r="IW121" s="5"/>
      <c r="IX121" s="5"/>
      <c r="IY121" s="5"/>
      <c r="IZ121" s="5"/>
      <c r="JA121" s="5"/>
      <c r="JB121" s="5"/>
      <c r="JC121" s="5"/>
      <c r="JD121" s="5"/>
      <c r="JE121" s="5"/>
      <c r="JF121" s="5"/>
      <c r="JG121" s="5"/>
      <c r="JH121" s="5"/>
      <c r="JI121" s="5"/>
      <c r="JJ121" s="5"/>
      <c r="JK121" s="5"/>
      <c r="JL121" s="5"/>
      <c r="JM121" s="5"/>
      <c r="JN121" s="5"/>
      <c r="JO121" s="5"/>
      <c r="JP121" s="5"/>
      <c r="JQ121" s="5"/>
      <c r="JR121" s="5"/>
      <c r="JS121" s="5"/>
      <c r="JT121" s="5"/>
      <c r="JU121" s="5"/>
      <c r="JV121" s="5"/>
      <c r="JW121" s="5"/>
      <c r="JX121" s="5"/>
      <c r="JY121" s="5"/>
      <c r="JZ121" s="5"/>
      <c r="KA121" s="5"/>
      <c r="KB121" s="5"/>
      <c r="KC121" s="5"/>
      <c r="KD121" s="5"/>
      <c r="KE121" s="5"/>
      <c r="KF121" s="5"/>
      <c r="KG121" s="5"/>
      <c r="KH121" s="5"/>
      <c r="KI121" s="5"/>
      <c r="KJ121" s="5"/>
      <c r="KK121" s="5"/>
      <c r="KL121" s="5"/>
      <c r="KM121" s="5"/>
      <c r="KN121" s="5"/>
      <c r="KO121" s="5"/>
      <c r="KP121" s="5"/>
      <c r="KQ121" s="5"/>
      <c r="KR121" s="5"/>
      <c r="KS121" s="5"/>
      <c r="KT121" s="5"/>
      <c r="KU121" s="5"/>
      <c r="KV121" s="5"/>
      <c r="KW121" s="5"/>
      <c r="KX121" s="5"/>
      <c r="KY121" s="5"/>
      <c r="KZ121" s="5"/>
      <c r="LA121" s="5"/>
      <c r="LB121" s="5"/>
      <c r="LC121" s="5"/>
      <c r="LD121" s="5"/>
      <c r="LE121" s="5"/>
      <c r="LF121" s="5"/>
      <c r="LG121" s="5"/>
      <c r="LH121" s="5"/>
      <c r="LI121" s="5"/>
      <c r="LJ121" s="5"/>
      <c r="LK121" s="5"/>
      <c r="LL121" s="5"/>
      <c r="LM121" s="5"/>
      <c r="LN121" s="5"/>
      <c r="LO121" s="5"/>
      <c r="LP121" s="5"/>
      <c r="LQ121" s="5"/>
      <c r="LR121" s="5"/>
      <c r="LS121" s="5"/>
      <c r="LT121" s="5"/>
      <c r="LU121" s="5"/>
      <c r="LV121" s="5"/>
      <c r="LW121" s="5"/>
      <c r="LX121" s="5"/>
      <c r="LY121" s="5"/>
      <c r="LZ121" s="5"/>
      <c r="MA121" s="5"/>
      <c r="MB121" s="5"/>
      <c r="MC121" s="5"/>
      <c r="MD121" s="5"/>
      <c r="ME121" s="5"/>
      <c r="MF121" s="5"/>
      <c r="MG121" s="5"/>
      <c r="MH121" s="5"/>
      <c r="MI121" s="5"/>
      <c r="MJ121" s="5"/>
      <c r="MK121" s="5"/>
      <c r="ML121" s="5"/>
      <c r="MM121" s="5"/>
      <c r="MN121" s="5"/>
      <c r="MO121" s="5"/>
      <c r="MP121" s="5"/>
      <c r="MQ121" s="5"/>
      <c r="MR121" s="5"/>
      <c r="MS121" s="5"/>
      <c r="MT121" s="5"/>
      <c r="MU121" s="5"/>
      <c r="MV121" s="5"/>
      <c r="MW121" s="5"/>
      <c r="MX121" s="5"/>
      <c r="MY121" s="5"/>
      <c r="MZ121" s="5"/>
      <c r="NA121" s="5"/>
      <c r="NB121" s="5"/>
      <c r="NC121" s="5"/>
      <c r="ND121" s="5"/>
      <c r="NE121" s="5"/>
      <c r="NF121" s="5"/>
      <c r="NG121" s="5"/>
      <c r="NH121" s="5"/>
      <c r="NI121" s="5"/>
      <c r="NJ121" s="5"/>
      <c r="NK121" s="5"/>
      <c r="NL121" s="5"/>
      <c r="NM121" s="5"/>
      <c r="NN121" s="5"/>
      <c r="NO121" s="5"/>
      <c r="NP121" s="5"/>
      <c r="NQ121" s="5"/>
      <c r="NR121" s="5"/>
      <c r="NS121" s="5"/>
      <c r="NT121" s="5"/>
      <c r="NU121" s="5"/>
      <c r="NV121" s="5"/>
      <c r="NW121" s="5"/>
      <c r="NX121" s="5"/>
      <c r="NY121" s="5"/>
      <c r="NZ121" s="5"/>
      <c r="OA121" s="5"/>
      <c r="OB121" s="5"/>
      <c r="OC121" s="5"/>
      <c r="OD121" s="5"/>
      <c r="OE121" s="5"/>
      <c r="OF121" s="5"/>
      <c r="OG121" s="5"/>
      <c r="OH121" s="5"/>
      <c r="OI121" s="5"/>
      <c r="OJ121" s="5"/>
      <c r="OK121" s="5"/>
      <c r="OL121" s="5"/>
      <c r="OM121" s="5"/>
      <c r="ON121" s="5"/>
      <c r="OO121" s="5"/>
      <c r="OP121" s="5"/>
      <c r="OQ121" s="5"/>
      <c r="OR121" s="5"/>
      <c r="OS121" s="5"/>
      <c r="OT121" s="5"/>
      <c r="OU121" s="5"/>
      <c r="OV121" s="5"/>
      <c r="OW121" s="5"/>
      <c r="OX121" s="5"/>
      <c r="OY121" s="5"/>
      <c r="OZ121" s="5"/>
      <c r="PA121" s="5"/>
      <c r="PB121" s="5"/>
      <c r="PC121" s="5"/>
      <c r="PD121" s="5"/>
      <c r="PE121" s="5"/>
      <c r="PF121" s="5"/>
      <c r="PG121" s="5"/>
      <c r="PH121" s="5"/>
      <c r="PI121" s="5"/>
      <c r="PJ121" s="5"/>
      <c r="PK121" s="5"/>
      <c r="PL121" s="5"/>
      <c r="PM121" s="5"/>
      <c r="PN121" s="5"/>
      <c r="PO121" s="5"/>
      <c r="PP121" s="5"/>
      <c r="PQ121" s="5"/>
      <c r="PR121" s="5"/>
      <c r="PS121" s="5"/>
      <c r="PT121" s="5"/>
      <c r="PU121" s="5"/>
      <c r="PV121" s="5"/>
      <c r="PW121" s="5"/>
      <c r="PX121" s="5"/>
      <c r="PY121" s="5"/>
      <c r="PZ121" s="5"/>
      <c r="QA121" s="5"/>
      <c r="QB121" s="5"/>
      <c r="QC121" s="5"/>
      <c r="QD121" s="5"/>
      <c r="QE121" s="5"/>
      <c r="QF121" s="5"/>
      <c r="QG121" s="5"/>
      <c r="QH121" s="5"/>
      <c r="QI121" s="5"/>
      <c r="QJ121" s="5"/>
      <c r="QK121" s="5"/>
      <c r="QL121" s="5"/>
      <c r="QM121" s="5"/>
      <c r="QN121" s="5"/>
      <c r="QO121" s="5"/>
      <c r="QP121" s="5"/>
      <c r="QQ121" s="5"/>
      <c r="QR121" s="5"/>
      <c r="QS121" s="5"/>
      <c r="QT121" s="5"/>
      <c r="QU121" s="5"/>
      <c r="QV121" s="5"/>
      <c r="QW121" s="5"/>
      <c r="QX121" s="5"/>
      <c r="QY121" s="5"/>
      <c r="QZ121" s="5"/>
      <c r="RA121" s="5"/>
      <c r="RB121" s="5"/>
      <c r="RC121" s="5"/>
      <c r="RD121" s="5"/>
      <c r="RE121" s="5"/>
      <c r="RF121" s="5"/>
      <c r="RG121" s="5"/>
      <c r="RH121" s="5"/>
      <c r="RI121" s="5"/>
      <c r="RJ121" s="5"/>
      <c r="RK121" s="5"/>
      <c r="RL121" s="5"/>
      <c r="RM121" s="5"/>
      <c r="RN121" s="5"/>
      <c r="RO121" s="5"/>
      <c r="RP121" s="5"/>
      <c r="RQ121" s="5"/>
      <c r="RR121" s="5"/>
      <c r="RS121" s="5"/>
      <c r="RT121" s="5"/>
      <c r="RU121" s="5"/>
      <c r="RV121" s="5"/>
      <c r="RW121" s="5"/>
      <c r="RX121" s="5"/>
      <c r="RY121" s="5"/>
      <c r="RZ121" s="5"/>
      <c r="SA121" s="5"/>
      <c r="SB121" s="5"/>
      <c r="SC121" s="5"/>
      <c r="SD121" s="5"/>
      <c r="SE121" s="5"/>
      <c r="SF121" s="5"/>
      <c r="SG121" s="5"/>
      <c r="SH121" s="5"/>
      <c r="SI121" s="5"/>
      <c r="SJ121" s="5"/>
      <c r="SK121" s="5"/>
      <c r="SL121" s="5"/>
      <c r="SM121" s="5"/>
      <c r="SN121" s="5"/>
      <c r="SO121" s="5"/>
      <c r="SP121" s="5"/>
      <c r="SQ121" s="5"/>
      <c r="SR121" s="5"/>
      <c r="SS121" s="5"/>
      <c r="ST121" s="5"/>
      <c r="SU121" s="5"/>
      <c r="SV121" s="5"/>
      <c r="SW121" s="5"/>
      <c r="SX121" s="5"/>
      <c r="SY121" s="5"/>
      <c r="SZ121" s="5"/>
      <c r="TA121" s="5"/>
      <c r="TB121" s="5"/>
      <c r="TC121" s="5"/>
      <c r="TD121" s="5"/>
      <c r="TE121" s="5"/>
      <c r="TF121" s="5"/>
      <c r="TG121" s="5"/>
      <c r="TH121" s="5"/>
      <c r="TI121" s="5"/>
      <c r="TJ121" s="5"/>
      <c r="TK121" s="5"/>
      <c r="TL121" s="5"/>
      <c r="TM121" s="5"/>
      <c r="TN121" s="5"/>
      <c r="TO121" s="5"/>
      <c r="TP121" s="5"/>
      <c r="TQ121" s="5"/>
      <c r="TR121" s="5"/>
      <c r="TS121" s="5"/>
      <c r="TT121" s="5"/>
      <c r="TU121" s="5"/>
      <c r="TV121" s="5"/>
      <c r="TW121" s="5"/>
      <c r="TX121" s="5"/>
      <c r="TY121" s="5"/>
      <c r="TZ121" s="5"/>
      <c r="UA121" s="5"/>
      <c r="UB121" s="5"/>
      <c r="UC121" s="5"/>
      <c r="UD121" s="5"/>
      <c r="UE121" s="5"/>
      <c r="UF121" s="5"/>
      <c r="UG121" s="5"/>
      <c r="UH121" s="5"/>
      <c r="UI121" s="5"/>
      <c r="UJ121" s="5"/>
      <c r="UK121" s="5"/>
      <c r="UL121" s="5"/>
      <c r="UM121" s="5"/>
      <c r="UN121" s="5"/>
      <c r="UO121" s="5"/>
      <c r="UP121" s="5"/>
      <c r="UQ121" s="5"/>
      <c r="UR121" s="5"/>
      <c r="US121" s="5"/>
      <c r="UT121" s="5"/>
      <c r="UU121" s="5"/>
      <c r="UV121" s="5"/>
      <c r="UW121" s="5"/>
      <c r="UX121" s="5"/>
      <c r="UY121" s="5"/>
      <c r="UZ121" s="5"/>
      <c r="VA121" s="5"/>
      <c r="VB121" s="5"/>
      <c r="VC121" s="5"/>
      <c r="VD121" s="5"/>
      <c r="VE121" s="5"/>
      <c r="VF121" s="5"/>
      <c r="VG121" s="5"/>
      <c r="VH121" s="5"/>
      <c r="VI121" s="5"/>
      <c r="VJ121" s="5"/>
      <c r="VK121" s="5"/>
      <c r="VL121" s="5"/>
      <c r="VM121" s="5"/>
      <c r="VN121" s="5"/>
      <c r="VO121" s="5"/>
      <c r="VP121" s="5"/>
      <c r="VQ121" s="5"/>
      <c r="VR121" s="5"/>
      <c r="VS121" s="5"/>
      <c r="VT121" s="5"/>
      <c r="VU121" s="5"/>
      <c r="VV121" s="5"/>
      <c r="VW121" s="5"/>
      <c r="VX121" s="5"/>
      <c r="VY121" s="5"/>
      <c r="VZ121" s="5"/>
      <c r="WA121" s="5"/>
      <c r="WB121" s="5"/>
      <c r="WC121" s="5"/>
      <c r="WD121" s="5"/>
      <c r="WE121" s="5"/>
      <c r="WF121" s="5"/>
      <c r="WG121" s="5"/>
      <c r="WH121" s="5"/>
      <c r="WI121" s="5"/>
      <c r="WJ121" s="5"/>
      <c r="WK121" s="5"/>
      <c r="WL121" s="5"/>
      <c r="WM121" s="5"/>
      <c r="WN121" s="5"/>
      <c r="WO121" s="5"/>
      <c r="WP121" s="5"/>
      <c r="WQ121" s="5"/>
      <c r="WR121" s="5"/>
      <c r="WS121" s="5"/>
      <c r="WT121" s="5"/>
      <c r="WU121" s="5"/>
      <c r="WV121" s="5"/>
      <c r="WW121" s="5"/>
      <c r="WX121" s="5"/>
      <c r="WY121" s="5"/>
      <c r="WZ121" s="5"/>
      <c r="XA121" s="5"/>
      <c r="XB121" s="5"/>
      <c r="XC121" s="5"/>
      <c r="XD121" s="5"/>
      <c r="XE121" s="5"/>
      <c r="XF121" s="5"/>
      <c r="XG121" s="5"/>
      <c r="XH121" s="5"/>
      <c r="XI121" s="5"/>
      <c r="XJ121" s="5"/>
      <c r="XK121" s="5"/>
      <c r="XL121" s="5"/>
      <c r="XM121" s="5"/>
      <c r="XN121" s="5"/>
      <c r="XO121" s="5"/>
      <c r="XP121" s="5"/>
      <c r="XQ121" s="5"/>
      <c r="XR121" s="5"/>
      <c r="XS121" s="5"/>
      <c r="XT121" s="5"/>
      <c r="XU121" s="5"/>
      <c r="XV121" s="5"/>
      <c r="XW121" s="5"/>
      <c r="XX121" s="5"/>
      <c r="XY121" s="5"/>
      <c r="XZ121" s="5"/>
      <c r="YA121" s="5"/>
      <c r="YB121" s="5"/>
      <c r="YC121" s="5"/>
      <c r="YD121" s="5"/>
      <c r="YE121" s="5"/>
      <c r="YF121" s="5"/>
      <c r="YG121" s="5"/>
      <c r="YH121" s="5"/>
      <c r="YI121" s="5"/>
      <c r="YJ121" s="5"/>
      <c r="YK121" s="5"/>
      <c r="YL121" s="5"/>
      <c r="YM121" s="5"/>
      <c r="YN121" s="5"/>
      <c r="YO121" s="5"/>
      <c r="YP121" s="5"/>
      <c r="YQ121" s="5"/>
      <c r="YR121" s="5"/>
      <c r="YS121" s="5"/>
      <c r="YT121" s="5"/>
      <c r="YU121" s="5"/>
      <c r="YV121" s="5"/>
      <c r="YW121" s="5"/>
      <c r="YX121" s="5"/>
      <c r="YY121" s="5"/>
      <c r="YZ121" s="5"/>
    </row>
    <row r="122" spans="1:676">
      <c r="A122" s="7">
        <v>112</v>
      </c>
      <c r="B122" s="7" t="s">
        <v>298</v>
      </c>
      <c r="C122" s="10" t="s">
        <v>299</v>
      </c>
      <c r="D122" s="7" t="s">
        <v>171</v>
      </c>
      <c r="E122" s="7" t="s">
        <v>178</v>
      </c>
      <c r="F122" s="7" t="s">
        <v>162</v>
      </c>
      <c r="G122" s="7"/>
      <c r="H122" s="7" t="s">
        <v>43</v>
      </c>
      <c r="I122" s="11">
        <v>2</v>
      </c>
      <c r="J122" s="11">
        <v>3</v>
      </c>
      <c r="K122" s="11">
        <v>0</v>
      </c>
      <c r="L122" s="11">
        <v>1.48</v>
      </c>
      <c r="M122" s="11">
        <v>0.24</v>
      </c>
      <c r="N122" s="11">
        <v>0</v>
      </c>
      <c r="O122" s="11">
        <v>0.36</v>
      </c>
      <c r="P122" s="11">
        <v>0</v>
      </c>
      <c r="Q122" s="11">
        <v>2.08</v>
      </c>
      <c r="R122" s="11">
        <v>0</v>
      </c>
      <c r="S122" s="11">
        <v>2.08</v>
      </c>
      <c r="T122" s="11">
        <v>2</v>
      </c>
      <c r="U122" s="11">
        <v>0.07999999999999963</v>
      </c>
      <c r="V122" s="11">
        <v>0</v>
      </c>
      <c r="W122" s="13">
        <v>2</v>
      </c>
      <c r="X122" s="13">
        <v>3</v>
      </c>
      <c r="Y122" s="13" t="str">
        <f>MIN(W122,S122)</f>
        <v>0</v>
      </c>
      <c r="Z122" s="13" t="str">
        <f>MIN(X122,(S122-Y122))</f>
        <v>0</v>
      </c>
      <c r="AA122" s="13" t="str">
        <f>S122-SUM(Y122,Z122)</f>
        <v>0</v>
      </c>
      <c r="AB122" s="15"/>
      <c r="AC122" s="15"/>
      <c r="AD122" s="1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/>
      <c r="DA122" s="5"/>
      <c r="DB122" s="5"/>
      <c r="DC122" s="5"/>
      <c r="DD122" s="5"/>
      <c r="DE122" s="5"/>
      <c r="DF122" s="5"/>
      <c r="DG122" s="5"/>
      <c r="DH122" s="5"/>
      <c r="DI122" s="5"/>
      <c r="DJ122" s="5"/>
      <c r="DK122" s="5"/>
      <c r="DL122" s="5"/>
      <c r="DM122" s="5"/>
      <c r="DN122" s="5"/>
      <c r="DO122" s="5"/>
      <c r="DP122" s="5"/>
      <c r="DQ122" s="5"/>
      <c r="DR122" s="5"/>
      <c r="DS122" s="5"/>
      <c r="DT122" s="5"/>
      <c r="DU122" s="5"/>
      <c r="DV122" s="5"/>
      <c r="DW122" s="5"/>
      <c r="DX122" s="5"/>
      <c r="DY122" s="5"/>
      <c r="DZ122" s="5"/>
      <c r="EA122" s="5"/>
      <c r="EB122" s="5"/>
      <c r="EC122" s="5"/>
      <c r="ED122" s="5"/>
      <c r="EE122" s="5"/>
      <c r="EF122" s="5"/>
      <c r="EG122" s="5"/>
      <c r="EH122" s="5"/>
      <c r="EI122" s="5"/>
      <c r="EJ122" s="5"/>
      <c r="EK122" s="5"/>
      <c r="EL122" s="5"/>
      <c r="EM122" s="5"/>
      <c r="EN122" s="5"/>
      <c r="EO122" s="5"/>
      <c r="EP122" s="5"/>
      <c r="EQ122" s="5"/>
      <c r="ER122" s="5"/>
      <c r="ES122" s="5"/>
      <c r="ET122" s="5"/>
      <c r="EU122" s="5"/>
      <c r="EV122" s="5"/>
      <c r="EW122" s="5"/>
      <c r="EX122" s="5"/>
      <c r="EY122" s="5"/>
      <c r="EZ122" s="5"/>
      <c r="FA122" s="5"/>
      <c r="FB122" s="5"/>
      <c r="FC122" s="5"/>
      <c r="FD122" s="5"/>
      <c r="FE122" s="5"/>
      <c r="FF122" s="5"/>
      <c r="FG122" s="5"/>
      <c r="FH122" s="5"/>
      <c r="FI122" s="5"/>
      <c r="FJ122" s="5"/>
      <c r="FK122" s="5"/>
      <c r="FL122" s="5"/>
      <c r="FM122" s="5"/>
      <c r="FN122" s="5"/>
      <c r="FO122" s="5"/>
      <c r="FP122" s="5"/>
      <c r="FQ122" s="5"/>
      <c r="FR122" s="5"/>
      <c r="FS122" s="5"/>
      <c r="FT122" s="5"/>
      <c r="FU122" s="5"/>
      <c r="FV122" s="5"/>
      <c r="FW122" s="5"/>
      <c r="FX122" s="5"/>
      <c r="FY122" s="5"/>
      <c r="FZ122" s="5"/>
      <c r="GA122" s="5"/>
      <c r="GB122" s="5"/>
      <c r="GC122" s="5"/>
      <c r="GD122" s="5"/>
      <c r="GE122" s="5"/>
      <c r="GF122" s="5"/>
      <c r="GG122" s="5"/>
      <c r="GH122" s="5"/>
      <c r="GI122" s="5"/>
      <c r="GJ122" s="5"/>
      <c r="GK122" s="5"/>
      <c r="GL122" s="5"/>
      <c r="GM122" s="5"/>
      <c r="GN122" s="5"/>
      <c r="GO122" s="5"/>
      <c r="GP122" s="5"/>
      <c r="GQ122" s="5"/>
      <c r="GR122" s="5"/>
      <c r="GS122" s="5"/>
      <c r="GT122" s="5"/>
      <c r="GU122" s="5"/>
      <c r="GV122" s="5"/>
      <c r="GW122" s="5"/>
      <c r="GX122" s="5"/>
      <c r="GY122" s="5"/>
      <c r="GZ122" s="5"/>
      <c r="HA122" s="5"/>
      <c r="HB122" s="5"/>
      <c r="HC122" s="5"/>
      <c r="HD122" s="5"/>
      <c r="HE122" s="5"/>
      <c r="HF122" s="5"/>
      <c r="HG122" s="5"/>
      <c r="HH122" s="5"/>
      <c r="HI122" s="5"/>
      <c r="HJ122" s="5"/>
      <c r="HK122" s="5"/>
      <c r="HL122" s="5"/>
      <c r="HM122" s="5"/>
      <c r="HN122" s="5"/>
      <c r="HO122" s="5"/>
      <c r="HP122" s="5"/>
      <c r="HQ122" s="5"/>
      <c r="HR122" s="5"/>
      <c r="HS122" s="5"/>
      <c r="HT122" s="5"/>
      <c r="HU122" s="5"/>
      <c r="HV122" s="5"/>
      <c r="HW122" s="5"/>
      <c r="HX122" s="5"/>
      <c r="HY122" s="5"/>
      <c r="HZ122" s="5"/>
      <c r="IA122" s="5"/>
      <c r="IB122" s="5"/>
      <c r="IC122" s="5"/>
      <c r="ID122" s="5"/>
      <c r="IE122" s="5"/>
      <c r="IF122" s="5"/>
      <c r="IG122" s="5"/>
      <c r="IH122" s="5"/>
      <c r="II122" s="5"/>
      <c r="IJ122" s="5"/>
      <c r="IK122" s="5"/>
      <c r="IL122" s="5"/>
      <c r="IM122" s="5"/>
      <c r="IN122" s="5"/>
      <c r="IO122" s="5"/>
      <c r="IP122" s="5"/>
      <c r="IQ122" s="5"/>
      <c r="IR122" s="5"/>
      <c r="IS122" s="5"/>
      <c r="IT122" s="5"/>
      <c r="IU122" s="5"/>
      <c r="IV122" s="5"/>
      <c r="IW122" s="5"/>
      <c r="IX122" s="5"/>
      <c r="IY122" s="5"/>
      <c r="IZ122" s="5"/>
      <c r="JA122" s="5"/>
      <c r="JB122" s="5"/>
      <c r="JC122" s="5"/>
      <c r="JD122" s="5"/>
      <c r="JE122" s="5"/>
      <c r="JF122" s="5"/>
      <c r="JG122" s="5"/>
      <c r="JH122" s="5"/>
      <c r="JI122" s="5"/>
      <c r="JJ122" s="5"/>
      <c r="JK122" s="5"/>
      <c r="JL122" s="5"/>
      <c r="JM122" s="5"/>
      <c r="JN122" s="5"/>
      <c r="JO122" s="5"/>
      <c r="JP122" s="5"/>
      <c r="JQ122" s="5"/>
      <c r="JR122" s="5"/>
      <c r="JS122" s="5"/>
      <c r="JT122" s="5"/>
      <c r="JU122" s="5"/>
      <c r="JV122" s="5"/>
      <c r="JW122" s="5"/>
      <c r="JX122" s="5"/>
      <c r="JY122" s="5"/>
      <c r="JZ122" s="5"/>
      <c r="KA122" s="5"/>
      <c r="KB122" s="5"/>
      <c r="KC122" s="5"/>
      <c r="KD122" s="5"/>
      <c r="KE122" s="5"/>
      <c r="KF122" s="5"/>
      <c r="KG122" s="5"/>
      <c r="KH122" s="5"/>
      <c r="KI122" s="5"/>
      <c r="KJ122" s="5"/>
      <c r="KK122" s="5"/>
      <c r="KL122" s="5"/>
      <c r="KM122" s="5"/>
      <c r="KN122" s="5"/>
      <c r="KO122" s="5"/>
      <c r="KP122" s="5"/>
      <c r="KQ122" s="5"/>
      <c r="KR122" s="5"/>
      <c r="KS122" s="5"/>
      <c r="KT122" s="5"/>
      <c r="KU122" s="5"/>
      <c r="KV122" s="5"/>
      <c r="KW122" s="5"/>
      <c r="KX122" s="5"/>
      <c r="KY122" s="5"/>
      <c r="KZ122" s="5"/>
      <c r="LA122" s="5"/>
      <c r="LB122" s="5"/>
      <c r="LC122" s="5"/>
      <c r="LD122" s="5"/>
      <c r="LE122" s="5"/>
      <c r="LF122" s="5"/>
      <c r="LG122" s="5"/>
      <c r="LH122" s="5"/>
      <c r="LI122" s="5"/>
      <c r="LJ122" s="5"/>
      <c r="LK122" s="5"/>
      <c r="LL122" s="5"/>
      <c r="LM122" s="5"/>
      <c r="LN122" s="5"/>
      <c r="LO122" s="5"/>
      <c r="LP122" s="5"/>
      <c r="LQ122" s="5"/>
      <c r="LR122" s="5"/>
      <c r="LS122" s="5"/>
      <c r="LT122" s="5"/>
      <c r="LU122" s="5"/>
      <c r="LV122" s="5"/>
      <c r="LW122" s="5"/>
      <c r="LX122" s="5"/>
      <c r="LY122" s="5"/>
      <c r="LZ122" s="5"/>
      <c r="MA122" s="5"/>
      <c r="MB122" s="5"/>
      <c r="MC122" s="5"/>
      <c r="MD122" s="5"/>
      <c r="ME122" s="5"/>
      <c r="MF122" s="5"/>
      <c r="MG122" s="5"/>
      <c r="MH122" s="5"/>
      <c r="MI122" s="5"/>
      <c r="MJ122" s="5"/>
      <c r="MK122" s="5"/>
      <c r="ML122" s="5"/>
      <c r="MM122" s="5"/>
      <c r="MN122" s="5"/>
      <c r="MO122" s="5"/>
      <c r="MP122" s="5"/>
      <c r="MQ122" s="5"/>
      <c r="MR122" s="5"/>
      <c r="MS122" s="5"/>
      <c r="MT122" s="5"/>
      <c r="MU122" s="5"/>
      <c r="MV122" s="5"/>
      <c r="MW122" s="5"/>
      <c r="MX122" s="5"/>
      <c r="MY122" s="5"/>
      <c r="MZ122" s="5"/>
      <c r="NA122" s="5"/>
      <c r="NB122" s="5"/>
      <c r="NC122" s="5"/>
      <c r="ND122" s="5"/>
      <c r="NE122" s="5"/>
      <c r="NF122" s="5"/>
      <c r="NG122" s="5"/>
      <c r="NH122" s="5"/>
      <c r="NI122" s="5"/>
      <c r="NJ122" s="5"/>
      <c r="NK122" s="5"/>
      <c r="NL122" s="5"/>
      <c r="NM122" s="5"/>
      <c r="NN122" s="5"/>
      <c r="NO122" s="5"/>
      <c r="NP122" s="5"/>
      <c r="NQ122" s="5"/>
      <c r="NR122" s="5"/>
      <c r="NS122" s="5"/>
      <c r="NT122" s="5"/>
      <c r="NU122" s="5"/>
      <c r="NV122" s="5"/>
      <c r="NW122" s="5"/>
      <c r="NX122" s="5"/>
      <c r="NY122" s="5"/>
      <c r="NZ122" s="5"/>
      <c r="OA122" s="5"/>
      <c r="OB122" s="5"/>
      <c r="OC122" s="5"/>
      <c r="OD122" s="5"/>
      <c r="OE122" s="5"/>
      <c r="OF122" s="5"/>
      <c r="OG122" s="5"/>
      <c r="OH122" s="5"/>
      <c r="OI122" s="5"/>
      <c r="OJ122" s="5"/>
      <c r="OK122" s="5"/>
      <c r="OL122" s="5"/>
      <c r="OM122" s="5"/>
      <c r="ON122" s="5"/>
      <c r="OO122" s="5"/>
      <c r="OP122" s="5"/>
      <c r="OQ122" s="5"/>
      <c r="OR122" s="5"/>
      <c r="OS122" s="5"/>
      <c r="OT122" s="5"/>
      <c r="OU122" s="5"/>
      <c r="OV122" s="5"/>
      <c r="OW122" s="5"/>
      <c r="OX122" s="5"/>
      <c r="OY122" s="5"/>
      <c r="OZ122" s="5"/>
      <c r="PA122" s="5"/>
      <c r="PB122" s="5"/>
      <c r="PC122" s="5"/>
      <c r="PD122" s="5"/>
      <c r="PE122" s="5"/>
      <c r="PF122" s="5"/>
      <c r="PG122" s="5"/>
      <c r="PH122" s="5"/>
      <c r="PI122" s="5"/>
      <c r="PJ122" s="5"/>
      <c r="PK122" s="5"/>
      <c r="PL122" s="5"/>
      <c r="PM122" s="5"/>
      <c r="PN122" s="5"/>
      <c r="PO122" s="5"/>
      <c r="PP122" s="5"/>
      <c r="PQ122" s="5"/>
      <c r="PR122" s="5"/>
      <c r="PS122" s="5"/>
      <c r="PT122" s="5"/>
      <c r="PU122" s="5"/>
      <c r="PV122" s="5"/>
      <c r="PW122" s="5"/>
      <c r="PX122" s="5"/>
      <c r="PY122" s="5"/>
      <c r="PZ122" s="5"/>
      <c r="QA122" s="5"/>
      <c r="QB122" s="5"/>
      <c r="QC122" s="5"/>
      <c r="QD122" s="5"/>
      <c r="QE122" s="5"/>
      <c r="QF122" s="5"/>
      <c r="QG122" s="5"/>
      <c r="QH122" s="5"/>
      <c r="QI122" s="5"/>
      <c r="QJ122" s="5"/>
      <c r="QK122" s="5"/>
      <c r="QL122" s="5"/>
      <c r="QM122" s="5"/>
      <c r="QN122" s="5"/>
      <c r="QO122" s="5"/>
      <c r="QP122" s="5"/>
      <c r="QQ122" s="5"/>
      <c r="QR122" s="5"/>
      <c r="QS122" s="5"/>
      <c r="QT122" s="5"/>
      <c r="QU122" s="5"/>
      <c r="QV122" s="5"/>
      <c r="QW122" s="5"/>
      <c r="QX122" s="5"/>
      <c r="QY122" s="5"/>
      <c r="QZ122" s="5"/>
      <c r="RA122" s="5"/>
      <c r="RB122" s="5"/>
      <c r="RC122" s="5"/>
      <c r="RD122" s="5"/>
      <c r="RE122" s="5"/>
      <c r="RF122" s="5"/>
      <c r="RG122" s="5"/>
      <c r="RH122" s="5"/>
      <c r="RI122" s="5"/>
      <c r="RJ122" s="5"/>
      <c r="RK122" s="5"/>
      <c r="RL122" s="5"/>
      <c r="RM122" s="5"/>
      <c r="RN122" s="5"/>
      <c r="RO122" s="5"/>
      <c r="RP122" s="5"/>
      <c r="RQ122" s="5"/>
      <c r="RR122" s="5"/>
      <c r="RS122" s="5"/>
      <c r="RT122" s="5"/>
      <c r="RU122" s="5"/>
      <c r="RV122" s="5"/>
      <c r="RW122" s="5"/>
      <c r="RX122" s="5"/>
      <c r="RY122" s="5"/>
      <c r="RZ122" s="5"/>
      <c r="SA122" s="5"/>
      <c r="SB122" s="5"/>
      <c r="SC122" s="5"/>
      <c r="SD122" s="5"/>
      <c r="SE122" s="5"/>
      <c r="SF122" s="5"/>
      <c r="SG122" s="5"/>
      <c r="SH122" s="5"/>
      <c r="SI122" s="5"/>
      <c r="SJ122" s="5"/>
      <c r="SK122" s="5"/>
      <c r="SL122" s="5"/>
      <c r="SM122" s="5"/>
      <c r="SN122" s="5"/>
      <c r="SO122" s="5"/>
      <c r="SP122" s="5"/>
      <c r="SQ122" s="5"/>
      <c r="SR122" s="5"/>
      <c r="SS122" s="5"/>
      <c r="ST122" s="5"/>
      <c r="SU122" s="5"/>
      <c r="SV122" s="5"/>
      <c r="SW122" s="5"/>
      <c r="SX122" s="5"/>
      <c r="SY122" s="5"/>
      <c r="SZ122" s="5"/>
      <c r="TA122" s="5"/>
      <c r="TB122" s="5"/>
      <c r="TC122" s="5"/>
      <c r="TD122" s="5"/>
      <c r="TE122" s="5"/>
      <c r="TF122" s="5"/>
      <c r="TG122" s="5"/>
      <c r="TH122" s="5"/>
      <c r="TI122" s="5"/>
      <c r="TJ122" s="5"/>
      <c r="TK122" s="5"/>
      <c r="TL122" s="5"/>
      <c r="TM122" s="5"/>
      <c r="TN122" s="5"/>
      <c r="TO122" s="5"/>
      <c r="TP122" s="5"/>
      <c r="TQ122" s="5"/>
      <c r="TR122" s="5"/>
      <c r="TS122" s="5"/>
      <c r="TT122" s="5"/>
      <c r="TU122" s="5"/>
      <c r="TV122" s="5"/>
      <c r="TW122" s="5"/>
      <c r="TX122" s="5"/>
      <c r="TY122" s="5"/>
      <c r="TZ122" s="5"/>
      <c r="UA122" s="5"/>
      <c r="UB122" s="5"/>
      <c r="UC122" s="5"/>
      <c r="UD122" s="5"/>
      <c r="UE122" s="5"/>
      <c r="UF122" s="5"/>
      <c r="UG122" s="5"/>
      <c r="UH122" s="5"/>
      <c r="UI122" s="5"/>
      <c r="UJ122" s="5"/>
      <c r="UK122" s="5"/>
      <c r="UL122" s="5"/>
      <c r="UM122" s="5"/>
      <c r="UN122" s="5"/>
      <c r="UO122" s="5"/>
      <c r="UP122" s="5"/>
      <c r="UQ122" s="5"/>
      <c r="UR122" s="5"/>
      <c r="US122" s="5"/>
      <c r="UT122" s="5"/>
      <c r="UU122" s="5"/>
      <c r="UV122" s="5"/>
      <c r="UW122" s="5"/>
      <c r="UX122" s="5"/>
      <c r="UY122" s="5"/>
      <c r="UZ122" s="5"/>
      <c r="VA122" s="5"/>
      <c r="VB122" s="5"/>
      <c r="VC122" s="5"/>
      <c r="VD122" s="5"/>
      <c r="VE122" s="5"/>
      <c r="VF122" s="5"/>
      <c r="VG122" s="5"/>
      <c r="VH122" s="5"/>
      <c r="VI122" s="5"/>
      <c r="VJ122" s="5"/>
      <c r="VK122" s="5"/>
      <c r="VL122" s="5"/>
      <c r="VM122" s="5"/>
      <c r="VN122" s="5"/>
      <c r="VO122" s="5"/>
      <c r="VP122" s="5"/>
      <c r="VQ122" s="5"/>
      <c r="VR122" s="5"/>
      <c r="VS122" s="5"/>
      <c r="VT122" s="5"/>
      <c r="VU122" s="5"/>
      <c r="VV122" s="5"/>
      <c r="VW122" s="5"/>
      <c r="VX122" s="5"/>
      <c r="VY122" s="5"/>
      <c r="VZ122" s="5"/>
      <c r="WA122" s="5"/>
      <c r="WB122" s="5"/>
      <c r="WC122" s="5"/>
      <c r="WD122" s="5"/>
      <c r="WE122" s="5"/>
      <c r="WF122" s="5"/>
      <c r="WG122" s="5"/>
      <c r="WH122" s="5"/>
      <c r="WI122" s="5"/>
      <c r="WJ122" s="5"/>
      <c r="WK122" s="5"/>
      <c r="WL122" s="5"/>
      <c r="WM122" s="5"/>
      <c r="WN122" s="5"/>
      <c r="WO122" s="5"/>
      <c r="WP122" s="5"/>
      <c r="WQ122" s="5"/>
      <c r="WR122" s="5"/>
      <c r="WS122" s="5"/>
      <c r="WT122" s="5"/>
      <c r="WU122" s="5"/>
      <c r="WV122" s="5"/>
      <c r="WW122" s="5"/>
      <c r="WX122" s="5"/>
      <c r="WY122" s="5"/>
      <c r="WZ122" s="5"/>
      <c r="XA122" s="5"/>
      <c r="XB122" s="5"/>
      <c r="XC122" s="5"/>
      <c r="XD122" s="5"/>
      <c r="XE122" s="5"/>
      <c r="XF122" s="5"/>
      <c r="XG122" s="5"/>
      <c r="XH122" s="5"/>
      <c r="XI122" s="5"/>
      <c r="XJ122" s="5"/>
      <c r="XK122" s="5"/>
      <c r="XL122" s="5"/>
      <c r="XM122" s="5"/>
      <c r="XN122" s="5"/>
      <c r="XO122" s="5"/>
      <c r="XP122" s="5"/>
      <c r="XQ122" s="5"/>
      <c r="XR122" s="5"/>
      <c r="XS122" s="5"/>
      <c r="XT122" s="5"/>
      <c r="XU122" s="5"/>
      <c r="XV122" s="5"/>
      <c r="XW122" s="5"/>
      <c r="XX122" s="5"/>
      <c r="XY122" s="5"/>
      <c r="XZ122" s="5"/>
      <c r="YA122" s="5"/>
      <c r="YB122" s="5"/>
      <c r="YC122" s="5"/>
      <c r="YD122" s="5"/>
      <c r="YE122" s="5"/>
      <c r="YF122" s="5"/>
      <c r="YG122" s="5"/>
      <c r="YH122" s="5"/>
      <c r="YI122" s="5"/>
      <c r="YJ122" s="5"/>
      <c r="YK122" s="5"/>
      <c r="YL122" s="5"/>
      <c r="YM122" s="5"/>
      <c r="YN122" s="5"/>
      <c r="YO122" s="5"/>
      <c r="YP122" s="5"/>
      <c r="YQ122" s="5"/>
      <c r="YR122" s="5"/>
      <c r="YS122" s="5"/>
      <c r="YT122" s="5"/>
      <c r="YU122" s="5"/>
      <c r="YV122" s="5"/>
      <c r="YW122" s="5"/>
      <c r="YX122" s="5"/>
      <c r="YY122" s="5"/>
      <c r="YZ122" s="5"/>
    </row>
    <row r="123" spans="1:676">
      <c r="A123" s="7">
        <v>113</v>
      </c>
      <c r="B123" s="7" t="s">
        <v>300</v>
      </c>
      <c r="C123" s="10" t="s">
        <v>301</v>
      </c>
      <c r="D123" s="7" t="s">
        <v>60</v>
      </c>
      <c r="E123" s="7" t="s">
        <v>120</v>
      </c>
      <c r="F123" s="7" t="s">
        <v>162</v>
      </c>
      <c r="G123" s="7"/>
      <c r="H123" s="7" t="s">
        <v>43</v>
      </c>
      <c r="I123" s="11">
        <v>2</v>
      </c>
      <c r="J123" s="11">
        <v>3</v>
      </c>
      <c r="K123" s="11">
        <v>0</v>
      </c>
      <c r="L123" s="11">
        <v>1.6</v>
      </c>
      <c r="M123" s="11">
        <v>0.08</v>
      </c>
      <c r="N123" s="11">
        <v>0</v>
      </c>
      <c r="O123" s="11">
        <v>0.72</v>
      </c>
      <c r="P123" s="11">
        <v>0</v>
      </c>
      <c r="Q123" s="11">
        <v>2.4</v>
      </c>
      <c r="R123" s="11">
        <v>0</v>
      </c>
      <c r="S123" s="11">
        <v>2.4</v>
      </c>
      <c r="T123" s="11">
        <v>2</v>
      </c>
      <c r="U123" s="11">
        <v>0.4000000000000004</v>
      </c>
      <c r="V123" s="11">
        <v>0</v>
      </c>
      <c r="W123" s="13">
        <v>2</v>
      </c>
      <c r="X123" s="13">
        <v>3</v>
      </c>
      <c r="Y123" s="13" t="str">
        <f>MIN(W123,S123)</f>
        <v>0</v>
      </c>
      <c r="Z123" s="13" t="str">
        <f>MIN(X123,(S123-Y123))</f>
        <v>0</v>
      </c>
      <c r="AA123" s="13" t="str">
        <f>S123-SUM(Y123,Z123)</f>
        <v>0</v>
      </c>
      <c r="AB123" s="15"/>
      <c r="AC123" s="15"/>
      <c r="AD123" s="1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  <c r="CS123" s="5"/>
      <c r="CT123" s="5"/>
      <c r="CU123" s="5"/>
      <c r="CV123" s="5"/>
      <c r="CW123" s="5"/>
      <c r="CX123" s="5"/>
      <c r="CY123" s="5"/>
      <c r="CZ123" s="5"/>
      <c r="DA123" s="5"/>
      <c r="DB123" s="5"/>
      <c r="DC123" s="5"/>
      <c r="DD123" s="5"/>
      <c r="DE123" s="5"/>
      <c r="DF123" s="5"/>
      <c r="DG123" s="5"/>
      <c r="DH123" s="5"/>
      <c r="DI123" s="5"/>
      <c r="DJ123" s="5"/>
      <c r="DK123" s="5"/>
      <c r="DL123" s="5"/>
      <c r="DM123" s="5"/>
      <c r="DN123" s="5"/>
      <c r="DO123" s="5"/>
      <c r="DP123" s="5"/>
      <c r="DQ123" s="5"/>
      <c r="DR123" s="5"/>
      <c r="DS123" s="5"/>
      <c r="DT123" s="5"/>
      <c r="DU123" s="5"/>
      <c r="DV123" s="5"/>
      <c r="DW123" s="5"/>
      <c r="DX123" s="5"/>
      <c r="DY123" s="5"/>
      <c r="DZ123" s="5"/>
      <c r="EA123" s="5"/>
      <c r="EB123" s="5"/>
      <c r="EC123" s="5"/>
      <c r="ED123" s="5"/>
      <c r="EE123" s="5"/>
      <c r="EF123" s="5"/>
      <c r="EG123" s="5"/>
      <c r="EH123" s="5"/>
      <c r="EI123" s="5"/>
      <c r="EJ123" s="5"/>
      <c r="EK123" s="5"/>
      <c r="EL123" s="5"/>
      <c r="EM123" s="5"/>
      <c r="EN123" s="5"/>
      <c r="EO123" s="5"/>
      <c r="EP123" s="5"/>
      <c r="EQ123" s="5"/>
      <c r="ER123" s="5"/>
      <c r="ES123" s="5"/>
      <c r="ET123" s="5"/>
      <c r="EU123" s="5"/>
      <c r="EV123" s="5"/>
      <c r="EW123" s="5"/>
      <c r="EX123" s="5"/>
      <c r="EY123" s="5"/>
      <c r="EZ123" s="5"/>
      <c r="FA123" s="5"/>
      <c r="FB123" s="5"/>
      <c r="FC123" s="5"/>
      <c r="FD123" s="5"/>
      <c r="FE123" s="5"/>
      <c r="FF123" s="5"/>
      <c r="FG123" s="5"/>
      <c r="FH123" s="5"/>
      <c r="FI123" s="5"/>
      <c r="FJ123" s="5"/>
      <c r="FK123" s="5"/>
      <c r="FL123" s="5"/>
      <c r="FM123" s="5"/>
      <c r="FN123" s="5"/>
      <c r="FO123" s="5"/>
      <c r="FP123" s="5"/>
      <c r="FQ123" s="5"/>
      <c r="FR123" s="5"/>
      <c r="FS123" s="5"/>
      <c r="FT123" s="5"/>
      <c r="FU123" s="5"/>
      <c r="FV123" s="5"/>
      <c r="FW123" s="5"/>
      <c r="FX123" s="5"/>
      <c r="FY123" s="5"/>
      <c r="FZ123" s="5"/>
      <c r="GA123" s="5"/>
      <c r="GB123" s="5"/>
      <c r="GC123" s="5"/>
      <c r="GD123" s="5"/>
      <c r="GE123" s="5"/>
      <c r="GF123" s="5"/>
      <c r="GG123" s="5"/>
      <c r="GH123" s="5"/>
      <c r="GI123" s="5"/>
      <c r="GJ123" s="5"/>
      <c r="GK123" s="5"/>
      <c r="GL123" s="5"/>
      <c r="GM123" s="5"/>
      <c r="GN123" s="5"/>
      <c r="GO123" s="5"/>
      <c r="GP123" s="5"/>
      <c r="GQ123" s="5"/>
      <c r="GR123" s="5"/>
      <c r="GS123" s="5"/>
      <c r="GT123" s="5"/>
      <c r="GU123" s="5"/>
      <c r="GV123" s="5"/>
      <c r="GW123" s="5"/>
      <c r="GX123" s="5"/>
      <c r="GY123" s="5"/>
      <c r="GZ123" s="5"/>
      <c r="HA123" s="5"/>
      <c r="HB123" s="5"/>
      <c r="HC123" s="5"/>
      <c r="HD123" s="5"/>
      <c r="HE123" s="5"/>
      <c r="HF123" s="5"/>
      <c r="HG123" s="5"/>
      <c r="HH123" s="5"/>
      <c r="HI123" s="5"/>
      <c r="HJ123" s="5"/>
      <c r="HK123" s="5"/>
      <c r="HL123" s="5"/>
      <c r="HM123" s="5"/>
      <c r="HN123" s="5"/>
      <c r="HO123" s="5"/>
      <c r="HP123" s="5"/>
      <c r="HQ123" s="5"/>
      <c r="HR123" s="5"/>
      <c r="HS123" s="5"/>
      <c r="HT123" s="5"/>
      <c r="HU123" s="5"/>
      <c r="HV123" s="5"/>
      <c r="HW123" s="5"/>
      <c r="HX123" s="5"/>
      <c r="HY123" s="5"/>
      <c r="HZ123" s="5"/>
      <c r="IA123" s="5"/>
      <c r="IB123" s="5"/>
      <c r="IC123" s="5"/>
      <c r="ID123" s="5"/>
      <c r="IE123" s="5"/>
      <c r="IF123" s="5"/>
      <c r="IG123" s="5"/>
      <c r="IH123" s="5"/>
      <c r="II123" s="5"/>
      <c r="IJ123" s="5"/>
      <c r="IK123" s="5"/>
      <c r="IL123" s="5"/>
      <c r="IM123" s="5"/>
      <c r="IN123" s="5"/>
      <c r="IO123" s="5"/>
      <c r="IP123" s="5"/>
      <c r="IQ123" s="5"/>
      <c r="IR123" s="5"/>
      <c r="IS123" s="5"/>
      <c r="IT123" s="5"/>
      <c r="IU123" s="5"/>
      <c r="IV123" s="5"/>
      <c r="IW123" s="5"/>
      <c r="IX123" s="5"/>
      <c r="IY123" s="5"/>
      <c r="IZ123" s="5"/>
      <c r="JA123" s="5"/>
      <c r="JB123" s="5"/>
      <c r="JC123" s="5"/>
      <c r="JD123" s="5"/>
      <c r="JE123" s="5"/>
      <c r="JF123" s="5"/>
      <c r="JG123" s="5"/>
      <c r="JH123" s="5"/>
      <c r="JI123" s="5"/>
      <c r="JJ123" s="5"/>
      <c r="JK123" s="5"/>
      <c r="JL123" s="5"/>
      <c r="JM123" s="5"/>
      <c r="JN123" s="5"/>
      <c r="JO123" s="5"/>
      <c r="JP123" s="5"/>
      <c r="JQ123" s="5"/>
      <c r="JR123" s="5"/>
      <c r="JS123" s="5"/>
      <c r="JT123" s="5"/>
      <c r="JU123" s="5"/>
      <c r="JV123" s="5"/>
      <c r="JW123" s="5"/>
      <c r="JX123" s="5"/>
      <c r="JY123" s="5"/>
      <c r="JZ123" s="5"/>
      <c r="KA123" s="5"/>
      <c r="KB123" s="5"/>
      <c r="KC123" s="5"/>
      <c r="KD123" s="5"/>
      <c r="KE123" s="5"/>
      <c r="KF123" s="5"/>
      <c r="KG123" s="5"/>
      <c r="KH123" s="5"/>
      <c r="KI123" s="5"/>
      <c r="KJ123" s="5"/>
      <c r="KK123" s="5"/>
      <c r="KL123" s="5"/>
      <c r="KM123" s="5"/>
      <c r="KN123" s="5"/>
      <c r="KO123" s="5"/>
      <c r="KP123" s="5"/>
      <c r="KQ123" s="5"/>
      <c r="KR123" s="5"/>
      <c r="KS123" s="5"/>
      <c r="KT123" s="5"/>
      <c r="KU123" s="5"/>
      <c r="KV123" s="5"/>
      <c r="KW123" s="5"/>
      <c r="KX123" s="5"/>
      <c r="KY123" s="5"/>
      <c r="KZ123" s="5"/>
      <c r="LA123" s="5"/>
      <c r="LB123" s="5"/>
      <c r="LC123" s="5"/>
      <c r="LD123" s="5"/>
      <c r="LE123" s="5"/>
      <c r="LF123" s="5"/>
      <c r="LG123" s="5"/>
      <c r="LH123" s="5"/>
      <c r="LI123" s="5"/>
      <c r="LJ123" s="5"/>
      <c r="LK123" s="5"/>
      <c r="LL123" s="5"/>
      <c r="LM123" s="5"/>
      <c r="LN123" s="5"/>
      <c r="LO123" s="5"/>
      <c r="LP123" s="5"/>
      <c r="LQ123" s="5"/>
      <c r="LR123" s="5"/>
      <c r="LS123" s="5"/>
      <c r="LT123" s="5"/>
      <c r="LU123" s="5"/>
      <c r="LV123" s="5"/>
      <c r="LW123" s="5"/>
      <c r="LX123" s="5"/>
      <c r="LY123" s="5"/>
      <c r="LZ123" s="5"/>
      <c r="MA123" s="5"/>
      <c r="MB123" s="5"/>
      <c r="MC123" s="5"/>
      <c r="MD123" s="5"/>
      <c r="ME123" s="5"/>
      <c r="MF123" s="5"/>
      <c r="MG123" s="5"/>
      <c r="MH123" s="5"/>
      <c r="MI123" s="5"/>
      <c r="MJ123" s="5"/>
      <c r="MK123" s="5"/>
      <c r="ML123" s="5"/>
      <c r="MM123" s="5"/>
      <c r="MN123" s="5"/>
      <c r="MO123" s="5"/>
      <c r="MP123" s="5"/>
      <c r="MQ123" s="5"/>
      <c r="MR123" s="5"/>
      <c r="MS123" s="5"/>
      <c r="MT123" s="5"/>
      <c r="MU123" s="5"/>
      <c r="MV123" s="5"/>
      <c r="MW123" s="5"/>
      <c r="MX123" s="5"/>
      <c r="MY123" s="5"/>
      <c r="MZ123" s="5"/>
      <c r="NA123" s="5"/>
      <c r="NB123" s="5"/>
      <c r="NC123" s="5"/>
      <c r="ND123" s="5"/>
      <c r="NE123" s="5"/>
      <c r="NF123" s="5"/>
      <c r="NG123" s="5"/>
      <c r="NH123" s="5"/>
      <c r="NI123" s="5"/>
      <c r="NJ123" s="5"/>
      <c r="NK123" s="5"/>
      <c r="NL123" s="5"/>
      <c r="NM123" s="5"/>
      <c r="NN123" s="5"/>
      <c r="NO123" s="5"/>
      <c r="NP123" s="5"/>
      <c r="NQ123" s="5"/>
      <c r="NR123" s="5"/>
      <c r="NS123" s="5"/>
      <c r="NT123" s="5"/>
      <c r="NU123" s="5"/>
      <c r="NV123" s="5"/>
      <c r="NW123" s="5"/>
      <c r="NX123" s="5"/>
      <c r="NY123" s="5"/>
      <c r="NZ123" s="5"/>
      <c r="OA123" s="5"/>
      <c r="OB123" s="5"/>
      <c r="OC123" s="5"/>
      <c r="OD123" s="5"/>
      <c r="OE123" s="5"/>
      <c r="OF123" s="5"/>
      <c r="OG123" s="5"/>
      <c r="OH123" s="5"/>
      <c r="OI123" s="5"/>
      <c r="OJ123" s="5"/>
      <c r="OK123" s="5"/>
      <c r="OL123" s="5"/>
      <c r="OM123" s="5"/>
      <c r="ON123" s="5"/>
      <c r="OO123" s="5"/>
      <c r="OP123" s="5"/>
      <c r="OQ123" s="5"/>
      <c r="OR123" s="5"/>
      <c r="OS123" s="5"/>
      <c r="OT123" s="5"/>
      <c r="OU123" s="5"/>
      <c r="OV123" s="5"/>
      <c r="OW123" s="5"/>
      <c r="OX123" s="5"/>
      <c r="OY123" s="5"/>
      <c r="OZ123" s="5"/>
      <c r="PA123" s="5"/>
      <c r="PB123" s="5"/>
      <c r="PC123" s="5"/>
      <c r="PD123" s="5"/>
      <c r="PE123" s="5"/>
      <c r="PF123" s="5"/>
      <c r="PG123" s="5"/>
      <c r="PH123" s="5"/>
      <c r="PI123" s="5"/>
      <c r="PJ123" s="5"/>
      <c r="PK123" s="5"/>
      <c r="PL123" s="5"/>
      <c r="PM123" s="5"/>
      <c r="PN123" s="5"/>
      <c r="PO123" s="5"/>
      <c r="PP123" s="5"/>
      <c r="PQ123" s="5"/>
      <c r="PR123" s="5"/>
      <c r="PS123" s="5"/>
      <c r="PT123" s="5"/>
      <c r="PU123" s="5"/>
      <c r="PV123" s="5"/>
      <c r="PW123" s="5"/>
      <c r="PX123" s="5"/>
      <c r="PY123" s="5"/>
      <c r="PZ123" s="5"/>
      <c r="QA123" s="5"/>
      <c r="QB123" s="5"/>
      <c r="QC123" s="5"/>
      <c r="QD123" s="5"/>
      <c r="QE123" s="5"/>
      <c r="QF123" s="5"/>
      <c r="QG123" s="5"/>
      <c r="QH123" s="5"/>
      <c r="QI123" s="5"/>
      <c r="QJ123" s="5"/>
      <c r="QK123" s="5"/>
      <c r="QL123" s="5"/>
      <c r="QM123" s="5"/>
      <c r="QN123" s="5"/>
      <c r="QO123" s="5"/>
      <c r="QP123" s="5"/>
      <c r="QQ123" s="5"/>
      <c r="QR123" s="5"/>
      <c r="QS123" s="5"/>
      <c r="QT123" s="5"/>
      <c r="QU123" s="5"/>
      <c r="QV123" s="5"/>
      <c r="QW123" s="5"/>
      <c r="QX123" s="5"/>
      <c r="QY123" s="5"/>
      <c r="QZ123" s="5"/>
      <c r="RA123" s="5"/>
      <c r="RB123" s="5"/>
      <c r="RC123" s="5"/>
      <c r="RD123" s="5"/>
      <c r="RE123" s="5"/>
      <c r="RF123" s="5"/>
      <c r="RG123" s="5"/>
      <c r="RH123" s="5"/>
      <c r="RI123" s="5"/>
      <c r="RJ123" s="5"/>
      <c r="RK123" s="5"/>
      <c r="RL123" s="5"/>
      <c r="RM123" s="5"/>
      <c r="RN123" s="5"/>
      <c r="RO123" s="5"/>
      <c r="RP123" s="5"/>
      <c r="RQ123" s="5"/>
      <c r="RR123" s="5"/>
      <c r="RS123" s="5"/>
      <c r="RT123" s="5"/>
      <c r="RU123" s="5"/>
      <c r="RV123" s="5"/>
      <c r="RW123" s="5"/>
      <c r="RX123" s="5"/>
      <c r="RY123" s="5"/>
      <c r="RZ123" s="5"/>
      <c r="SA123" s="5"/>
      <c r="SB123" s="5"/>
      <c r="SC123" s="5"/>
      <c r="SD123" s="5"/>
      <c r="SE123" s="5"/>
      <c r="SF123" s="5"/>
      <c r="SG123" s="5"/>
      <c r="SH123" s="5"/>
      <c r="SI123" s="5"/>
      <c r="SJ123" s="5"/>
      <c r="SK123" s="5"/>
      <c r="SL123" s="5"/>
      <c r="SM123" s="5"/>
      <c r="SN123" s="5"/>
      <c r="SO123" s="5"/>
      <c r="SP123" s="5"/>
      <c r="SQ123" s="5"/>
      <c r="SR123" s="5"/>
      <c r="SS123" s="5"/>
      <c r="ST123" s="5"/>
      <c r="SU123" s="5"/>
      <c r="SV123" s="5"/>
      <c r="SW123" s="5"/>
      <c r="SX123" s="5"/>
      <c r="SY123" s="5"/>
      <c r="SZ123" s="5"/>
      <c r="TA123" s="5"/>
      <c r="TB123" s="5"/>
      <c r="TC123" s="5"/>
      <c r="TD123" s="5"/>
      <c r="TE123" s="5"/>
      <c r="TF123" s="5"/>
      <c r="TG123" s="5"/>
      <c r="TH123" s="5"/>
      <c r="TI123" s="5"/>
      <c r="TJ123" s="5"/>
      <c r="TK123" s="5"/>
      <c r="TL123" s="5"/>
      <c r="TM123" s="5"/>
      <c r="TN123" s="5"/>
      <c r="TO123" s="5"/>
      <c r="TP123" s="5"/>
      <c r="TQ123" s="5"/>
      <c r="TR123" s="5"/>
      <c r="TS123" s="5"/>
      <c r="TT123" s="5"/>
      <c r="TU123" s="5"/>
      <c r="TV123" s="5"/>
      <c r="TW123" s="5"/>
      <c r="TX123" s="5"/>
      <c r="TY123" s="5"/>
      <c r="TZ123" s="5"/>
      <c r="UA123" s="5"/>
      <c r="UB123" s="5"/>
      <c r="UC123" s="5"/>
      <c r="UD123" s="5"/>
      <c r="UE123" s="5"/>
      <c r="UF123" s="5"/>
      <c r="UG123" s="5"/>
      <c r="UH123" s="5"/>
      <c r="UI123" s="5"/>
      <c r="UJ123" s="5"/>
      <c r="UK123" s="5"/>
      <c r="UL123" s="5"/>
      <c r="UM123" s="5"/>
      <c r="UN123" s="5"/>
      <c r="UO123" s="5"/>
      <c r="UP123" s="5"/>
      <c r="UQ123" s="5"/>
      <c r="UR123" s="5"/>
      <c r="US123" s="5"/>
      <c r="UT123" s="5"/>
      <c r="UU123" s="5"/>
      <c r="UV123" s="5"/>
      <c r="UW123" s="5"/>
      <c r="UX123" s="5"/>
      <c r="UY123" s="5"/>
      <c r="UZ123" s="5"/>
      <c r="VA123" s="5"/>
      <c r="VB123" s="5"/>
      <c r="VC123" s="5"/>
      <c r="VD123" s="5"/>
      <c r="VE123" s="5"/>
      <c r="VF123" s="5"/>
      <c r="VG123" s="5"/>
      <c r="VH123" s="5"/>
      <c r="VI123" s="5"/>
      <c r="VJ123" s="5"/>
      <c r="VK123" s="5"/>
      <c r="VL123" s="5"/>
      <c r="VM123" s="5"/>
      <c r="VN123" s="5"/>
      <c r="VO123" s="5"/>
      <c r="VP123" s="5"/>
      <c r="VQ123" s="5"/>
      <c r="VR123" s="5"/>
      <c r="VS123" s="5"/>
      <c r="VT123" s="5"/>
      <c r="VU123" s="5"/>
      <c r="VV123" s="5"/>
      <c r="VW123" s="5"/>
      <c r="VX123" s="5"/>
      <c r="VY123" s="5"/>
      <c r="VZ123" s="5"/>
      <c r="WA123" s="5"/>
      <c r="WB123" s="5"/>
      <c r="WC123" s="5"/>
      <c r="WD123" s="5"/>
      <c r="WE123" s="5"/>
      <c r="WF123" s="5"/>
      <c r="WG123" s="5"/>
      <c r="WH123" s="5"/>
      <c r="WI123" s="5"/>
      <c r="WJ123" s="5"/>
      <c r="WK123" s="5"/>
      <c r="WL123" s="5"/>
      <c r="WM123" s="5"/>
      <c r="WN123" s="5"/>
      <c r="WO123" s="5"/>
      <c r="WP123" s="5"/>
      <c r="WQ123" s="5"/>
      <c r="WR123" s="5"/>
      <c r="WS123" s="5"/>
      <c r="WT123" s="5"/>
      <c r="WU123" s="5"/>
      <c r="WV123" s="5"/>
      <c r="WW123" s="5"/>
      <c r="WX123" s="5"/>
      <c r="WY123" s="5"/>
      <c r="WZ123" s="5"/>
      <c r="XA123" s="5"/>
      <c r="XB123" s="5"/>
      <c r="XC123" s="5"/>
      <c r="XD123" s="5"/>
      <c r="XE123" s="5"/>
      <c r="XF123" s="5"/>
      <c r="XG123" s="5"/>
      <c r="XH123" s="5"/>
      <c r="XI123" s="5"/>
      <c r="XJ123" s="5"/>
      <c r="XK123" s="5"/>
      <c r="XL123" s="5"/>
      <c r="XM123" s="5"/>
      <c r="XN123" s="5"/>
      <c r="XO123" s="5"/>
      <c r="XP123" s="5"/>
      <c r="XQ123" s="5"/>
      <c r="XR123" s="5"/>
      <c r="XS123" s="5"/>
      <c r="XT123" s="5"/>
      <c r="XU123" s="5"/>
      <c r="XV123" s="5"/>
      <c r="XW123" s="5"/>
      <c r="XX123" s="5"/>
      <c r="XY123" s="5"/>
      <c r="XZ123" s="5"/>
      <c r="YA123" s="5"/>
      <c r="YB123" s="5"/>
      <c r="YC123" s="5"/>
      <c r="YD123" s="5"/>
      <c r="YE123" s="5"/>
      <c r="YF123" s="5"/>
      <c r="YG123" s="5"/>
      <c r="YH123" s="5"/>
      <c r="YI123" s="5"/>
      <c r="YJ123" s="5"/>
      <c r="YK123" s="5"/>
      <c r="YL123" s="5"/>
      <c r="YM123" s="5"/>
      <c r="YN123" s="5"/>
      <c r="YO123" s="5"/>
      <c r="YP123" s="5"/>
      <c r="YQ123" s="5"/>
      <c r="YR123" s="5"/>
      <c r="YS123" s="5"/>
      <c r="YT123" s="5"/>
      <c r="YU123" s="5"/>
      <c r="YV123" s="5"/>
      <c r="YW123" s="5"/>
      <c r="YX123" s="5"/>
      <c r="YY123" s="5"/>
      <c r="YZ123" s="5"/>
    </row>
    <row r="124" spans="1:676">
      <c r="A124" s="7">
        <v>114</v>
      </c>
      <c r="B124" s="7" t="s">
        <v>302</v>
      </c>
      <c r="C124" s="10" t="s">
        <v>303</v>
      </c>
      <c r="D124" s="7" t="s">
        <v>82</v>
      </c>
      <c r="E124" s="7" t="s">
        <v>71</v>
      </c>
      <c r="F124" s="7" t="s">
        <v>162</v>
      </c>
      <c r="G124" s="7"/>
      <c r="H124" s="7" t="s">
        <v>43</v>
      </c>
      <c r="I124" s="11">
        <v>2</v>
      </c>
      <c r="J124" s="11">
        <v>3</v>
      </c>
      <c r="K124" s="11">
        <v>0</v>
      </c>
      <c r="L124" s="11">
        <v>0.8600000000000001</v>
      </c>
      <c r="M124" s="11">
        <v>0.24</v>
      </c>
      <c r="N124" s="11">
        <v>0</v>
      </c>
      <c r="O124" s="11">
        <v>0.53</v>
      </c>
      <c r="P124" s="11">
        <v>2.49</v>
      </c>
      <c r="Q124" s="11">
        <v>4.12</v>
      </c>
      <c r="R124" s="11">
        <v>0</v>
      </c>
      <c r="S124" s="11">
        <v>4.12</v>
      </c>
      <c r="T124" s="11">
        <v>2</v>
      </c>
      <c r="U124" s="11">
        <v>2.12</v>
      </c>
      <c r="V124" s="11">
        <v>0</v>
      </c>
      <c r="W124" s="13">
        <v>2</v>
      </c>
      <c r="X124" s="13">
        <v>3</v>
      </c>
      <c r="Y124" s="13" t="str">
        <f>MIN(W124,S124)</f>
        <v>0</v>
      </c>
      <c r="Z124" s="13" t="str">
        <f>MIN(X124,(S124-Y124))</f>
        <v>0</v>
      </c>
      <c r="AA124" s="13" t="str">
        <f>S124-SUM(Y124,Z124)</f>
        <v>0</v>
      </c>
      <c r="AB124" s="15"/>
      <c r="AC124" s="15"/>
      <c r="AD124" s="1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  <c r="CG124" s="5"/>
      <c r="CH124" s="5"/>
      <c r="CI124" s="5"/>
      <c r="CJ124" s="5"/>
      <c r="CK124" s="5"/>
      <c r="CL124" s="5"/>
      <c r="CM124" s="5"/>
      <c r="CN124" s="5"/>
      <c r="CO124" s="5"/>
      <c r="CP124" s="5"/>
      <c r="CQ124" s="5"/>
      <c r="CR124" s="5"/>
      <c r="CS124" s="5"/>
      <c r="CT124" s="5"/>
      <c r="CU124" s="5"/>
      <c r="CV124" s="5"/>
      <c r="CW124" s="5"/>
      <c r="CX124" s="5"/>
      <c r="CY124" s="5"/>
      <c r="CZ124" s="5"/>
      <c r="DA124" s="5"/>
      <c r="DB124" s="5"/>
      <c r="DC124" s="5"/>
      <c r="DD124" s="5"/>
      <c r="DE124" s="5"/>
      <c r="DF124" s="5"/>
      <c r="DG124" s="5"/>
      <c r="DH124" s="5"/>
      <c r="DI124" s="5"/>
      <c r="DJ124" s="5"/>
      <c r="DK124" s="5"/>
      <c r="DL124" s="5"/>
      <c r="DM124" s="5"/>
      <c r="DN124" s="5"/>
      <c r="DO124" s="5"/>
      <c r="DP124" s="5"/>
      <c r="DQ124" s="5"/>
      <c r="DR124" s="5"/>
      <c r="DS124" s="5"/>
      <c r="DT124" s="5"/>
      <c r="DU124" s="5"/>
      <c r="DV124" s="5"/>
      <c r="DW124" s="5"/>
      <c r="DX124" s="5"/>
      <c r="DY124" s="5"/>
      <c r="DZ124" s="5"/>
      <c r="EA124" s="5"/>
      <c r="EB124" s="5"/>
      <c r="EC124" s="5"/>
      <c r="ED124" s="5"/>
      <c r="EE124" s="5"/>
      <c r="EF124" s="5"/>
      <c r="EG124" s="5"/>
      <c r="EH124" s="5"/>
      <c r="EI124" s="5"/>
      <c r="EJ124" s="5"/>
      <c r="EK124" s="5"/>
      <c r="EL124" s="5"/>
      <c r="EM124" s="5"/>
      <c r="EN124" s="5"/>
      <c r="EO124" s="5"/>
      <c r="EP124" s="5"/>
      <c r="EQ124" s="5"/>
      <c r="ER124" s="5"/>
      <c r="ES124" s="5"/>
      <c r="ET124" s="5"/>
      <c r="EU124" s="5"/>
      <c r="EV124" s="5"/>
      <c r="EW124" s="5"/>
      <c r="EX124" s="5"/>
      <c r="EY124" s="5"/>
      <c r="EZ124" s="5"/>
      <c r="FA124" s="5"/>
      <c r="FB124" s="5"/>
      <c r="FC124" s="5"/>
      <c r="FD124" s="5"/>
      <c r="FE124" s="5"/>
      <c r="FF124" s="5"/>
      <c r="FG124" s="5"/>
      <c r="FH124" s="5"/>
      <c r="FI124" s="5"/>
      <c r="FJ124" s="5"/>
      <c r="FK124" s="5"/>
      <c r="FL124" s="5"/>
      <c r="FM124" s="5"/>
      <c r="FN124" s="5"/>
      <c r="FO124" s="5"/>
      <c r="FP124" s="5"/>
      <c r="FQ124" s="5"/>
      <c r="FR124" s="5"/>
      <c r="FS124" s="5"/>
      <c r="FT124" s="5"/>
      <c r="FU124" s="5"/>
      <c r="FV124" s="5"/>
      <c r="FW124" s="5"/>
      <c r="FX124" s="5"/>
      <c r="FY124" s="5"/>
      <c r="FZ124" s="5"/>
      <c r="GA124" s="5"/>
      <c r="GB124" s="5"/>
      <c r="GC124" s="5"/>
      <c r="GD124" s="5"/>
      <c r="GE124" s="5"/>
      <c r="GF124" s="5"/>
      <c r="GG124" s="5"/>
      <c r="GH124" s="5"/>
      <c r="GI124" s="5"/>
      <c r="GJ124" s="5"/>
      <c r="GK124" s="5"/>
      <c r="GL124" s="5"/>
      <c r="GM124" s="5"/>
      <c r="GN124" s="5"/>
      <c r="GO124" s="5"/>
      <c r="GP124" s="5"/>
      <c r="GQ124" s="5"/>
      <c r="GR124" s="5"/>
      <c r="GS124" s="5"/>
      <c r="GT124" s="5"/>
      <c r="GU124" s="5"/>
      <c r="GV124" s="5"/>
      <c r="GW124" s="5"/>
      <c r="GX124" s="5"/>
      <c r="GY124" s="5"/>
      <c r="GZ124" s="5"/>
      <c r="HA124" s="5"/>
      <c r="HB124" s="5"/>
      <c r="HC124" s="5"/>
      <c r="HD124" s="5"/>
      <c r="HE124" s="5"/>
      <c r="HF124" s="5"/>
      <c r="HG124" s="5"/>
      <c r="HH124" s="5"/>
      <c r="HI124" s="5"/>
      <c r="HJ124" s="5"/>
      <c r="HK124" s="5"/>
      <c r="HL124" s="5"/>
      <c r="HM124" s="5"/>
      <c r="HN124" s="5"/>
      <c r="HO124" s="5"/>
      <c r="HP124" s="5"/>
      <c r="HQ124" s="5"/>
      <c r="HR124" s="5"/>
      <c r="HS124" s="5"/>
      <c r="HT124" s="5"/>
      <c r="HU124" s="5"/>
      <c r="HV124" s="5"/>
      <c r="HW124" s="5"/>
      <c r="HX124" s="5"/>
      <c r="HY124" s="5"/>
      <c r="HZ124" s="5"/>
      <c r="IA124" s="5"/>
      <c r="IB124" s="5"/>
      <c r="IC124" s="5"/>
      <c r="ID124" s="5"/>
      <c r="IE124" s="5"/>
      <c r="IF124" s="5"/>
      <c r="IG124" s="5"/>
      <c r="IH124" s="5"/>
      <c r="II124" s="5"/>
      <c r="IJ124" s="5"/>
      <c r="IK124" s="5"/>
      <c r="IL124" s="5"/>
      <c r="IM124" s="5"/>
      <c r="IN124" s="5"/>
      <c r="IO124" s="5"/>
      <c r="IP124" s="5"/>
      <c r="IQ124" s="5"/>
      <c r="IR124" s="5"/>
      <c r="IS124" s="5"/>
      <c r="IT124" s="5"/>
      <c r="IU124" s="5"/>
      <c r="IV124" s="5"/>
      <c r="IW124" s="5"/>
      <c r="IX124" s="5"/>
      <c r="IY124" s="5"/>
      <c r="IZ124" s="5"/>
      <c r="JA124" s="5"/>
      <c r="JB124" s="5"/>
      <c r="JC124" s="5"/>
      <c r="JD124" s="5"/>
      <c r="JE124" s="5"/>
      <c r="JF124" s="5"/>
      <c r="JG124" s="5"/>
      <c r="JH124" s="5"/>
      <c r="JI124" s="5"/>
      <c r="JJ124" s="5"/>
      <c r="JK124" s="5"/>
      <c r="JL124" s="5"/>
      <c r="JM124" s="5"/>
      <c r="JN124" s="5"/>
      <c r="JO124" s="5"/>
      <c r="JP124" s="5"/>
      <c r="JQ124" s="5"/>
      <c r="JR124" s="5"/>
      <c r="JS124" s="5"/>
      <c r="JT124" s="5"/>
      <c r="JU124" s="5"/>
      <c r="JV124" s="5"/>
      <c r="JW124" s="5"/>
      <c r="JX124" s="5"/>
      <c r="JY124" s="5"/>
      <c r="JZ124" s="5"/>
      <c r="KA124" s="5"/>
      <c r="KB124" s="5"/>
      <c r="KC124" s="5"/>
      <c r="KD124" s="5"/>
      <c r="KE124" s="5"/>
      <c r="KF124" s="5"/>
      <c r="KG124" s="5"/>
      <c r="KH124" s="5"/>
      <c r="KI124" s="5"/>
      <c r="KJ124" s="5"/>
      <c r="KK124" s="5"/>
      <c r="KL124" s="5"/>
      <c r="KM124" s="5"/>
      <c r="KN124" s="5"/>
      <c r="KO124" s="5"/>
      <c r="KP124" s="5"/>
      <c r="KQ124" s="5"/>
      <c r="KR124" s="5"/>
      <c r="KS124" s="5"/>
      <c r="KT124" s="5"/>
      <c r="KU124" s="5"/>
      <c r="KV124" s="5"/>
      <c r="KW124" s="5"/>
      <c r="KX124" s="5"/>
      <c r="KY124" s="5"/>
      <c r="KZ124" s="5"/>
      <c r="LA124" s="5"/>
      <c r="LB124" s="5"/>
      <c r="LC124" s="5"/>
      <c r="LD124" s="5"/>
      <c r="LE124" s="5"/>
      <c r="LF124" s="5"/>
      <c r="LG124" s="5"/>
      <c r="LH124" s="5"/>
      <c r="LI124" s="5"/>
      <c r="LJ124" s="5"/>
      <c r="LK124" s="5"/>
      <c r="LL124" s="5"/>
      <c r="LM124" s="5"/>
      <c r="LN124" s="5"/>
      <c r="LO124" s="5"/>
      <c r="LP124" s="5"/>
      <c r="LQ124" s="5"/>
      <c r="LR124" s="5"/>
      <c r="LS124" s="5"/>
      <c r="LT124" s="5"/>
      <c r="LU124" s="5"/>
      <c r="LV124" s="5"/>
      <c r="LW124" s="5"/>
      <c r="LX124" s="5"/>
      <c r="LY124" s="5"/>
      <c r="LZ124" s="5"/>
      <c r="MA124" s="5"/>
      <c r="MB124" s="5"/>
      <c r="MC124" s="5"/>
      <c r="MD124" s="5"/>
      <c r="ME124" s="5"/>
      <c r="MF124" s="5"/>
      <c r="MG124" s="5"/>
      <c r="MH124" s="5"/>
      <c r="MI124" s="5"/>
      <c r="MJ124" s="5"/>
      <c r="MK124" s="5"/>
      <c r="ML124" s="5"/>
      <c r="MM124" s="5"/>
      <c r="MN124" s="5"/>
      <c r="MO124" s="5"/>
      <c r="MP124" s="5"/>
      <c r="MQ124" s="5"/>
      <c r="MR124" s="5"/>
      <c r="MS124" s="5"/>
      <c r="MT124" s="5"/>
      <c r="MU124" s="5"/>
      <c r="MV124" s="5"/>
      <c r="MW124" s="5"/>
      <c r="MX124" s="5"/>
      <c r="MY124" s="5"/>
      <c r="MZ124" s="5"/>
      <c r="NA124" s="5"/>
      <c r="NB124" s="5"/>
      <c r="NC124" s="5"/>
      <c r="ND124" s="5"/>
      <c r="NE124" s="5"/>
      <c r="NF124" s="5"/>
      <c r="NG124" s="5"/>
      <c r="NH124" s="5"/>
      <c r="NI124" s="5"/>
      <c r="NJ124" s="5"/>
      <c r="NK124" s="5"/>
      <c r="NL124" s="5"/>
      <c r="NM124" s="5"/>
      <c r="NN124" s="5"/>
      <c r="NO124" s="5"/>
      <c r="NP124" s="5"/>
      <c r="NQ124" s="5"/>
      <c r="NR124" s="5"/>
      <c r="NS124" s="5"/>
      <c r="NT124" s="5"/>
      <c r="NU124" s="5"/>
      <c r="NV124" s="5"/>
      <c r="NW124" s="5"/>
      <c r="NX124" s="5"/>
      <c r="NY124" s="5"/>
      <c r="NZ124" s="5"/>
      <c r="OA124" s="5"/>
      <c r="OB124" s="5"/>
      <c r="OC124" s="5"/>
      <c r="OD124" s="5"/>
      <c r="OE124" s="5"/>
      <c r="OF124" s="5"/>
      <c r="OG124" s="5"/>
      <c r="OH124" s="5"/>
      <c r="OI124" s="5"/>
      <c r="OJ124" s="5"/>
      <c r="OK124" s="5"/>
      <c r="OL124" s="5"/>
      <c r="OM124" s="5"/>
      <c r="ON124" s="5"/>
      <c r="OO124" s="5"/>
      <c r="OP124" s="5"/>
      <c r="OQ124" s="5"/>
      <c r="OR124" s="5"/>
      <c r="OS124" s="5"/>
      <c r="OT124" s="5"/>
      <c r="OU124" s="5"/>
      <c r="OV124" s="5"/>
      <c r="OW124" s="5"/>
      <c r="OX124" s="5"/>
      <c r="OY124" s="5"/>
      <c r="OZ124" s="5"/>
      <c r="PA124" s="5"/>
      <c r="PB124" s="5"/>
      <c r="PC124" s="5"/>
      <c r="PD124" s="5"/>
      <c r="PE124" s="5"/>
      <c r="PF124" s="5"/>
      <c r="PG124" s="5"/>
      <c r="PH124" s="5"/>
      <c r="PI124" s="5"/>
      <c r="PJ124" s="5"/>
      <c r="PK124" s="5"/>
      <c r="PL124" s="5"/>
      <c r="PM124" s="5"/>
      <c r="PN124" s="5"/>
      <c r="PO124" s="5"/>
      <c r="PP124" s="5"/>
      <c r="PQ124" s="5"/>
      <c r="PR124" s="5"/>
      <c r="PS124" s="5"/>
      <c r="PT124" s="5"/>
      <c r="PU124" s="5"/>
      <c r="PV124" s="5"/>
      <c r="PW124" s="5"/>
      <c r="PX124" s="5"/>
      <c r="PY124" s="5"/>
      <c r="PZ124" s="5"/>
      <c r="QA124" s="5"/>
      <c r="QB124" s="5"/>
      <c r="QC124" s="5"/>
      <c r="QD124" s="5"/>
      <c r="QE124" s="5"/>
      <c r="QF124" s="5"/>
      <c r="QG124" s="5"/>
      <c r="QH124" s="5"/>
      <c r="QI124" s="5"/>
      <c r="QJ124" s="5"/>
      <c r="QK124" s="5"/>
      <c r="QL124" s="5"/>
      <c r="QM124" s="5"/>
      <c r="QN124" s="5"/>
      <c r="QO124" s="5"/>
      <c r="QP124" s="5"/>
      <c r="QQ124" s="5"/>
      <c r="QR124" s="5"/>
      <c r="QS124" s="5"/>
      <c r="QT124" s="5"/>
      <c r="QU124" s="5"/>
      <c r="QV124" s="5"/>
      <c r="QW124" s="5"/>
      <c r="QX124" s="5"/>
      <c r="QY124" s="5"/>
      <c r="QZ124" s="5"/>
      <c r="RA124" s="5"/>
      <c r="RB124" s="5"/>
      <c r="RC124" s="5"/>
      <c r="RD124" s="5"/>
      <c r="RE124" s="5"/>
      <c r="RF124" s="5"/>
      <c r="RG124" s="5"/>
      <c r="RH124" s="5"/>
      <c r="RI124" s="5"/>
      <c r="RJ124" s="5"/>
      <c r="RK124" s="5"/>
      <c r="RL124" s="5"/>
      <c r="RM124" s="5"/>
      <c r="RN124" s="5"/>
      <c r="RO124" s="5"/>
      <c r="RP124" s="5"/>
      <c r="RQ124" s="5"/>
      <c r="RR124" s="5"/>
      <c r="RS124" s="5"/>
      <c r="RT124" s="5"/>
      <c r="RU124" s="5"/>
      <c r="RV124" s="5"/>
      <c r="RW124" s="5"/>
      <c r="RX124" s="5"/>
      <c r="RY124" s="5"/>
      <c r="RZ124" s="5"/>
      <c r="SA124" s="5"/>
      <c r="SB124" s="5"/>
      <c r="SC124" s="5"/>
      <c r="SD124" s="5"/>
      <c r="SE124" s="5"/>
      <c r="SF124" s="5"/>
      <c r="SG124" s="5"/>
      <c r="SH124" s="5"/>
      <c r="SI124" s="5"/>
      <c r="SJ124" s="5"/>
      <c r="SK124" s="5"/>
      <c r="SL124" s="5"/>
      <c r="SM124" s="5"/>
      <c r="SN124" s="5"/>
      <c r="SO124" s="5"/>
      <c r="SP124" s="5"/>
      <c r="SQ124" s="5"/>
      <c r="SR124" s="5"/>
      <c r="SS124" s="5"/>
      <c r="ST124" s="5"/>
      <c r="SU124" s="5"/>
      <c r="SV124" s="5"/>
      <c r="SW124" s="5"/>
      <c r="SX124" s="5"/>
      <c r="SY124" s="5"/>
      <c r="SZ124" s="5"/>
      <c r="TA124" s="5"/>
      <c r="TB124" s="5"/>
      <c r="TC124" s="5"/>
      <c r="TD124" s="5"/>
      <c r="TE124" s="5"/>
      <c r="TF124" s="5"/>
      <c r="TG124" s="5"/>
      <c r="TH124" s="5"/>
      <c r="TI124" s="5"/>
      <c r="TJ124" s="5"/>
      <c r="TK124" s="5"/>
      <c r="TL124" s="5"/>
      <c r="TM124" s="5"/>
      <c r="TN124" s="5"/>
      <c r="TO124" s="5"/>
      <c r="TP124" s="5"/>
      <c r="TQ124" s="5"/>
      <c r="TR124" s="5"/>
      <c r="TS124" s="5"/>
      <c r="TT124" s="5"/>
      <c r="TU124" s="5"/>
      <c r="TV124" s="5"/>
      <c r="TW124" s="5"/>
      <c r="TX124" s="5"/>
      <c r="TY124" s="5"/>
      <c r="TZ124" s="5"/>
      <c r="UA124" s="5"/>
      <c r="UB124" s="5"/>
      <c r="UC124" s="5"/>
      <c r="UD124" s="5"/>
      <c r="UE124" s="5"/>
      <c r="UF124" s="5"/>
      <c r="UG124" s="5"/>
      <c r="UH124" s="5"/>
      <c r="UI124" s="5"/>
      <c r="UJ124" s="5"/>
      <c r="UK124" s="5"/>
      <c r="UL124" s="5"/>
      <c r="UM124" s="5"/>
      <c r="UN124" s="5"/>
      <c r="UO124" s="5"/>
      <c r="UP124" s="5"/>
      <c r="UQ124" s="5"/>
      <c r="UR124" s="5"/>
      <c r="US124" s="5"/>
      <c r="UT124" s="5"/>
      <c r="UU124" s="5"/>
      <c r="UV124" s="5"/>
      <c r="UW124" s="5"/>
      <c r="UX124" s="5"/>
      <c r="UY124" s="5"/>
      <c r="UZ124" s="5"/>
      <c r="VA124" s="5"/>
      <c r="VB124" s="5"/>
      <c r="VC124" s="5"/>
      <c r="VD124" s="5"/>
      <c r="VE124" s="5"/>
      <c r="VF124" s="5"/>
      <c r="VG124" s="5"/>
      <c r="VH124" s="5"/>
      <c r="VI124" s="5"/>
      <c r="VJ124" s="5"/>
      <c r="VK124" s="5"/>
      <c r="VL124" s="5"/>
      <c r="VM124" s="5"/>
      <c r="VN124" s="5"/>
      <c r="VO124" s="5"/>
      <c r="VP124" s="5"/>
      <c r="VQ124" s="5"/>
      <c r="VR124" s="5"/>
      <c r="VS124" s="5"/>
      <c r="VT124" s="5"/>
      <c r="VU124" s="5"/>
      <c r="VV124" s="5"/>
      <c r="VW124" s="5"/>
      <c r="VX124" s="5"/>
      <c r="VY124" s="5"/>
      <c r="VZ124" s="5"/>
      <c r="WA124" s="5"/>
      <c r="WB124" s="5"/>
      <c r="WC124" s="5"/>
      <c r="WD124" s="5"/>
      <c r="WE124" s="5"/>
      <c r="WF124" s="5"/>
      <c r="WG124" s="5"/>
      <c r="WH124" s="5"/>
      <c r="WI124" s="5"/>
      <c r="WJ124" s="5"/>
      <c r="WK124" s="5"/>
      <c r="WL124" s="5"/>
      <c r="WM124" s="5"/>
      <c r="WN124" s="5"/>
      <c r="WO124" s="5"/>
      <c r="WP124" s="5"/>
      <c r="WQ124" s="5"/>
      <c r="WR124" s="5"/>
      <c r="WS124" s="5"/>
      <c r="WT124" s="5"/>
      <c r="WU124" s="5"/>
      <c r="WV124" s="5"/>
      <c r="WW124" s="5"/>
      <c r="WX124" s="5"/>
      <c r="WY124" s="5"/>
      <c r="WZ124" s="5"/>
      <c r="XA124" s="5"/>
      <c r="XB124" s="5"/>
      <c r="XC124" s="5"/>
      <c r="XD124" s="5"/>
      <c r="XE124" s="5"/>
      <c r="XF124" s="5"/>
      <c r="XG124" s="5"/>
      <c r="XH124" s="5"/>
      <c r="XI124" s="5"/>
      <c r="XJ124" s="5"/>
      <c r="XK124" s="5"/>
      <c r="XL124" s="5"/>
      <c r="XM124" s="5"/>
      <c r="XN124" s="5"/>
      <c r="XO124" s="5"/>
      <c r="XP124" s="5"/>
      <c r="XQ124" s="5"/>
      <c r="XR124" s="5"/>
      <c r="XS124" s="5"/>
      <c r="XT124" s="5"/>
      <c r="XU124" s="5"/>
      <c r="XV124" s="5"/>
      <c r="XW124" s="5"/>
      <c r="XX124" s="5"/>
      <c r="XY124" s="5"/>
      <c r="XZ124" s="5"/>
      <c r="YA124" s="5"/>
      <c r="YB124" s="5"/>
      <c r="YC124" s="5"/>
      <c r="YD124" s="5"/>
      <c r="YE124" s="5"/>
      <c r="YF124" s="5"/>
      <c r="YG124" s="5"/>
      <c r="YH124" s="5"/>
      <c r="YI124" s="5"/>
      <c r="YJ124" s="5"/>
      <c r="YK124" s="5"/>
      <c r="YL124" s="5"/>
      <c r="YM124" s="5"/>
      <c r="YN124" s="5"/>
      <c r="YO124" s="5"/>
      <c r="YP124" s="5"/>
      <c r="YQ124" s="5"/>
      <c r="YR124" s="5"/>
      <c r="YS124" s="5"/>
      <c r="YT124" s="5"/>
      <c r="YU124" s="5"/>
      <c r="YV124" s="5"/>
      <c r="YW124" s="5"/>
      <c r="YX124" s="5"/>
      <c r="YY124" s="5"/>
      <c r="YZ124" s="5"/>
    </row>
    <row r="125" spans="1:676">
      <c r="A125" s="7">
        <v>115</v>
      </c>
      <c r="B125" s="7" t="s">
        <v>304</v>
      </c>
      <c r="C125" s="10" t="s">
        <v>305</v>
      </c>
      <c r="D125" s="7" t="s">
        <v>54</v>
      </c>
      <c r="E125" s="7" t="s">
        <v>120</v>
      </c>
      <c r="F125" s="7" t="s">
        <v>162</v>
      </c>
      <c r="G125" s="7"/>
      <c r="H125" s="7" t="s">
        <v>129</v>
      </c>
      <c r="I125" s="11">
        <v>2</v>
      </c>
      <c r="J125" s="11">
        <v>3</v>
      </c>
      <c r="K125" s="11">
        <v>0.95</v>
      </c>
      <c r="L125" s="11">
        <v>2.57</v>
      </c>
      <c r="M125" s="11">
        <v>0.24</v>
      </c>
      <c r="N125" s="11">
        <v>0</v>
      </c>
      <c r="O125" s="11">
        <v>0.7</v>
      </c>
      <c r="P125" s="11">
        <v>0</v>
      </c>
      <c r="Q125" s="11">
        <v>4.46</v>
      </c>
      <c r="R125" s="11">
        <v>0</v>
      </c>
      <c r="S125" s="11">
        <v>4.46</v>
      </c>
      <c r="T125" s="11">
        <v>2</v>
      </c>
      <c r="U125" s="11">
        <v>2.46</v>
      </c>
      <c r="V125" s="11">
        <v>0</v>
      </c>
      <c r="W125" s="13">
        <v>2</v>
      </c>
      <c r="X125" s="13">
        <v>3</v>
      </c>
      <c r="Y125" s="13" t="str">
        <f>MIN(W125,S125)</f>
        <v>0</v>
      </c>
      <c r="Z125" s="13" t="str">
        <f>MIN(X125,(S125-Y125))</f>
        <v>0</v>
      </c>
      <c r="AA125" s="13" t="str">
        <f>S125-SUM(Y125,Z125)</f>
        <v>0</v>
      </c>
      <c r="AB125" s="15"/>
      <c r="AC125" s="15"/>
      <c r="AD125" s="1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  <c r="CG125" s="5"/>
      <c r="CH125" s="5"/>
      <c r="CI125" s="5"/>
      <c r="CJ125" s="5"/>
      <c r="CK125" s="5"/>
      <c r="CL125" s="5"/>
      <c r="CM125" s="5"/>
      <c r="CN125" s="5"/>
      <c r="CO125" s="5"/>
      <c r="CP125" s="5"/>
      <c r="CQ125" s="5"/>
      <c r="CR125" s="5"/>
      <c r="CS125" s="5"/>
      <c r="CT125" s="5"/>
      <c r="CU125" s="5"/>
      <c r="CV125" s="5"/>
      <c r="CW125" s="5"/>
      <c r="CX125" s="5"/>
      <c r="CY125" s="5"/>
      <c r="CZ125" s="5"/>
      <c r="DA125" s="5"/>
      <c r="DB125" s="5"/>
      <c r="DC125" s="5"/>
      <c r="DD125" s="5"/>
      <c r="DE125" s="5"/>
      <c r="DF125" s="5"/>
      <c r="DG125" s="5"/>
      <c r="DH125" s="5"/>
      <c r="DI125" s="5"/>
      <c r="DJ125" s="5"/>
      <c r="DK125" s="5"/>
      <c r="DL125" s="5"/>
      <c r="DM125" s="5"/>
      <c r="DN125" s="5"/>
      <c r="DO125" s="5"/>
      <c r="DP125" s="5"/>
      <c r="DQ125" s="5"/>
      <c r="DR125" s="5"/>
      <c r="DS125" s="5"/>
      <c r="DT125" s="5"/>
      <c r="DU125" s="5"/>
      <c r="DV125" s="5"/>
      <c r="DW125" s="5"/>
      <c r="DX125" s="5"/>
      <c r="DY125" s="5"/>
      <c r="DZ125" s="5"/>
      <c r="EA125" s="5"/>
      <c r="EB125" s="5"/>
      <c r="EC125" s="5"/>
      <c r="ED125" s="5"/>
      <c r="EE125" s="5"/>
      <c r="EF125" s="5"/>
      <c r="EG125" s="5"/>
      <c r="EH125" s="5"/>
      <c r="EI125" s="5"/>
      <c r="EJ125" s="5"/>
      <c r="EK125" s="5"/>
      <c r="EL125" s="5"/>
      <c r="EM125" s="5"/>
      <c r="EN125" s="5"/>
      <c r="EO125" s="5"/>
      <c r="EP125" s="5"/>
      <c r="EQ125" s="5"/>
      <c r="ER125" s="5"/>
      <c r="ES125" s="5"/>
      <c r="ET125" s="5"/>
      <c r="EU125" s="5"/>
      <c r="EV125" s="5"/>
      <c r="EW125" s="5"/>
      <c r="EX125" s="5"/>
      <c r="EY125" s="5"/>
      <c r="EZ125" s="5"/>
      <c r="FA125" s="5"/>
      <c r="FB125" s="5"/>
      <c r="FC125" s="5"/>
      <c r="FD125" s="5"/>
      <c r="FE125" s="5"/>
      <c r="FF125" s="5"/>
      <c r="FG125" s="5"/>
      <c r="FH125" s="5"/>
      <c r="FI125" s="5"/>
      <c r="FJ125" s="5"/>
      <c r="FK125" s="5"/>
      <c r="FL125" s="5"/>
      <c r="FM125" s="5"/>
      <c r="FN125" s="5"/>
      <c r="FO125" s="5"/>
      <c r="FP125" s="5"/>
      <c r="FQ125" s="5"/>
      <c r="FR125" s="5"/>
      <c r="FS125" s="5"/>
      <c r="FT125" s="5"/>
      <c r="FU125" s="5"/>
      <c r="FV125" s="5"/>
      <c r="FW125" s="5"/>
      <c r="FX125" s="5"/>
      <c r="FY125" s="5"/>
      <c r="FZ125" s="5"/>
      <c r="GA125" s="5"/>
      <c r="GB125" s="5"/>
      <c r="GC125" s="5"/>
      <c r="GD125" s="5"/>
      <c r="GE125" s="5"/>
      <c r="GF125" s="5"/>
      <c r="GG125" s="5"/>
      <c r="GH125" s="5"/>
      <c r="GI125" s="5"/>
      <c r="GJ125" s="5"/>
      <c r="GK125" s="5"/>
      <c r="GL125" s="5"/>
      <c r="GM125" s="5"/>
      <c r="GN125" s="5"/>
      <c r="GO125" s="5"/>
      <c r="GP125" s="5"/>
      <c r="GQ125" s="5"/>
      <c r="GR125" s="5"/>
      <c r="GS125" s="5"/>
      <c r="GT125" s="5"/>
      <c r="GU125" s="5"/>
      <c r="GV125" s="5"/>
      <c r="GW125" s="5"/>
      <c r="GX125" s="5"/>
      <c r="GY125" s="5"/>
      <c r="GZ125" s="5"/>
      <c r="HA125" s="5"/>
      <c r="HB125" s="5"/>
      <c r="HC125" s="5"/>
      <c r="HD125" s="5"/>
      <c r="HE125" s="5"/>
      <c r="HF125" s="5"/>
      <c r="HG125" s="5"/>
      <c r="HH125" s="5"/>
      <c r="HI125" s="5"/>
      <c r="HJ125" s="5"/>
      <c r="HK125" s="5"/>
      <c r="HL125" s="5"/>
      <c r="HM125" s="5"/>
      <c r="HN125" s="5"/>
      <c r="HO125" s="5"/>
      <c r="HP125" s="5"/>
      <c r="HQ125" s="5"/>
      <c r="HR125" s="5"/>
      <c r="HS125" s="5"/>
      <c r="HT125" s="5"/>
      <c r="HU125" s="5"/>
      <c r="HV125" s="5"/>
      <c r="HW125" s="5"/>
      <c r="HX125" s="5"/>
      <c r="HY125" s="5"/>
      <c r="HZ125" s="5"/>
      <c r="IA125" s="5"/>
      <c r="IB125" s="5"/>
      <c r="IC125" s="5"/>
      <c r="ID125" s="5"/>
      <c r="IE125" s="5"/>
      <c r="IF125" s="5"/>
      <c r="IG125" s="5"/>
      <c r="IH125" s="5"/>
      <c r="II125" s="5"/>
      <c r="IJ125" s="5"/>
      <c r="IK125" s="5"/>
      <c r="IL125" s="5"/>
      <c r="IM125" s="5"/>
      <c r="IN125" s="5"/>
      <c r="IO125" s="5"/>
      <c r="IP125" s="5"/>
      <c r="IQ125" s="5"/>
      <c r="IR125" s="5"/>
      <c r="IS125" s="5"/>
      <c r="IT125" s="5"/>
      <c r="IU125" s="5"/>
      <c r="IV125" s="5"/>
      <c r="IW125" s="5"/>
      <c r="IX125" s="5"/>
      <c r="IY125" s="5"/>
      <c r="IZ125" s="5"/>
      <c r="JA125" s="5"/>
      <c r="JB125" s="5"/>
      <c r="JC125" s="5"/>
      <c r="JD125" s="5"/>
      <c r="JE125" s="5"/>
      <c r="JF125" s="5"/>
      <c r="JG125" s="5"/>
      <c r="JH125" s="5"/>
      <c r="JI125" s="5"/>
      <c r="JJ125" s="5"/>
      <c r="JK125" s="5"/>
      <c r="JL125" s="5"/>
      <c r="JM125" s="5"/>
      <c r="JN125" s="5"/>
      <c r="JO125" s="5"/>
      <c r="JP125" s="5"/>
      <c r="JQ125" s="5"/>
      <c r="JR125" s="5"/>
      <c r="JS125" s="5"/>
      <c r="JT125" s="5"/>
      <c r="JU125" s="5"/>
      <c r="JV125" s="5"/>
      <c r="JW125" s="5"/>
      <c r="JX125" s="5"/>
      <c r="JY125" s="5"/>
      <c r="JZ125" s="5"/>
      <c r="KA125" s="5"/>
      <c r="KB125" s="5"/>
      <c r="KC125" s="5"/>
      <c r="KD125" s="5"/>
      <c r="KE125" s="5"/>
      <c r="KF125" s="5"/>
      <c r="KG125" s="5"/>
      <c r="KH125" s="5"/>
      <c r="KI125" s="5"/>
      <c r="KJ125" s="5"/>
      <c r="KK125" s="5"/>
      <c r="KL125" s="5"/>
      <c r="KM125" s="5"/>
      <c r="KN125" s="5"/>
      <c r="KO125" s="5"/>
      <c r="KP125" s="5"/>
      <c r="KQ125" s="5"/>
      <c r="KR125" s="5"/>
      <c r="KS125" s="5"/>
      <c r="KT125" s="5"/>
      <c r="KU125" s="5"/>
      <c r="KV125" s="5"/>
      <c r="KW125" s="5"/>
      <c r="KX125" s="5"/>
      <c r="KY125" s="5"/>
      <c r="KZ125" s="5"/>
      <c r="LA125" s="5"/>
      <c r="LB125" s="5"/>
      <c r="LC125" s="5"/>
      <c r="LD125" s="5"/>
      <c r="LE125" s="5"/>
      <c r="LF125" s="5"/>
      <c r="LG125" s="5"/>
      <c r="LH125" s="5"/>
      <c r="LI125" s="5"/>
      <c r="LJ125" s="5"/>
      <c r="LK125" s="5"/>
      <c r="LL125" s="5"/>
      <c r="LM125" s="5"/>
      <c r="LN125" s="5"/>
      <c r="LO125" s="5"/>
      <c r="LP125" s="5"/>
      <c r="LQ125" s="5"/>
      <c r="LR125" s="5"/>
      <c r="LS125" s="5"/>
      <c r="LT125" s="5"/>
      <c r="LU125" s="5"/>
      <c r="LV125" s="5"/>
      <c r="LW125" s="5"/>
      <c r="LX125" s="5"/>
      <c r="LY125" s="5"/>
      <c r="LZ125" s="5"/>
      <c r="MA125" s="5"/>
      <c r="MB125" s="5"/>
      <c r="MC125" s="5"/>
      <c r="MD125" s="5"/>
      <c r="ME125" s="5"/>
      <c r="MF125" s="5"/>
      <c r="MG125" s="5"/>
      <c r="MH125" s="5"/>
      <c r="MI125" s="5"/>
      <c r="MJ125" s="5"/>
      <c r="MK125" s="5"/>
      <c r="ML125" s="5"/>
      <c r="MM125" s="5"/>
      <c r="MN125" s="5"/>
      <c r="MO125" s="5"/>
      <c r="MP125" s="5"/>
      <c r="MQ125" s="5"/>
      <c r="MR125" s="5"/>
      <c r="MS125" s="5"/>
      <c r="MT125" s="5"/>
      <c r="MU125" s="5"/>
      <c r="MV125" s="5"/>
      <c r="MW125" s="5"/>
      <c r="MX125" s="5"/>
      <c r="MY125" s="5"/>
      <c r="MZ125" s="5"/>
      <c r="NA125" s="5"/>
      <c r="NB125" s="5"/>
      <c r="NC125" s="5"/>
      <c r="ND125" s="5"/>
      <c r="NE125" s="5"/>
      <c r="NF125" s="5"/>
      <c r="NG125" s="5"/>
      <c r="NH125" s="5"/>
      <c r="NI125" s="5"/>
      <c r="NJ125" s="5"/>
      <c r="NK125" s="5"/>
      <c r="NL125" s="5"/>
      <c r="NM125" s="5"/>
      <c r="NN125" s="5"/>
      <c r="NO125" s="5"/>
      <c r="NP125" s="5"/>
      <c r="NQ125" s="5"/>
      <c r="NR125" s="5"/>
      <c r="NS125" s="5"/>
      <c r="NT125" s="5"/>
      <c r="NU125" s="5"/>
      <c r="NV125" s="5"/>
      <c r="NW125" s="5"/>
      <c r="NX125" s="5"/>
      <c r="NY125" s="5"/>
      <c r="NZ125" s="5"/>
      <c r="OA125" s="5"/>
      <c r="OB125" s="5"/>
      <c r="OC125" s="5"/>
      <c r="OD125" s="5"/>
      <c r="OE125" s="5"/>
      <c r="OF125" s="5"/>
      <c r="OG125" s="5"/>
      <c r="OH125" s="5"/>
      <c r="OI125" s="5"/>
      <c r="OJ125" s="5"/>
      <c r="OK125" s="5"/>
      <c r="OL125" s="5"/>
      <c r="OM125" s="5"/>
      <c r="ON125" s="5"/>
      <c r="OO125" s="5"/>
      <c r="OP125" s="5"/>
      <c r="OQ125" s="5"/>
      <c r="OR125" s="5"/>
      <c r="OS125" s="5"/>
      <c r="OT125" s="5"/>
      <c r="OU125" s="5"/>
      <c r="OV125" s="5"/>
      <c r="OW125" s="5"/>
      <c r="OX125" s="5"/>
      <c r="OY125" s="5"/>
      <c r="OZ125" s="5"/>
      <c r="PA125" s="5"/>
      <c r="PB125" s="5"/>
      <c r="PC125" s="5"/>
      <c r="PD125" s="5"/>
      <c r="PE125" s="5"/>
      <c r="PF125" s="5"/>
      <c r="PG125" s="5"/>
      <c r="PH125" s="5"/>
      <c r="PI125" s="5"/>
      <c r="PJ125" s="5"/>
      <c r="PK125" s="5"/>
      <c r="PL125" s="5"/>
      <c r="PM125" s="5"/>
      <c r="PN125" s="5"/>
      <c r="PO125" s="5"/>
      <c r="PP125" s="5"/>
      <c r="PQ125" s="5"/>
      <c r="PR125" s="5"/>
      <c r="PS125" s="5"/>
      <c r="PT125" s="5"/>
      <c r="PU125" s="5"/>
      <c r="PV125" s="5"/>
      <c r="PW125" s="5"/>
      <c r="PX125" s="5"/>
      <c r="PY125" s="5"/>
      <c r="PZ125" s="5"/>
      <c r="QA125" s="5"/>
      <c r="QB125" s="5"/>
      <c r="QC125" s="5"/>
      <c r="QD125" s="5"/>
      <c r="QE125" s="5"/>
      <c r="QF125" s="5"/>
      <c r="QG125" s="5"/>
      <c r="QH125" s="5"/>
      <c r="QI125" s="5"/>
      <c r="QJ125" s="5"/>
      <c r="QK125" s="5"/>
      <c r="QL125" s="5"/>
      <c r="QM125" s="5"/>
      <c r="QN125" s="5"/>
      <c r="QO125" s="5"/>
      <c r="QP125" s="5"/>
      <c r="QQ125" s="5"/>
      <c r="QR125" s="5"/>
      <c r="QS125" s="5"/>
      <c r="QT125" s="5"/>
      <c r="QU125" s="5"/>
      <c r="QV125" s="5"/>
      <c r="QW125" s="5"/>
      <c r="QX125" s="5"/>
      <c r="QY125" s="5"/>
      <c r="QZ125" s="5"/>
      <c r="RA125" s="5"/>
      <c r="RB125" s="5"/>
      <c r="RC125" s="5"/>
      <c r="RD125" s="5"/>
      <c r="RE125" s="5"/>
      <c r="RF125" s="5"/>
      <c r="RG125" s="5"/>
      <c r="RH125" s="5"/>
      <c r="RI125" s="5"/>
      <c r="RJ125" s="5"/>
      <c r="RK125" s="5"/>
      <c r="RL125" s="5"/>
      <c r="RM125" s="5"/>
      <c r="RN125" s="5"/>
      <c r="RO125" s="5"/>
      <c r="RP125" s="5"/>
      <c r="RQ125" s="5"/>
      <c r="RR125" s="5"/>
      <c r="RS125" s="5"/>
      <c r="RT125" s="5"/>
      <c r="RU125" s="5"/>
      <c r="RV125" s="5"/>
      <c r="RW125" s="5"/>
      <c r="RX125" s="5"/>
      <c r="RY125" s="5"/>
      <c r="RZ125" s="5"/>
      <c r="SA125" s="5"/>
      <c r="SB125" s="5"/>
      <c r="SC125" s="5"/>
      <c r="SD125" s="5"/>
      <c r="SE125" s="5"/>
      <c r="SF125" s="5"/>
      <c r="SG125" s="5"/>
      <c r="SH125" s="5"/>
      <c r="SI125" s="5"/>
      <c r="SJ125" s="5"/>
      <c r="SK125" s="5"/>
      <c r="SL125" s="5"/>
      <c r="SM125" s="5"/>
      <c r="SN125" s="5"/>
      <c r="SO125" s="5"/>
      <c r="SP125" s="5"/>
      <c r="SQ125" s="5"/>
      <c r="SR125" s="5"/>
      <c r="SS125" s="5"/>
      <c r="ST125" s="5"/>
      <c r="SU125" s="5"/>
      <c r="SV125" s="5"/>
      <c r="SW125" s="5"/>
      <c r="SX125" s="5"/>
      <c r="SY125" s="5"/>
      <c r="SZ125" s="5"/>
      <c r="TA125" s="5"/>
      <c r="TB125" s="5"/>
      <c r="TC125" s="5"/>
      <c r="TD125" s="5"/>
      <c r="TE125" s="5"/>
      <c r="TF125" s="5"/>
      <c r="TG125" s="5"/>
      <c r="TH125" s="5"/>
      <c r="TI125" s="5"/>
      <c r="TJ125" s="5"/>
      <c r="TK125" s="5"/>
      <c r="TL125" s="5"/>
      <c r="TM125" s="5"/>
      <c r="TN125" s="5"/>
      <c r="TO125" s="5"/>
      <c r="TP125" s="5"/>
      <c r="TQ125" s="5"/>
      <c r="TR125" s="5"/>
      <c r="TS125" s="5"/>
      <c r="TT125" s="5"/>
      <c r="TU125" s="5"/>
      <c r="TV125" s="5"/>
      <c r="TW125" s="5"/>
      <c r="TX125" s="5"/>
      <c r="TY125" s="5"/>
      <c r="TZ125" s="5"/>
      <c r="UA125" s="5"/>
      <c r="UB125" s="5"/>
      <c r="UC125" s="5"/>
      <c r="UD125" s="5"/>
      <c r="UE125" s="5"/>
      <c r="UF125" s="5"/>
      <c r="UG125" s="5"/>
      <c r="UH125" s="5"/>
      <c r="UI125" s="5"/>
      <c r="UJ125" s="5"/>
      <c r="UK125" s="5"/>
      <c r="UL125" s="5"/>
      <c r="UM125" s="5"/>
      <c r="UN125" s="5"/>
      <c r="UO125" s="5"/>
      <c r="UP125" s="5"/>
      <c r="UQ125" s="5"/>
      <c r="UR125" s="5"/>
      <c r="US125" s="5"/>
      <c r="UT125" s="5"/>
      <c r="UU125" s="5"/>
      <c r="UV125" s="5"/>
      <c r="UW125" s="5"/>
      <c r="UX125" s="5"/>
      <c r="UY125" s="5"/>
      <c r="UZ125" s="5"/>
      <c r="VA125" s="5"/>
      <c r="VB125" s="5"/>
      <c r="VC125" s="5"/>
      <c r="VD125" s="5"/>
      <c r="VE125" s="5"/>
      <c r="VF125" s="5"/>
      <c r="VG125" s="5"/>
      <c r="VH125" s="5"/>
      <c r="VI125" s="5"/>
      <c r="VJ125" s="5"/>
      <c r="VK125" s="5"/>
      <c r="VL125" s="5"/>
      <c r="VM125" s="5"/>
      <c r="VN125" s="5"/>
      <c r="VO125" s="5"/>
      <c r="VP125" s="5"/>
      <c r="VQ125" s="5"/>
      <c r="VR125" s="5"/>
      <c r="VS125" s="5"/>
      <c r="VT125" s="5"/>
      <c r="VU125" s="5"/>
      <c r="VV125" s="5"/>
      <c r="VW125" s="5"/>
      <c r="VX125" s="5"/>
      <c r="VY125" s="5"/>
      <c r="VZ125" s="5"/>
      <c r="WA125" s="5"/>
      <c r="WB125" s="5"/>
      <c r="WC125" s="5"/>
      <c r="WD125" s="5"/>
      <c r="WE125" s="5"/>
      <c r="WF125" s="5"/>
      <c r="WG125" s="5"/>
      <c r="WH125" s="5"/>
      <c r="WI125" s="5"/>
      <c r="WJ125" s="5"/>
      <c r="WK125" s="5"/>
      <c r="WL125" s="5"/>
      <c r="WM125" s="5"/>
      <c r="WN125" s="5"/>
      <c r="WO125" s="5"/>
      <c r="WP125" s="5"/>
      <c r="WQ125" s="5"/>
      <c r="WR125" s="5"/>
      <c r="WS125" s="5"/>
      <c r="WT125" s="5"/>
      <c r="WU125" s="5"/>
      <c r="WV125" s="5"/>
      <c r="WW125" s="5"/>
      <c r="WX125" s="5"/>
      <c r="WY125" s="5"/>
      <c r="WZ125" s="5"/>
      <c r="XA125" s="5"/>
      <c r="XB125" s="5"/>
      <c r="XC125" s="5"/>
      <c r="XD125" s="5"/>
      <c r="XE125" s="5"/>
      <c r="XF125" s="5"/>
      <c r="XG125" s="5"/>
      <c r="XH125" s="5"/>
      <c r="XI125" s="5"/>
      <c r="XJ125" s="5"/>
      <c r="XK125" s="5"/>
      <c r="XL125" s="5"/>
      <c r="XM125" s="5"/>
      <c r="XN125" s="5"/>
      <c r="XO125" s="5"/>
      <c r="XP125" s="5"/>
      <c r="XQ125" s="5"/>
      <c r="XR125" s="5"/>
      <c r="XS125" s="5"/>
      <c r="XT125" s="5"/>
      <c r="XU125" s="5"/>
      <c r="XV125" s="5"/>
      <c r="XW125" s="5"/>
      <c r="XX125" s="5"/>
      <c r="XY125" s="5"/>
      <c r="XZ125" s="5"/>
      <c r="YA125" s="5"/>
      <c r="YB125" s="5"/>
      <c r="YC125" s="5"/>
      <c r="YD125" s="5"/>
      <c r="YE125" s="5"/>
      <c r="YF125" s="5"/>
      <c r="YG125" s="5"/>
      <c r="YH125" s="5"/>
      <c r="YI125" s="5"/>
      <c r="YJ125" s="5"/>
      <c r="YK125" s="5"/>
      <c r="YL125" s="5"/>
      <c r="YM125" s="5"/>
      <c r="YN125" s="5"/>
      <c r="YO125" s="5"/>
      <c r="YP125" s="5"/>
      <c r="YQ125" s="5"/>
      <c r="YR125" s="5"/>
      <c r="YS125" s="5"/>
      <c r="YT125" s="5"/>
      <c r="YU125" s="5"/>
      <c r="YV125" s="5"/>
      <c r="YW125" s="5"/>
      <c r="YX125" s="5"/>
      <c r="YY125" s="5"/>
      <c r="YZ125" s="5"/>
    </row>
    <row r="126" spans="1:676">
      <c r="A126" s="7">
        <v>116</v>
      </c>
      <c r="B126" s="7" t="s">
        <v>306</v>
      </c>
      <c r="C126" s="10" t="s">
        <v>307</v>
      </c>
      <c r="D126" s="7" t="s">
        <v>214</v>
      </c>
      <c r="E126" s="7" t="s">
        <v>71</v>
      </c>
      <c r="F126" s="7" t="s">
        <v>162</v>
      </c>
      <c r="G126" s="7"/>
      <c r="H126" s="7" t="s">
        <v>43</v>
      </c>
      <c r="I126" s="11">
        <v>2</v>
      </c>
      <c r="J126" s="11">
        <v>3</v>
      </c>
      <c r="K126" s="11">
        <v>0</v>
      </c>
      <c r="L126" s="11">
        <v>0</v>
      </c>
      <c r="M126" s="11">
        <v>0</v>
      </c>
      <c r="N126" s="11">
        <v>0</v>
      </c>
      <c r="O126" s="11">
        <v>0.54</v>
      </c>
      <c r="P126" s="11">
        <v>0</v>
      </c>
      <c r="Q126" s="11">
        <v>0.54</v>
      </c>
      <c r="R126" s="11">
        <v>0</v>
      </c>
      <c r="S126" s="11">
        <v>0.54</v>
      </c>
      <c r="T126" s="11">
        <v>0.54</v>
      </c>
      <c r="U126" s="11">
        <v>0</v>
      </c>
      <c r="V126" s="11">
        <v>0</v>
      </c>
      <c r="W126" s="13">
        <v>2</v>
      </c>
      <c r="X126" s="13">
        <v>3</v>
      </c>
      <c r="Y126" s="13" t="str">
        <f>MIN(W126,S126)</f>
        <v>0</v>
      </c>
      <c r="Z126" s="13" t="str">
        <f>MIN(X126,(S126-Y126))</f>
        <v>0</v>
      </c>
      <c r="AA126" s="13" t="str">
        <f>S126-SUM(Y126,Z126)</f>
        <v>0</v>
      </c>
      <c r="AB126" s="15"/>
      <c r="AC126" s="15"/>
      <c r="AD126" s="1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  <c r="CG126" s="5"/>
      <c r="CH126" s="5"/>
      <c r="CI126" s="5"/>
      <c r="CJ126" s="5"/>
      <c r="CK126" s="5"/>
      <c r="CL126" s="5"/>
      <c r="CM126" s="5"/>
      <c r="CN126" s="5"/>
      <c r="CO126" s="5"/>
      <c r="CP126" s="5"/>
      <c r="CQ126" s="5"/>
      <c r="CR126" s="5"/>
      <c r="CS126" s="5"/>
      <c r="CT126" s="5"/>
      <c r="CU126" s="5"/>
      <c r="CV126" s="5"/>
      <c r="CW126" s="5"/>
      <c r="CX126" s="5"/>
      <c r="CY126" s="5"/>
      <c r="CZ126" s="5"/>
      <c r="DA126" s="5"/>
      <c r="DB126" s="5"/>
      <c r="DC126" s="5"/>
      <c r="DD126" s="5"/>
      <c r="DE126" s="5"/>
      <c r="DF126" s="5"/>
      <c r="DG126" s="5"/>
      <c r="DH126" s="5"/>
      <c r="DI126" s="5"/>
      <c r="DJ126" s="5"/>
      <c r="DK126" s="5"/>
      <c r="DL126" s="5"/>
      <c r="DM126" s="5"/>
      <c r="DN126" s="5"/>
      <c r="DO126" s="5"/>
      <c r="DP126" s="5"/>
      <c r="DQ126" s="5"/>
      <c r="DR126" s="5"/>
      <c r="DS126" s="5"/>
      <c r="DT126" s="5"/>
      <c r="DU126" s="5"/>
      <c r="DV126" s="5"/>
      <c r="DW126" s="5"/>
      <c r="DX126" s="5"/>
      <c r="DY126" s="5"/>
      <c r="DZ126" s="5"/>
      <c r="EA126" s="5"/>
      <c r="EB126" s="5"/>
      <c r="EC126" s="5"/>
      <c r="ED126" s="5"/>
      <c r="EE126" s="5"/>
      <c r="EF126" s="5"/>
      <c r="EG126" s="5"/>
      <c r="EH126" s="5"/>
      <c r="EI126" s="5"/>
      <c r="EJ126" s="5"/>
      <c r="EK126" s="5"/>
      <c r="EL126" s="5"/>
      <c r="EM126" s="5"/>
      <c r="EN126" s="5"/>
      <c r="EO126" s="5"/>
      <c r="EP126" s="5"/>
      <c r="EQ126" s="5"/>
      <c r="ER126" s="5"/>
      <c r="ES126" s="5"/>
      <c r="ET126" s="5"/>
      <c r="EU126" s="5"/>
      <c r="EV126" s="5"/>
      <c r="EW126" s="5"/>
      <c r="EX126" s="5"/>
      <c r="EY126" s="5"/>
      <c r="EZ126" s="5"/>
      <c r="FA126" s="5"/>
      <c r="FB126" s="5"/>
      <c r="FC126" s="5"/>
      <c r="FD126" s="5"/>
      <c r="FE126" s="5"/>
      <c r="FF126" s="5"/>
      <c r="FG126" s="5"/>
      <c r="FH126" s="5"/>
      <c r="FI126" s="5"/>
      <c r="FJ126" s="5"/>
      <c r="FK126" s="5"/>
      <c r="FL126" s="5"/>
      <c r="FM126" s="5"/>
      <c r="FN126" s="5"/>
      <c r="FO126" s="5"/>
      <c r="FP126" s="5"/>
      <c r="FQ126" s="5"/>
      <c r="FR126" s="5"/>
      <c r="FS126" s="5"/>
      <c r="FT126" s="5"/>
      <c r="FU126" s="5"/>
      <c r="FV126" s="5"/>
      <c r="FW126" s="5"/>
      <c r="FX126" s="5"/>
      <c r="FY126" s="5"/>
      <c r="FZ126" s="5"/>
      <c r="GA126" s="5"/>
      <c r="GB126" s="5"/>
      <c r="GC126" s="5"/>
      <c r="GD126" s="5"/>
      <c r="GE126" s="5"/>
      <c r="GF126" s="5"/>
      <c r="GG126" s="5"/>
      <c r="GH126" s="5"/>
      <c r="GI126" s="5"/>
      <c r="GJ126" s="5"/>
      <c r="GK126" s="5"/>
      <c r="GL126" s="5"/>
      <c r="GM126" s="5"/>
      <c r="GN126" s="5"/>
      <c r="GO126" s="5"/>
      <c r="GP126" s="5"/>
      <c r="GQ126" s="5"/>
      <c r="GR126" s="5"/>
      <c r="GS126" s="5"/>
      <c r="GT126" s="5"/>
      <c r="GU126" s="5"/>
      <c r="GV126" s="5"/>
      <c r="GW126" s="5"/>
      <c r="GX126" s="5"/>
      <c r="GY126" s="5"/>
      <c r="GZ126" s="5"/>
      <c r="HA126" s="5"/>
      <c r="HB126" s="5"/>
      <c r="HC126" s="5"/>
      <c r="HD126" s="5"/>
      <c r="HE126" s="5"/>
      <c r="HF126" s="5"/>
      <c r="HG126" s="5"/>
      <c r="HH126" s="5"/>
      <c r="HI126" s="5"/>
      <c r="HJ126" s="5"/>
      <c r="HK126" s="5"/>
      <c r="HL126" s="5"/>
      <c r="HM126" s="5"/>
      <c r="HN126" s="5"/>
      <c r="HO126" s="5"/>
      <c r="HP126" s="5"/>
      <c r="HQ126" s="5"/>
      <c r="HR126" s="5"/>
      <c r="HS126" s="5"/>
      <c r="HT126" s="5"/>
      <c r="HU126" s="5"/>
      <c r="HV126" s="5"/>
      <c r="HW126" s="5"/>
      <c r="HX126" s="5"/>
      <c r="HY126" s="5"/>
      <c r="HZ126" s="5"/>
      <c r="IA126" s="5"/>
      <c r="IB126" s="5"/>
      <c r="IC126" s="5"/>
      <c r="ID126" s="5"/>
      <c r="IE126" s="5"/>
      <c r="IF126" s="5"/>
      <c r="IG126" s="5"/>
      <c r="IH126" s="5"/>
      <c r="II126" s="5"/>
      <c r="IJ126" s="5"/>
      <c r="IK126" s="5"/>
      <c r="IL126" s="5"/>
      <c r="IM126" s="5"/>
      <c r="IN126" s="5"/>
      <c r="IO126" s="5"/>
      <c r="IP126" s="5"/>
      <c r="IQ126" s="5"/>
      <c r="IR126" s="5"/>
      <c r="IS126" s="5"/>
      <c r="IT126" s="5"/>
      <c r="IU126" s="5"/>
      <c r="IV126" s="5"/>
      <c r="IW126" s="5"/>
      <c r="IX126" s="5"/>
      <c r="IY126" s="5"/>
      <c r="IZ126" s="5"/>
      <c r="JA126" s="5"/>
      <c r="JB126" s="5"/>
      <c r="JC126" s="5"/>
      <c r="JD126" s="5"/>
      <c r="JE126" s="5"/>
      <c r="JF126" s="5"/>
      <c r="JG126" s="5"/>
      <c r="JH126" s="5"/>
      <c r="JI126" s="5"/>
      <c r="JJ126" s="5"/>
      <c r="JK126" s="5"/>
      <c r="JL126" s="5"/>
      <c r="JM126" s="5"/>
      <c r="JN126" s="5"/>
      <c r="JO126" s="5"/>
      <c r="JP126" s="5"/>
      <c r="JQ126" s="5"/>
      <c r="JR126" s="5"/>
      <c r="JS126" s="5"/>
      <c r="JT126" s="5"/>
      <c r="JU126" s="5"/>
      <c r="JV126" s="5"/>
      <c r="JW126" s="5"/>
      <c r="JX126" s="5"/>
      <c r="JY126" s="5"/>
      <c r="JZ126" s="5"/>
      <c r="KA126" s="5"/>
      <c r="KB126" s="5"/>
      <c r="KC126" s="5"/>
      <c r="KD126" s="5"/>
      <c r="KE126" s="5"/>
      <c r="KF126" s="5"/>
      <c r="KG126" s="5"/>
      <c r="KH126" s="5"/>
      <c r="KI126" s="5"/>
      <c r="KJ126" s="5"/>
      <c r="KK126" s="5"/>
      <c r="KL126" s="5"/>
      <c r="KM126" s="5"/>
      <c r="KN126" s="5"/>
      <c r="KO126" s="5"/>
      <c r="KP126" s="5"/>
      <c r="KQ126" s="5"/>
      <c r="KR126" s="5"/>
      <c r="KS126" s="5"/>
      <c r="KT126" s="5"/>
      <c r="KU126" s="5"/>
      <c r="KV126" s="5"/>
      <c r="KW126" s="5"/>
      <c r="KX126" s="5"/>
      <c r="KY126" s="5"/>
      <c r="KZ126" s="5"/>
      <c r="LA126" s="5"/>
      <c r="LB126" s="5"/>
      <c r="LC126" s="5"/>
      <c r="LD126" s="5"/>
      <c r="LE126" s="5"/>
      <c r="LF126" s="5"/>
      <c r="LG126" s="5"/>
      <c r="LH126" s="5"/>
      <c r="LI126" s="5"/>
      <c r="LJ126" s="5"/>
      <c r="LK126" s="5"/>
      <c r="LL126" s="5"/>
      <c r="LM126" s="5"/>
      <c r="LN126" s="5"/>
      <c r="LO126" s="5"/>
      <c r="LP126" s="5"/>
      <c r="LQ126" s="5"/>
      <c r="LR126" s="5"/>
      <c r="LS126" s="5"/>
      <c r="LT126" s="5"/>
      <c r="LU126" s="5"/>
      <c r="LV126" s="5"/>
      <c r="LW126" s="5"/>
      <c r="LX126" s="5"/>
      <c r="LY126" s="5"/>
      <c r="LZ126" s="5"/>
      <c r="MA126" s="5"/>
      <c r="MB126" s="5"/>
      <c r="MC126" s="5"/>
      <c r="MD126" s="5"/>
      <c r="ME126" s="5"/>
      <c r="MF126" s="5"/>
      <c r="MG126" s="5"/>
      <c r="MH126" s="5"/>
      <c r="MI126" s="5"/>
      <c r="MJ126" s="5"/>
      <c r="MK126" s="5"/>
      <c r="ML126" s="5"/>
      <c r="MM126" s="5"/>
      <c r="MN126" s="5"/>
      <c r="MO126" s="5"/>
      <c r="MP126" s="5"/>
      <c r="MQ126" s="5"/>
      <c r="MR126" s="5"/>
      <c r="MS126" s="5"/>
      <c r="MT126" s="5"/>
      <c r="MU126" s="5"/>
      <c r="MV126" s="5"/>
      <c r="MW126" s="5"/>
      <c r="MX126" s="5"/>
      <c r="MY126" s="5"/>
      <c r="MZ126" s="5"/>
      <c r="NA126" s="5"/>
      <c r="NB126" s="5"/>
      <c r="NC126" s="5"/>
      <c r="ND126" s="5"/>
      <c r="NE126" s="5"/>
      <c r="NF126" s="5"/>
      <c r="NG126" s="5"/>
      <c r="NH126" s="5"/>
      <c r="NI126" s="5"/>
      <c r="NJ126" s="5"/>
      <c r="NK126" s="5"/>
      <c r="NL126" s="5"/>
      <c r="NM126" s="5"/>
      <c r="NN126" s="5"/>
      <c r="NO126" s="5"/>
      <c r="NP126" s="5"/>
      <c r="NQ126" s="5"/>
      <c r="NR126" s="5"/>
      <c r="NS126" s="5"/>
      <c r="NT126" s="5"/>
      <c r="NU126" s="5"/>
      <c r="NV126" s="5"/>
      <c r="NW126" s="5"/>
      <c r="NX126" s="5"/>
      <c r="NY126" s="5"/>
      <c r="NZ126" s="5"/>
      <c r="OA126" s="5"/>
      <c r="OB126" s="5"/>
      <c r="OC126" s="5"/>
      <c r="OD126" s="5"/>
      <c r="OE126" s="5"/>
      <c r="OF126" s="5"/>
      <c r="OG126" s="5"/>
      <c r="OH126" s="5"/>
      <c r="OI126" s="5"/>
      <c r="OJ126" s="5"/>
      <c r="OK126" s="5"/>
      <c r="OL126" s="5"/>
      <c r="OM126" s="5"/>
      <c r="ON126" s="5"/>
      <c r="OO126" s="5"/>
      <c r="OP126" s="5"/>
      <c r="OQ126" s="5"/>
      <c r="OR126" s="5"/>
      <c r="OS126" s="5"/>
      <c r="OT126" s="5"/>
      <c r="OU126" s="5"/>
      <c r="OV126" s="5"/>
      <c r="OW126" s="5"/>
      <c r="OX126" s="5"/>
      <c r="OY126" s="5"/>
      <c r="OZ126" s="5"/>
      <c r="PA126" s="5"/>
      <c r="PB126" s="5"/>
      <c r="PC126" s="5"/>
      <c r="PD126" s="5"/>
      <c r="PE126" s="5"/>
      <c r="PF126" s="5"/>
      <c r="PG126" s="5"/>
      <c r="PH126" s="5"/>
      <c r="PI126" s="5"/>
      <c r="PJ126" s="5"/>
      <c r="PK126" s="5"/>
      <c r="PL126" s="5"/>
      <c r="PM126" s="5"/>
      <c r="PN126" s="5"/>
      <c r="PO126" s="5"/>
      <c r="PP126" s="5"/>
      <c r="PQ126" s="5"/>
      <c r="PR126" s="5"/>
      <c r="PS126" s="5"/>
      <c r="PT126" s="5"/>
      <c r="PU126" s="5"/>
      <c r="PV126" s="5"/>
      <c r="PW126" s="5"/>
      <c r="PX126" s="5"/>
      <c r="PY126" s="5"/>
      <c r="PZ126" s="5"/>
      <c r="QA126" s="5"/>
      <c r="QB126" s="5"/>
      <c r="QC126" s="5"/>
      <c r="QD126" s="5"/>
      <c r="QE126" s="5"/>
      <c r="QF126" s="5"/>
      <c r="QG126" s="5"/>
      <c r="QH126" s="5"/>
      <c r="QI126" s="5"/>
      <c r="QJ126" s="5"/>
      <c r="QK126" s="5"/>
      <c r="QL126" s="5"/>
      <c r="QM126" s="5"/>
      <c r="QN126" s="5"/>
      <c r="QO126" s="5"/>
      <c r="QP126" s="5"/>
      <c r="QQ126" s="5"/>
      <c r="QR126" s="5"/>
      <c r="QS126" s="5"/>
      <c r="QT126" s="5"/>
      <c r="QU126" s="5"/>
      <c r="QV126" s="5"/>
      <c r="QW126" s="5"/>
      <c r="QX126" s="5"/>
      <c r="QY126" s="5"/>
      <c r="QZ126" s="5"/>
      <c r="RA126" s="5"/>
      <c r="RB126" s="5"/>
      <c r="RC126" s="5"/>
      <c r="RD126" s="5"/>
      <c r="RE126" s="5"/>
      <c r="RF126" s="5"/>
      <c r="RG126" s="5"/>
      <c r="RH126" s="5"/>
      <c r="RI126" s="5"/>
      <c r="RJ126" s="5"/>
      <c r="RK126" s="5"/>
      <c r="RL126" s="5"/>
      <c r="RM126" s="5"/>
      <c r="RN126" s="5"/>
      <c r="RO126" s="5"/>
      <c r="RP126" s="5"/>
      <c r="RQ126" s="5"/>
      <c r="RR126" s="5"/>
      <c r="RS126" s="5"/>
      <c r="RT126" s="5"/>
      <c r="RU126" s="5"/>
      <c r="RV126" s="5"/>
      <c r="RW126" s="5"/>
      <c r="RX126" s="5"/>
      <c r="RY126" s="5"/>
      <c r="RZ126" s="5"/>
      <c r="SA126" s="5"/>
      <c r="SB126" s="5"/>
      <c r="SC126" s="5"/>
      <c r="SD126" s="5"/>
      <c r="SE126" s="5"/>
      <c r="SF126" s="5"/>
      <c r="SG126" s="5"/>
      <c r="SH126" s="5"/>
      <c r="SI126" s="5"/>
      <c r="SJ126" s="5"/>
      <c r="SK126" s="5"/>
      <c r="SL126" s="5"/>
      <c r="SM126" s="5"/>
      <c r="SN126" s="5"/>
      <c r="SO126" s="5"/>
      <c r="SP126" s="5"/>
      <c r="SQ126" s="5"/>
      <c r="SR126" s="5"/>
      <c r="SS126" s="5"/>
      <c r="ST126" s="5"/>
      <c r="SU126" s="5"/>
      <c r="SV126" s="5"/>
      <c r="SW126" s="5"/>
      <c r="SX126" s="5"/>
      <c r="SY126" s="5"/>
      <c r="SZ126" s="5"/>
      <c r="TA126" s="5"/>
      <c r="TB126" s="5"/>
      <c r="TC126" s="5"/>
      <c r="TD126" s="5"/>
      <c r="TE126" s="5"/>
      <c r="TF126" s="5"/>
      <c r="TG126" s="5"/>
      <c r="TH126" s="5"/>
      <c r="TI126" s="5"/>
      <c r="TJ126" s="5"/>
      <c r="TK126" s="5"/>
      <c r="TL126" s="5"/>
      <c r="TM126" s="5"/>
      <c r="TN126" s="5"/>
      <c r="TO126" s="5"/>
      <c r="TP126" s="5"/>
      <c r="TQ126" s="5"/>
      <c r="TR126" s="5"/>
      <c r="TS126" s="5"/>
      <c r="TT126" s="5"/>
      <c r="TU126" s="5"/>
      <c r="TV126" s="5"/>
      <c r="TW126" s="5"/>
      <c r="TX126" s="5"/>
      <c r="TY126" s="5"/>
      <c r="TZ126" s="5"/>
      <c r="UA126" s="5"/>
      <c r="UB126" s="5"/>
      <c r="UC126" s="5"/>
      <c r="UD126" s="5"/>
      <c r="UE126" s="5"/>
      <c r="UF126" s="5"/>
      <c r="UG126" s="5"/>
      <c r="UH126" s="5"/>
      <c r="UI126" s="5"/>
      <c r="UJ126" s="5"/>
      <c r="UK126" s="5"/>
      <c r="UL126" s="5"/>
      <c r="UM126" s="5"/>
      <c r="UN126" s="5"/>
      <c r="UO126" s="5"/>
      <c r="UP126" s="5"/>
      <c r="UQ126" s="5"/>
      <c r="UR126" s="5"/>
      <c r="US126" s="5"/>
      <c r="UT126" s="5"/>
      <c r="UU126" s="5"/>
      <c r="UV126" s="5"/>
      <c r="UW126" s="5"/>
      <c r="UX126" s="5"/>
      <c r="UY126" s="5"/>
      <c r="UZ126" s="5"/>
      <c r="VA126" s="5"/>
      <c r="VB126" s="5"/>
      <c r="VC126" s="5"/>
      <c r="VD126" s="5"/>
      <c r="VE126" s="5"/>
      <c r="VF126" s="5"/>
      <c r="VG126" s="5"/>
      <c r="VH126" s="5"/>
      <c r="VI126" s="5"/>
      <c r="VJ126" s="5"/>
      <c r="VK126" s="5"/>
      <c r="VL126" s="5"/>
      <c r="VM126" s="5"/>
      <c r="VN126" s="5"/>
      <c r="VO126" s="5"/>
      <c r="VP126" s="5"/>
      <c r="VQ126" s="5"/>
      <c r="VR126" s="5"/>
      <c r="VS126" s="5"/>
      <c r="VT126" s="5"/>
      <c r="VU126" s="5"/>
      <c r="VV126" s="5"/>
      <c r="VW126" s="5"/>
      <c r="VX126" s="5"/>
      <c r="VY126" s="5"/>
      <c r="VZ126" s="5"/>
      <c r="WA126" s="5"/>
      <c r="WB126" s="5"/>
      <c r="WC126" s="5"/>
      <c r="WD126" s="5"/>
      <c r="WE126" s="5"/>
      <c r="WF126" s="5"/>
      <c r="WG126" s="5"/>
      <c r="WH126" s="5"/>
      <c r="WI126" s="5"/>
      <c r="WJ126" s="5"/>
      <c r="WK126" s="5"/>
      <c r="WL126" s="5"/>
      <c r="WM126" s="5"/>
      <c r="WN126" s="5"/>
      <c r="WO126" s="5"/>
      <c r="WP126" s="5"/>
      <c r="WQ126" s="5"/>
      <c r="WR126" s="5"/>
      <c r="WS126" s="5"/>
      <c r="WT126" s="5"/>
      <c r="WU126" s="5"/>
      <c r="WV126" s="5"/>
      <c r="WW126" s="5"/>
      <c r="WX126" s="5"/>
      <c r="WY126" s="5"/>
      <c r="WZ126" s="5"/>
      <c r="XA126" s="5"/>
      <c r="XB126" s="5"/>
      <c r="XC126" s="5"/>
      <c r="XD126" s="5"/>
      <c r="XE126" s="5"/>
      <c r="XF126" s="5"/>
      <c r="XG126" s="5"/>
      <c r="XH126" s="5"/>
      <c r="XI126" s="5"/>
      <c r="XJ126" s="5"/>
      <c r="XK126" s="5"/>
      <c r="XL126" s="5"/>
      <c r="XM126" s="5"/>
      <c r="XN126" s="5"/>
      <c r="XO126" s="5"/>
      <c r="XP126" s="5"/>
      <c r="XQ126" s="5"/>
      <c r="XR126" s="5"/>
      <c r="XS126" s="5"/>
      <c r="XT126" s="5"/>
      <c r="XU126" s="5"/>
      <c r="XV126" s="5"/>
      <c r="XW126" s="5"/>
      <c r="XX126" s="5"/>
      <c r="XY126" s="5"/>
      <c r="XZ126" s="5"/>
      <c r="YA126" s="5"/>
      <c r="YB126" s="5"/>
      <c r="YC126" s="5"/>
      <c r="YD126" s="5"/>
      <c r="YE126" s="5"/>
      <c r="YF126" s="5"/>
      <c r="YG126" s="5"/>
      <c r="YH126" s="5"/>
      <c r="YI126" s="5"/>
      <c r="YJ126" s="5"/>
      <c r="YK126" s="5"/>
      <c r="YL126" s="5"/>
      <c r="YM126" s="5"/>
      <c r="YN126" s="5"/>
      <c r="YO126" s="5"/>
      <c r="YP126" s="5"/>
      <c r="YQ126" s="5"/>
      <c r="YR126" s="5"/>
      <c r="YS126" s="5"/>
      <c r="YT126" s="5"/>
      <c r="YU126" s="5"/>
      <c r="YV126" s="5"/>
      <c r="YW126" s="5"/>
      <c r="YX126" s="5"/>
      <c r="YY126" s="5"/>
      <c r="YZ126" s="5"/>
    </row>
    <row r="127" spans="1:676">
      <c r="A127" s="7">
        <v>117</v>
      </c>
      <c r="B127" s="7" t="s">
        <v>308</v>
      </c>
      <c r="C127" s="10" t="s">
        <v>309</v>
      </c>
      <c r="D127" s="7" t="s">
        <v>214</v>
      </c>
      <c r="E127" s="7" t="s">
        <v>71</v>
      </c>
      <c r="F127" s="7" t="s">
        <v>162</v>
      </c>
      <c r="G127" s="7"/>
      <c r="H127" s="7"/>
      <c r="I127" s="11">
        <v>2</v>
      </c>
      <c r="J127" s="11">
        <v>3</v>
      </c>
      <c r="K127" s="11">
        <v>0</v>
      </c>
      <c r="L127" s="11">
        <v>0.6600000000000001</v>
      </c>
      <c r="M127" s="11">
        <v>0</v>
      </c>
      <c r="N127" s="11">
        <v>0</v>
      </c>
      <c r="O127" s="11">
        <v>0.42</v>
      </c>
      <c r="P127" s="11">
        <v>0</v>
      </c>
      <c r="Q127" s="11">
        <v>1.08</v>
      </c>
      <c r="R127" s="11">
        <v>0</v>
      </c>
      <c r="S127" s="11">
        <v>1.08</v>
      </c>
      <c r="T127" s="11">
        <v>1.08</v>
      </c>
      <c r="U127" s="11">
        <v>0</v>
      </c>
      <c r="V127" s="11">
        <v>0</v>
      </c>
      <c r="W127" s="13">
        <v>2</v>
      </c>
      <c r="X127" s="13">
        <v>3</v>
      </c>
      <c r="Y127" s="13" t="str">
        <f>MIN(W127,S127)</f>
        <v>0</v>
      </c>
      <c r="Z127" s="13" t="str">
        <f>MIN(X127,(S127-Y127))</f>
        <v>0</v>
      </c>
      <c r="AA127" s="13" t="str">
        <f>S127-SUM(Y127,Z127)</f>
        <v>0</v>
      </c>
      <c r="AB127" s="15"/>
      <c r="AC127" s="15"/>
      <c r="AD127" s="1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5"/>
      <c r="CF127" s="5"/>
      <c r="CG127" s="5"/>
      <c r="CH127" s="5"/>
      <c r="CI127" s="5"/>
      <c r="CJ127" s="5"/>
      <c r="CK127" s="5"/>
      <c r="CL127" s="5"/>
      <c r="CM127" s="5"/>
      <c r="CN127" s="5"/>
      <c r="CO127" s="5"/>
      <c r="CP127" s="5"/>
      <c r="CQ127" s="5"/>
      <c r="CR127" s="5"/>
      <c r="CS127" s="5"/>
      <c r="CT127" s="5"/>
      <c r="CU127" s="5"/>
      <c r="CV127" s="5"/>
      <c r="CW127" s="5"/>
      <c r="CX127" s="5"/>
      <c r="CY127" s="5"/>
      <c r="CZ127" s="5"/>
      <c r="DA127" s="5"/>
      <c r="DB127" s="5"/>
      <c r="DC127" s="5"/>
      <c r="DD127" s="5"/>
      <c r="DE127" s="5"/>
      <c r="DF127" s="5"/>
      <c r="DG127" s="5"/>
      <c r="DH127" s="5"/>
      <c r="DI127" s="5"/>
      <c r="DJ127" s="5"/>
      <c r="DK127" s="5"/>
      <c r="DL127" s="5"/>
      <c r="DM127" s="5"/>
      <c r="DN127" s="5"/>
      <c r="DO127" s="5"/>
      <c r="DP127" s="5"/>
      <c r="DQ127" s="5"/>
      <c r="DR127" s="5"/>
      <c r="DS127" s="5"/>
      <c r="DT127" s="5"/>
      <c r="DU127" s="5"/>
      <c r="DV127" s="5"/>
      <c r="DW127" s="5"/>
      <c r="DX127" s="5"/>
      <c r="DY127" s="5"/>
      <c r="DZ127" s="5"/>
      <c r="EA127" s="5"/>
      <c r="EB127" s="5"/>
      <c r="EC127" s="5"/>
      <c r="ED127" s="5"/>
      <c r="EE127" s="5"/>
      <c r="EF127" s="5"/>
      <c r="EG127" s="5"/>
      <c r="EH127" s="5"/>
      <c r="EI127" s="5"/>
      <c r="EJ127" s="5"/>
      <c r="EK127" s="5"/>
      <c r="EL127" s="5"/>
      <c r="EM127" s="5"/>
      <c r="EN127" s="5"/>
      <c r="EO127" s="5"/>
      <c r="EP127" s="5"/>
      <c r="EQ127" s="5"/>
      <c r="ER127" s="5"/>
      <c r="ES127" s="5"/>
      <c r="ET127" s="5"/>
      <c r="EU127" s="5"/>
      <c r="EV127" s="5"/>
      <c r="EW127" s="5"/>
      <c r="EX127" s="5"/>
      <c r="EY127" s="5"/>
      <c r="EZ127" s="5"/>
      <c r="FA127" s="5"/>
      <c r="FB127" s="5"/>
      <c r="FC127" s="5"/>
      <c r="FD127" s="5"/>
      <c r="FE127" s="5"/>
      <c r="FF127" s="5"/>
      <c r="FG127" s="5"/>
      <c r="FH127" s="5"/>
      <c r="FI127" s="5"/>
      <c r="FJ127" s="5"/>
      <c r="FK127" s="5"/>
      <c r="FL127" s="5"/>
      <c r="FM127" s="5"/>
      <c r="FN127" s="5"/>
      <c r="FO127" s="5"/>
      <c r="FP127" s="5"/>
      <c r="FQ127" s="5"/>
      <c r="FR127" s="5"/>
      <c r="FS127" s="5"/>
      <c r="FT127" s="5"/>
      <c r="FU127" s="5"/>
      <c r="FV127" s="5"/>
      <c r="FW127" s="5"/>
      <c r="FX127" s="5"/>
      <c r="FY127" s="5"/>
      <c r="FZ127" s="5"/>
      <c r="GA127" s="5"/>
      <c r="GB127" s="5"/>
      <c r="GC127" s="5"/>
      <c r="GD127" s="5"/>
      <c r="GE127" s="5"/>
      <c r="GF127" s="5"/>
      <c r="GG127" s="5"/>
      <c r="GH127" s="5"/>
      <c r="GI127" s="5"/>
      <c r="GJ127" s="5"/>
      <c r="GK127" s="5"/>
      <c r="GL127" s="5"/>
      <c r="GM127" s="5"/>
      <c r="GN127" s="5"/>
      <c r="GO127" s="5"/>
      <c r="GP127" s="5"/>
      <c r="GQ127" s="5"/>
      <c r="GR127" s="5"/>
      <c r="GS127" s="5"/>
      <c r="GT127" s="5"/>
      <c r="GU127" s="5"/>
      <c r="GV127" s="5"/>
      <c r="GW127" s="5"/>
      <c r="GX127" s="5"/>
      <c r="GY127" s="5"/>
      <c r="GZ127" s="5"/>
      <c r="HA127" s="5"/>
      <c r="HB127" s="5"/>
      <c r="HC127" s="5"/>
      <c r="HD127" s="5"/>
      <c r="HE127" s="5"/>
      <c r="HF127" s="5"/>
      <c r="HG127" s="5"/>
      <c r="HH127" s="5"/>
      <c r="HI127" s="5"/>
      <c r="HJ127" s="5"/>
      <c r="HK127" s="5"/>
      <c r="HL127" s="5"/>
      <c r="HM127" s="5"/>
      <c r="HN127" s="5"/>
      <c r="HO127" s="5"/>
      <c r="HP127" s="5"/>
      <c r="HQ127" s="5"/>
      <c r="HR127" s="5"/>
      <c r="HS127" s="5"/>
      <c r="HT127" s="5"/>
      <c r="HU127" s="5"/>
      <c r="HV127" s="5"/>
      <c r="HW127" s="5"/>
      <c r="HX127" s="5"/>
      <c r="HY127" s="5"/>
      <c r="HZ127" s="5"/>
      <c r="IA127" s="5"/>
      <c r="IB127" s="5"/>
      <c r="IC127" s="5"/>
      <c r="ID127" s="5"/>
      <c r="IE127" s="5"/>
      <c r="IF127" s="5"/>
      <c r="IG127" s="5"/>
      <c r="IH127" s="5"/>
      <c r="II127" s="5"/>
      <c r="IJ127" s="5"/>
      <c r="IK127" s="5"/>
      <c r="IL127" s="5"/>
      <c r="IM127" s="5"/>
      <c r="IN127" s="5"/>
      <c r="IO127" s="5"/>
      <c r="IP127" s="5"/>
      <c r="IQ127" s="5"/>
      <c r="IR127" s="5"/>
      <c r="IS127" s="5"/>
      <c r="IT127" s="5"/>
      <c r="IU127" s="5"/>
      <c r="IV127" s="5"/>
      <c r="IW127" s="5"/>
      <c r="IX127" s="5"/>
      <c r="IY127" s="5"/>
      <c r="IZ127" s="5"/>
      <c r="JA127" s="5"/>
      <c r="JB127" s="5"/>
      <c r="JC127" s="5"/>
      <c r="JD127" s="5"/>
      <c r="JE127" s="5"/>
      <c r="JF127" s="5"/>
      <c r="JG127" s="5"/>
      <c r="JH127" s="5"/>
      <c r="JI127" s="5"/>
      <c r="JJ127" s="5"/>
      <c r="JK127" s="5"/>
      <c r="JL127" s="5"/>
      <c r="JM127" s="5"/>
      <c r="JN127" s="5"/>
      <c r="JO127" s="5"/>
      <c r="JP127" s="5"/>
      <c r="JQ127" s="5"/>
      <c r="JR127" s="5"/>
      <c r="JS127" s="5"/>
      <c r="JT127" s="5"/>
      <c r="JU127" s="5"/>
      <c r="JV127" s="5"/>
      <c r="JW127" s="5"/>
      <c r="JX127" s="5"/>
      <c r="JY127" s="5"/>
      <c r="JZ127" s="5"/>
      <c r="KA127" s="5"/>
      <c r="KB127" s="5"/>
      <c r="KC127" s="5"/>
      <c r="KD127" s="5"/>
      <c r="KE127" s="5"/>
      <c r="KF127" s="5"/>
      <c r="KG127" s="5"/>
      <c r="KH127" s="5"/>
      <c r="KI127" s="5"/>
      <c r="KJ127" s="5"/>
      <c r="KK127" s="5"/>
      <c r="KL127" s="5"/>
      <c r="KM127" s="5"/>
      <c r="KN127" s="5"/>
      <c r="KO127" s="5"/>
      <c r="KP127" s="5"/>
      <c r="KQ127" s="5"/>
      <c r="KR127" s="5"/>
      <c r="KS127" s="5"/>
      <c r="KT127" s="5"/>
      <c r="KU127" s="5"/>
      <c r="KV127" s="5"/>
      <c r="KW127" s="5"/>
      <c r="KX127" s="5"/>
      <c r="KY127" s="5"/>
      <c r="KZ127" s="5"/>
      <c r="LA127" s="5"/>
      <c r="LB127" s="5"/>
      <c r="LC127" s="5"/>
      <c r="LD127" s="5"/>
      <c r="LE127" s="5"/>
      <c r="LF127" s="5"/>
      <c r="LG127" s="5"/>
      <c r="LH127" s="5"/>
      <c r="LI127" s="5"/>
      <c r="LJ127" s="5"/>
      <c r="LK127" s="5"/>
      <c r="LL127" s="5"/>
      <c r="LM127" s="5"/>
      <c r="LN127" s="5"/>
      <c r="LO127" s="5"/>
      <c r="LP127" s="5"/>
      <c r="LQ127" s="5"/>
      <c r="LR127" s="5"/>
      <c r="LS127" s="5"/>
      <c r="LT127" s="5"/>
      <c r="LU127" s="5"/>
      <c r="LV127" s="5"/>
      <c r="LW127" s="5"/>
      <c r="LX127" s="5"/>
      <c r="LY127" s="5"/>
      <c r="LZ127" s="5"/>
      <c r="MA127" s="5"/>
      <c r="MB127" s="5"/>
      <c r="MC127" s="5"/>
      <c r="MD127" s="5"/>
      <c r="ME127" s="5"/>
      <c r="MF127" s="5"/>
      <c r="MG127" s="5"/>
      <c r="MH127" s="5"/>
      <c r="MI127" s="5"/>
      <c r="MJ127" s="5"/>
      <c r="MK127" s="5"/>
      <c r="ML127" s="5"/>
      <c r="MM127" s="5"/>
      <c r="MN127" s="5"/>
      <c r="MO127" s="5"/>
      <c r="MP127" s="5"/>
      <c r="MQ127" s="5"/>
      <c r="MR127" s="5"/>
      <c r="MS127" s="5"/>
      <c r="MT127" s="5"/>
      <c r="MU127" s="5"/>
      <c r="MV127" s="5"/>
      <c r="MW127" s="5"/>
      <c r="MX127" s="5"/>
      <c r="MY127" s="5"/>
      <c r="MZ127" s="5"/>
      <c r="NA127" s="5"/>
      <c r="NB127" s="5"/>
      <c r="NC127" s="5"/>
      <c r="ND127" s="5"/>
      <c r="NE127" s="5"/>
      <c r="NF127" s="5"/>
      <c r="NG127" s="5"/>
      <c r="NH127" s="5"/>
      <c r="NI127" s="5"/>
      <c r="NJ127" s="5"/>
      <c r="NK127" s="5"/>
      <c r="NL127" s="5"/>
      <c r="NM127" s="5"/>
      <c r="NN127" s="5"/>
      <c r="NO127" s="5"/>
      <c r="NP127" s="5"/>
      <c r="NQ127" s="5"/>
      <c r="NR127" s="5"/>
      <c r="NS127" s="5"/>
      <c r="NT127" s="5"/>
      <c r="NU127" s="5"/>
      <c r="NV127" s="5"/>
      <c r="NW127" s="5"/>
      <c r="NX127" s="5"/>
      <c r="NY127" s="5"/>
      <c r="NZ127" s="5"/>
      <c r="OA127" s="5"/>
      <c r="OB127" s="5"/>
      <c r="OC127" s="5"/>
      <c r="OD127" s="5"/>
      <c r="OE127" s="5"/>
      <c r="OF127" s="5"/>
      <c r="OG127" s="5"/>
      <c r="OH127" s="5"/>
      <c r="OI127" s="5"/>
      <c r="OJ127" s="5"/>
      <c r="OK127" s="5"/>
      <c r="OL127" s="5"/>
      <c r="OM127" s="5"/>
      <c r="ON127" s="5"/>
      <c r="OO127" s="5"/>
      <c r="OP127" s="5"/>
      <c r="OQ127" s="5"/>
      <c r="OR127" s="5"/>
      <c r="OS127" s="5"/>
      <c r="OT127" s="5"/>
      <c r="OU127" s="5"/>
      <c r="OV127" s="5"/>
      <c r="OW127" s="5"/>
      <c r="OX127" s="5"/>
      <c r="OY127" s="5"/>
      <c r="OZ127" s="5"/>
      <c r="PA127" s="5"/>
      <c r="PB127" s="5"/>
      <c r="PC127" s="5"/>
      <c r="PD127" s="5"/>
      <c r="PE127" s="5"/>
      <c r="PF127" s="5"/>
      <c r="PG127" s="5"/>
      <c r="PH127" s="5"/>
      <c r="PI127" s="5"/>
      <c r="PJ127" s="5"/>
      <c r="PK127" s="5"/>
      <c r="PL127" s="5"/>
      <c r="PM127" s="5"/>
      <c r="PN127" s="5"/>
      <c r="PO127" s="5"/>
      <c r="PP127" s="5"/>
      <c r="PQ127" s="5"/>
      <c r="PR127" s="5"/>
      <c r="PS127" s="5"/>
      <c r="PT127" s="5"/>
      <c r="PU127" s="5"/>
      <c r="PV127" s="5"/>
      <c r="PW127" s="5"/>
      <c r="PX127" s="5"/>
      <c r="PY127" s="5"/>
      <c r="PZ127" s="5"/>
      <c r="QA127" s="5"/>
      <c r="QB127" s="5"/>
      <c r="QC127" s="5"/>
      <c r="QD127" s="5"/>
      <c r="QE127" s="5"/>
      <c r="QF127" s="5"/>
      <c r="QG127" s="5"/>
      <c r="QH127" s="5"/>
      <c r="QI127" s="5"/>
      <c r="QJ127" s="5"/>
      <c r="QK127" s="5"/>
      <c r="QL127" s="5"/>
      <c r="QM127" s="5"/>
      <c r="QN127" s="5"/>
      <c r="QO127" s="5"/>
      <c r="QP127" s="5"/>
      <c r="QQ127" s="5"/>
      <c r="QR127" s="5"/>
      <c r="QS127" s="5"/>
      <c r="QT127" s="5"/>
      <c r="QU127" s="5"/>
      <c r="QV127" s="5"/>
      <c r="QW127" s="5"/>
      <c r="QX127" s="5"/>
      <c r="QY127" s="5"/>
      <c r="QZ127" s="5"/>
      <c r="RA127" s="5"/>
      <c r="RB127" s="5"/>
      <c r="RC127" s="5"/>
      <c r="RD127" s="5"/>
      <c r="RE127" s="5"/>
      <c r="RF127" s="5"/>
      <c r="RG127" s="5"/>
      <c r="RH127" s="5"/>
      <c r="RI127" s="5"/>
      <c r="RJ127" s="5"/>
      <c r="RK127" s="5"/>
      <c r="RL127" s="5"/>
      <c r="RM127" s="5"/>
      <c r="RN127" s="5"/>
      <c r="RO127" s="5"/>
      <c r="RP127" s="5"/>
      <c r="RQ127" s="5"/>
      <c r="RR127" s="5"/>
      <c r="RS127" s="5"/>
      <c r="RT127" s="5"/>
      <c r="RU127" s="5"/>
      <c r="RV127" s="5"/>
      <c r="RW127" s="5"/>
      <c r="RX127" s="5"/>
      <c r="RY127" s="5"/>
      <c r="RZ127" s="5"/>
      <c r="SA127" s="5"/>
      <c r="SB127" s="5"/>
      <c r="SC127" s="5"/>
      <c r="SD127" s="5"/>
      <c r="SE127" s="5"/>
      <c r="SF127" s="5"/>
      <c r="SG127" s="5"/>
      <c r="SH127" s="5"/>
      <c r="SI127" s="5"/>
      <c r="SJ127" s="5"/>
      <c r="SK127" s="5"/>
      <c r="SL127" s="5"/>
      <c r="SM127" s="5"/>
      <c r="SN127" s="5"/>
      <c r="SO127" s="5"/>
      <c r="SP127" s="5"/>
      <c r="SQ127" s="5"/>
      <c r="SR127" s="5"/>
      <c r="SS127" s="5"/>
      <c r="ST127" s="5"/>
      <c r="SU127" s="5"/>
      <c r="SV127" s="5"/>
      <c r="SW127" s="5"/>
      <c r="SX127" s="5"/>
      <c r="SY127" s="5"/>
      <c r="SZ127" s="5"/>
      <c r="TA127" s="5"/>
      <c r="TB127" s="5"/>
      <c r="TC127" s="5"/>
      <c r="TD127" s="5"/>
      <c r="TE127" s="5"/>
      <c r="TF127" s="5"/>
      <c r="TG127" s="5"/>
      <c r="TH127" s="5"/>
      <c r="TI127" s="5"/>
      <c r="TJ127" s="5"/>
      <c r="TK127" s="5"/>
      <c r="TL127" s="5"/>
      <c r="TM127" s="5"/>
      <c r="TN127" s="5"/>
      <c r="TO127" s="5"/>
      <c r="TP127" s="5"/>
      <c r="TQ127" s="5"/>
      <c r="TR127" s="5"/>
      <c r="TS127" s="5"/>
      <c r="TT127" s="5"/>
      <c r="TU127" s="5"/>
      <c r="TV127" s="5"/>
      <c r="TW127" s="5"/>
      <c r="TX127" s="5"/>
      <c r="TY127" s="5"/>
      <c r="TZ127" s="5"/>
      <c r="UA127" s="5"/>
      <c r="UB127" s="5"/>
      <c r="UC127" s="5"/>
      <c r="UD127" s="5"/>
      <c r="UE127" s="5"/>
      <c r="UF127" s="5"/>
      <c r="UG127" s="5"/>
      <c r="UH127" s="5"/>
      <c r="UI127" s="5"/>
      <c r="UJ127" s="5"/>
      <c r="UK127" s="5"/>
      <c r="UL127" s="5"/>
      <c r="UM127" s="5"/>
      <c r="UN127" s="5"/>
      <c r="UO127" s="5"/>
      <c r="UP127" s="5"/>
      <c r="UQ127" s="5"/>
      <c r="UR127" s="5"/>
      <c r="US127" s="5"/>
      <c r="UT127" s="5"/>
      <c r="UU127" s="5"/>
      <c r="UV127" s="5"/>
      <c r="UW127" s="5"/>
      <c r="UX127" s="5"/>
      <c r="UY127" s="5"/>
      <c r="UZ127" s="5"/>
      <c r="VA127" s="5"/>
      <c r="VB127" s="5"/>
      <c r="VC127" s="5"/>
      <c r="VD127" s="5"/>
      <c r="VE127" s="5"/>
      <c r="VF127" s="5"/>
      <c r="VG127" s="5"/>
      <c r="VH127" s="5"/>
      <c r="VI127" s="5"/>
      <c r="VJ127" s="5"/>
      <c r="VK127" s="5"/>
      <c r="VL127" s="5"/>
      <c r="VM127" s="5"/>
      <c r="VN127" s="5"/>
      <c r="VO127" s="5"/>
      <c r="VP127" s="5"/>
      <c r="VQ127" s="5"/>
      <c r="VR127" s="5"/>
      <c r="VS127" s="5"/>
      <c r="VT127" s="5"/>
      <c r="VU127" s="5"/>
      <c r="VV127" s="5"/>
      <c r="VW127" s="5"/>
      <c r="VX127" s="5"/>
      <c r="VY127" s="5"/>
      <c r="VZ127" s="5"/>
      <c r="WA127" s="5"/>
      <c r="WB127" s="5"/>
      <c r="WC127" s="5"/>
      <c r="WD127" s="5"/>
      <c r="WE127" s="5"/>
      <c r="WF127" s="5"/>
      <c r="WG127" s="5"/>
      <c r="WH127" s="5"/>
      <c r="WI127" s="5"/>
      <c r="WJ127" s="5"/>
      <c r="WK127" s="5"/>
      <c r="WL127" s="5"/>
      <c r="WM127" s="5"/>
      <c r="WN127" s="5"/>
      <c r="WO127" s="5"/>
      <c r="WP127" s="5"/>
      <c r="WQ127" s="5"/>
      <c r="WR127" s="5"/>
      <c r="WS127" s="5"/>
      <c r="WT127" s="5"/>
      <c r="WU127" s="5"/>
      <c r="WV127" s="5"/>
      <c r="WW127" s="5"/>
      <c r="WX127" s="5"/>
      <c r="WY127" s="5"/>
      <c r="WZ127" s="5"/>
      <c r="XA127" s="5"/>
      <c r="XB127" s="5"/>
      <c r="XC127" s="5"/>
      <c r="XD127" s="5"/>
      <c r="XE127" s="5"/>
      <c r="XF127" s="5"/>
      <c r="XG127" s="5"/>
      <c r="XH127" s="5"/>
      <c r="XI127" s="5"/>
      <c r="XJ127" s="5"/>
      <c r="XK127" s="5"/>
      <c r="XL127" s="5"/>
      <c r="XM127" s="5"/>
      <c r="XN127" s="5"/>
      <c r="XO127" s="5"/>
      <c r="XP127" s="5"/>
      <c r="XQ127" s="5"/>
      <c r="XR127" s="5"/>
      <c r="XS127" s="5"/>
      <c r="XT127" s="5"/>
      <c r="XU127" s="5"/>
      <c r="XV127" s="5"/>
      <c r="XW127" s="5"/>
      <c r="XX127" s="5"/>
      <c r="XY127" s="5"/>
      <c r="XZ127" s="5"/>
      <c r="YA127" s="5"/>
      <c r="YB127" s="5"/>
      <c r="YC127" s="5"/>
      <c r="YD127" s="5"/>
      <c r="YE127" s="5"/>
      <c r="YF127" s="5"/>
      <c r="YG127" s="5"/>
      <c r="YH127" s="5"/>
      <c r="YI127" s="5"/>
      <c r="YJ127" s="5"/>
      <c r="YK127" s="5"/>
      <c r="YL127" s="5"/>
      <c r="YM127" s="5"/>
      <c r="YN127" s="5"/>
      <c r="YO127" s="5"/>
      <c r="YP127" s="5"/>
      <c r="YQ127" s="5"/>
      <c r="YR127" s="5"/>
      <c r="YS127" s="5"/>
      <c r="YT127" s="5"/>
      <c r="YU127" s="5"/>
      <c r="YV127" s="5"/>
      <c r="YW127" s="5"/>
      <c r="YX127" s="5"/>
      <c r="YY127" s="5"/>
      <c r="YZ127" s="5"/>
    </row>
    <row r="128" spans="1:676">
      <c r="A128" s="7">
        <v>118</v>
      </c>
      <c r="B128" s="7" t="s">
        <v>310</v>
      </c>
      <c r="C128" s="10" t="s">
        <v>311</v>
      </c>
      <c r="D128" s="7" t="s">
        <v>60</v>
      </c>
      <c r="E128" s="7" t="s">
        <v>120</v>
      </c>
      <c r="F128" s="7" t="s">
        <v>162</v>
      </c>
      <c r="G128" s="7"/>
      <c r="H128" s="7" t="s">
        <v>43</v>
      </c>
      <c r="I128" s="11">
        <v>2</v>
      </c>
      <c r="J128" s="11">
        <v>3</v>
      </c>
      <c r="K128" s="11">
        <v>0</v>
      </c>
      <c r="L128" s="11">
        <v>2.16</v>
      </c>
      <c r="M128" s="11">
        <v>0.16</v>
      </c>
      <c r="N128" s="11">
        <v>0</v>
      </c>
      <c r="O128" s="11">
        <v>0.36</v>
      </c>
      <c r="P128" s="11">
        <v>0.83</v>
      </c>
      <c r="Q128" s="11">
        <v>3.51</v>
      </c>
      <c r="R128" s="11">
        <v>0</v>
      </c>
      <c r="S128" s="11">
        <v>3.51</v>
      </c>
      <c r="T128" s="11">
        <v>2</v>
      </c>
      <c r="U128" s="11">
        <v>1.51</v>
      </c>
      <c r="V128" s="11">
        <v>0</v>
      </c>
      <c r="W128" s="13">
        <v>2</v>
      </c>
      <c r="X128" s="13">
        <v>3</v>
      </c>
      <c r="Y128" s="13" t="str">
        <f>MIN(W128,S128)</f>
        <v>0</v>
      </c>
      <c r="Z128" s="13" t="str">
        <f>MIN(X128,(S128-Y128))</f>
        <v>0</v>
      </c>
      <c r="AA128" s="13" t="str">
        <f>S128-SUM(Y128,Z128)</f>
        <v>0</v>
      </c>
      <c r="AB128" s="15"/>
      <c r="AC128" s="15"/>
      <c r="AD128" s="1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  <c r="CG128" s="5"/>
      <c r="CH128" s="5"/>
      <c r="CI128" s="5"/>
      <c r="CJ128" s="5"/>
      <c r="CK128" s="5"/>
      <c r="CL128" s="5"/>
      <c r="CM128" s="5"/>
      <c r="CN128" s="5"/>
      <c r="CO128" s="5"/>
      <c r="CP128" s="5"/>
      <c r="CQ128" s="5"/>
      <c r="CR128" s="5"/>
      <c r="CS128" s="5"/>
      <c r="CT128" s="5"/>
      <c r="CU128" s="5"/>
      <c r="CV128" s="5"/>
      <c r="CW128" s="5"/>
      <c r="CX128" s="5"/>
      <c r="CY128" s="5"/>
      <c r="CZ128" s="5"/>
      <c r="DA128" s="5"/>
      <c r="DB128" s="5"/>
      <c r="DC128" s="5"/>
      <c r="DD128" s="5"/>
      <c r="DE128" s="5"/>
      <c r="DF128" s="5"/>
      <c r="DG128" s="5"/>
      <c r="DH128" s="5"/>
      <c r="DI128" s="5"/>
      <c r="DJ128" s="5"/>
      <c r="DK128" s="5"/>
      <c r="DL128" s="5"/>
      <c r="DM128" s="5"/>
      <c r="DN128" s="5"/>
      <c r="DO128" s="5"/>
      <c r="DP128" s="5"/>
      <c r="DQ128" s="5"/>
      <c r="DR128" s="5"/>
      <c r="DS128" s="5"/>
      <c r="DT128" s="5"/>
      <c r="DU128" s="5"/>
      <c r="DV128" s="5"/>
      <c r="DW128" s="5"/>
      <c r="DX128" s="5"/>
      <c r="DY128" s="5"/>
      <c r="DZ128" s="5"/>
      <c r="EA128" s="5"/>
      <c r="EB128" s="5"/>
      <c r="EC128" s="5"/>
      <c r="ED128" s="5"/>
      <c r="EE128" s="5"/>
      <c r="EF128" s="5"/>
      <c r="EG128" s="5"/>
      <c r="EH128" s="5"/>
      <c r="EI128" s="5"/>
      <c r="EJ128" s="5"/>
      <c r="EK128" s="5"/>
      <c r="EL128" s="5"/>
      <c r="EM128" s="5"/>
      <c r="EN128" s="5"/>
      <c r="EO128" s="5"/>
      <c r="EP128" s="5"/>
      <c r="EQ128" s="5"/>
      <c r="ER128" s="5"/>
      <c r="ES128" s="5"/>
      <c r="ET128" s="5"/>
      <c r="EU128" s="5"/>
      <c r="EV128" s="5"/>
      <c r="EW128" s="5"/>
      <c r="EX128" s="5"/>
      <c r="EY128" s="5"/>
      <c r="EZ128" s="5"/>
      <c r="FA128" s="5"/>
      <c r="FB128" s="5"/>
      <c r="FC128" s="5"/>
      <c r="FD128" s="5"/>
      <c r="FE128" s="5"/>
      <c r="FF128" s="5"/>
      <c r="FG128" s="5"/>
      <c r="FH128" s="5"/>
      <c r="FI128" s="5"/>
      <c r="FJ128" s="5"/>
      <c r="FK128" s="5"/>
      <c r="FL128" s="5"/>
      <c r="FM128" s="5"/>
      <c r="FN128" s="5"/>
      <c r="FO128" s="5"/>
      <c r="FP128" s="5"/>
      <c r="FQ128" s="5"/>
      <c r="FR128" s="5"/>
      <c r="FS128" s="5"/>
      <c r="FT128" s="5"/>
      <c r="FU128" s="5"/>
      <c r="FV128" s="5"/>
      <c r="FW128" s="5"/>
      <c r="FX128" s="5"/>
      <c r="FY128" s="5"/>
      <c r="FZ128" s="5"/>
      <c r="GA128" s="5"/>
      <c r="GB128" s="5"/>
      <c r="GC128" s="5"/>
      <c r="GD128" s="5"/>
      <c r="GE128" s="5"/>
      <c r="GF128" s="5"/>
      <c r="GG128" s="5"/>
      <c r="GH128" s="5"/>
      <c r="GI128" s="5"/>
      <c r="GJ128" s="5"/>
      <c r="GK128" s="5"/>
      <c r="GL128" s="5"/>
      <c r="GM128" s="5"/>
      <c r="GN128" s="5"/>
      <c r="GO128" s="5"/>
      <c r="GP128" s="5"/>
      <c r="GQ128" s="5"/>
      <c r="GR128" s="5"/>
      <c r="GS128" s="5"/>
      <c r="GT128" s="5"/>
      <c r="GU128" s="5"/>
      <c r="GV128" s="5"/>
      <c r="GW128" s="5"/>
      <c r="GX128" s="5"/>
      <c r="GY128" s="5"/>
      <c r="GZ128" s="5"/>
      <c r="HA128" s="5"/>
      <c r="HB128" s="5"/>
      <c r="HC128" s="5"/>
      <c r="HD128" s="5"/>
      <c r="HE128" s="5"/>
      <c r="HF128" s="5"/>
      <c r="HG128" s="5"/>
      <c r="HH128" s="5"/>
      <c r="HI128" s="5"/>
      <c r="HJ128" s="5"/>
      <c r="HK128" s="5"/>
      <c r="HL128" s="5"/>
      <c r="HM128" s="5"/>
      <c r="HN128" s="5"/>
      <c r="HO128" s="5"/>
      <c r="HP128" s="5"/>
      <c r="HQ128" s="5"/>
      <c r="HR128" s="5"/>
      <c r="HS128" s="5"/>
      <c r="HT128" s="5"/>
      <c r="HU128" s="5"/>
      <c r="HV128" s="5"/>
      <c r="HW128" s="5"/>
      <c r="HX128" s="5"/>
      <c r="HY128" s="5"/>
      <c r="HZ128" s="5"/>
      <c r="IA128" s="5"/>
      <c r="IB128" s="5"/>
      <c r="IC128" s="5"/>
      <c r="ID128" s="5"/>
      <c r="IE128" s="5"/>
      <c r="IF128" s="5"/>
      <c r="IG128" s="5"/>
      <c r="IH128" s="5"/>
      <c r="II128" s="5"/>
      <c r="IJ128" s="5"/>
      <c r="IK128" s="5"/>
      <c r="IL128" s="5"/>
      <c r="IM128" s="5"/>
      <c r="IN128" s="5"/>
      <c r="IO128" s="5"/>
      <c r="IP128" s="5"/>
      <c r="IQ128" s="5"/>
      <c r="IR128" s="5"/>
      <c r="IS128" s="5"/>
      <c r="IT128" s="5"/>
      <c r="IU128" s="5"/>
      <c r="IV128" s="5"/>
      <c r="IW128" s="5"/>
      <c r="IX128" s="5"/>
      <c r="IY128" s="5"/>
      <c r="IZ128" s="5"/>
      <c r="JA128" s="5"/>
      <c r="JB128" s="5"/>
      <c r="JC128" s="5"/>
      <c r="JD128" s="5"/>
      <c r="JE128" s="5"/>
      <c r="JF128" s="5"/>
      <c r="JG128" s="5"/>
      <c r="JH128" s="5"/>
      <c r="JI128" s="5"/>
      <c r="JJ128" s="5"/>
      <c r="JK128" s="5"/>
      <c r="JL128" s="5"/>
      <c r="JM128" s="5"/>
      <c r="JN128" s="5"/>
      <c r="JO128" s="5"/>
      <c r="JP128" s="5"/>
      <c r="JQ128" s="5"/>
      <c r="JR128" s="5"/>
      <c r="JS128" s="5"/>
      <c r="JT128" s="5"/>
      <c r="JU128" s="5"/>
      <c r="JV128" s="5"/>
      <c r="JW128" s="5"/>
      <c r="JX128" s="5"/>
      <c r="JY128" s="5"/>
      <c r="JZ128" s="5"/>
      <c r="KA128" s="5"/>
      <c r="KB128" s="5"/>
      <c r="KC128" s="5"/>
      <c r="KD128" s="5"/>
      <c r="KE128" s="5"/>
      <c r="KF128" s="5"/>
      <c r="KG128" s="5"/>
      <c r="KH128" s="5"/>
      <c r="KI128" s="5"/>
      <c r="KJ128" s="5"/>
      <c r="KK128" s="5"/>
      <c r="KL128" s="5"/>
      <c r="KM128" s="5"/>
      <c r="KN128" s="5"/>
      <c r="KO128" s="5"/>
      <c r="KP128" s="5"/>
      <c r="KQ128" s="5"/>
      <c r="KR128" s="5"/>
      <c r="KS128" s="5"/>
      <c r="KT128" s="5"/>
      <c r="KU128" s="5"/>
      <c r="KV128" s="5"/>
      <c r="KW128" s="5"/>
      <c r="KX128" s="5"/>
      <c r="KY128" s="5"/>
      <c r="KZ128" s="5"/>
      <c r="LA128" s="5"/>
      <c r="LB128" s="5"/>
      <c r="LC128" s="5"/>
      <c r="LD128" s="5"/>
      <c r="LE128" s="5"/>
      <c r="LF128" s="5"/>
      <c r="LG128" s="5"/>
      <c r="LH128" s="5"/>
      <c r="LI128" s="5"/>
      <c r="LJ128" s="5"/>
      <c r="LK128" s="5"/>
      <c r="LL128" s="5"/>
      <c r="LM128" s="5"/>
      <c r="LN128" s="5"/>
      <c r="LO128" s="5"/>
      <c r="LP128" s="5"/>
      <c r="LQ128" s="5"/>
      <c r="LR128" s="5"/>
      <c r="LS128" s="5"/>
      <c r="LT128" s="5"/>
      <c r="LU128" s="5"/>
      <c r="LV128" s="5"/>
      <c r="LW128" s="5"/>
      <c r="LX128" s="5"/>
      <c r="LY128" s="5"/>
      <c r="LZ128" s="5"/>
      <c r="MA128" s="5"/>
      <c r="MB128" s="5"/>
      <c r="MC128" s="5"/>
      <c r="MD128" s="5"/>
      <c r="ME128" s="5"/>
      <c r="MF128" s="5"/>
      <c r="MG128" s="5"/>
      <c r="MH128" s="5"/>
      <c r="MI128" s="5"/>
      <c r="MJ128" s="5"/>
      <c r="MK128" s="5"/>
      <c r="ML128" s="5"/>
      <c r="MM128" s="5"/>
      <c r="MN128" s="5"/>
      <c r="MO128" s="5"/>
      <c r="MP128" s="5"/>
      <c r="MQ128" s="5"/>
      <c r="MR128" s="5"/>
      <c r="MS128" s="5"/>
      <c r="MT128" s="5"/>
      <c r="MU128" s="5"/>
      <c r="MV128" s="5"/>
      <c r="MW128" s="5"/>
      <c r="MX128" s="5"/>
      <c r="MY128" s="5"/>
      <c r="MZ128" s="5"/>
      <c r="NA128" s="5"/>
      <c r="NB128" s="5"/>
      <c r="NC128" s="5"/>
      <c r="ND128" s="5"/>
      <c r="NE128" s="5"/>
      <c r="NF128" s="5"/>
      <c r="NG128" s="5"/>
      <c r="NH128" s="5"/>
      <c r="NI128" s="5"/>
      <c r="NJ128" s="5"/>
      <c r="NK128" s="5"/>
      <c r="NL128" s="5"/>
      <c r="NM128" s="5"/>
      <c r="NN128" s="5"/>
      <c r="NO128" s="5"/>
      <c r="NP128" s="5"/>
      <c r="NQ128" s="5"/>
      <c r="NR128" s="5"/>
      <c r="NS128" s="5"/>
      <c r="NT128" s="5"/>
      <c r="NU128" s="5"/>
      <c r="NV128" s="5"/>
      <c r="NW128" s="5"/>
      <c r="NX128" s="5"/>
      <c r="NY128" s="5"/>
      <c r="NZ128" s="5"/>
      <c r="OA128" s="5"/>
      <c r="OB128" s="5"/>
      <c r="OC128" s="5"/>
      <c r="OD128" s="5"/>
      <c r="OE128" s="5"/>
      <c r="OF128" s="5"/>
      <c r="OG128" s="5"/>
      <c r="OH128" s="5"/>
      <c r="OI128" s="5"/>
      <c r="OJ128" s="5"/>
      <c r="OK128" s="5"/>
      <c r="OL128" s="5"/>
      <c r="OM128" s="5"/>
      <c r="ON128" s="5"/>
      <c r="OO128" s="5"/>
      <c r="OP128" s="5"/>
      <c r="OQ128" s="5"/>
      <c r="OR128" s="5"/>
      <c r="OS128" s="5"/>
      <c r="OT128" s="5"/>
      <c r="OU128" s="5"/>
      <c r="OV128" s="5"/>
      <c r="OW128" s="5"/>
      <c r="OX128" s="5"/>
      <c r="OY128" s="5"/>
      <c r="OZ128" s="5"/>
      <c r="PA128" s="5"/>
      <c r="PB128" s="5"/>
      <c r="PC128" s="5"/>
      <c r="PD128" s="5"/>
      <c r="PE128" s="5"/>
      <c r="PF128" s="5"/>
      <c r="PG128" s="5"/>
      <c r="PH128" s="5"/>
      <c r="PI128" s="5"/>
      <c r="PJ128" s="5"/>
      <c r="PK128" s="5"/>
      <c r="PL128" s="5"/>
      <c r="PM128" s="5"/>
      <c r="PN128" s="5"/>
      <c r="PO128" s="5"/>
      <c r="PP128" s="5"/>
      <c r="PQ128" s="5"/>
      <c r="PR128" s="5"/>
      <c r="PS128" s="5"/>
      <c r="PT128" s="5"/>
      <c r="PU128" s="5"/>
      <c r="PV128" s="5"/>
      <c r="PW128" s="5"/>
      <c r="PX128" s="5"/>
      <c r="PY128" s="5"/>
      <c r="PZ128" s="5"/>
      <c r="QA128" s="5"/>
      <c r="QB128" s="5"/>
      <c r="QC128" s="5"/>
      <c r="QD128" s="5"/>
      <c r="QE128" s="5"/>
      <c r="QF128" s="5"/>
      <c r="QG128" s="5"/>
      <c r="QH128" s="5"/>
      <c r="QI128" s="5"/>
      <c r="QJ128" s="5"/>
      <c r="QK128" s="5"/>
      <c r="QL128" s="5"/>
      <c r="QM128" s="5"/>
      <c r="QN128" s="5"/>
      <c r="QO128" s="5"/>
      <c r="QP128" s="5"/>
      <c r="QQ128" s="5"/>
      <c r="QR128" s="5"/>
      <c r="QS128" s="5"/>
      <c r="QT128" s="5"/>
      <c r="QU128" s="5"/>
      <c r="QV128" s="5"/>
      <c r="QW128" s="5"/>
      <c r="QX128" s="5"/>
      <c r="QY128" s="5"/>
      <c r="QZ128" s="5"/>
      <c r="RA128" s="5"/>
      <c r="RB128" s="5"/>
      <c r="RC128" s="5"/>
      <c r="RD128" s="5"/>
      <c r="RE128" s="5"/>
      <c r="RF128" s="5"/>
      <c r="RG128" s="5"/>
      <c r="RH128" s="5"/>
      <c r="RI128" s="5"/>
      <c r="RJ128" s="5"/>
      <c r="RK128" s="5"/>
      <c r="RL128" s="5"/>
      <c r="RM128" s="5"/>
      <c r="RN128" s="5"/>
      <c r="RO128" s="5"/>
      <c r="RP128" s="5"/>
      <c r="RQ128" s="5"/>
      <c r="RR128" s="5"/>
      <c r="RS128" s="5"/>
      <c r="RT128" s="5"/>
      <c r="RU128" s="5"/>
      <c r="RV128" s="5"/>
      <c r="RW128" s="5"/>
      <c r="RX128" s="5"/>
      <c r="RY128" s="5"/>
      <c r="RZ128" s="5"/>
      <c r="SA128" s="5"/>
      <c r="SB128" s="5"/>
      <c r="SC128" s="5"/>
      <c r="SD128" s="5"/>
      <c r="SE128" s="5"/>
      <c r="SF128" s="5"/>
      <c r="SG128" s="5"/>
      <c r="SH128" s="5"/>
      <c r="SI128" s="5"/>
      <c r="SJ128" s="5"/>
      <c r="SK128" s="5"/>
      <c r="SL128" s="5"/>
      <c r="SM128" s="5"/>
      <c r="SN128" s="5"/>
      <c r="SO128" s="5"/>
      <c r="SP128" s="5"/>
      <c r="SQ128" s="5"/>
      <c r="SR128" s="5"/>
      <c r="SS128" s="5"/>
      <c r="ST128" s="5"/>
      <c r="SU128" s="5"/>
      <c r="SV128" s="5"/>
      <c r="SW128" s="5"/>
      <c r="SX128" s="5"/>
      <c r="SY128" s="5"/>
      <c r="SZ128" s="5"/>
      <c r="TA128" s="5"/>
      <c r="TB128" s="5"/>
      <c r="TC128" s="5"/>
      <c r="TD128" s="5"/>
      <c r="TE128" s="5"/>
      <c r="TF128" s="5"/>
      <c r="TG128" s="5"/>
      <c r="TH128" s="5"/>
      <c r="TI128" s="5"/>
      <c r="TJ128" s="5"/>
      <c r="TK128" s="5"/>
      <c r="TL128" s="5"/>
      <c r="TM128" s="5"/>
      <c r="TN128" s="5"/>
      <c r="TO128" s="5"/>
      <c r="TP128" s="5"/>
      <c r="TQ128" s="5"/>
      <c r="TR128" s="5"/>
      <c r="TS128" s="5"/>
      <c r="TT128" s="5"/>
      <c r="TU128" s="5"/>
      <c r="TV128" s="5"/>
      <c r="TW128" s="5"/>
      <c r="TX128" s="5"/>
      <c r="TY128" s="5"/>
      <c r="TZ128" s="5"/>
      <c r="UA128" s="5"/>
      <c r="UB128" s="5"/>
      <c r="UC128" s="5"/>
      <c r="UD128" s="5"/>
      <c r="UE128" s="5"/>
      <c r="UF128" s="5"/>
      <c r="UG128" s="5"/>
      <c r="UH128" s="5"/>
      <c r="UI128" s="5"/>
      <c r="UJ128" s="5"/>
      <c r="UK128" s="5"/>
      <c r="UL128" s="5"/>
      <c r="UM128" s="5"/>
      <c r="UN128" s="5"/>
      <c r="UO128" s="5"/>
      <c r="UP128" s="5"/>
      <c r="UQ128" s="5"/>
      <c r="UR128" s="5"/>
      <c r="US128" s="5"/>
      <c r="UT128" s="5"/>
      <c r="UU128" s="5"/>
      <c r="UV128" s="5"/>
      <c r="UW128" s="5"/>
      <c r="UX128" s="5"/>
      <c r="UY128" s="5"/>
      <c r="UZ128" s="5"/>
      <c r="VA128" s="5"/>
      <c r="VB128" s="5"/>
      <c r="VC128" s="5"/>
      <c r="VD128" s="5"/>
      <c r="VE128" s="5"/>
      <c r="VF128" s="5"/>
      <c r="VG128" s="5"/>
      <c r="VH128" s="5"/>
      <c r="VI128" s="5"/>
      <c r="VJ128" s="5"/>
      <c r="VK128" s="5"/>
      <c r="VL128" s="5"/>
      <c r="VM128" s="5"/>
      <c r="VN128" s="5"/>
      <c r="VO128" s="5"/>
      <c r="VP128" s="5"/>
      <c r="VQ128" s="5"/>
      <c r="VR128" s="5"/>
      <c r="VS128" s="5"/>
      <c r="VT128" s="5"/>
      <c r="VU128" s="5"/>
      <c r="VV128" s="5"/>
      <c r="VW128" s="5"/>
      <c r="VX128" s="5"/>
      <c r="VY128" s="5"/>
      <c r="VZ128" s="5"/>
      <c r="WA128" s="5"/>
      <c r="WB128" s="5"/>
      <c r="WC128" s="5"/>
      <c r="WD128" s="5"/>
      <c r="WE128" s="5"/>
      <c r="WF128" s="5"/>
      <c r="WG128" s="5"/>
      <c r="WH128" s="5"/>
      <c r="WI128" s="5"/>
      <c r="WJ128" s="5"/>
      <c r="WK128" s="5"/>
      <c r="WL128" s="5"/>
      <c r="WM128" s="5"/>
      <c r="WN128" s="5"/>
      <c r="WO128" s="5"/>
      <c r="WP128" s="5"/>
      <c r="WQ128" s="5"/>
      <c r="WR128" s="5"/>
      <c r="WS128" s="5"/>
      <c r="WT128" s="5"/>
      <c r="WU128" s="5"/>
      <c r="WV128" s="5"/>
      <c r="WW128" s="5"/>
      <c r="WX128" s="5"/>
      <c r="WY128" s="5"/>
      <c r="WZ128" s="5"/>
      <c r="XA128" s="5"/>
      <c r="XB128" s="5"/>
      <c r="XC128" s="5"/>
      <c r="XD128" s="5"/>
      <c r="XE128" s="5"/>
      <c r="XF128" s="5"/>
      <c r="XG128" s="5"/>
      <c r="XH128" s="5"/>
      <c r="XI128" s="5"/>
      <c r="XJ128" s="5"/>
      <c r="XK128" s="5"/>
      <c r="XL128" s="5"/>
      <c r="XM128" s="5"/>
      <c r="XN128" s="5"/>
      <c r="XO128" s="5"/>
      <c r="XP128" s="5"/>
      <c r="XQ128" s="5"/>
      <c r="XR128" s="5"/>
      <c r="XS128" s="5"/>
      <c r="XT128" s="5"/>
      <c r="XU128" s="5"/>
      <c r="XV128" s="5"/>
      <c r="XW128" s="5"/>
      <c r="XX128" s="5"/>
      <c r="XY128" s="5"/>
      <c r="XZ128" s="5"/>
      <c r="YA128" s="5"/>
      <c r="YB128" s="5"/>
      <c r="YC128" s="5"/>
      <c r="YD128" s="5"/>
      <c r="YE128" s="5"/>
      <c r="YF128" s="5"/>
      <c r="YG128" s="5"/>
      <c r="YH128" s="5"/>
      <c r="YI128" s="5"/>
      <c r="YJ128" s="5"/>
      <c r="YK128" s="5"/>
      <c r="YL128" s="5"/>
      <c r="YM128" s="5"/>
      <c r="YN128" s="5"/>
      <c r="YO128" s="5"/>
      <c r="YP128" s="5"/>
      <c r="YQ128" s="5"/>
      <c r="YR128" s="5"/>
      <c r="YS128" s="5"/>
      <c r="YT128" s="5"/>
      <c r="YU128" s="5"/>
      <c r="YV128" s="5"/>
      <c r="YW128" s="5"/>
      <c r="YX128" s="5"/>
      <c r="YY128" s="5"/>
      <c r="YZ128" s="5"/>
    </row>
    <row r="129" spans="1:676">
      <c r="A129" s="7">
        <v>119</v>
      </c>
      <c r="B129" s="7" t="s">
        <v>312</v>
      </c>
      <c r="C129" s="10" t="s">
        <v>313</v>
      </c>
      <c r="D129" s="7" t="s">
        <v>152</v>
      </c>
      <c r="E129" s="7" t="s">
        <v>71</v>
      </c>
      <c r="F129" s="7" t="s">
        <v>162</v>
      </c>
      <c r="G129" s="7"/>
      <c r="H129" s="7" t="s">
        <v>43</v>
      </c>
      <c r="I129" s="11">
        <v>2</v>
      </c>
      <c r="J129" s="11">
        <v>3</v>
      </c>
      <c r="K129" s="11">
        <v>0</v>
      </c>
      <c r="L129" s="11">
        <v>1.05</v>
      </c>
      <c r="M129" s="11">
        <v>0.16</v>
      </c>
      <c r="N129" s="11">
        <v>0</v>
      </c>
      <c r="O129" s="11">
        <v>0.18</v>
      </c>
      <c r="P129" s="11">
        <v>0.83</v>
      </c>
      <c r="Q129" s="11">
        <v>2.220000000000001</v>
      </c>
      <c r="R129" s="11">
        <v>0</v>
      </c>
      <c r="S129" s="11">
        <v>2.220000000000001</v>
      </c>
      <c r="T129" s="11">
        <v>2</v>
      </c>
      <c r="U129" s="11">
        <v>0.2200000000000006</v>
      </c>
      <c r="V129" s="11">
        <v>0</v>
      </c>
      <c r="W129" s="13">
        <v>2</v>
      </c>
      <c r="X129" s="13">
        <v>3</v>
      </c>
      <c r="Y129" s="13" t="str">
        <f>MIN(W129,S129)</f>
        <v>0</v>
      </c>
      <c r="Z129" s="13" t="str">
        <f>MIN(X129,(S129-Y129))</f>
        <v>0</v>
      </c>
      <c r="AA129" s="13" t="str">
        <f>S129-SUM(Y129,Z129)</f>
        <v>0</v>
      </c>
      <c r="AB129" s="15"/>
      <c r="AC129" s="15"/>
      <c r="AD129" s="1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5"/>
      <c r="CD129" s="5"/>
      <c r="CE129" s="5"/>
      <c r="CF129" s="5"/>
      <c r="CG129" s="5"/>
      <c r="CH129" s="5"/>
      <c r="CI129" s="5"/>
      <c r="CJ129" s="5"/>
      <c r="CK129" s="5"/>
      <c r="CL129" s="5"/>
      <c r="CM129" s="5"/>
      <c r="CN129" s="5"/>
      <c r="CO129" s="5"/>
      <c r="CP129" s="5"/>
      <c r="CQ129" s="5"/>
      <c r="CR129" s="5"/>
      <c r="CS129" s="5"/>
      <c r="CT129" s="5"/>
      <c r="CU129" s="5"/>
      <c r="CV129" s="5"/>
      <c r="CW129" s="5"/>
      <c r="CX129" s="5"/>
      <c r="CY129" s="5"/>
      <c r="CZ129" s="5"/>
      <c r="DA129" s="5"/>
      <c r="DB129" s="5"/>
      <c r="DC129" s="5"/>
      <c r="DD129" s="5"/>
      <c r="DE129" s="5"/>
      <c r="DF129" s="5"/>
      <c r="DG129" s="5"/>
      <c r="DH129" s="5"/>
      <c r="DI129" s="5"/>
      <c r="DJ129" s="5"/>
      <c r="DK129" s="5"/>
      <c r="DL129" s="5"/>
      <c r="DM129" s="5"/>
      <c r="DN129" s="5"/>
      <c r="DO129" s="5"/>
      <c r="DP129" s="5"/>
      <c r="DQ129" s="5"/>
      <c r="DR129" s="5"/>
      <c r="DS129" s="5"/>
      <c r="DT129" s="5"/>
      <c r="DU129" s="5"/>
      <c r="DV129" s="5"/>
      <c r="DW129" s="5"/>
      <c r="DX129" s="5"/>
      <c r="DY129" s="5"/>
      <c r="DZ129" s="5"/>
      <c r="EA129" s="5"/>
      <c r="EB129" s="5"/>
      <c r="EC129" s="5"/>
      <c r="ED129" s="5"/>
      <c r="EE129" s="5"/>
      <c r="EF129" s="5"/>
      <c r="EG129" s="5"/>
      <c r="EH129" s="5"/>
      <c r="EI129" s="5"/>
      <c r="EJ129" s="5"/>
      <c r="EK129" s="5"/>
      <c r="EL129" s="5"/>
      <c r="EM129" s="5"/>
      <c r="EN129" s="5"/>
      <c r="EO129" s="5"/>
      <c r="EP129" s="5"/>
      <c r="EQ129" s="5"/>
      <c r="ER129" s="5"/>
      <c r="ES129" s="5"/>
      <c r="ET129" s="5"/>
      <c r="EU129" s="5"/>
      <c r="EV129" s="5"/>
      <c r="EW129" s="5"/>
      <c r="EX129" s="5"/>
      <c r="EY129" s="5"/>
      <c r="EZ129" s="5"/>
      <c r="FA129" s="5"/>
      <c r="FB129" s="5"/>
      <c r="FC129" s="5"/>
      <c r="FD129" s="5"/>
      <c r="FE129" s="5"/>
      <c r="FF129" s="5"/>
      <c r="FG129" s="5"/>
      <c r="FH129" s="5"/>
      <c r="FI129" s="5"/>
      <c r="FJ129" s="5"/>
      <c r="FK129" s="5"/>
      <c r="FL129" s="5"/>
      <c r="FM129" s="5"/>
      <c r="FN129" s="5"/>
      <c r="FO129" s="5"/>
      <c r="FP129" s="5"/>
      <c r="FQ129" s="5"/>
      <c r="FR129" s="5"/>
      <c r="FS129" s="5"/>
      <c r="FT129" s="5"/>
      <c r="FU129" s="5"/>
      <c r="FV129" s="5"/>
      <c r="FW129" s="5"/>
      <c r="FX129" s="5"/>
      <c r="FY129" s="5"/>
      <c r="FZ129" s="5"/>
      <c r="GA129" s="5"/>
      <c r="GB129" s="5"/>
      <c r="GC129" s="5"/>
      <c r="GD129" s="5"/>
      <c r="GE129" s="5"/>
      <c r="GF129" s="5"/>
      <c r="GG129" s="5"/>
      <c r="GH129" s="5"/>
      <c r="GI129" s="5"/>
      <c r="GJ129" s="5"/>
      <c r="GK129" s="5"/>
      <c r="GL129" s="5"/>
      <c r="GM129" s="5"/>
      <c r="GN129" s="5"/>
      <c r="GO129" s="5"/>
      <c r="GP129" s="5"/>
      <c r="GQ129" s="5"/>
      <c r="GR129" s="5"/>
      <c r="GS129" s="5"/>
      <c r="GT129" s="5"/>
      <c r="GU129" s="5"/>
      <c r="GV129" s="5"/>
      <c r="GW129" s="5"/>
      <c r="GX129" s="5"/>
      <c r="GY129" s="5"/>
      <c r="GZ129" s="5"/>
      <c r="HA129" s="5"/>
      <c r="HB129" s="5"/>
      <c r="HC129" s="5"/>
      <c r="HD129" s="5"/>
      <c r="HE129" s="5"/>
      <c r="HF129" s="5"/>
      <c r="HG129" s="5"/>
      <c r="HH129" s="5"/>
      <c r="HI129" s="5"/>
      <c r="HJ129" s="5"/>
      <c r="HK129" s="5"/>
      <c r="HL129" s="5"/>
      <c r="HM129" s="5"/>
      <c r="HN129" s="5"/>
      <c r="HO129" s="5"/>
      <c r="HP129" s="5"/>
      <c r="HQ129" s="5"/>
      <c r="HR129" s="5"/>
      <c r="HS129" s="5"/>
      <c r="HT129" s="5"/>
      <c r="HU129" s="5"/>
      <c r="HV129" s="5"/>
      <c r="HW129" s="5"/>
      <c r="HX129" s="5"/>
      <c r="HY129" s="5"/>
      <c r="HZ129" s="5"/>
      <c r="IA129" s="5"/>
      <c r="IB129" s="5"/>
      <c r="IC129" s="5"/>
      <c r="ID129" s="5"/>
      <c r="IE129" s="5"/>
      <c r="IF129" s="5"/>
      <c r="IG129" s="5"/>
      <c r="IH129" s="5"/>
      <c r="II129" s="5"/>
      <c r="IJ129" s="5"/>
      <c r="IK129" s="5"/>
      <c r="IL129" s="5"/>
      <c r="IM129" s="5"/>
      <c r="IN129" s="5"/>
      <c r="IO129" s="5"/>
      <c r="IP129" s="5"/>
      <c r="IQ129" s="5"/>
      <c r="IR129" s="5"/>
      <c r="IS129" s="5"/>
      <c r="IT129" s="5"/>
      <c r="IU129" s="5"/>
      <c r="IV129" s="5"/>
      <c r="IW129" s="5"/>
      <c r="IX129" s="5"/>
      <c r="IY129" s="5"/>
      <c r="IZ129" s="5"/>
      <c r="JA129" s="5"/>
      <c r="JB129" s="5"/>
      <c r="JC129" s="5"/>
      <c r="JD129" s="5"/>
      <c r="JE129" s="5"/>
      <c r="JF129" s="5"/>
      <c r="JG129" s="5"/>
      <c r="JH129" s="5"/>
      <c r="JI129" s="5"/>
      <c r="JJ129" s="5"/>
      <c r="JK129" s="5"/>
      <c r="JL129" s="5"/>
      <c r="JM129" s="5"/>
      <c r="JN129" s="5"/>
      <c r="JO129" s="5"/>
      <c r="JP129" s="5"/>
      <c r="JQ129" s="5"/>
      <c r="JR129" s="5"/>
      <c r="JS129" s="5"/>
      <c r="JT129" s="5"/>
      <c r="JU129" s="5"/>
      <c r="JV129" s="5"/>
      <c r="JW129" s="5"/>
      <c r="JX129" s="5"/>
      <c r="JY129" s="5"/>
      <c r="JZ129" s="5"/>
      <c r="KA129" s="5"/>
      <c r="KB129" s="5"/>
      <c r="KC129" s="5"/>
      <c r="KD129" s="5"/>
      <c r="KE129" s="5"/>
      <c r="KF129" s="5"/>
      <c r="KG129" s="5"/>
      <c r="KH129" s="5"/>
      <c r="KI129" s="5"/>
      <c r="KJ129" s="5"/>
      <c r="KK129" s="5"/>
      <c r="KL129" s="5"/>
      <c r="KM129" s="5"/>
      <c r="KN129" s="5"/>
      <c r="KO129" s="5"/>
      <c r="KP129" s="5"/>
      <c r="KQ129" s="5"/>
      <c r="KR129" s="5"/>
      <c r="KS129" s="5"/>
      <c r="KT129" s="5"/>
      <c r="KU129" s="5"/>
      <c r="KV129" s="5"/>
      <c r="KW129" s="5"/>
      <c r="KX129" s="5"/>
      <c r="KY129" s="5"/>
      <c r="KZ129" s="5"/>
      <c r="LA129" s="5"/>
      <c r="LB129" s="5"/>
      <c r="LC129" s="5"/>
      <c r="LD129" s="5"/>
      <c r="LE129" s="5"/>
      <c r="LF129" s="5"/>
      <c r="LG129" s="5"/>
      <c r="LH129" s="5"/>
      <c r="LI129" s="5"/>
      <c r="LJ129" s="5"/>
      <c r="LK129" s="5"/>
      <c r="LL129" s="5"/>
      <c r="LM129" s="5"/>
      <c r="LN129" s="5"/>
      <c r="LO129" s="5"/>
      <c r="LP129" s="5"/>
      <c r="LQ129" s="5"/>
      <c r="LR129" s="5"/>
      <c r="LS129" s="5"/>
      <c r="LT129" s="5"/>
      <c r="LU129" s="5"/>
      <c r="LV129" s="5"/>
      <c r="LW129" s="5"/>
      <c r="LX129" s="5"/>
      <c r="LY129" s="5"/>
      <c r="LZ129" s="5"/>
      <c r="MA129" s="5"/>
      <c r="MB129" s="5"/>
      <c r="MC129" s="5"/>
      <c r="MD129" s="5"/>
      <c r="ME129" s="5"/>
      <c r="MF129" s="5"/>
      <c r="MG129" s="5"/>
      <c r="MH129" s="5"/>
      <c r="MI129" s="5"/>
      <c r="MJ129" s="5"/>
      <c r="MK129" s="5"/>
      <c r="ML129" s="5"/>
      <c r="MM129" s="5"/>
      <c r="MN129" s="5"/>
      <c r="MO129" s="5"/>
      <c r="MP129" s="5"/>
      <c r="MQ129" s="5"/>
      <c r="MR129" s="5"/>
      <c r="MS129" s="5"/>
      <c r="MT129" s="5"/>
      <c r="MU129" s="5"/>
      <c r="MV129" s="5"/>
      <c r="MW129" s="5"/>
      <c r="MX129" s="5"/>
      <c r="MY129" s="5"/>
      <c r="MZ129" s="5"/>
      <c r="NA129" s="5"/>
      <c r="NB129" s="5"/>
      <c r="NC129" s="5"/>
      <c r="ND129" s="5"/>
      <c r="NE129" s="5"/>
      <c r="NF129" s="5"/>
      <c r="NG129" s="5"/>
      <c r="NH129" s="5"/>
      <c r="NI129" s="5"/>
      <c r="NJ129" s="5"/>
      <c r="NK129" s="5"/>
      <c r="NL129" s="5"/>
      <c r="NM129" s="5"/>
      <c r="NN129" s="5"/>
      <c r="NO129" s="5"/>
      <c r="NP129" s="5"/>
      <c r="NQ129" s="5"/>
      <c r="NR129" s="5"/>
      <c r="NS129" s="5"/>
      <c r="NT129" s="5"/>
      <c r="NU129" s="5"/>
      <c r="NV129" s="5"/>
      <c r="NW129" s="5"/>
      <c r="NX129" s="5"/>
      <c r="NY129" s="5"/>
      <c r="NZ129" s="5"/>
      <c r="OA129" s="5"/>
      <c r="OB129" s="5"/>
      <c r="OC129" s="5"/>
      <c r="OD129" s="5"/>
      <c r="OE129" s="5"/>
      <c r="OF129" s="5"/>
      <c r="OG129" s="5"/>
      <c r="OH129" s="5"/>
      <c r="OI129" s="5"/>
      <c r="OJ129" s="5"/>
      <c r="OK129" s="5"/>
      <c r="OL129" s="5"/>
      <c r="OM129" s="5"/>
      <c r="ON129" s="5"/>
      <c r="OO129" s="5"/>
      <c r="OP129" s="5"/>
      <c r="OQ129" s="5"/>
      <c r="OR129" s="5"/>
      <c r="OS129" s="5"/>
      <c r="OT129" s="5"/>
      <c r="OU129" s="5"/>
      <c r="OV129" s="5"/>
      <c r="OW129" s="5"/>
      <c r="OX129" s="5"/>
      <c r="OY129" s="5"/>
      <c r="OZ129" s="5"/>
      <c r="PA129" s="5"/>
      <c r="PB129" s="5"/>
      <c r="PC129" s="5"/>
      <c r="PD129" s="5"/>
      <c r="PE129" s="5"/>
      <c r="PF129" s="5"/>
      <c r="PG129" s="5"/>
      <c r="PH129" s="5"/>
      <c r="PI129" s="5"/>
      <c r="PJ129" s="5"/>
      <c r="PK129" s="5"/>
      <c r="PL129" s="5"/>
      <c r="PM129" s="5"/>
      <c r="PN129" s="5"/>
      <c r="PO129" s="5"/>
      <c r="PP129" s="5"/>
      <c r="PQ129" s="5"/>
      <c r="PR129" s="5"/>
      <c r="PS129" s="5"/>
      <c r="PT129" s="5"/>
      <c r="PU129" s="5"/>
      <c r="PV129" s="5"/>
      <c r="PW129" s="5"/>
      <c r="PX129" s="5"/>
      <c r="PY129" s="5"/>
      <c r="PZ129" s="5"/>
      <c r="QA129" s="5"/>
      <c r="QB129" s="5"/>
      <c r="QC129" s="5"/>
      <c r="QD129" s="5"/>
      <c r="QE129" s="5"/>
      <c r="QF129" s="5"/>
      <c r="QG129" s="5"/>
      <c r="QH129" s="5"/>
      <c r="QI129" s="5"/>
      <c r="QJ129" s="5"/>
      <c r="QK129" s="5"/>
      <c r="QL129" s="5"/>
      <c r="QM129" s="5"/>
      <c r="QN129" s="5"/>
      <c r="QO129" s="5"/>
      <c r="QP129" s="5"/>
      <c r="QQ129" s="5"/>
      <c r="QR129" s="5"/>
      <c r="QS129" s="5"/>
      <c r="QT129" s="5"/>
      <c r="QU129" s="5"/>
      <c r="QV129" s="5"/>
      <c r="QW129" s="5"/>
      <c r="QX129" s="5"/>
      <c r="QY129" s="5"/>
      <c r="QZ129" s="5"/>
      <c r="RA129" s="5"/>
      <c r="RB129" s="5"/>
      <c r="RC129" s="5"/>
      <c r="RD129" s="5"/>
      <c r="RE129" s="5"/>
      <c r="RF129" s="5"/>
      <c r="RG129" s="5"/>
      <c r="RH129" s="5"/>
      <c r="RI129" s="5"/>
      <c r="RJ129" s="5"/>
      <c r="RK129" s="5"/>
      <c r="RL129" s="5"/>
      <c r="RM129" s="5"/>
      <c r="RN129" s="5"/>
      <c r="RO129" s="5"/>
      <c r="RP129" s="5"/>
      <c r="RQ129" s="5"/>
      <c r="RR129" s="5"/>
      <c r="RS129" s="5"/>
      <c r="RT129" s="5"/>
      <c r="RU129" s="5"/>
      <c r="RV129" s="5"/>
      <c r="RW129" s="5"/>
      <c r="RX129" s="5"/>
      <c r="RY129" s="5"/>
      <c r="RZ129" s="5"/>
      <c r="SA129" s="5"/>
      <c r="SB129" s="5"/>
      <c r="SC129" s="5"/>
      <c r="SD129" s="5"/>
      <c r="SE129" s="5"/>
      <c r="SF129" s="5"/>
      <c r="SG129" s="5"/>
      <c r="SH129" s="5"/>
      <c r="SI129" s="5"/>
      <c r="SJ129" s="5"/>
      <c r="SK129" s="5"/>
      <c r="SL129" s="5"/>
      <c r="SM129" s="5"/>
      <c r="SN129" s="5"/>
      <c r="SO129" s="5"/>
      <c r="SP129" s="5"/>
      <c r="SQ129" s="5"/>
      <c r="SR129" s="5"/>
      <c r="SS129" s="5"/>
      <c r="ST129" s="5"/>
      <c r="SU129" s="5"/>
      <c r="SV129" s="5"/>
      <c r="SW129" s="5"/>
      <c r="SX129" s="5"/>
      <c r="SY129" s="5"/>
      <c r="SZ129" s="5"/>
      <c r="TA129" s="5"/>
      <c r="TB129" s="5"/>
      <c r="TC129" s="5"/>
      <c r="TD129" s="5"/>
      <c r="TE129" s="5"/>
      <c r="TF129" s="5"/>
      <c r="TG129" s="5"/>
      <c r="TH129" s="5"/>
      <c r="TI129" s="5"/>
      <c r="TJ129" s="5"/>
      <c r="TK129" s="5"/>
      <c r="TL129" s="5"/>
      <c r="TM129" s="5"/>
      <c r="TN129" s="5"/>
      <c r="TO129" s="5"/>
      <c r="TP129" s="5"/>
      <c r="TQ129" s="5"/>
      <c r="TR129" s="5"/>
      <c r="TS129" s="5"/>
      <c r="TT129" s="5"/>
      <c r="TU129" s="5"/>
      <c r="TV129" s="5"/>
      <c r="TW129" s="5"/>
      <c r="TX129" s="5"/>
      <c r="TY129" s="5"/>
      <c r="TZ129" s="5"/>
      <c r="UA129" s="5"/>
      <c r="UB129" s="5"/>
      <c r="UC129" s="5"/>
      <c r="UD129" s="5"/>
      <c r="UE129" s="5"/>
      <c r="UF129" s="5"/>
      <c r="UG129" s="5"/>
      <c r="UH129" s="5"/>
      <c r="UI129" s="5"/>
      <c r="UJ129" s="5"/>
      <c r="UK129" s="5"/>
      <c r="UL129" s="5"/>
      <c r="UM129" s="5"/>
      <c r="UN129" s="5"/>
      <c r="UO129" s="5"/>
      <c r="UP129" s="5"/>
      <c r="UQ129" s="5"/>
      <c r="UR129" s="5"/>
      <c r="US129" s="5"/>
      <c r="UT129" s="5"/>
      <c r="UU129" s="5"/>
      <c r="UV129" s="5"/>
      <c r="UW129" s="5"/>
      <c r="UX129" s="5"/>
      <c r="UY129" s="5"/>
      <c r="UZ129" s="5"/>
      <c r="VA129" s="5"/>
      <c r="VB129" s="5"/>
      <c r="VC129" s="5"/>
      <c r="VD129" s="5"/>
      <c r="VE129" s="5"/>
      <c r="VF129" s="5"/>
      <c r="VG129" s="5"/>
      <c r="VH129" s="5"/>
      <c r="VI129" s="5"/>
      <c r="VJ129" s="5"/>
      <c r="VK129" s="5"/>
      <c r="VL129" s="5"/>
      <c r="VM129" s="5"/>
      <c r="VN129" s="5"/>
      <c r="VO129" s="5"/>
      <c r="VP129" s="5"/>
      <c r="VQ129" s="5"/>
      <c r="VR129" s="5"/>
      <c r="VS129" s="5"/>
      <c r="VT129" s="5"/>
      <c r="VU129" s="5"/>
      <c r="VV129" s="5"/>
      <c r="VW129" s="5"/>
      <c r="VX129" s="5"/>
      <c r="VY129" s="5"/>
      <c r="VZ129" s="5"/>
      <c r="WA129" s="5"/>
      <c r="WB129" s="5"/>
      <c r="WC129" s="5"/>
      <c r="WD129" s="5"/>
      <c r="WE129" s="5"/>
      <c r="WF129" s="5"/>
      <c r="WG129" s="5"/>
      <c r="WH129" s="5"/>
      <c r="WI129" s="5"/>
      <c r="WJ129" s="5"/>
      <c r="WK129" s="5"/>
      <c r="WL129" s="5"/>
      <c r="WM129" s="5"/>
      <c r="WN129" s="5"/>
      <c r="WO129" s="5"/>
      <c r="WP129" s="5"/>
      <c r="WQ129" s="5"/>
      <c r="WR129" s="5"/>
      <c r="WS129" s="5"/>
      <c r="WT129" s="5"/>
      <c r="WU129" s="5"/>
      <c r="WV129" s="5"/>
      <c r="WW129" s="5"/>
      <c r="WX129" s="5"/>
      <c r="WY129" s="5"/>
      <c r="WZ129" s="5"/>
      <c r="XA129" s="5"/>
      <c r="XB129" s="5"/>
      <c r="XC129" s="5"/>
      <c r="XD129" s="5"/>
      <c r="XE129" s="5"/>
      <c r="XF129" s="5"/>
      <c r="XG129" s="5"/>
      <c r="XH129" s="5"/>
      <c r="XI129" s="5"/>
      <c r="XJ129" s="5"/>
      <c r="XK129" s="5"/>
      <c r="XL129" s="5"/>
      <c r="XM129" s="5"/>
      <c r="XN129" s="5"/>
      <c r="XO129" s="5"/>
      <c r="XP129" s="5"/>
      <c r="XQ129" s="5"/>
      <c r="XR129" s="5"/>
      <c r="XS129" s="5"/>
      <c r="XT129" s="5"/>
      <c r="XU129" s="5"/>
      <c r="XV129" s="5"/>
      <c r="XW129" s="5"/>
      <c r="XX129" s="5"/>
      <c r="XY129" s="5"/>
      <c r="XZ129" s="5"/>
      <c r="YA129" s="5"/>
      <c r="YB129" s="5"/>
      <c r="YC129" s="5"/>
      <c r="YD129" s="5"/>
      <c r="YE129" s="5"/>
      <c r="YF129" s="5"/>
      <c r="YG129" s="5"/>
      <c r="YH129" s="5"/>
      <c r="YI129" s="5"/>
      <c r="YJ129" s="5"/>
      <c r="YK129" s="5"/>
      <c r="YL129" s="5"/>
      <c r="YM129" s="5"/>
      <c r="YN129" s="5"/>
      <c r="YO129" s="5"/>
      <c r="YP129" s="5"/>
      <c r="YQ129" s="5"/>
      <c r="YR129" s="5"/>
      <c r="YS129" s="5"/>
      <c r="YT129" s="5"/>
      <c r="YU129" s="5"/>
      <c r="YV129" s="5"/>
      <c r="YW129" s="5"/>
      <c r="YX129" s="5"/>
      <c r="YY129" s="5"/>
      <c r="YZ129" s="5"/>
    </row>
    <row r="130" spans="1:676">
      <c r="A130" s="7">
        <v>120</v>
      </c>
      <c r="B130" s="7" t="s">
        <v>314</v>
      </c>
      <c r="C130" s="10" t="s">
        <v>315</v>
      </c>
      <c r="D130" s="7" t="s">
        <v>214</v>
      </c>
      <c r="E130" s="7" t="s">
        <v>120</v>
      </c>
      <c r="F130" s="7" t="s">
        <v>162</v>
      </c>
      <c r="G130" s="7"/>
      <c r="H130" s="7" t="s">
        <v>43</v>
      </c>
      <c r="I130" s="11">
        <v>2</v>
      </c>
      <c r="J130" s="11">
        <v>3</v>
      </c>
      <c r="K130" s="11">
        <v>0</v>
      </c>
      <c r="L130" s="11">
        <v>0</v>
      </c>
      <c r="M130" s="11">
        <v>0</v>
      </c>
      <c r="N130" s="11">
        <v>0</v>
      </c>
      <c r="O130" s="11">
        <v>0</v>
      </c>
      <c r="P130" s="11">
        <v>0</v>
      </c>
      <c r="Q130" s="11">
        <v>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13">
        <v>2</v>
      </c>
      <c r="X130" s="13">
        <v>3</v>
      </c>
      <c r="Y130" s="13" t="str">
        <f>MIN(W130,S130)</f>
        <v>0</v>
      </c>
      <c r="Z130" s="13" t="str">
        <f>MIN(X130,(S130-Y130))</f>
        <v>0</v>
      </c>
      <c r="AA130" s="13" t="str">
        <f>S130-SUM(Y130,Z130)</f>
        <v>0</v>
      </c>
      <c r="AB130" s="15"/>
      <c r="AC130" s="15"/>
      <c r="AD130" s="1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S130" s="5"/>
      <c r="CT130" s="5"/>
      <c r="CU130" s="5"/>
      <c r="CV130" s="5"/>
      <c r="CW130" s="5"/>
      <c r="CX130" s="5"/>
      <c r="CY130" s="5"/>
      <c r="CZ130" s="5"/>
      <c r="DA130" s="5"/>
      <c r="DB130" s="5"/>
      <c r="DC130" s="5"/>
      <c r="DD130" s="5"/>
      <c r="DE130" s="5"/>
      <c r="DF130" s="5"/>
      <c r="DG130" s="5"/>
      <c r="DH130" s="5"/>
      <c r="DI130" s="5"/>
      <c r="DJ130" s="5"/>
      <c r="DK130" s="5"/>
      <c r="DL130" s="5"/>
      <c r="DM130" s="5"/>
      <c r="DN130" s="5"/>
      <c r="DO130" s="5"/>
      <c r="DP130" s="5"/>
      <c r="DQ130" s="5"/>
      <c r="DR130" s="5"/>
      <c r="DS130" s="5"/>
      <c r="DT130" s="5"/>
      <c r="DU130" s="5"/>
      <c r="DV130" s="5"/>
      <c r="DW130" s="5"/>
      <c r="DX130" s="5"/>
      <c r="DY130" s="5"/>
      <c r="DZ130" s="5"/>
      <c r="EA130" s="5"/>
      <c r="EB130" s="5"/>
      <c r="EC130" s="5"/>
      <c r="ED130" s="5"/>
      <c r="EE130" s="5"/>
      <c r="EF130" s="5"/>
      <c r="EG130" s="5"/>
      <c r="EH130" s="5"/>
      <c r="EI130" s="5"/>
      <c r="EJ130" s="5"/>
      <c r="EK130" s="5"/>
      <c r="EL130" s="5"/>
      <c r="EM130" s="5"/>
      <c r="EN130" s="5"/>
      <c r="EO130" s="5"/>
      <c r="EP130" s="5"/>
      <c r="EQ130" s="5"/>
      <c r="ER130" s="5"/>
      <c r="ES130" s="5"/>
      <c r="ET130" s="5"/>
      <c r="EU130" s="5"/>
      <c r="EV130" s="5"/>
      <c r="EW130" s="5"/>
      <c r="EX130" s="5"/>
      <c r="EY130" s="5"/>
      <c r="EZ130" s="5"/>
      <c r="FA130" s="5"/>
      <c r="FB130" s="5"/>
      <c r="FC130" s="5"/>
      <c r="FD130" s="5"/>
      <c r="FE130" s="5"/>
      <c r="FF130" s="5"/>
      <c r="FG130" s="5"/>
      <c r="FH130" s="5"/>
      <c r="FI130" s="5"/>
      <c r="FJ130" s="5"/>
      <c r="FK130" s="5"/>
      <c r="FL130" s="5"/>
      <c r="FM130" s="5"/>
      <c r="FN130" s="5"/>
      <c r="FO130" s="5"/>
      <c r="FP130" s="5"/>
      <c r="FQ130" s="5"/>
      <c r="FR130" s="5"/>
      <c r="FS130" s="5"/>
      <c r="FT130" s="5"/>
      <c r="FU130" s="5"/>
      <c r="FV130" s="5"/>
      <c r="FW130" s="5"/>
      <c r="FX130" s="5"/>
      <c r="FY130" s="5"/>
      <c r="FZ130" s="5"/>
      <c r="GA130" s="5"/>
      <c r="GB130" s="5"/>
      <c r="GC130" s="5"/>
      <c r="GD130" s="5"/>
      <c r="GE130" s="5"/>
      <c r="GF130" s="5"/>
      <c r="GG130" s="5"/>
      <c r="GH130" s="5"/>
      <c r="GI130" s="5"/>
      <c r="GJ130" s="5"/>
      <c r="GK130" s="5"/>
      <c r="GL130" s="5"/>
      <c r="GM130" s="5"/>
      <c r="GN130" s="5"/>
      <c r="GO130" s="5"/>
      <c r="GP130" s="5"/>
      <c r="GQ130" s="5"/>
      <c r="GR130" s="5"/>
      <c r="GS130" s="5"/>
      <c r="GT130" s="5"/>
      <c r="GU130" s="5"/>
      <c r="GV130" s="5"/>
      <c r="GW130" s="5"/>
      <c r="GX130" s="5"/>
      <c r="GY130" s="5"/>
      <c r="GZ130" s="5"/>
      <c r="HA130" s="5"/>
      <c r="HB130" s="5"/>
      <c r="HC130" s="5"/>
      <c r="HD130" s="5"/>
      <c r="HE130" s="5"/>
      <c r="HF130" s="5"/>
      <c r="HG130" s="5"/>
      <c r="HH130" s="5"/>
      <c r="HI130" s="5"/>
      <c r="HJ130" s="5"/>
      <c r="HK130" s="5"/>
      <c r="HL130" s="5"/>
      <c r="HM130" s="5"/>
      <c r="HN130" s="5"/>
      <c r="HO130" s="5"/>
      <c r="HP130" s="5"/>
      <c r="HQ130" s="5"/>
      <c r="HR130" s="5"/>
      <c r="HS130" s="5"/>
      <c r="HT130" s="5"/>
      <c r="HU130" s="5"/>
      <c r="HV130" s="5"/>
      <c r="HW130" s="5"/>
      <c r="HX130" s="5"/>
      <c r="HY130" s="5"/>
      <c r="HZ130" s="5"/>
      <c r="IA130" s="5"/>
      <c r="IB130" s="5"/>
      <c r="IC130" s="5"/>
      <c r="ID130" s="5"/>
      <c r="IE130" s="5"/>
      <c r="IF130" s="5"/>
      <c r="IG130" s="5"/>
      <c r="IH130" s="5"/>
      <c r="II130" s="5"/>
      <c r="IJ130" s="5"/>
      <c r="IK130" s="5"/>
      <c r="IL130" s="5"/>
      <c r="IM130" s="5"/>
      <c r="IN130" s="5"/>
      <c r="IO130" s="5"/>
      <c r="IP130" s="5"/>
      <c r="IQ130" s="5"/>
      <c r="IR130" s="5"/>
      <c r="IS130" s="5"/>
      <c r="IT130" s="5"/>
      <c r="IU130" s="5"/>
      <c r="IV130" s="5"/>
      <c r="IW130" s="5"/>
      <c r="IX130" s="5"/>
      <c r="IY130" s="5"/>
      <c r="IZ130" s="5"/>
      <c r="JA130" s="5"/>
      <c r="JB130" s="5"/>
      <c r="JC130" s="5"/>
      <c r="JD130" s="5"/>
      <c r="JE130" s="5"/>
      <c r="JF130" s="5"/>
      <c r="JG130" s="5"/>
      <c r="JH130" s="5"/>
      <c r="JI130" s="5"/>
      <c r="JJ130" s="5"/>
      <c r="JK130" s="5"/>
      <c r="JL130" s="5"/>
      <c r="JM130" s="5"/>
      <c r="JN130" s="5"/>
      <c r="JO130" s="5"/>
      <c r="JP130" s="5"/>
      <c r="JQ130" s="5"/>
      <c r="JR130" s="5"/>
      <c r="JS130" s="5"/>
      <c r="JT130" s="5"/>
      <c r="JU130" s="5"/>
      <c r="JV130" s="5"/>
      <c r="JW130" s="5"/>
      <c r="JX130" s="5"/>
      <c r="JY130" s="5"/>
      <c r="JZ130" s="5"/>
      <c r="KA130" s="5"/>
      <c r="KB130" s="5"/>
      <c r="KC130" s="5"/>
      <c r="KD130" s="5"/>
      <c r="KE130" s="5"/>
      <c r="KF130" s="5"/>
      <c r="KG130" s="5"/>
      <c r="KH130" s="5"/>
      <c r="KI130" s="5"/>
      <c r="KJ130" s="5"/>
      <c r="KK130" s="5"/>
      <c r="KL130" s="5"/>
      <c r="KM130" s="5"/>
      <c r="KN130" s="5"/>
      <c r="KO130" s="5"/>
      <c r="KP130" s="5"/>
      <c r="KQ130" s="5"/>
      <c r="KR130" s="5"/>
      <c r="KS130" s="5"/>
      <c r="KT130" s="5"/>
      <c r="KU130" s="5"/>
      <c r="KV130" s="5"/>
      <c r="KW130" s="5"/>
      <c r="KX130" s="5"/>
      <c r="KY130" s="5"/>
      <c r="KZ130" s="5"/>
      <c r="LA130" s="5"/>
      <c r="LB130" s="5"/>
      <c r="LC130" s="5"/>
      <c r="LD130" s="5"/>
      <c r="LE130" s="5"/>
      <c r="LF130" s="5"/>
      <c r="LG130" s="5"/>
      <c r="LH130" s="5"/>
      <c r="LI130" s="5"/>
      <c r="LJ130" s="5"/>
      <c r="LK130" s="5"/>
      <c r="LL130" s="5"/>
      <c r="LM130" s="5"/>
      <c r="LN130" s="5"/>
      <c r="LO130" s="5"/>
      <c r="LP130" s="5"/>
      <c r="LQ130" s="5"/>
      <c r="LR130" s="5"/>
      <c r="LS130" s="5"/>
      <c r="LT130" s="5"/>
      <c r="LU130" s="5"/>
      <c r="LV130" s="5"/>
      <c r="LW130" s="5"/>
      <c r="LX130" s="5"/>
      <c r="LY130" s="5"/>
      <c r="LZ130" s="5"/>
      <c r="MA130" s="5"/>
      <c r="MB130" s="5"/>
      <c r="MC130" s="5"/>
      <c r="MD130" s="5"/>
      <c r="ME130" s="5"/>
      <c r="MF130" s="5"/>
      <c r="MG130" s="5"/>
      <c r="MH130" s="5"/>
      <c r="MI130" s="5"/>
      <c r="MJ130" s="5"/>
      <c r="MK130" s="5"/>
      <c r="ML130" s="5"/>
      <c r="MM130" s="5"/>
      <c r="MN130" s="5"/>
      <c r="MO130" s="5"/>
      <c r="MP130" s="5"/>
      <c r="MQ130" s="5"/>
      <c r="MR130" s="5"/>
      <c r="MS130" s="5"/>
      <c r="MT130" s="5"/>
      <c r="MU130" s="5"/>
      <c r="MV130" s="5"/>
      <c r="MW130" s="5"/>
      <c r="MX130" s="5"/>
      <c r="MY130" s="5"/>
      <c r="MZ130" s="5"/>
      <c r="NA130" s="5"/>
      <c r="NB130" s="5"/>
      <c r="NC130" s="5"/>
      <c r="ND130" s="5"/>
      <c r="NE130" s="5"/>
      <c r="NF130" s="5"/>
      <c r="NG130" s="5"/>
      <c r="NH130" s="5"/>
      <c r="NI130" s="5"/>
      <c r="NJ130" s="5"/>
      <c r="NK130" s="5"/>
      <c r="NL130" s="5"/>
      <c r="NM130" s="5"/>
      <c r="NN130" s="5"/>
      <c r="NO130" s="5"/>
      <c r="NP130" s="5"/>
      <c r="NQ130" s="5"/>
      <c r="NR130" s="5"/>
      <c r="NS130" s="5"/>
      <c r="NT130" s="5"/>
      <c r="NU130" s="5"/>
      <c r="NV130" s="5"/>
      <c r="NW130" s="5"/>
      <c r="NX130" s="5"/>
      <c r="NY130" s="5"/>
      <c r="NZ130" s="5"/>
      <c r="OA130" s="5"/>
      <c r="OB130" s="5"/>
      <c r="OC130" s="5"/>
      <c r="OD130" s="5"/>
      <c r="OE130" s="5"/>
      <c r="OF130" s="5"/>
      <c r="OG130" s="5"/>
      <c r="OH130" s="5"/>
      <c r="OI130" s="5"/>
      <c r="OJ130" s="5"/>
      <c r="OK130" s="5"/>
      <c r="OL130" s="5"/>
      <c r="OM130" s="5"/>
      <c r="ON130" s="5"/>
      <c r="OO130" s="5"/>
      <c r="OP130" s="5"/>
      <c r="OQ130" s="5"/>
      <c r="OR130" s="5"/>
      <c r="OS130" s="5"/>
      <c r="OT130" s="5"/>
      <c r="OU130" s="5"/>
      <c r="OV130" s="5"/>
      <c r="OW130" s="5"/>
      <c r="OX130" s="5"/>
      <c r="OY130" s="5"/>
      <c r="OZ130" s="5"/>
      <c r="PA130" s="5"/>
      <c r="PB130" s="5"/>
      <c r="PC130" s="5"/>
      <c r="PD130" s="5"/>
      <c r="PE130" s="5"/>
      <c r="PF130" s="5"/>
      <c r="PG130" s="5"/>
      <c r="PH130" s="5"/>
      <c r="PI130" s="5"/>
      <c r="PJ130" s="5"/>
      <c r="PK130" s="5"/>
      <c r="PL130" s="5"/>
      <c r="PM130" s="5"/>
      <c r="PN130" s="5"/>
      <c r="PO130" s="5"/>
      <c r="PP130" s="5"/>
      <c r="PQ130" s="5"/>
      <c r="PR130" s="5"/>
      <c r="PS130" s="5"/>
      <c r="PT130" s="5"/>
      <c r="PU130" s="5"/>
      <c r="PV130" s="5"/>
      <c r="PW130" s="5"/>
      <c r="PX130" s="5"/>
      <c r="PY130" s="5"/>
      <c r="PZ130" s="5"/>
      <c r="QA130" s="5"/>
      <c r="QB130" s="5"/>
      <c r="QC130" s="5"/>
      <c r="QD130" s="5"/>
      <c r="QE130" s="5"/>
      <c r="QF130" s="5"/>
      <c r="QG130" s="5"/>
      <c r="QH130" s="5"/>
      <c r="QI130" s="5"/>
      <c r="QJ130" s="5"/>
      <c r="QK130" s="5"/>
      <c r="QL130" s="5"/>
      <c r="QM130" s="5"/>
      <c r="QN130" s="5"/>
      <c r="QO130" s="5"/>
      <c r="QP130" s="5"/>
      <c r="QQ130" s="5"/>
      <c r="QR130" s="5"/>
      <c r="QS130" s="5"/>
      <c r="QT130" s="5"/>
      <c r="QU130" s="5"/>
      <c r="QV130" s="5"/>
      <c r="QW130" s="5"/>
      <c r="QX130" s="5"/>
      <c r="QY130" s="5"/>
      <c r="QZ130" s="5"/>
      <c r="RA130" s="5"/>
      <c r="RB130" s="5"/>
      <c r="RC130" s="5"/>
      <c r="RD130" s="5"/>
      <c r="RE130" s="5"/>
      <c r="RF130" s="5"/>
      <c r="RG130" s="5"/>
      <c r="RH130" s="5"/>
      <c r="RI130" s="5"/>
      <c r="RJ130" s="5"/>
      <c r="RK130" s="5"/>
      <c r="RL130" s="5"/>
      <c r="RM130" s="5"/>
      <c r="RN130" s="5"/>
      <c r="RO130" s="5"/>
      <c r="RP130" s="5"/>
      <c r="RQ130" s="5"/>
      <c r="RR130" s="5"/>
      <c r="RS130" s="5"/>
      <c r="RT130" s="5"/>
      <c r="RU130" s="5"/>
      <c r="RV130" s="5"/>
      <c r="RW130" s="5"/>
      <c r="RX130" s="5"/>
      <c r="RY130" s="5"/>
      <c r="RZ130" s="5"/>
      <c r="SA130" s="5"/>
      <c r="SB130" s="5"/>
      <c r="SC130" s="5"/>
      <c r="SD130" s="5"/>
      <c r="SE130" s="5"/>
      <c r="SF130" s="5"/>
      <c r="SG130" s="5"/>
      <c r="SH130" s="5"/>
      <c r="SI130" s="5"/>
      <c r="SJ130" s="5"/>
      <c r="SK130" s="5"/>
      <c r="SL130" s="5"/>
      <c r="SM130" s="5"/>
      <c r="SN130" s="5"/>
      <c r="SO130" s="5"/>
      <c r="SP130" s="5"/>
      <c r="SQ130" s="5"/>
      <c r="SR130" s="5"/>
      <c r="SS130" s="5"/>
      <c r="ST130" s="5"/>
      <c r="SU130" s="5"/>
      <c r="SV130" s="5"/>
      <c r="SW130" s="5"/>
      <c r="SX130" s="5"/>
      <c r="SY130" s="5"/>
      <c r="SZ130" s="5"/>
      <c r="TA130" s="5"/>
      <c r="TB130" s="5"/>
      <c r="TC130" s="5"/>
      <c r="TD130" s="5"/>
      <c r="TE130" s="5"/>
      <c r="TF130" s="5"/>
      <c r="TG130" s="5"/>
      <c r="TH130" s="5"/>
      <c r="TI130" s="5"/>
      <c r="TJ130" s="5"/>
      <c r="TK130" s="5"/>
      <c r="TL130" s="5"/>
      <c r="TM130" s="5"/>
      <c r="TN130" s="5"/>
      <c r="TO130" s="5"/>
      <c r="TP130" s="5"/>
      <c r="TQ130" s="5"/>
      <c r="TR130" s="5"/>
      <c r="TS130" s="5"/>
      <c r="TT130" s="5"/>
      <c r="TU130" s="5"/>
      <c r="TV130" s="5"/>
      <c r="TW130" s="5"/>
      <c r="TX130" s="5"/>
      <c r="TY130" s="5"/>
      <c r="TZ130" s="5"/>
      <c r="UA130" s="5"/>
      <c r="UB130" s="5"/>
      <c r="UC130" s="5"/>
      <c r="UD130" s="5"/>
      <c r="UE130" s="5"/>
      <c r="UF130" s="5"/>
      <c r="UG130" s="5"/>
      <c r="UH130" s="5"/>
      <c r="UI130" s="5"/>
      <c r="UJ130" s="5"/>
      <c r="UK130" s="5"/>
      <c r="UL130" s="5"/>
      <c r="UM130" s="5"/>
      <c r="UN130" s="5"/>
      <c r="UO130" s="5"/>
      <c r="UP130" s="5"/>
      <c r="UQ130" s="5"/>
      <c r="UR130" s="5"/>
      <c r="US130" s="5"/>
      <c r="UT130" s="5"/>
      <c r="UU130" s="5"/>
      <c r="UV130" s="5"/>
      <c r="UW130" s="5"/>
      <c r="UX130" s="5"/>
      <c r="UY130" s="5"/>
      <c r="UZ130" s="5"/>
      <c r="VA130" s="5"/>
      <c r="VB130" s="5"/>
      <c r="VC130" s="5"/>
      <c r="VD130" s="5"/>
      <c r="VE130" s="5"/>
      <c r="VF130" s="5"/>
      <c r="VG130" s="5"/>
      <c r="VH130" s="5"/>
      <c r="VI130" s="5"/>
      <c r="VJ130" s="5"/>
      <c r="VK130" s="5"/>
      <c r="VL130" s="5"/>
      <c r="VM130" s="5"/>
      <c r="VN130" s="5"/>
      <c r="VO130" s="5"/>
      <c r="VP130" s="5"/>
      <c r="VQ130" s="5"/>
      <c r="VR130" s="5"/>
      <c r="VS130" s="5"/>
      <c r="VT130" s="5"/>
      <c r="VU130" s="5"/>
      <c r="VV130" s="5"/>
      <c r="VW130" s="5"/>
      <c r="VX130" s="5"/>
      <c r="VY130" s="5"/>
      <c r="VZ130" s="5"/>
      <c r="WA130" s="5"/>
      <c r="WB130" s="5"/>
      <c r="WC130" s="5"/>
      <c r="WD130" s="5"/>
      <c r="WE130" s="5"/>
      <c r="WF130" s="5"/>
      <c r="WG130" s="5"/>
      <c r="WH130" s="5"/>
      <c r="WI130" s="5"/>
      <c r="WJ130" s="5"/>
      <c r="WK130" s="5"/>
      <c r="WL130" s="5"/>
      <c r="WM130" s="5"/>
      <c r="WN130" s="5"/>
      <c r="WO130" s="5"/>
      <c r="WP130" s="5"/>
      <c r="WQ130" s="5"/>
      <c r="WR130" s="5"/>
      <c r="WS130" s="5"/>
      <c r="WT130" s="5"/>
      <c r="WU130" s="5"/>
      <c r="WV130" s="5"/>
      <c r="WW130" s="5"/>
      <c r="WX130" s="5"/>
      <c r="WY130" s="5"/>
      <c r="WZ130" s="5"/>
      <c r="XA130" s="5"/>
      <c r="XB130" s="5"/>
      <c r="XC130" s="5"/>
      <c r="XD130" s="5"/>
      <c r="XE130" s="5"/>
      <c r="XF130" s="5"/>
      <c r="XG130" s="5"/>
      <c r="XH130" s="5"/>
      <c r="XI130" s="5"/>
      <c r="XJ130" s="5"/>
      <c r="XK130" s="5"/>
      <c r="XL130" s="5"/>
      <c r="XM130" s="5"/>
      <c r="XN130" s="5"/>
      <c r="XO130" s="5"/>
      <c r="XP130" s="5"/>
      <c r="XQ130" s="5"/>
      <c r="XR130" s="5"/>
      <c r="XS130" s="5"/>
      <c r="XT130" s="5"/>
      <c r="XU130" s="5"/>
      <c r="XV130" s="5"/>
      <c r="XW130" s="5"/>
      <c r="XX130" s="5"/>
      <c r="XY130" s="5"/>
      <c r="XZ130" s="5"/>
      <c r="YA130" s="5"/>
      <c r="YB130" s="5"/>
      <c r="YC130" s="5"/>
      <c r="YD130" s="5"/>
      <c r="YE130" s="5"/>
      <c r="YF130" s="5"/>
      <c r="YG130" s="5"/>
      <c r="YH130" s="5"/>
      <c r="YI130" s="5"/>
      <c r="YJ130" s="5"/>
      <c r="YK130" s="5"/>
      <c r="YL130" s="5"/>
      <c r="YM130" s="5"/>
      <c r="YN130" s="5"/>
      <c r="YO130" s="5"/>
      <c r="YP130" s="5"/>
      <c r="YQ130" s="5"/>
      <c r="YR130" s="5"/>
      <c r="YS130" s="5"/>
      <c r="YT130" s="5"/>
      <c r="YU130" s="5"/>
      <c r="YV130" s="5"/>
      <c r="YW130" s="5"/>
      <c r="YX130" s="5"/>
      <c r="YY130" s="5"/>
      <c r="YZ130" s="5"/>
    </row>
    <row r="131" spans="1:676">
      <c r="A131" s="7">
        <v>121</v>
      </c>
      <c r="B131" s="7" t="s">
        <v>316</v>
      </c>
      <c r="C131" s="10" t="s">
        <v>317</v>
      </c>
      <c r="D131" s="7" t="s">
        <v>50</v>
      </c>
      <c r="E131" s="7" t="s">
        <v>71</v>
      </c>
      <c r="F131" s="7" t="s">
        <v>162</v>
      </c>
      <c r="G131" s="7"/>
      <c r="H131" s="7" t="s">
        <v>43</v>
      </c>
      <c r="I131" s="11">
        <v>2</v>
      </c>
      <c r="J131" s="11">
        <v>3</v>
      </c>
      <c r="K131" s="11">
        <v>0</v>
      </c>
      <c r="L131" s="11">
        <v>1.76</v>
      </c>
      <c r="M131" s="11">
        <v>0.08</v>
      </c>
      <c r="N131" s="11">
        <v>0</v>
      </c>
      <c r="O131" s="11">
        <v>0</v>
      </c>
      <c r="P131" s="11">
        <v>1.6</v>
      </c>
      <c r="Q131" s="11">
        <v>3.44</v>
      </c>
      <c r="R131" s="11">
        <v>0</v>
      </c>
      <c r="S131" s="11">
        <v>3.44</v>
      </c>
      <c r="T131" s="11">
        <v>2</v>
      </c>
      <c r="U131" s="11">
        <v>1.44</v>
      </c>
      <c r="V131" s="11">
        <v>0</v>
      </c>
      <c r="W131" s="13">
        <v>2</v>
      </c>
      <c r="X131" s="13">
        <v>3</v>
      </c>
      <c r="Y131" s="13" t="str">
        <f>MIN(W131,S131)</f>
        <v>0</v>
      </c>
      <c r="Z131" s="13" t="str">
        <f>MIN(X131,(S131-Y131))</f>
        <v>0</v>
      </c>
      <c r="AA131" s="13" t="str">
        <f>S131-SUM(Y131,Z131)</f>
        <v>0</v>
      </c>
      <c r="AB131" s="15"/>
      <c r="AC131" s="15"/>
      <c r="AD131" s="1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5"/>
      <c r="CD131" s="5"/>
      <c r="CE131" s="5"/>
      <c r="CF131" s="5"/>
      <c r="CG131" s="5"/>
      <c r="CH131" s="5"/>
      <c r="CI131" s="5"/>
      <c r="CJ131" s="5"/>
      <c r="CK131" s="5"/>
      <c r="CL131" s="5"/>
      <c r="CM131" s="5"/>
      <c r="CN131" s="5"/>
      <c r="CO131" s="5"/>
      <c r="CP131" s="5"/>
      <c r="CQ131" s="5"/>
      <c r="CR131" s="5"/>
      <c r="CS131" s="5"/>
      <c r="CT131" s="5"/>
      <c r="CU131" s="5"/>
      <c r="CV131" s="5"/>
      <c r="CW131" s="5"/>
      <c r="CX131" s="5"/>
      <c r="CY131" s="5"/>
      <c r="CZ131" s="5"/>
      <c r="DA131" s="5"/>
      <c r="DB131" s="5"/>
      <c r="DC131" s="5"/>
      <c r="DD131" s="5"/>
      <c r="DE131" s="5"/>
      <c r="DF131" s="5"/>
      <c r="DG131" s="5"/>
      <c r="DH131" s="5"/>
      <c r="DI131" s="5"/>
      <c r="DJ131" s="5"/>
      <c r="DK131" s="5"/>
      <c r="DL131" s="5"/>
      <c r="DM131" s="5"/>
      <c r="DN131" s="5"/>
      <c r="DO131" s="5"/>
      <c r="DP131" s="5"/>
      <c r="DQ131" s="5"/>
      <c r="DR131" s="5"/>
      <c r="DS131" s="5"/>
      <c r="DT131" s="5"/>
      <c r="DU131" s="5"/>
      <c r="DV131" s="5"/>
      <c r="DW131" s="5"/>
      <c r="DX131" s="5"/>
      <c r="DY131" s="5"/>
      <c r="DZ131" s="5"/>
      <c r="EA131" s="5"/>
      <c r="EB131" s="5"/>
      <c r="EC131" s="5"/>
      <c r="ED131" s="5"/>
      <c r="EE131" s="5"/>
      <c r="EF131" s="5"/>
      <c r="EG131" s="5"/>
      <c r="EH131" s="5"/>
      <c r="EI131" s="5"/>
      <c r="EJ131" s="5"/>
      <c r="EK131" s="5"/>
      <c r="EL131" s="5"/>
      <c r="EM131" s="5"/>
      <c r="EN131" s="5"/>
      <c r="EO131" s="5"/>
      <c r="EP131" s="5"/>
      <c r="EQ131" s="5"/>
      <c r="ER131" s="5"/>
      <c r="ES131" s="5"/>
      <c r="ET131" s="5"/>
      <c r="EU131" s="5"/>
      <c r="EV131" s="5"/>
      <c r="EW131" s="5"/>
      <c r="EX131" s="5"/>
      <c r="EY131" s="5"/>
      <c r="EZ131" s="5"/>
      <c r="FA131" s="5"/>
      <c r="FB131" s="5"/>
      <c r="FC131" s="5"/>
      <c r="FD131" s="5"/>
      <c r="FE131" s="5"/>
      <c r="FF131" s="5"/>
      <c r="FG131" s="5"/>
      <c r="FH131" s="5"/>
      <c r="FI131" s="5"/>
      <c r="FJ131" s="5"/>
      <c r="FK131" s="5"/>
      <c r="FL131" s="5"/>
      <c r="FM131" s="5"/>
      <c r="FN131" s="5"/>
      <c r="FO131" s="5"/>
      <c r="FP131" s="5"/>
      <c r="FQ131" s="5"/>
      <c r="FR131" s="5"/>
      <c r="FS131" s="5"/>
      <c r="FT131" s="5"/>
      <c r="FU131" s="5"/>
      <c r="FV131" s="5"/>
      <c r="FW131" s="5"/>
      <c r="FX131" s="5"/>
      <c r="FY131" s="5"/>
      <c r="FZ131" s="5"/>
      <c r="GA131" s="5"/>
      <c r="GB131" s="5"/>
      <c r="GC131" s="5"/>
      <c r="GD131" s="5"/>
      <c r="GE131" s="5"/>
      <c r="GF131" s="5"/>
      <c r="GG131" s="5"/>
      <c r="GH131" s="5"/>
      <c r="GI131" s="5"/>
      <c r="GJ131" s="5"/>
      <c r="GK131" s="5"/>
      <c r="GL131" s="5"/>
      <c r="GM131" s="5"/>
      <c r="GN131" s="5"/>
      <c r="GO131" s="5"/>
      <c r="GP131" s="5"/>
      <c r="GQ131" s="5"/>
      <c r="GR131" s="5"/>
      <c r="GS131" s="5"/>
      <c r="GT131" s="5"/>
      <c r="GU131" s="5"/>
      <c r="GV131" s="5"/>
      <c r="GW131" s="5"/>
      <c r="GX131" s="5"/>
      <c r="GY131" s="5"/>
      <c r="GZ131" s="5"/>
      <c r="HA131" s="5"/>
      <c r="HB131" s="5"/>
      <c r="HC131" s="5"/>
      <c r="HD131" s="5"/>
      <c r="HE131" s="5"/>
      <c r="HF131" s="5"/>
      <c r="HG131" s="5"/>
      <c r="HH131" s="5"/>
      <c r="HI131" s="5"/>
      <c r="HJ131" s="5"/>
      <c r="HK131" s="5"/>
      <c r="HL131" s="5"/>
      <c r="HM131" s="5"/>
      <c r="HN131" s="5"/>
      <c r="HO131" s="5"/>
      <c r="HP131" s="5"/>
      <c r="HQ131" s="5"/>
      <c r="HR131" s="5"/>
      <c r="HS131" s="5"/>
      <c r="HT131" s="5"/>
      <c r="HU131" s="5"/>
      <c r="HV131" s="5"/>
      <c r="HW131" s="5"/>
      <c r="HX131" s="5"/>
      <c r="HY131" s="5"/>
      <c r="HZ131" s="5"/>
      <c r="IA131" s="5"/>
      <c r="IB131" s="5"/>
      <c r="IC131" s="5"/>
      <c r="ID131" s="5"/>
      <c r="IE131" s="5"/>
      <c r="IF131" s="5"/>
      <c r="IG131" s="5"/>
      <c r="IH131" s="5"/>
      <c r="II131" s="5"/>
      <c r="IJ131" s="5"/>
      <c r="IK131" s="5"/>
      <c r="IL131" s="5"/>
      <c r="IM131" s="5"/>
      <c r="IN131" s="5"/>
      <c r="IO131" s="5"/>
      <c r="IP131" s="5"/>
      <c r="IQ131" s="5"/>
      <c r="IR131" s="5"/>
      <c r="IS131" s="5"/>
      <c r="IT131" s="5"/>
      <c r="IU131" s="5"/>
      <c r="IV131" s="5"/>
      <c r="IW131" s="5"/>
      <c r="IX131" s="5"/>
      <c r="IY131" s="5"/>
      <c r="IZ131" s="5"/>
      <c r="JA131" s="5"/>
      <c r="JB131" s="5"/>
      <c r="JC131" s="5"/>
      <c r="JD131" s="5"/>
      <c r="JE131" s="5"/>
      <c r="JF131" s="5"/>
      <c r="JG131" s="5"/>
      <c r="JH131" s="5"/>
      <c r="JI131" s="5"/>
      <c r="JJ131" s="5"/>
      <c r="JK131" s="5"/>
      <c r="JL131" s="5"/>
      <c r="JM131" s="5"/>
      <c r="JN131" s="5"/>
      <c r="JO131" s="5"/>
      <c r="JP131" s="5"/>
      <c r="JQ131" s="5"/>
      <c r="JR131" s="5"/>
      <c r="JS131" s="5"/>
      <c r="JT131" s="5"/>
      <c r="JU131" s="5"/>
      <c r="JV131" s="5"/>
      <c r="JW131" s="5"/>
      <c r="JX131" s="5"/>
      <c r="JY131" s="5"/>
      <c r="JZ131" s="5"/>
      <c r="KA131" s="5"/>
      <c r="KB131" s="5"/>
      <c r="KC131" s="5"/>
      <c r="KD131" s="5"/>
      <c r="KE131" s="5"/>
      <c r="KF131" s="5"/>
      <c r="KG131" s="5"/>
      <c r="KH131" s="5"/>
      <c r="KI131" s="5"/>
      <c r="KJ131" s="5"/>
      <c r="KK131" s="5"/>
      <c r="KL131" s="5"/>
      <c r="KM131" s="5"/>
      <c r="KN131" s="5"/>
      <c r="KO131" s="5"/>
      <c r="KP131" s="5"/>
      <c r="KQ131" s="5"/>
      <c r="KR131" s="5"/>
      <c r="KS131" s="5"/>
      <c r="KT131" s="5"/>
      <c r="KU131" s="5"/>
      <c r="KV131" s="5"/>
      <c r="KW131" s="5"/>
      <c r="KX131" s="5"/>
      <c r="KY131" s="5"/>
      <c r="KZ131" s="5"/>
      <c r="LA131" s="5"/>
      <c r="LB131" s="5"/>
      <c r="LC131" s="5"/>
      <c r="LD131" s="5"/>
      <c r="LE131" s="5"/>
      <c r="LF131" s="5"/>
      <c r="LG131" s="5"/>
      <c r="LH131" s="5"/>
      <c r="LI131" s="5"/>
      <c r="LJ131" s="5"/>
      <c r="LK131" s="5"/>
      <c r="LL131" s="5"/>
      <c r="LM131" s="5"/>
      <c r="LN131" s="5"/>
      <c r="LO131" s="5"/>
      <c r="LP131" s="5"/>
      <c r="LQ131" s="5"/>
      <c r="LR131" s="5"/>
      <c r="LS131" s="5"/>
      <c r="LT131" s="5"/>
      <c r="LU131" s="5"/>
      <c r="LV131" s="5"/>
      <c r="LW131" s="5"/>
      <c r="LX131" s="5"/>
      <c r="LY131" s="5"/>
      <c r="LZ131" s="5"/>
      <c r="MA131" s="5"/>
      <c r="MB131" s="5"/>
      <c r="MC131" s="5"/>
      <c r="MD131" s="5"/>
      <c r="ME131" s="5"/>
      <c r="MF131" s="5"/>
      <c r="MG131" s="5"/>
      <c r="MH131" s="5"/>
      <c r="MI131" s="5"/>
      <c r="MJ131" s="5"/>
      <c r="MK131" s="5"/>
      <c r="ML131" s="5"/>
      <c r="MM131" s="5"/>
      <c r="MN131" s="5"/>
      <c r="MO131" s="5"/>
      <c r="MP131" s="5"/>
      <c r="MQ131" s="5"/>
      <c r="MR131" s="5"/>
      <c r="MS131" s="5"/>
      <c r="MT131" s="5"/>
      <c r="MU131" s="5"/>
      <c r="MV131" s="5"/>
      <c r="MW131" s="5"/>
      <c r="MX131" s="5"/>
      <c r="MY131" s="5"/>
      <c r="MZ131" s="5"/>
      <c r="NA131" s="5"/>
      <c r="NB131" s="5"/>
      <c r="NC131" s="5"/>
      <c r="ND131" s="5"/>
      <c r="NE131" s="5"/>
      <c r="NF131" s="5"/>
      <c r="NG131" s="5"/>
      <c r="NH131" s="5"/>
      <c r="NI131" s="5"/>
      <c r="NJ131" s="5"/>
      <c r="NK131" s="5"/>
      <c r="NL131" s="5"/>
      <c r="NM131" s="5"/>
      <c r="NN131" s="5"/>
      <c r="NO131" s="5"/>
      <c r="NP131" s="5"/>
      <c r="NQ131" s="5"/>
      <c r="NR131" s="5"/>
      <c r="NS131" s="5"/>
      <c r="NT131" s="5"/>
      <c r="NU131" s="5"/>
      <c r="NV131" s="5"/>
      <c r="NW131" s="5"/>
      <c r="NX131" s="5"/>
      <c r="NY131" s="5"/>
      <c r="NZ131" s="5"/>
      <c r="OA131" s="5"/>
      <c r="OB131" s="5"/>
      <c r="OC131" s="5"/>
      <c r="OD131" s="5"/>
      <c r="OE131" s="5"/>
      <c r="OF131" s="5"/>
      <c r="OG131" s="5"/>
      <c r="OH131" s="5"/>
      <c r="OI131" s="5"/>
      <c r="OJ131" s="5"/>
      <c r="OK131" s="5"/>
      <c r="OL131" s="5"/>
      <c r="OM131" s="5"/>
      <c r="ON131" s="5"/>
      <c r="OO131" s="5"/>
      <c r="OP131" s="5"/>
      <c r="OQ131" s="5"/>
      <c r="OR131" s="5"/>
      <c r="OS131" s="5"/>
      <c r="OT131" s="5"/>
      <c r="OU131" s="5"/>
      <c r="OV131" s="5"/>
      <c r="OW131" s="5"/>
      <c r="OX131" s="5"/>
      <c r="OY131" s="5"/>
      <c r="OZ131" s="5"/>
      <c r="PA131" s="5"/>
      <c r="PB131" s="5"/>
      <c r="PC131" s="5"/>
      <c r="PD131" s="5"/>
      <c r="PE131" s="5"/>
      <c r="PF131" s="5"/>
      <c r="PG131" s="5"/>
      <c r="PH131" s="5"/>
      <c r="PI131" s="5"/>
      <c r="PJ131" s="5"/>
      <c r="PK131" s="5"/>
      <c r="PL131" s="5"/>
      <c r="PM131" s="5"/>
      <c r="PN131" s="5"/>
      <c r="PO131" s="5"/>
      <c r="PP131" s="5"/>
      <c r="PQ131" s="5"/>
      <c r="PR131" s="5"/>
      <c r="PS131" s="5"/>
      <c r="PT131" s="5"/>
      <c r="PU131" s="5"/>
      <c r="PV131" s="5"/>
      <c r="PW131" s="5"/>
      <c r="PX131" s="5"/>
      <c r="PY131" s="5"/>
      <c r="PZ131" s="5"/>
      <c r="QA131" s="5"/>
      <c r="QB131" s="5"/>
      <c r="QC131" s="5"/>
      <c r="QD131" s="5"/>
      <c r="QE131" s="5"/>
      <c r="QF131" s="5"/>
      <c r="QG131" s="5"/>
      <c r="QH131" s="5"/>
      <c r="QI131" s="5"/>
      <c r="QJ131" s="5"/>
      <c r="QK131" s="5"/>
      <c r="QL131" s="5"/>
      <c r="QM131" s="5"/>
      <c r="QN131" s="5"/>
      <c r="QO131" s="5"/>
      <c r="QP131" s="5"/>
      <c r="QQ131" s="5"/>
      <c r="QR131" s="5"/>
      <c r="QS131" s="5"/>
      <c r="QT131" s="5"/>
      <c r="QU131" s="5"/>
      <c r="QV131" s="5"/>
      <c r="QW131" s="5"/>
      <c r="QX131" s="5"/>
      <c r="QY131" s="5"/>
      <c r="QZ131" s="5"/>
      <c r="RA131" s="5"/>
      <c r="RB131" s="5"/>
      <c r="RC131" s="5"/>
      <c r="RD131" s="5"/>
      <c r="RE131" s="5"/>
      <c r="RF131" s="5"/>
      <c r="RG131" s="5"/>
      <c r="RH131" s="5"/>
      <c r="RI131" s="5"/>
      <c r="RJ131" s="5"/>
      <c r="RK131" s="5"/>
      <c r="RL131" s="5"/>
      <c r="RM131" s="5"/>
      <c r="RN131" s="5"/>
      <c r="RO131" s="5"/>
      <c r="RP131" s="5"/>
      <c r="RQ131" s="5"/>
      <c r="RR131" s="5"/>
      <c r="RS131" s="5"/>
      <c r="RT131" s="5"/>
      <c r="RU131" s="5"/>
      <c r="RV131" s="5"/>
      <c r="RW131" s="5"/>
      <c r="RX131" s="5"/>
      <c r="RY131" s="5"/>
      <c r="RZ131" s="5"/>
      <c r="SA131" s="5"/>
      <c r="SB131" s="5"/>
      <c r="SC131" s="5"/>
      <c r="SD131" s="5"/>
      <c r="SE131" s="5"/>
      <c r="SF131" s="5"/>
      <c r="SG131" s="5"/>
      <c r="SH131" s="5"/>
      <c r="SI131" s="5"/>
      <c r="SJ131" s="5"/>
      <c r="SK131" s="5"/>
      <c r="SL131" s="5"/>
      <c r="SM131" s="5"/>
      <c r="SN131" s="5"/>
      <c r="SO131" s="5"/>
      <c r="SP131" s="5"/>
      <c r="SQ131" s="5"/>
      <c r="SR131" s="5"/>
      <c r="SS131" s="5"/>
      <c r="ST131" s="5"/>
      <c r="SU131" s="5"/>
      <c r="SV131" s="5"/>
      <c r="SW131" s="5"/>
      <c r="SX131" s="5"/>
      <c r="SY131" s="5"/>
      <c r="SZ131" s="5"/>
      <c r="TA131" s="5"/>
      <c r="TB131" s="5"/>
      <c r="TC131" s="5"/>
      <c r="TD131" s="5"/>
      <c r="TE131" s="5"/>
      <c r="TF131" s="5"/>
      <c r="TG131" s="5"/>
      <c r="TH131" s="5"/>
      <c r="TI131" s="5"/>
      <c r="TJ131" s="5"/>
      <c r="TK131" s="5"/>
      <c r="TL131" s="5"/>
      <c r="TM131" s="5"/>
      <c r="TN131" s="5"/>
      <c r="TO131" s="5"/>
      <c r="TP131" s="5"/>
      <c r="TQ131" s="5"/>
      <c r="TR131" s="5"/>
      <c r="TS131" s="5"/>
      <c r="TT131" s="5"/>
      <c r="TU131" s="5"/>
      <c r="TV131" s="5"/>
      <c r="TW131" s="5"/>
      <c r="TX131" s="5"/>
      <c r="TY131" s="5"/>
      <c r="TZ131" s="5"/>
      <c r="UA131" s="5"/>
      <c r="UB131" s="5"/>
      <c r="UC131" s="5"/>
      <c r="UD131" s="5"/>
      <c r="UE131" s="5"/>
      <c r="UF131" s="5"/>
      <c r="UG131" s="5"/>
      <c r="UH131" s="5"/>
      <c r="UI131" s="5"/>
      <c r="UJ131" s="5"/>
      <c r="UK131" s="5"/>
      <c r="UL131" s="5"/>
      <c r="UM131" s="5"/>
      <c r="UN131" s="5"/>
      <c r="UO131" s="5"/>
      <c r="UP131" s="5"/>
      <c r="UQ131" s="5"/>
      <c r="UR131" s="5"/>
      <c r="US131" s="5"/>
      <c r="UT131" s="5"/>
      <c r="UU131" s="5"/>
      <c r="UV131" s="5"/>
      <c r="UW131" s="5"/>
      <c r="UX131" s="5"/>
      <c r="UY131" s="5"/>
      <c r="UZ131" s="5"/>
      <c r="VA131" s="5"/>
      <c r="VB131" s="5"/>
      <c r="VC131" s="5"/>
      <c r="VD131" s="5"/>
      <c r="VE131" s="5"/>
      <c r="VF131" s="5"/>
      <c r="VG131" s="5"/>
      <c r="VH131" s="5"/>
      <c r="VI131" s="5"/>
      <c r="VJ131" s="5"/>
      <c r="VK131" s="5"/>
      <c r="VL131" s="5"/>
      <c r="VM131" s="5"/>
      <c r="VN131" s="5"/>
      <c r="VO131" s="5"/>
      <c r="VP131" s="5"/>
      <c r="VQ131" s="5"/>
      <c r="VR131" s="5"/>
      <c r="VS131" s="5"/>
      <c r="VT131" s="5"/>
      <c r="VU131" s="5"/>
      <c r="VV131" s="5"/>
      <c r="VW131" s="5"/>
      <c r="VX131" s="5"/>
      <c r="VY131" s="5"/>
      <c r="VZ131" s="5"/>
      <c r="WA131" s="5"/>
      <c r="WB131" s="5"/>
      <c r="WC131" s="5"/>
      <c r="WD131" s="5"/>
      <c r="WE131" s="5"/>
      <c r="WF131" s="5"/>
      <c r="WG131" s="5"/>
      <c r="WH131" s="5"/>
      <c r="WI131" s="5"/>
      <c r="WJ131" s="5"/>
      <c r="WK131" s="5"/>
      <c r="WL131" s="5"/>
      <c r="WM131" s="5"/>
      <c r="WN131" s="5"/>
      <c r="WO131" s="5"/>
      <c r="WP131" s="5"/>
      <c r="WQ131" s="5"/>
      <c r="WR131" s="5"/>
      <c r="WS131" s="5"/>
      <c r="WT131" s="5"/>
      <c r="WU131" s="5"/>
      <c r="WV131" s="5"/>
      <c r="WW131" s="5"/>
      <c r="WX131" s="5"/>
      <c r="WY131" s="5"/>
      <c r="WZ131" s="5"/>
      <c r="XA131" s="5"/>
      <c r="XB131" s="5"/>
      <c r="XC131" s="5"/>
      <c r="XD131" s="5"/>
      <c r="XE131" s="5"/>
      <c r="XF131" s="5"/>
      <c r="XG131" s="5"/>
      <c r="XH131" s="5"/>
      <c r="XI131" s="5"/>
      <c r="XJ131" s="5"/>
      <c r="XK131" s="5"/>
      <c r="XL131" s="5"/>
      <c r="XM131" s="5"/>
      <c r="XN131" s="5"/>
      <c r="XO131" s="5"/>
      <c r="XP131" s="5"/>
      <c r="XQ131" s="5"/>
      <c r="XR131" s="5"/>
      <c r="XS131" s="5"/>
      <c r="XT131" s="5"/>
      <c r="XU131" s="5"/>
      <c r="XV131" s="5"/>
      <c r="XW131" s="5"/>
      <c r="XX131" s="5"/>
      <c r="XY131" s="5"/>
      <c r="XZ131" s="5"/>
      <c r="YA131" s="5"/>
      <c r="YB131" s="5"/>
      <c r="YC131" s="5"/>
      <c r="YD131" s="5"/>
      <c r="YE131" s="5"/>
      <c r="YF131" s="5"/>
      <c r="YG131" s="5"/>
      <c r="YH131" s="5"/>
      <c r="YI131" s="5"/>
      <c r="YJ131" s="5"/>
      <c r="YK131" s="5"/>
      <c r="YL131" s="5"/>
      <c r="YM131" s="5"/>
      <c r="YN131" s="5"/>
      <c r="YO131" s="5"/>
      <c r="YP131" s="5"/>
      <c r="YQ131" s="5"/>
      <c r="YR131" s="5"/>
      <c r="YS131" s="5"/>
      <c r="YT131" s="5"/>
      <c r="YU131" s="5"/>
      <c r="YV131" s="5"/>
      <c r="YW131" s="5"/>
      <c r="YX131" s="5"/>
      <c r="YY131" s="5"/>
      <c r="YZ131" s="5"/>
    </row>
    <row r="132" spans="1:676">
      <c r="A132" s="7">
        <v>122</v>
      </c>
      <c r="B132" s="7" t="s">
        <v>318</v>
      </c>
      <c r="C132" s="10" t="s">
        <v>319</v>
      </c>
      <c r="D132" s="7" t="s">
        <v>60</v>
      </c>
      <c r="E132" s="7" t="s">
        <v>71</v>
      </c>
      <c r="F132" s="7" t="s">
        <v>162</v>
      </c>
      <c r="G132" s="7"/>
      <c r="H132" s="7" t="s">
        <v>43</v>
      </c>
      <c r="I132" s="11">
        <v>2</v>
      </c>
      <c r="J132" s="11">
        <v>3</v>
      </c>
      <c r="K132" s="11">
        <v>0</v>
      </c>
      <c r="L132" s="11">
        <v>1.38</v>
      </c>
      <c r="M132" s="11">
        <v>0</v>
      </c>
      <c r="N132" s="11">
        <v>0</v>
      </c>
      <c r="O132" s="11">
        <v>0.18</v>
      </c>
      <c r="P132" s="11">
        <v>0</v>
      </c>
      <c r="Q132" s="11">
        <v>1.56</v>
      </c>
      <c r="R132" s="11">
        <v>0</v>
      </c>
      <c r="S132" s="11">
        <v>1.56</v>
      </c>
      <c r="T132" s="11">
        <v>1.56</v>
      </c>
      <c r="U132" s="11">
        <v>0</v>
      </c>
      <c r="V132" s="11">
        <v>0</v>
      </c>
      <c r="W132" s="13">
        <v>2</v>
      </c>
      <c r="X132" s="13">
        <v>3</v>
      </c>
      <c r="Y132" s="13" t="str">
        <f>MIN(W132,S132)</f>
        <v>0</v>
      </c>
      <c r="Z132" s="13" t="str">
        <f>MIN(X132,(S132-Y132))</f>
        <v>0</v>
      </c>
      <c r="AA132" s="13" t="str">
        <f>S132-SUM(Y132,Z132)</f>
        <v>0</v>
      </c>
      <c r="AB132" s="15"/>
      <c r="AC132" s="15"/>
      <c r="AD132" s="1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5"/>
      <c r="CD132" s="5"/>
      <c r="CE132" s="5"/>
      <c r="CF132" s="5"/>
      <c r="CG132" s="5"/>
      <c r="CH132" s="5"/>
      <c r="CI132" s="5"/>
      <c r="CJ132" s="5"/>
      <c r="CK132" s="5"/>
      <c r="CL132" s="5"/>
      <c r="CM132" s="5"/>
      <c r="CN132" s="5"/>
      <c r="CO132" s="5"/>
      <c r="CP132" s="5"/>
      <c r="CQ132" s="5"/>
      <c r="CR132" s="5"/>
      <c r="CS132" s="5"/>
      <c r="CT132" s="5"/>
      <c r="CU132" s="5"/>
      <c r="CV132" s="5"/>
      <c r="CW132" s="5"/>
      <c r="CX132" s="5"/>
      <c r="CY132" s="5"/>
      <c r="CZ132" s="5"/>
      <c r="DA132" s="5"/>
      <c r="DB132" s="5"/>
      <c r="DC132" s="5"/>
      <c r="DD132" s="5"/>
      <c r="DE132" s="5"/>
      <c r="DF132" s="5"/>
      <c r="DG132" s="5"/>
      <c r="DH132" s="5"/>
      <c r="DI132" s="5"/>
      <c r="DJ132" s="5"/>
      <c r="DK132" s="5"/>
      <c r="DL132" s="5"/>
      <c r="DM132" s="5"/>
      <c r="DN132" s="5"/>
      <c r="DO132" s="5"/>
      <c r="DP132" s="5"/>
      <c r="DQ132" s="5"/>
      <c r="DR132" s="5"/>
      <c r="DS132" s="5"/>
      <c r="DT132" s="5"/>
      <c r="DU132" s="5"/>
      <c r="DV132" s="5"/>
      <c r="DW132" s="5"/>
      <c r="DX132" s="5"/>
      <c r="DY132" s="5"/>
      <c r="DZ132" s="5"/>
      <c r="EA132" s="5"/>
      <c r="EB132" s="5"/>
      <c r="EC132" s="5"/>
      <c r="ED132" s="5"/>
      <c r="EE132" s="5"/>
      <c r="EF132" s="5"/>
      <c r="EG132" s="5"/>
      <c r="EH132" s="5"/>
      <c r="EI132" s="5"/>
      <c r="EJ132" s="5"/>
      <c r="EK132" s="5"/>
      <c r="EL132" s="5"/>
      <c r="EM132" s="5"/>
      <c r="EN132" s="5"/>
      <c r="EO132" s="5"/>
      <c r="EP132" s="5"/>
      <c r="EQ132" s="5"/>
      <c r="ER132" s="5"/>
      <c r="ES132" s="5"/>
      <c r="ET132" s="5"/>
      <c r="EU132" s="5"/>
      <c r="EV132" s="5"/>
      <c r="EW132" s="5"/>
      <c r="EX132" s="5"/>
      <c r="EY132" s="5"/>
      <c r="EZ132" s="5"/>
      <c r="FA132" s="5"/>
      <c r="FB132" s="5"/>
      <c r="FC132" s="5"/>
      <c r="FD132" s="5"/>
      <c r="FE132" s="5"/>
      <c r="FF132" s="5"/>
      <c r="FG132" s="5"/>
      <c r="FH132" s="5"/>
      <c r="FI132" s="5"/>
      <c r="FJ132" s="5"/>
      <c r="FK132" s="5"/>
      <c r="FL132" s="5"/>
      <c r="FM132" s="5"/>
      <c r="FN132" s="5"/>
      <c r="FO132" s="5"/>
      <c r="FP132" s="5"/>
      <c r="FQ132" s="5"/>
      <c r="FR132" s="5"/>
      <c r="FS132" s="5"/>
      <c r="FT132" s="5"/>
      <c r="FU132" s="5"/>
      <c r="FV132" s="5"/>
      <c r="FW132" s="5"/>
      <c r="FX132" s="5"/>
      <c r="FY132" s="5"/>
      <c r="FZ132" s="5"/>
      <c r="GA132" s="5"/>
      <c r="GB132" s="5"/>
      <c r="GC132" s="5"/>
      <c r="GD132" s="5"/>
      <c r="GE132" s="5"/>
      <c r="GF132" s="5"/>
      <c r="GG132" s="5"/>
      <c r="GH132" s="5"/>
      <c r="GI132" s="5"/>
      <c r="GJ132" s="5"/>
      <c r="GK132" s="5"/>
      <c r="GL132" s="5"/>
      <c r="GM132" s="5"/>
      <c r="GN132" s="5"/>
      <c r="GO132" s="5"/>
      <c r="GP132" s="5"/>
      <c r="GQ132" s="5"/>
      <c r="GR132" s="5"/>
      <c r="GS132" s="5"/>
      <c r="GT132" s="5"/>
      <c r="GU132" s="5"/>
      <c r="GV132" s="5"/>
      <c r="GW132" s="5"/>
      <c r="GX132" s="5"/>
      <c r="GY132" s="5"/>
      <c r="GZ132" s="5"/>
      <c r="HA132" s="5"/>
      <c r="HB132" s="5"/>
      <c r="HC132" s="5"/>
      <c r="HD132" s="5"/>
      <c r="HE132" s="5"/>
      <c r="HF132" s="5"/>
      <c r="HG132" s="5"/>
      <c r="HH132" s="5"/>
      <c r="HI132" s="5"/>
      <c r="HJ132" s="5"/>
      <c r="HK132" s="5"/>
      <c r="HL132" s="5"/>
      <c r="HM132" s="5"/>
      <c r="HN132" s="5"/>
      <c r="HO132" s="5"/>
      <c r="HP132" s="5"/>
      <c r="HQ132" s="5"/>
      <c r="HR132" s="5"/>
      <c r="HS132" s="5"/>
      <c r="HT132" s="5"/>
      <c r="HU132" s="5"/>
      <c r="HV132" s="5"/>
      <c r="HW132" s="5"/>
      <c r="HX132" s="5"/>
      <c r="HY132" s="5"/>
      <c r="HZ132" s="5"/>
      <c r="IA132" s="5"/>
      <c r="IB132" s="5"/>
      <c r="IC132" s="5"/>
      <c r="ID132" s="5"/>
      <c r="IE132" s="5"/>
      <c r="IF132" s="5"/>
      <c r="IG132" s="5"/>
      <c r="IH132" s="5"/>
      <c r="II132" s="5"/>
      <c r="IJ132" s="5"/>
      <c r="IK132" s="5"/>
      <c r="IL132" s="5"/>
      <c r="IM132" s="5"/>
      <c r="IN132" s="5"/>
      <c r="IO132" s="5"/>
      <c r="IP132" s="5"/>
      <c r="IQ132" s="5"/>
      <c r="IR132" s="5"/>
      <c r="IS132" s="5"/>
      <c r="IT132" s="5"/>
      <c r="IU132" s="5"/>
      <c r="IV132" s="5"/>
      <c r="IW132" s="5"/>
      <c r="IX132" s="5"/>
      <c r="IY132" s="5"/>
      <c r="IZ132" s="5"/>
      <c r="JA132" s="5"/>
      <c r="JB132" s="5"/>
      <c r="JC132" s="5"/>
      <c r="JD132" s="5"/>
      <c r="JE132" s="5"/>
      <c r="JF132" s="5"/>
      <c r="JG132" s="5"/>
      <c r="JH132" s="5"/>
      <c r="JI132" s="5"/>
      <c r="JJ132" s="5"/>
      <c r="JK132" s="5"/>
      <c r="JL132" s="5"/>
      <c r="JM132" s="5"/>
      <c r="JN132" s="5"/>
      <c r="JO132" s="5"/>
      <c r="JP132" s="5"/>
      <c r="JQ132" s="5"/>
      <c r="JR132" s="5"/>
      <c r="JS132" s="5"/>
      <c r="JT132" s="5"/>
      <c r="JU132" s="5"/>
      <c r="JV132" s="5"/>
      <c r="JW132" s="5"/>
      <c r="JX132" s="5"/>
      <c r="JY132" s="5"/>
      <c r="JZ132" s="5"/>
      <c r="KA132" s="5"/>
      <c r="KB132" s="5"/>
      <c r="KC132" s="5"/>
      <c r="KD132" s="5"/>
      <c r="KE132" s="5"/>
      <c r="KF132" s="5"/>
      <c r="KG132" s="5"/>
      <c r="KH132" s="5"/>
      <c r="KI132" s="5"/>
      <c r="KJ132" s="5"/>
      <c r="KK132" s="5"/>
      <c r="KL132" s="5"/>
      <c r="KM132" s="5"/>
      <c r="KN132" s="5"/>
      <c r="KO132" s="5"/>
      <c r="KP132" s="5"/>
      <c r="KQ132" s="5"/>
      <c r="KR132" s="5"/>
      <c r="KS132" s="5"/>
      <c r="KT132" s="5"/>
      <c r="KU132" s="5"/>
      <c r="KV132" s="5"/>
      <c r="KW132" s="5"/>
      <c r="KX132" s="5"/>
      <c r="KY132" s="5"/>
      <c r="KZ132" s="5"/>
      <c r="LA132" s="5"/>
      <c r="LB132" s="5"/>
      <c r="LC132" s="5"/>
      <c r="LD132" s="5"/>
      <c r="LE132" s="5"/>
      <c r="LF132" s="5"/>
      <c r="LG132" s="5"/>
      <c r="LH132" s="5"/>
      <c r="LI132" s="5"/>
      <c r="LJ132" s="5"/>
      <c r="LK132" s="5"/>
      <c r="LL132" s="5"/>
      <c r="LM132" s="5"/>
      <c r="LN132" s="5"/>
      <c r="LO132" s="5"/>
      <c r="LP132" s="5"/>
      <c r="LQ132" s="5"/>
      <c r="LR132" s="5"/>
      <c r="LS132" s="5"/>
      <c r="LT132" s="5"/>
      <c r="LU132" s="5"/>
      <c r="LV132" s="5"/>
      <c r="LW132" s="5"/>
      <c r="LX132" s="5"/>
      <c r="LY132" s="5"/>
      <c r="LZ132" s="5"/>
      <c r="MA132" s="5"/>
      <c r="MB132" s="5"/>
      <c r="MC132" s="5"/>
      <c r="MD132" s="5"/>
      <c r="ME132" s="5"/>
      <c r="MF132" s="5"/>
      <c r="MG132" s="5"/>
      <c r="MH132" s="5"/>
      <c r="MI132" s="5"/>
      <c r="MJ132" s="5"/>
      <c r="MK132" s="5"/>
      <c r="ML132" s="5"/>
      <c r="MM132" s="5"/>
      <c r="MN132" s="5"/>
      <c r="MO132" s="5"/>
      <c r="MP132" s="5"/>
      <c r="MQ132" s="5"/>
      <c r="MR132" s="5"/>
      <c r="MS132" s="5"/>
      <c r="MT132" s="5"/>
      <c r="MU132" s="5"/>
      <c r="MV132" s="5"/>
      <c r="MW132" s="5"/>
      <c r="MX132" s="5"/>
      <c r="MY132" s="5"/>
      <c r="MZ132" s="5"/>
      <c r="NA132" s="5"/>
      <c r="NB132" s="5"/>
      <c r="NC132" s="5"/>
      <c r="ND132" s="5"/>
      <c r="NE132" s="5"/>
      <c r="NF132" s="5"/>
      <c r="NG132" s="5"/>
      <c r="NH132" s="5"/>
      <c r="NI132" s="5"/>
      <c r="NJ132" s="5"/>
      <c r="NK132" s="5"/>
      <c r="NL132" s="5"/>
      <c r="NM132" s="5"/>
      <c r="NN132" s="5"/>
      <c r="NO132" s="5"/>
      <c r="NP132" s="5"/>
      <c r="NQ132" s="5"/>
      <c r="NR132" s="5"/>
      <c r="NS132" s="5"/>
      <c r="NT132" s="5"/>
      <c r="NU132" s="5"/>
      <c r="NV132" s="5"/>
      <c r="NW132" s="5"/>
      <c r="NX132" s="5"/>
      <c r="NY132" s="5"/>
      <c r="NZ132" s="5"/>
      <c r="OA132" s="5"/>
      <c r="OB132" s="5"/>
      <c r="OC132" s="5"/>
      <c r="OD132" s="5"/>
      <c r="OE132" s="5"/>
      <c r="OF132" s="5"/>
      <c r="OG132" s="5"/>
      <c r="OH132" s="5"/>
      <c r="OI132" s="5"/>
      <c r="OJ132" s="5"/>
      <c r="OK132" s="5"/>
      <c r="OL132" s="5"/>
      <c r="OM132" s="5"/>
      <c r="ON132" s="5"/>
      <c r="OO132" s="5"/>
      <c r="OP132" s="5"/>
      <c r="OQ132" s="5"/>
      <c r="OR132" s="5"/>
      <c r="OS132" s="5"/>
      <c r="OT132" s="5"/>
      <c r="OU132" s="5"/>
      <c r="OV132" s="5"/>
      <c r="OW132" s="5"/>
      <c r="OX132" s="5"/>
      <c r="OY132" s="5"/>
      <c r="OZ132" s="5"/>
      <c r="PA132" s="5"/>
      <c r="PB132" s="5"/>
      <c r="PC132" s="5"/>
      <c r="PD132" s="5"/>
      <c r="PE132" s="5"/>
      <c r="PF132" s="5"/>
      <c r="PG132" s="5"/>
      <c r="PH132" s="5"/>
      <c r="PI132" s="5"/>
      <c r="PJ132" s="5"/>
      <c r="PK132" s="5"/>
      <c r="PL132" s="5"/>
      <c r="PM132" s="5"/>
      <c r="PN132" s="5"/>
      <c r="PO132" s="5"/>
      <c r="PP132" s="5"/>
      <c r="PQ132" s="5"/>
      <c r="PR132" s="5"/>
      <c r="PS132" s="5"/>
      <c r="PT132" s="5"/>
      <c r="PU132" s="5"/>
      <c r="PV132" s="5"/>
      <c r="PW132" s="5"/>
      <c r="PX132" s="5"/>
      <c r="PY132" s="5"/>
      <c r="PZ132" s="5"/>
      <c r="QA132" s="5"/>
      <c r="QB132" s="5"/>
      <c r="QC132" s="5"/>
      <c r="QD132" s="5"/>
      <c r="QE132" s="5"/>
      <c r="QF132" s="5"/>
      <c r="QG132" s="5"/>
      <c r="QH132" s="5"/>
      <c r="QI132" s="5"/>
      <c r="QJ132" s="5"/>
      <c r="QK132" s="5"/>
      <c r="QL132" s="5"/>
      <c r="QM132" s="5"/>
      <c r="QN132" s="5"/>
      <c r="QO132" s="5"/>
      <c r="QP132" s="5"/>
      <c r="QQ132" s="5"/>
      <c r="QR132" s="5"/>
      <c r="QS132" s="5"/>
      <c r="QT132" s="5"/>
      <c r="QU132" s="5"/>
      <c r="QV132" s="5"/>
      <c r="QW132" s="5"/>
      <c r="QX132" s="5"/>
      <c r="QY132" s="5"/>
      <c r="QZ132" s="5"/>
      <c r="RA132" s="5"/>
      <c r="RB132" s="5"/>
      <c r="RC132" s="5"/>
      <c r="RD132" s="5"/>
      <c r="RE132" s="5"/>
      <c r="RF132" s="5"/>
      <c r="RG132" s="5"/>
      <c r="RH132" s="5"/>
      <c r="RI132" s="5"/>
      <c r="RJ132" s="5"/>
      <c r="RK132" s="5"/>
      <c r="RL132" s="5"/>
      <c r="RM132" s="5"/>
      <c r="RN132" s="5"/>
      <c r="RO132" s="5"/>
      <c r="RP132" s="5"/>
      <c r="RQ132" s="5"/>
      <c r="RR132" s="5"/>
      <c r="RS132" s="5"/>
      <c r="RT132" s="5"/>
      <c r="RU132" s="5"/>
      <c r="RV132" s="5"/>
      <c r="RW132" s="5"/>
      <c r="RX132" s="5"/>
      <c r="RY132" s="5"/>
      <c r="RZ132" s="5"/>
      <c r="SA132" s="5"/>
      <c r="SB132" s="5"/>
      <c r="SC132" s="5"/>
      <c r="SD132" s="5"/>
      <c r="SE132" s="5"/>
      <c r="SF132" s="5"/>
      <c r="SG132" s="5"/>
      <c r="SH132" s="5"/>
      <c r="SI132" s="5"/>
      <c r="SJ132" s="5"/>
      <c r="SK132" s="5"/>
      <c r="SL132" s="5"/>
      <c r="SM132" s="5"/>
      <c r="SN132" s="5"/>
      <c r="SO132" s="5"/>
      <c r="SP132" s="5"/>
      <c r="SQ132" s="5"/>
      <c r="SR132" s="5"/>
      <c r="SS132" s="5"/>
      <c r="ST132" s="5"/>
      <c r="SU132" s="5"/>
      <c r="SV132" s="5"/>
      <c r="SW132" s="5"/>
      <c r="SX132" s="5"/>
      <c r="SY132" s="5"/>
      <c r="SZ132" s="5"/>
      <c r="TA132" s="5"/>
      <c r="TB132" s="5"/>
      <c r="TC132" s="5"/>
      <c r="TD132" s="5"/>
      <c r="TE132" s="5"/>
      <c r="TF132" s="5"/>
      <c r="TG132" s="5"/>
      <c r="TH132" s="5"/>
      <c r="TI132" s="5"/>
      <c r="TJ132" s="5"/>
      <c r="TK132" s="5"/>
      <c r="TL132" s="5"/>
      <c r="TM132" s="5"/>
      <c r="TN132" s="5"/>
      <c r="TO132" s="5"/>
      <c r="TP132" s="5"/>
      <c r="TQ132" s="5"/>
      <c r="TR132" s="5"/>
      <c r="TS132" s="5"/>
      <c r="TT132" s="5"/>
      <c r="TU132" s="5"/>
      <c r="TV132" s="5"/>
      <c r="TW132" s="5"/>
      <c r="TX132" s="5"/>
      <c r="TY132" s="5"/>
      <c r="TZ132" s="5"/>
      <c r="UA132" s="5"/>
      <c r="UB132" s="5"/>
      <c r="UC132" s="5"/>
      <c r="UD132" s="5"/>
      <c r="UE132" s="5"/>
      <c r="UF132" s="5"/>
      <c r="UG132" s="5"/>
      <c r="UH132" s="5"/>
      <c r="UI132" s="5"/>
      <c r="UJ132" s="5"/>
      <c r="UK132" s="5"/>
      <c r="UL132" s="5"/>
      <c r="UM132" s="5"/>
      <c r="UN132" s="5"/>
      <c r="UO132" s="5"/>
      <c r="UP132" s="5"/>
      <c r="UQ132" s="5"/>
      <c r="UR132" s="5"/>
      <c r="US132" s="5"/>
      <c r="UT132" s="5"/>
      <c r="UU132" s="5"/>
      <c r="UV132" s="5"/>
      <c r="UW132" s="5"/>
      <c r="UX132" s="5"/>
      <c r="UY132" s="5"/>
      <c r="UZ132" s="5"/>
      <c r="VA132" s="5"/>
      <c r="VB132" s="5"/>
      <c r="VC132" s="5"/>
      <c r="VD132" s="5"/>
      <c r="VE132" s="5"/>
      <c r="VF132" s="5"/>
      <c r="VG132" s="5"/>
      <c r="VH132" s="5"/>
      <c r="VI132" s="5"/>
      <c r="VJ132" s="5"/>
      <c r="VK132" s="5"/>
      <c r="VL132" s="5"/>
      <c r="VM132" s="5"/>
      <c r="VN132" s="5"/>
      <c r="VO132" s="5"/>
      <c r="VP132" s="5"/>
      <c r="VQ132" s="5"/>
      <c r="VR132" s="5"/>
      <c r="VS132" s="5"/>
      <c r="VT132" s="5"/>
      <c r="VU132" s="5"/>
      <c r="VV132" s="5"/>
      <c r="VW132" s="5"/>
      <c r="VX132" s="5"/>
      <c r="VY132" s="5"/>
      <c r="VZ132" s="5"/>
      <c r="WA132" s="5"/>
      <c r="WB132" s="5"/>
      <c r="WC132" s="5"/>
      <c r="WD132" s="5"/>
      <c r="WE132" s="5"/>
      <c r="WF132" s="5"/>
      <c r="WG132" s="5"/>
      <c r="WH132" s="5"/>
      <c r="WI132" s="5"/>
      <c r="WJ132" s="5"/>
      <c r="WK132" s="5"/>
      <c r="WL132" s="5"/>
      <c r="WM132" s="5"/>
      <c r="WN132" s="5"/>
      <c r="WO132" s="5"/>
      <c r="WP132" s="5"/>
      <c r="WQ132" s="5"/>
      <c r="WR132" s="5"/>
      <c r="WS132" s="5"/>
      <c r="WT132" s="5"/>
      <c r="WU132" s="5"/>
      <c r="WV132" s="5"/>
      <c r="WW132" s="5"/>
      <c r="WX132" s="5"/>
      <c r="WY132" s="5"/>
      <c r="WZ132" s="5"/>
      <c r="XA132" s="5"/>
      <c r="XB132" s="5"/>
      <c r="XC132" s="5"/>
      <c r="XD132" s="5"/>
      <c r="XE132" s="5"/>
      <c r="XF132" s="5"/>
      <c r="XG132" s="5"/>
      <c r="XH132" s="5"/>
      <c r="XI132" s="5"/>
      <c r="XJ132" s="5"/>
      <c r="XK132" s="5"/>
      <c r="XL132" s="5"/>
      <c r="XM132" s="5"/>
      <c r="XN132" s="5"/>
      <c r="XO132" s="5"/>
      <c r="XP132" s="5"/>
      <c r="XQ132" s="5"/>
      <c r="XR132" s="5"/>
      <c r="XS132" s="5"/>
      <c r="XT132" s="5"/>
      <c r="XU132" s="5"/>
      <c r="XV132" s="5"/>
      <c r="XW132" s="5"/>
      <c r="XX132" s="5"/>
      <c r="XY132" s="5"/>
      <c r="XZ132" s="5"/>
      <c r="YA132" s="5"/>
      <c r="YB132" s="5"/>
      <c r="YC132" s="5"/>
      <c r="YD132" s="5"/>
      <c r="YE132" s="5"/>
      <c r="YF132" s="5"/>
      <c r="YG132" s="5"/>
      <c r="YH132" s="5"/>
      <c r="YI132" s="5"/>
      <c r="YJ132" s="5"/>
      <c r="YK132" s="5"/>
      <c r="YL132" s="5"/>
      <c r="YM132" s="5"/>
      <c r="YN132" s="5"/>
      <c r="YO132" s="5"/>
      <c r="YP132" s="5"/>
      <c r="YQ132" s="5"/>
      <c r="YR132" s="5"/>
      <c r="YS132" s="5"/>
      <c r="YT132" s="5"/>
      <c r="YU132" s="5"/>
      <c r="YV132" s="5"/>
      <c r="YW132" s="5"/>
      <c r="YX132" s="5"/>
      <c r="YY132" s="5"/>
      <c r="YZ132" s="5"/>
    </row>
    <row r="133" spans="1:676">
      <c r="A133" s="7">
        <v>123</v>
      </c>
      <c r="B133" s="7" t="s">
        <v>320</v>
      </c>
      <c r="C133" s="10" t="s">
        <v>321</v>
      </c>
      <c r="D133" s="7" t="s">
        <v>171</v>
      </c>
      <c r="E133" s="7" t="s">
        <v>71</v>
      </c>
      <c r="F133" s="7" t="s">
        <v>162</v>
      </c>
      <c r="G133" s="7"/>
      <c r="H133" s="7" t="s">
        <v>43</v>
      </c>
      <c r="I133" s="11">
        <v>2</v>
      </c>
      <c r="J133" s="11">
        <v>3</v>
      </c>
      <c r="K133" s="11">
        <v>0</v>
      </c>
      <c r="L133" s="11">
        <v>1.53</v>
      </c>
      <c r="M133" s="11">
        <v>0.08</v>
      </c>
      <c r="N133" s="11">
        <v>0</v>
      </c>
      <c r="O133" s="11">
        <v>0.6</v>
      </c>
      <c r="P133" s="11">
        <v>0.9700000000000001</v>
      </c>
      <c r="Q133" s="11">
        <v>3.18</v>
      </c>
      <c r="R133" s="11">
        <v>0</v>
      </c>
      <c r="S133" s="11">
        <v>3.18</v>
      </c>
      <c r="T133" s="11">
        <v>2</v>
      </c>
      <c r="U133" s="11">
        <v>1.18</v>
      </c>
      <c r="V133" s="11">
        <v>0</v>
      </c>
      <c r="W133" s="13">
        <v>2</v>
      </c>
      <c r="X133" s="13">
        <v>3</v>
      </c>
      <c r="Y133" s="13" t="str">
        <f>MIN(W133,S133)</f>
        <v>0</v>
      </c>
      <c r="Z133" s="13" t="str">
        <f>MIN(X133,(S133-Y133))</f>
        <v>0</v>
      </c>
      <c r="AA133" s="13" t="str">
        <f>S133-SUM(Y133,Z133)</f>
        <v>0</v>
      </c>
      <c r="AB133" s="15"/>
      <c r="AC133" s="15"/>
      <c r="AD133" s="1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5"/>
      <c r="CD133" s="5"/>
      <c r="CE133" s="5"/>
      <c r="CF133" s="5"/>
      <c r="CG133" s="5"/>
      <c r="CH133" s="5"/>
      <c r="CI133" s="5"/>
      <c r="CJ133" s="5"/>
      <c r="CK133" s="5"/>
      <c r="CL133" s="5"/>
      <c r="CM133" s="5"/>
      <c r="CN133" s="5"/>
      <c r="CO133" s="5"/>
      <c r="CP133" s="5"/>
      <c r="CQ133" s="5"/>
      <c r="CR133" s="5"/>
      <c r="CS133" s="5"/>
      <c r="CT133" s="5"/>
      <c r="CU133" s="5"/>
      <c r="CV133" s="5"/>
      <c r="CW133" s="5"/>
      <c r="CX133" s="5"/>
      <c r="CY133" s="5"/>
      <c r="CZ133" s="5"/>
      <c r="DA133" s="5"/>
      <c r="DB133" s="5"/>
      <c r="DC133" s="5"/>
      <c r="DD133" s="5"/>
      <c r="DE133" s="5"/>
      <c r="DF133" s="5"/>
      <c r="DG133" s="5"/>
      <c r="DH133" s="5"/>
      <c r="DI133" s="5"/>
      <c r="DJ133" s="5"/>
      <c r="DK133" s="5"/>
      <c r="DL133" s="5"/>
      <c r="DM133" s="5"/>
      <c r="DN133" s="5"/>
      <c r="DO133" s="5"/>
      <c r="DP133" s="5"/>
      <c r="DQ133" s="5"/>
      <c r="DR133" s="5"/>
      <c r="DS133" s="5"/>
      <c r="DT133" s="5"/>
      <c r="DU133" s="5"/>
      <c r="DV133" s="5"/>
      <c r="DW133" s="5"/>
      <c r="DX133" s="5"/>
      <c r="DY133" s="5"/>
      <c r="DZ133" s="5"/>
      <c r="EA133" s="5"/>
      <c r="EB133" s="5"/>
      <c r="EC133" s="5"/>
      <c r="ED133" s="5"/>
      <c r="EE133" s="5"/>
      <c r="EF133" s="5"/>
      <c r="EG133" s="5"/>
      <c r="EH133" s="5"/>
      <c r="EI133" s="5"/>
      <c r="EJ133" s="5"/>
      <c r="EK133" s="5"/>
      <c r="EL133" s="5"/>
      <c r="EM133" s="5"/>
      <c r="EN133" s="5"/>
      <c r="EO133" s="5"/>
      <c r="EP133" s="5"/>
      <c r="EQ133" s="5"/>
      <c r="ER133" s="5"/>
      <c r="ES133" s="5"/>
      <c r="ET133" s="5"/>
      <c r="EU133" s="5"/>
      <c r="EV133" s="5"/>
      <c r="EW133" s="5"/>
      <c r="EX133" s="5"/>
      <c r="EY133" s="5"/>
      <c r="EZ133" s="5"/>
      <c r="FA133" s="5"/>
      <c r="FB133" s="5"/>
      <c r="FC133" s="5"/>
      <c r="FD133" s="5"/>
      <c r="FE133" s="5"/>
      <c r="FF133" s="5"/>
      <c r="FG133" s="5"/>
      <c r="FH133" s="5"/>
      <c r="FI133" s="5"/>
      <c r="FJ133" s="5"/>
      <c r="FK133" s="5"/>
      <c r="FL133" s="5"/>
      <c r="FM133" s="5"/>
      <c r="FN133" s="5"/>
      <c r="FO133" s="5"/>
      <c r="FP133" s="5"/>
      <c r="FQ133" s="5"/>
      <c r="FR133" s="5"/>
      <c r="FS133" s="5"/>
      <c r="FT133" s="5"/>
      <c r="FU133" s="5"/>
      <c r="FV133" s="5"/>
      <c r="FW133" s="5"/>
      <c r="FX133" s="5"/>
      <c r="FY133" s="5"/>
      <c r="FZ133" s="5"/>
      <c r="GA133" s="5"/>
      <c r="GB133" s="5"/>
      <c r="GC133" s="5"/>
      <c r="GD133" s="5"/>
      <c r="GE133" s="5"/>
      <c r="GF133" s="5"/>
      <c r="GG133" s="5"/>
      <c r="GH133" s="5"/>
      <c r="GI133" s="5"/>
      <c r="GJ133" s="5"/>
      <c r="GK133" s="5"/>
      <c r="GL133" s="5"/>
      <c r="GM133" s="5"/>
      <c r="GN133" s="5"/>
      <c r="GO133" s="5"/>
      <c r="GP133" s="5"/>
      <c r="GQ133" s="5"/>
      <c r="GR133" s="5"/>
      <c r="GS133" s="5"/>
      <c r="GT133" s="5"/>
      <c r="GU133" s="5"/>
      <c r="GV133" s="5"/>
      <c r="GW133" s="5"/>
      <c r="GX133" s="5"/>
      <c r="GY133" s="5"/>
      <c r="GZ133" s="5"/>
      <c r="HA133" s="5"/>
      <c r="HB133" s="5"/>
      <c r="HC133" s="5"/>
      <c r="HD133" s="5"/>
      <c r="HE133" s="5"/>
      <c r="HF133" s="5"/>
      <c r="HG133" s="5"/>
      <c r="HH133" s="5"/>
      <c r="HI133" s="5"/>
      <c r="HJ133" s="5"/>
      <c r="HK133" s="5"/>
      <c r="HL133" s="5"/>
      <c r="HM133" s="5"/>
      <c r="HN133" s="5"/>
      <c r="HO133" s="5"/>
      <c r="HP133" s="5"/>
      <c r="HQ133" s="5"/>
      <c r="HR133" s="5"/>
      <c r="HS133" s="5"/>
      <c r="HT133" s="5"/>
      <c r="HU133" s="5"/>
      <c r="HV133" s="5"/>
      <c r="HW133" s="5"/>
      <c r="HX133" s="5"/>
      <c r="HY133" s="5"/>
      <c r="HZ133" s="5"/>
      <c r="IA133" s="5"/>
      <c r="IB133" s="5"/>
      <c r="IC133" s="5"/>
      <c r="ID133" s="5"/>
      <c r="IE133" s="5"/>
      <c r="IF133" s="5"/>
      <c r="IG133" s="5"/>
      <c r="IH133" s="5"/>
      <c r="II133" s="5"/>
      <c r="IJ133" s="5"/>
      <c r="IK133" s="5"/>
      <c r="IL133" s="5"/>
      <c r="IM133" s="5"/>
      <c r="IN133" s="5"/>
      <c r="IO133" s="5"/>
      <c r="IP133" s="5"/>
      <c r="IQ133" s="5"/>
      <c r="IR133" s="5"/>
      <c r="IS133" s="5"/>
      <c r="IT133" s="5"/>
      <c r="IU133" s="5"/>
      <c r="IV133" s="5"/>
      <c r="IW133" s="5"/>
      <c r="IX133" s="5"/>
      <c r="IY133" s="5"/>
      <c r="IZ133" s="5"/>
      <c r="JA133" s="5"/>
      <c r="JB133" s="5"/>
      <c r="JC133" s="5"/>
      <c r="JD133" s="5"/>
      <c r="JE133" s="5"/>
      <c r="JF133" s="5"/>
      <c r="JG133" s="5"/>
      <c r="JH133" s="5"/>
      <c r="JI133" s="5"/>
      <c r="JJ133" s="5"/>
      <c r="JK133" s="5"/>
      <c r="JL133" s="5"/>
      <c r="JM133" s="5"/>
      <c r="JN133" s="5"/>
      <c r="JO133" s="5"/>
      <c r="JP133" s="5"/>
      <c r="JQ133" s="5"/>
      <c r="JR133" s="5"/>
      <c r="JS133" s="5"/>
      <c r="JT133" s="5"/>
      <c r="JU133" s="5"/>
      <c r="JV133" s="5"/>
      <c r="JW133" s="5"/>
      <c r="JX133" s="5"/>
      <c r="JY133" s="5"/>
      <c r="JZ133" s="5"/>
      <c r="KA133" s="5"/>
      <c r="KB133" s="5"/>
      <c r="KC133" s="5"/>
      <c r="KD133" s="5"/>
      <c r="KE133" s="5"/>
      <c r="KF133" s="5"/>
      <c r="KG133" s="5"/>
      <c r="KH133" s="5"/>
      <c r="KI133" s="5"/>
      <c r="KJ133" s="5"/>
      <c r="KK133" s="5"/>
      <c r="KL133" s="5"/>
      <c r="KM133" s="5"/>
      <c r="KN133" s="5"/>
      <c r="KO133" s="5"/>
      <c r="KP133" s="5"/>
      <c r="KQ133" s="5"/>
      <c r="KR133" s="5"/>
      <c r="KS133" s="5"/>
      <c r="KT133" s="5"/>
      <c r="KU133" s="5"/>
      <c r="KV133" s="5"/>
      <c r="KW133" s="5"/>
      <c r="KX133" s="5"/>
      <c r="KY133" s="5"/>
      <c r="KZ133" s="5"/>
      <c r="LA133" s="5"/>
      <c r="LB133" s="5"/>
      <c r="LC133" s="5"/>
      <c r="LD133" s="5"/>
      <c r="LE133" s="5"/>
      <c r="LF133" s="5"/>
      <c r="LG133" s="5"/>
      <c r="LH133" s="5"/>
      <c r="LI133" s="5"/>
      <c r="LJ133" s="5"/>
      <c r="LK133" s="5"/>
      <c r="LL133" s="5"/>
      <c r="LM133" s="5"/>
      <c r="LN133" s="5"/>
      <c r="LO133" s="5"/>
      <c r="LP133" s="5"/>
      <c r="LQ133" s="5"/>
      <c r="LR133" s="5"/>
      <c r="LS133" s="5"/>
      <c r="LT133" s="5"/>
      <c r="LU133" s="5"/>
      <c r="LV133" s="5"/>
      <c r="LW133" s="5"/>
      <c r="LX133" s="5"/>
      <c r="LY133" s="5"/>
      <c r="LZ133" s="5"/>
      <c r="MA133" s="5"/>
      <c r="MB133" s="5"/>
      <c r="MC133" s="5"/>
      <c r="MD133" s="5"/>
      <c r="ME133" s="5"/>
      <c r="MF133" s="5"/>
      <c r="MG133" s="5"/>
      <c r="MH133" s="5"/>
      <c r="MI133" s="5"/>
      <c r="MJ133" s="5"/>
      <c r="MK133" s="5"/>
      <c r="ML133" s="5"/>
      <c r="MM133" s="5"/>
      <c r="MN133" s="5"/>
      <c r="MO133" s="5"/>
      <c r="MP133" s="5"/>
      <c r="MQ133" s="5"/>
      <c r="MR133" s="5"/>
      <c r="MS133" s="5"/>
      <c r="MT133" s="5"/>
      <c r="MU133" s="5"/>
      <c r="MV133" s="5"/>
      <c r="MW133" s="5"/>
      <c r="MX133" s="5"/>
      <c r="MY133" s="5"/>
      <c r="MZ133" s="5"/>
      <c r="NA133" s="5"/>
      <c r="NB133" s="5"/>
      <c r="NC133" s="5"/>
      <c r="ND133" s="5"/>
      <c r="NE133" s="5"/>
      <c r="NF133" s="5"/>
      <c r="NG133" s="5"/>
      <c r="NH133" s="5"/>
      <c r="NI133" s="5"/>
      <c r="NJ133" s="5"/>
      <c r="NK133" s="5"/>
      <c r="NL133" s="5"/>
      <c r="NM133" s="5"/>
      <c r="NN133" s="5"/>
      <c r="NO133" s="5"/>
      <c r="NP133" s="5"/>
      <c r="NQ133" s="5"/>
      <c r="NR133" s="5"/>
      <c r="NS133" s="5"/>
      <c r="NT133" s="5"/>
      <c r="NU133" s="5"/>
      <c r="NV133" s="5"/>
      <c r="NW133" s="5"/>
      <c r="NX133" s="5"/>
      <c r="NY133" s="5"/>
      <c r="NZ133" s="5"/>
      <c r="OA133" s="5"/>
      <c r="OB133" s="5"/>
      <c r="OC133" s="5"/>
      <c r="OD133" s="5"/>
      <c r="OE133" s="5"/>
      <c r="OF133" s="5"/>
      <c r="OG133" s="5"/>
      <c r="OH133" s="5"/>
      <c r="OI133" s="5"/>
      <c r="OJ133" s="5"/>
      <c r="OK133" s="5"/>
      <c r="OL133" s="5"/>
      <c r="OM133" s="5"/>
      <c r="ON133" s="5"/>
      <c r="OO133" s="5"/>
      <c r="OP133" s="5"/>
      <c r="OQ133" s="5"/>
      <c r="OR133" s="5"/>
      <c r="OS133" s="5"/>
      <c r="OT133" s="5"/>
      <c r="OU133" s="5"/>
      <c r="OV133" s="5"/>
      <c r="OW133" s="5"/>
      <c r="OX133" s="5"/>
      <c r="OY133" s="5"/>
      <c r="OZ133" s="5"/>
      <c r="PA133" s="5"/>
      <c r="PB133" s="5"/>
      <c r="PC133" s="5"/>
      <c r="PD133" s="5"/>
      <c r="PE133" s="5"/>
      <c r="PF133" s="5"/>
      <c r="PG133" s="5"/>
      <c r="PH133" s="5"/>
      <c r="PI133" s="5"/>
      <c r="PJ133" s="5"/>
      <c r="PK133" s="5"/>
      <c r="PL133" s="5"/>
      <c r="PM133" s="5"/>
      <c r="PN133" s="5"/>
      <c r="PO133" s="5"/>
      <c r="PP133" s="5"/>
      <c r="PQ133" s="5"/>
      <c r="PR133" s="5"/>
      <c r="PS133" s="5"/>
      <c r="PT133" s="5"/>
      <c r="PU133" s="5"/>
      <c r="PV133" s="5"/>
      <c r="PW133" s="5"/>
      <c r="PX133" s="5"/>
      <c r="PY133" s="5"/>
      <c r="PZ133" s="5"/>
      <c r="QA133" s="5"/>
      <c r="QB133" s="5"/>
      <c r="QC133" s="5"/>
      <c r="QD133" s="5"/>
      <c r="QE133" s="5"/>
      <c r="QF133" s="5"/>
      <c r="QG133" s="5"/>
      <c r="QH133" s="5"/>
      <c r="QI133" s="5"/>
      <c r="QJ133" s="5"/>
      <c r="QK133" s="5"/>
      <c r="QL133" s="5"/>
      <c r="QM133" s="5"/>
      <c r="QN133" s="5"/>
      <c r="QO133" s="5"/>
      <c r="QP133" s="5"/>
      <c r="QQ133" s="5"/>
      <c r="QR133" s="5"/>
      <c r="QS133" s="5"/>
      <c r="QT133" s="5"/>
      <c r="QU133" s="5"/>
      <c r="QV133" s="5"/>
      <c r="QW133" s="5"/>
      <c r="QX133" s="5"/>
      <c r="QY133" s="5"/>
      <c r="QZ133" s="5"/>
      <c r="RA133" s="5"/>
      <c r="RB133" s="5"/>
      <c r="RC133" s="5"/>
      <c r="RD133" s="5"/>
      <c r="RE133" s="5"/>
      <c r="RF133" s="5"/>
      <c r="RG133" s="5"/>
      <c r="RH133" s="5"/>
      <c r="RI133" s="5"/>
      <c r="RJ133" s="5"/>
      <c r="RK133" s="5"/>
      <c r="RL133" s="5"/>
      <c r="RM133" s="5"/>
      <c r="RN133" s="5"/>
      <c r="RO133" s="5"/>
      <c r="RP133" s="5"/>
      <c r="RQ133" s="5"/>
      <c r="RR133" s="5"/>
      <c r="RS133" s="5"/>
      <c r="RT133" s="5"/>
      <c r="RU133" s="5"/>
      <c r="RV133" s="5"/>
      <c r="RW133" s="5"/>
      <c r="RX133" s="5"/>
      <c r="RY133" s="5"/>
      <c r="RZ133" s="5"/>
      <c r="SA133" s="5"/>
      <c r="SB133" s="5"/>
      <c r="SC133" s="5"/>
      <c r="SD133" s="5"/>
      <c r="SE133" s="5"/>
      <c r="SF133" s="5"/>
      <c r="SG133" s="5"/>
      <c r="SH133" s="5"/>
      <c r="SI133" s="5"/>
      <c r="SJ133" s="5"/>
      <c r="SK133" s="5"/>
      <c r="SL133" s="5"/>
      <c r="SM133" s="5"/>
      <c r="SN133" s="5"/>
      <c r="SO133" s="5"/>
      <c r="SP133" s="5"/>
      <c r="SQ133" s="5"/>
      <c r="SR133" s="5"/>
      <c r="SS133" s="5"/>
      <c r="ST133" s="5"/>
      <c r="SU133" s="5"/>
      <c r="SV133" s="5"/>
      <c r="SW133" s="5"/>
      <c r="SX133" s="5"/>
      <c r="SY133" s="5"/>
      <c r="SZ133" s="5"/>
      <c r="TA133" s="5"/>
      <c r="TB133" s="5"/>
      <c r="TC133" s="5"/>
      <c r="TD133" s="5"/>
      <c r="TE133" s="5"/>
      <c r="TF133" s="5"/>
      <c r="TG133" s="5"/>
      <c r="TH133" s="5"/>
      <c r="TI133" s="5"/>
      <c r="TJ133" s="5"/>
      <c r="TK133" s="5"/>
      <c r="TL133" s="5"/>
      <c r="TM133" s="5"/>
      <c r="TN133" s="5"/>
      <c r="TO133" s="5"/>
      <c r="TP133" s="5"/>
      <c r="TQ133" s="5"/>
      <c r="TR133" s="5"/>
      <c r="TS133" s="5"/>
      <c r="TT133" s="5"/>
      <c r="TU133" s="5"/>
      <c r="TV133" s="5"/>
      <c r="TW133" s="5"/>
      <c r="TX133" s="5"/>
      <c r="TY133" s="5"/>
      <c r="TZ133" s="5"/>
      <c r="UA133" s="5"/>
      <c r="UB133" s="5"/>
      <c r="UC133" s="5"/>
      <c r="UD133" s="5"/>
      <c r="UE133" s="5"/>
      <c r="UF133" s="5"/>
      <c r="UG133" s="5"/>
      <c r="UH133" s="5"/>
      <c r="UI133" s="5"/>
      <c r="UJ133" s="5"/>
      <c r="UK133" s="5"/>
      <c r="UL133" s="5"/>
      <c r="UM133" s="5"/>
      <c r="UN133" s="5"/>
      <c r="UO133" s="5"/>
      <c r="UP133" s="5"/>
      <c r="UQ133" s="5"/>
      <c r="UR133" s="5"/>
      <c r="US133" s="5"/>
      <c r="UT133" s="5"/>
      <c r="UU133" s="5"/>
      <c r="UV133" s="5"/>
      <c r="UW133" s="5"/>
      <c r="UX133" s="5"/>
      <c r="UY133" s="5"/>
      <c r="UZ133" s="5"/>
      <c r="VA133" s="5"/>
      <c r="VB133" s="5"/>
      <c r="VC133" s="5"/>
      <c r="VD133" s="5"/>
      <c r="VE133" s="5"/>
      <c r="VF133" s="5"/>
      <c r="VG133" s="5"/>
      <c r="VH133" s="5"/>
      <c r="VI133" s="5"/>
      <c r="VJ133" s="5"/>
      <c r="VK133" s="5"/>
      <c r="VL133" s="5"/>
      <c r="VM133" s="5"/>
      <c r="VN133" s="5"/>
      <c r="VO133" s="5"/>
      <c r="VP133" s="5"/>
      <c r="VQ133" s="5"/>
      <c r="VR133" s="5"/>
      <c r="VS133" s="5"/>
      <c r="VT133" s="5"/>
      <c r="VU133" s="5"/>
      <c r="VV133" s="5"/>
      <c r="VW133" s="5"/>
      <c r="VX133" s="5"/>
      <c r="VY133" s="5"/>
      <c r="VZ133" s="5"/>
      <c r="WA133" s="5"/>
      <c r="WB133" s="5"/>
      <c r="WC133" s="5"/>
      <c r="WD133" s="5"/>
      <c r="WE133" s="5"/>
      <c r="WF133" s="5"/>
      <c r="WG133" s="5"/>
      <c r="WH133" s="5"/>
      <c r="WI133" s="5"/>
      <c r="WJ133" s="5"/>
      <c r="WK133" s="5"/>
      <c r="WL133" s="5"/>
      <c r="WM133" s="5"/>
      <c r="WN133" s="5"/>
      <c r="WO133" s="5"/>
      <c r="WP133" s="5"/>
      <c r="WQ133" s="5"/>
      <c r="WR133" s="5"/>
      <c r="WS133" s="5"/>
      <c r="WT133" s="5"/>
      <c r="WU133" s="5"/>
      <c r="WV133" s="5"/>
      <c r="WW133" s="5"/>
      <c r="WX133" s="5"/>
      <c r="WY133" s="5"/>
      <c r="WZ133" s="5"/>
      <c r="XA133" s="5"/>
      <c r="XB133" s="5"/>
      <c r="XC133" s="5"/>
      <c r="XD133" s="5"/>
      <c r="XE133" s="5"/>
      <c r="XF133" s="5"/>
      <c r="XG133" s="5"/>
      <c r="XH133" s="5"/>
      <c r="XI133" s="5"/>
      <c r="XJ133" s="5"/>
      <c r="XK133" s="5"/>
      <c r="XL133" s="5"/>
      <c r="XM133" s="5"/>
      <c r="XN133" s="5"/>
      <c r="XO133" s="5"/>
      <c r="XP133" s="5"/>
      <c r="XQ133" s="5"/>
      <c r="XR133" s="5"/>
      <c r="XS133" s="5"/>
      <c r="XT133" s="5"/>
      <c r="XU133" s="5"/>
      <c r="XV133" s="5"/>
      <c r="XW133" s="5"/>
      <c r="XX133" s="5"/>
      <c r="XY133" s="5"/>
      <c r="XZ133" s="5"/>
      <c r="YA133" s="5"/>
      <c r="YB133" s="5"/>
      <c r="YC133" s="5"/>
      <c r="YD133" s="5"/>
      <c r="YE133" s="5"/>
      <c r="YF133" s="5"/>
      <c r="YG133" s="5"/>
      <c r="YH133" s="5"/>
      <c r="YI133" s="5"/>
      <c r="YJ133" s="5"/>
      <c r="YK133" s="5"/>
      <c r="YL133" s="5"/>
      <c r="YM133" s="5"/>
      <c r="YN133" s="5"/>
      <c r="YO133" s="5"/>
      <c r="YP133" s="5"/>
      <c r="YQ133" s="5"/>
      <c r="YR133" s="5"/>
      <c r="YS133" s="5"/>
      <c r="YT133" s="5"/>
      <c r="YU133" s="5"/>
      <c r="YV133" s="5"/>
      <c r="YW133" s="5"/>
      <c r="YX133" s="5"/>
      <c r="YY133" s="5"/>
      <c r="YZ133" s="5"/>
    </row>
    <row r="134" spans="1:676">
      <c r="A134" s="7">
        <v>124</v>
      </c>
      <c r="B134" s="7" t="s">
        <v>322</v>
      </c>
      <c r="C134" s="10" t="s">
        <v>323</v>
      </c>
      <c r="D134" s="7" t="s">
        <v>54</v>
      </c>
      <c r="E134" s="7" t="s">
        <v>71</v>
      </c>
      <c r="F134" s="7" t="s">
        <v>162</v>
      </c>
      <c r="G134" s="7"/>
      <c r="H134" s="7" t="s">
        <v>43</v>
      </c>
      <c r="I134" s="11">
        <v>2</v>
      </c>
      <c r="J134" s="11">
        <v>3</v>
      </c>
      <c r="K134" s="11">
        <v>0</v>
      </c>
      <c r="L134" s="11">
        <v>0.12</v>
      </c>
      <c r="M134" s="11">
        <v>0</v>
      </c>
      <c r="N134" s="11">
        <v>0</v>
      </c>
      <c r="O134" s="11">
        <v>0.44</v>
      </c>
      <c r="P134" s="11">
        <v>0</v>
      </c>
      <c r="Q134" s="11">
        <v>0.5600000000000001</v>
      </c>
      <c r="R134" s="11">
        <v>0</v>
      </c>
      <c r="S134" s="11">
        <v>0.5600000000000001</v>
      </c>
      <c r="T134" s="11">
        <v>0.5600000000000001</v>
      </c>
      <c r="U134" s="11">
        <v>0</v>
      </c>
      <c r="V134" s="11">
        <v>0</v>
      </c>
      <c r="W134" s="13">
        <v>2</v>
      </c>
      <c r="X134" s="13">
        <v>3</v>
      </c>
      <c r="Y134" s="13" t="str">
        <f>MIN(W134,S134)</f>
        <v>0</v>
      </c>
      <c r="Z134" s="13" t="str">
        <f>MIN(X134,(S134-Y134))</f>
        <v>0</v>
      </c>
      <c r="AA134" s="13" t="str">
        <f>S134-SUM(Y134,Z134)</f>
        <v>0</v>
      </c>
      <c r="AB134" s="15"/>
      <c r="AC134" s="15"/>
      <c r="AD134" s="1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C134" s="5"/>
      <c r="CD134" s="5"/>
      <c r="CE134" s="5"/>
      <c r="CF134" s="5"/>
      <c r="CG134" s="5"/>
      <c r="CH134" s="5"/>
      <c r="CI134" s="5"/>
      <c r="CJ134" s="5"/>
      <c r="CK134" s="5"/>
      <c r="CL134" s="5"/>
      <c r="CM134" s="5"/>
      <c r="CN134" s="5"/>
      <c r="CO134" s="5"/>
      <c r="CP134" s="5"/>
      <c r="CQ134" s="5"/>
      <c r="CR134" s="5"/>
      <c r="CS134" s="5"/>
      <c r="CT134" s="5"/>
      <c r="CU134" s="5"/>
      <c r="CV134" s="5"/>
      <c r="CW134" s="5"/>
      <c r="CX134" s="5"/>
      <c r="CY134" s="5"/>
      <c r="CZ134" s="5"/>
      <c r="DA134" s="5"/>
      <c r="DB134" s="5"/>
      <c r="DC134" s="5"/>
      <c r="DD134" s="5"/>
      <c r="DE134" s="5"/>
      <c r="DF134" s="5"/>
      <c r="DG134" s="5"/>
      <c r="DH134" s="5"/>
      <c r="DI134" s="5"/>
      <c r="DJ134" s="5"/>
      <c r="DK134" s="5"/>
      <c r="DL134" s="5"/>
      <c r="DM134" s="5"/>
      <c r="DN134" s="5"/>
      <c r="DO134" s="5"/>
      <c r="DP134" s="5"/>
      <c r="DQ134" s="5"/>
      <c r="DR134" s="5"/>
      <c r="DS134" s="5"/>
      <c r="DT134" s="5"/>
      <c r="DU134" s="5"/>
      <c r="DV134" s="5"/>
      <c r="DW134" s="5"/>
      <c r="DX134" s="5"/>
      <c r="DY134" s="5"/>
      <c r="DZ134" s="5"/>
      <c r="EA134" s="5"/>
      <c r="EB134" s="5"/>
      <c r="EC134" s="5"/>
      <c r="ED134" s="5"/>
      <c r="EE134" s="5"/>
      <c r="EF134" s="5"/>
      <c r="EG134" s="5"/>
      <c r="EH134" s="5"/>
      <c r="EI134" s="5"/>
      <c r="EJ134" s="5"/>
      <c r="EK134" s="5"/>
      <c r="EL134" s="5"/>
      <c r="EM134" s="5"/>
      <c r="EN134" s="5"/>
      <c r="EO134" s="5"/>
      <c r="EP134" s="5"/>
      <c r="EQ134" s="5"/>
      <c r="ER134" s="5"/>
      <c r="ES134" s="5"/>
      <c r="ET134" s="5"/>
      <c r="EU134" s="5"/>
      <c r="EV134" s="5"/>
      <c r="EW134" s="5"/>
      <c r="EX134" s="5"/>
      <c r="EY134" s="5"/>
      <c r="EZ134" s="5"/>
      <c r="FA134" s="5"/>
      <c r="FB134" s="5"/>
      <c r="FC134" s="5"/>
      <c r="FD134" s="5"/>
      <c r="FE134" s="5"/>
      <c r="FF134" s="5"/>
      <c r="FG134" s="5"/>
      <c r="FH134" s="5"/>
      <c r="FI134" s="5"/>
      <c r="FJ134" s="5"/>
      <c r="FK134" s="5"/>
      <c r="FL134" s="5"/>
      <c r="FM134" s="5"/>
      <c r="FN134" s="5"/>
      <c r="FO134" s="5"/>
      <c r="FP134" s="5"/>
      <c r="FQ134" s="5"/>
      <c r="FR134" s="5"/>
      <c r="FS134" s="5"/>
      <c r="FT134" s="5"/>
      <c r="FU134" s="5"/>
      <c r="FV134" s="5"/>
      <c r="FW134" s="5"/>
      <c r="FX134" s="5"/>
      <c r="FY134" s="5"/>
      <c r="FZ134" s="5"/>
      <c r="GA134" s="5"/>
      <c r="GB134" s="5"/>
      <c r="GC134" s="5"/>
      <c r="GD134" s="5"/>
      <c r="GE134" s="5"/>
      <c r="GF134" s="5"/>
      <c r="GG134" s="5"/>
      <c r="GH134" s="5"/>
      <c r="GI134" s="5"/>
      <c r="GJ134" s="5"/>
      <c r="GK134" s="5"/>
      <c r="GL134" s="5"/>
      <c r="GM134" s="5"/>
      <c r="GN134" s="5"/>
      <c r="GO134" s="5"/>
      <c r="GP134" s="5"/>
      <c r="GQ134" s="5"/>
      <c r="GR134" s="5"/>
      <c r="GS134" s="5"/>
      <c r="GT134" s="5"/>
      <c r="GU134" s="5"/>
      <c r="GV134" s="5"/>
      <c r="GW134" s="5"/>
      <c r="GX134" s="5"/>
      <c r="GY134" s="5"/>
      <c r="GZ134" s="5"/>
      <c r="HA134" s="5"/>
      <c r="HB134" s="5"/>
      <c r="HC134" s="5"/>
      <c r="HD134" s="5"/>
      <c r="HE134" s="5"/>
      <c r="HF134" s="5"/>
      <c r="HG134" s="5"/>
      <c r="HH134" s="5"/>
      <c r="HI134" s="5"/>
      <c r="HJ134" s="5"/>
      <c r="HK134" s="5"/>
      <c r="HL134" s="5"/>
      <c r="HM134" s="5"/>
      <c r="HN134" s="5"/>
      <c r="HO134" s="5"/>
      <c r="HP134" s="5"/>
      <c r="HQ134" s="5"/>
      <c r="HR134" s="5"/>
      <c r="HS134" s="5"/>
      <c r="HT134" s="5"/>
      <c r="HU134" s="5"/>
      <c r="HV134" s="5"/>
      <c r="HW134" s="5"/>
      <c r="HX134" s="5"/>
      <c r="HY134" s="5"/>
      <c r="HZ134" s="5"/>
      <c r="IA134" s="5"/>
      <c r="IB134" s="5"/>
      <c r="IC134" s="5"/>
      <c r="ID134" s="5"/>
      <c r="IE134" s="5"/>
      <c r="IF134" s="5"/>
      <c r="IG134" s="5"/>
      <c r="IH134" s="5"/>
      <c r="II134" s="5"/>
      <c r="IJ134" s="5"/>
      <c r="IK134" s="5"/>
      <c r="IL134" s="5"/>
      <c r="IM134" s="5"/>
      <c r="IN134" s="5"/>
      <c r="IO134" s="5"/>
      <c r="IP134" s="5"/>
      <c r="IQ134" s="5"/>
      <c r="IR134" s="5"/>
      <c r="IS134" s="5"/>
      <c r="IT134" s="5"/>
      <c r="IU134" s="5"/>
      <c r="IV134" s="5"/>
      <c r="IW134" s="5"/>
      <c r="IX134" s="5"/>
      <c r="IY134" s="5"/>
      <c r="IZ134" s="5"/>
      <c r="JA134" s="5"/>
      <c r="JB134" s="5"/>
      <c r="JC134" s="5"/>
      <c r="JD134" s="5"/>
      <c r="JE134" s="5"/>
      <c r="JF134" s="5"/>
      <c r="JG134" s="5"/>
      <c r="JH134" s="5"/>
      <c r="JI134" s="5"/>
      <c r="JJ134" s="5"/>
      <c r="JK134" s="5"/>
      <c r="JL134" s="5"/>
      <c r="JM134" s="5"/>
      <c r="JN134" s="5"/>
      <c r="JO134" s="5"/>
      <c r="JP134" s="5"/>
      <c r="JQ134" s="5"/>
      <c r="JR134" s="5"/>
      <c r="JS134" s="5"/>
      <c r="JT134" s="5"/>
      <c r="JU134" s="5"/>
      <c r="JV134" s="5"/>
      <c r="JW134" s="5"/>
      <c r="JX134" s="5"/>
      <c r="JY134" s="5"/>
      <c r="JZ134" s="5"/>
      <c r="KA134" s="5"/>
      <c r="KB134" s="5"/>
      <c r="KC134" s="5"/>
      <c r="KD134" s="5"/>
      <c r="KE134" s="5"/>
      <c r="KF134" s="5"/>
      <c r="KG134" s="5"/>
      <c r="KH134" s="5"/>
      <c r="KI134" s="5"/>
      <c r="KJ134" s="5"/>
      <c r="KK134" s="5"/>
      <c r="KL134" s="5"/>
      <c r="KM134" s="5"/>
      <c r="KN134" s="5"/>
      <c r="KO134" s="5"/>
      <c r="KP134" s="5"/>
      <c r="KQ134" s="5"/>
      <c r="KR134" s="5"/>
      <c r="KS134" s="5"/>
      <c r="KT134" s="5"/>
      <c r="KU134" s="5"/>
      <c r="KV134" s="5"/>
      <c r="KW134" s="5"/>
      <c r="KX134" s="5"/>
      <c r="KY134" s="5"/>
      <c r="KZ134" s="5"/>
      <c r="LA134" s="5"/>
      <c r="LB134" s="5"/>
      <c r="LC134" s="5"/>
      <c r="LD134" s="5"/>
      <c r="LE134" s="5"/>
      <c r="LF134" s="5"/>
      <c r="LG134" s="5"/>
      <c r="LH134" s="5"/>
      <c r="LI134" s="5"/>
      <c r="LJ134" s="5"/>
      <c r="LK134" s="5"/>
      <c r="LL134" s="5"/>
      <c r="LM134" s="5"/>
      <c r="LN134" s="5"/>
      <c r="LO134" s="5"/>
      <c r="LP134" s="5"/>
      <c r="LQ134" s="5"/>
      <c r="LR134" s="5"/>
      <c r="LS134" s="5"/>
      <c r="LT134" s="5"/>
      <c r="LU134" s="5"/>
      <c r="LV134" s="5"/>
      <c r="LW134" s="5"/>
      <c r="LX134" s="5"/>
      <c r="LY134" s="5"/>
      <c r="LZ134" s="5"/>
      <c r="MA134" s="5"/>
      <c r="MB134" s="5"/>
      <c r="MC134" s="5"/>
      <c r="MD134" s="5"/>
      <c r="ME134" s="5"/>
      <c r="MF134" s="5"/>
      <c r="MG134" s="5"/>
      <c r="MH134" s="5"/>
      <c r="MI134" s="5"/>
      <c r="MJ134" s="5"/>
      <c r="MK134" s="5"/>
      <c r="ML134" s="5"/>
      <c r="MM134" s="5"/>
      <c r="MN134" s="5"/>
      <c r="MO134" s="5"/>
      <c r="MP134" s="5"/>
      <c r="MQ134" s="5"/>
      <c r="MR134" s="5"/>
      <c r="MS134" s="5"/>
      <c r="MT134" s="5"/>
      <c r="MU134" s="5"/>
      <c r="MV134" s="5"/>
      <c r="MW134" s="5"/>
      <c r="MX134" s="5"/>
      <c r="MY134" s="5"/>
      <c r="MZ134" s="5"/>
      <c r="NA134" s="5"/>
      <c r="NB134" s="5"/>
      <c r="NC134" s="5"/>
      <c r="ND134" s="5"/>
      <c r="NE134" s="5"/>
      <c r="NF134" s="5"/>
      <c r="NG134" s="5"/>
      <c r="NH134" s="5"/>
      <c r="NI134" s="5"/>
      <c r="NJ134" s="5"/>
      <c r="NK134" s="5"/>
      <c r="NL134" s="5"/>
      <c r="NM134" s="5"/>
      <c r="NN134" s="5"/>
      <c r="NO134" s="5"/>
      <c r="NP134" s="5"/>
      <c r="NQ134" s="5"/>
      <c r="NR134" s="5"/>
      <c r="NS134" s="5"/>
      <c r="NT134" s="5"/>
      <c r="NU134" s="5"/>
      <c r="NV134" s="5"/>
      <c r="NW134" s="5"/>
      <c r="NX134" s="5"/>
      <c r="NY134" s="5"/>
      <c r="NZ134" s="5"/>
      <c r="OA134" s="5"/>
      <c r="OB134" s="5"/>
      <c r="OC134" s="5"/>
      <c r="OD134" s="5"/>
      <c r="OE134" s="5"/>
      <c r="OF134" s="5"/>
      <c r="OG134" s="5"/>
      <c r="OH134" s="5"/>
      <c r="OI134" s="5"/>
      <c r="OJ134" s="5"/>
      <c r="OK134" s="5"/>
      <c r="OL134" s="5"/>
      <c r="OM134" s="5"/>
      <c r="ON134" s="5"/>
      <c r="OO134" s="5"/>
      <c r="OP134" s="5"/>
      <c r="OQ134" s="5"/>
      <c r="OR134" s="5"/>
      <c r="OS134" s="5"/>
      <c r="OT134" s="5"/>
      <c r="OU134" s="5"/>
      <c r="OV134" s="5"/>
      <c r="OW134" s="5"/>
      <c r="OX134" s="5"/>
      <c r="OY134" s="5"/>
      <c r="OZ134" s="5"/>
      <c r="PA134" s="5"/>
      <c r="PB134" s="5"/>
      <c r="PC134" s="5"/>
      <c r="PD134" s="5"/>
      <c r="PE134" s="5"/>
      <c r="PF134" s="5"/>
      <c r="PG134" s="5"/>
      <c r="PH134" s="5"/>
      <c r="PI134" s="5"/>
      <c r="PJ134" s="5"/>
      <c r="PK134" s="5"/>
      <c r="PL134" s="5"/>
      <c r="PM134" s="5"/>
      <c r="PN134" s="5"/>
      <c r="PO134" s="5"/>
      <c r="PP134" s="5"/>
      <c r="PQ134" s="5"/>
      <c r="PR134" s="5"/>
      <c r="PS134" s="5"/>
      <c r="PT134" s="5"/>
      <c r="PU134" s="5"/>
      <c r="PV134" s="5"/>
      <c r="PW134" s="5"/>
      <c r="PX134" s="5"/>
      <c r="PY134" s="5"/>
      <c r="PZ134" s="5"/>
      <c r="QA134" s="5"/>
      <c r="QB134" s="5"/>
      <c r="QC134" s="5"/>
      <c r="QD134" s="5"/>
      <c r="QE134" s="5"/>
      <c r="QF134" s="5"/>
      <c r="QG134" s="5"/>
      <c r="QH134" s="5"/>
      <c r="QI134" s="5"/>
      <c r="QJ134" s="5"/>
      <c r="QK134" s="5"/>
      <c r="QL134" s="5"/>
      <c r="QM134" s="5"/>
      <c r="QN134" s="5"/>
      <c r="QO134" s="5"/>
      <c r="QP134" s="5"/>
      <c r="QQ134" s="5"/>
      <c r="QR134" s="5"/>
      <c r="QS134" s="5"/>
      <c r="QT134" s="5"/>
      <c r="QU134" s="5"/>
      <c r="QV134" s="5"/>
      <c r="QW134" s="5"/>
      <c r="QX134" s="5"/>
      <c r="QY134" s="5"/>
      <c r="QZ134" s="5"/>
      <c r="RA134" s="5"/>
      <c r="RB134" s="5"/>
      <c r="RC134" s="5"/>
      <c r="RD134" s="5"/>
      <c r="RE134" s="5"/>
      <c r="RF134" s="5"/>
      <c r="RG134" s="5"/>
      <c r="RH134" s="5"/>
      <c r="RI134" s="5"/>
      <c r="RJ134" s="5"/>
      <c r="RK134" s="5"/>
      <c r="RL134" s="5"/>
      <c r="RM134" s="5"/>
      <c r="RN134" s="5"/>
      <c r="RO134" s="5"/>
      <c r="RP134" s="5"/>
      <c r="RQ134" s="5"/>
      <c r="RR134" s="5"/>
      <c r="RS134" s="5"/>
      <c r="RT134" s="5"/>
      <c r="RU134" s="5"/>
      <c r="RV134" s="5"/>
      <c r="RW134" s="5"/>
      <c r="RX134" s="5"/>
      <c r="RY134" s="5"/>
      <c r="RZ134" s="5"/>
      <c r="SA134" s="5"/>
      <c r="SB134" s="5"/>
      <c r="SC134" s="5"/>
      <c r="SD134" s="5"/>
      <c r="SE134" s="5"/>
      <c r="SF134" s="5"/>
      <c r="SG134" s="5"/>
      <c r="SH134" s="5"/>
      <c r="SI134" s="5"/>
      <c r="SJ134" s="5"/>
      <c r="SK134" s="5"/>
      <c r="SL134" s="5"/>
      <c r="SM134" s="5"/>
      <c r="SN134" s="5"/>
      <c r="SO134" s="5"/>
      <c r="SP134" s="5"/>
      <c r="SQ134" s="5"/>
      <c r="SR134" s="5"/>
      <c r="SS134" s="5"/>
      <c r="ST134" s="5"/>
      <c r="SU134" s="5"/>
      <c r="SV134" s="5"/>
      <c r="SW134" s="5"/>
      <c r="SX134" s="5"/>
      <c r="SY134" s="5"/>
      <c r="SZ134" s="5"/>
      <c r="TA134" s="5"/>
      <c r="TB134" s="5"/>
      <c r="TC134" s="5"/>
      <c r="TD134" s="5"/>
      <c r="TE134" s="5"/>
      <c r="TF134" s="5"/>
      <c r="TG134" s="5"/>
      <c r="TH134" s="5"/>
      <c r="TI134" s="5"/>
      <c r="TJ134" s="5"/>
      <c r="TK134" s="5"/>
      <c r="TL134" s="5"/>
      <c r="TM134" s="5"/>
      <c r="TN134" s="5"/>
      <c r="TO134" s="5"/>
      <c r="TP134" s="5"/>
      <c r="TQ134" s="5"/>
      <c r="TR134" s="5"/>
      <c r="TS134" s="5"/>
      <c r="TT134" s="5"/>
      <c r="TU134" s="5"/>
      <c r="TV134" s="5"/>
      <c r="TW134" s="5"/>
      <c r="TX134" s="5"/>
      <c r="TY134" s="5"/>
      <c r="TZ134" s="5"/>
      <c r="UA134" s="5"/>
      <c r="UB134" s="5"/>
      <c r="UC134" s="5"/>
      <c r="UD134" s="5"/>
      <c r="UE134" s="5"/>
      <c r="UF134" s="5"/>
      <c r="UG134" s="5"/>
      <c r="UH134" s="5"/>
      <c r="UI134" s="5"/>
      <c r="UJ134" s="5"/>
      <c r="UK134" s="5"/>
      <c r="UL134" s="5"/>
      <c r="UM134" s="5"/>
      <c r="UN134" s="5"/>
      <c r="UO134" s="5"/>
      <c r="UP134" s="5"/>
      <c r="UQ134" s="5"/>
      <c r="UR134" s="5"/>
      <c r="US134" s="5"/>
      <c r="UT134" s="5"/>
      <c r="UU134" s="5"/>
      <c r="UV134" s="5"/>
      <c r="UW134" s="5"/>
      <c r="UX134" s="5"/>
      <c r="UY134" s="5"/>
      <c r="UZ134" s="5"/>
      <c r="VA134" s="5"/>
      <c r="VB134" s="5"/>
      <c r="VC134" s="5"/>
      <c r="VD134" s="5"/>
      <c r="VE134" s="5"/>
      <c r="VF134" s="5"/>
      <c r="VG134" s="5"/>
      <c r="VH134" s="5"/>
      <c r="VI134" s="5"/>
      <c r="VJ134" s="5"/>
      <c r="VK134" s="5"/>
      <c r="VL134" s="5"/>
      <c r="VM134" s="5"/>
      <c r="VN134" s="5"/>
      <c r="VO134" s="5"/>
      <c r="VP134" s="5"/>
      <c r="VQ134" s="5"/>
      <c r="VR134" s="5"/>
      <c r="VS134" s="5"/>
      <c r="VT134" s="5"/>
      <c r="VU134" s="5"/>
      <c r="VV134" s="5"/>
      <c r="VW134" s="5"/>
      <c r="VX134" s="5"/>
      <c r="VY134" s="5"/>
      <c r="VZ134" s="5"/>
      <c r="WA134" s="5"/>
      <c r="WB134" s="5"/>
      <c r="WC134" s="5"/>
      <c r="WD134" s="5"/>
      <c r="WE134" s="5"/>
      <c r="WF134" s="5"/>
      <c r="WG134" s="5"/>
      <c r="WH134" s="5"/>
      <c r="WI134" s="5"/>
      <c r="WJ134" s="5"/>
      <c r="WK134" s="5"/>
      <c r="WL134" s="5"/>
      <c r="WM134" s="5"/>
      <c r="WN134" s="5"/>
      <c r="WO134" s="5"/>
      <c r="WP134" s="5"/>
      <c r="WQ134" s="5"/>
      <c r="WR134" s="5"/>
      <c r="WS134" s="5"/>
      <c r="WT134" s="5"/>
      <c r="WU134" s="5"/>
      <c r="WV134" s="5"/>
      <c r="WW134" s="5"/>
      <c r="WX134" s="5"/>
      <c r="WY134" s="5"/>
      <c r="WZ134" s="5"/>
      <c r="XA134" s="5"/>
      <c r="XB134" s="5"/>
      <c r="XC134" s="5"/>
      <c r="XD134" s="5"/>
      <c r="XE134" s="5"/>
      <c r="XF134" s="5"/>
      <c r="XG134" s="5"/>
      <c r="XH134" s="5"/>
      <c r="XI134" s="5"/>
      <c r="XJ134" s="5"/>
      <c r="XK134" s="5"/>
      <c r="XL134" s="5"/>
      <c r="XM134" s="5"/>
      <c r="XN134" s="5"/>
      <c r="XO134" s="5"/>
      <c r="XP134" s="5"/>
      <c r="XQ134" s="5"/>
      <c r="XR134" s="5"/>
      <c r="XS134" s="5"/>
      <c r="XT134" s="5"/>
      <c r="XU134" s="5"/>
      <c r="XV134" s="5"/>
      <c r="XW134" s="5"/>
      <c r="XX134" s="5"/>
      <c r="XY134" s="5"/>
      <c r="XZ134" s="5"/>
      <c r="YA134" s="5"/>
      <c r="YB134" s="5"/>
      <c r="YC134" s="5"/>
      <c r="YD134" s="5"/>
      <c r="YE134" s="5"/>
      <c r="YF134" s="5"/>
      <c r="YG134" s="5"/>
      <c r="YH134" s="5"/>
      <c r="YI134" s="5"/>
      <c r="YJ134" s="5"/>
      <c r="YK134" s="5"/>
      <c r="YL134" s="5"/>
      <c r="YM134" s="5"/>
      <c r="YN134" s="5"/>
      <c r="YO134" s="5"/>
      <c r="YP134" s="5"/>
      <c r="YQ134" s="5"/>
      <c r="YR134" s="5"/>
      <c r="YS134" s="5"/>
      <c r="YT134" s="5"/>
      <c r="YU134" s="5"/>
      <c r="YV134" s="5"/>
      <c r="YW134" s="5"/>
      <c r="YX134" s="5"/>
      <c r="YY134" s="5"/>
      <c r="YZ134" s="5"/>
    </row>
    <row r="135" spans="1:676">
      <c r="A135" s="7">
        <v>125</v>
      </c>
      <c r="B135" s="7" t="s">
        <v>324</v>
      </c>
      <c r="C135" s="10" t="s">
        <v>325</v>
      </c>
      <c r="D135" s="7" t="s">
        <v>60</v>
      </c>
      <c r="E135" s="7" t="s">
        <v>71</v>
      </c>
      <c r="F135" s="7" t="s">
        <v>162</v>
      </c>
      <c r="G135" s="7"/>
      <c r="H135" s="7" t="s">
        <v>79</v>
      </c>
      <c r="I135" s="11">
        <v>2</v>
      </c>
      <c r="J135" s="11">
        <v>3</v>
      </c>
      <c r="K135" s="11">
        <v>0.95</v>
      </c>
      <c r="L135" s="11">
        <v>1.03</v>
      </c>
      <c r="M135" s="11">
        <v>0.16</v>
      </c>
      <c r="N135" s="11">
        <v>0</v>
      </c>
      <c r="O135" s="11">
        <v>0.72</v>
      </c>
      <c r="P135" s="11">
        <v>0.83</v>
      </c>
      <c r="Q135" s="11">
        <v>3.69</v>
      </c>
      <c r="R135" s="11">
        <v>0</v>
      </c>
      <c r="S135" s="11">
        <v>3.69</v>
      </c>
      <c r="T135" s="11">
        <v>2</v>
      </c>
      <c r="U135" s="11">
        <v>1.69</v>
      </c>
      <c r="V135" s="11">
        <v>0</v>
      </c>
      <c r="W135" s="13">
        <v>2</v>
      </c>
      <c r="X135" s="13">
        <v>3</v>
      </c>
      <c r="Y135" s="13" t="str">
        <f>MIN(W135,S135)</f>
        <v>0</v>
      </c>
      <c r="Z135" s="13" t="str">
        <f>MIN(X135,(S135-Y135))</f>
        <v>0</v>
      </c>
      <c r="AA135" s="13" t="str">
        <f>S135-SUM(Y135,Z135)</f>
        <v>0</v>
      </c>
      <c r="AB135" s="15"/>
      <c r="AC135" s="15"/>
      <c r="AD135" s="1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5"/>
      <c r="CD135" s="5"/>
      <c r="CE135" s="5"/>
      <c r="CF135" s="5"/>
      <c r="CG135" s="5"/>
      <c r="CH135" s="5"/>
      <c r="CI135" s="5"/>
      <c r="CJ135" s="5"/>
      <c r="CK135" s="5"/>
      <c r="CL135" s="5"/>
      <c r="CM135" s="5"/>
      <c r="CN135" s="5"/>
      <c r="CO135" s="5"/>
      <c r="CP135" s="5"/>
      <c r="CQ135" s="5"/>
      <c r="CR135" s="5"/>
      <c r="CS135" s="5"/>
      <c r="CT135" s="5"/>
      <c r="CU135" s="5"/>
      <c r="CV135" s="5"/>
      <c r="CW135" s="5"/>
      <c r="CX135" s="5"/>
      <c r="CY135" s="5"/>
      <c r="CZ135" s="5"/>
      <c r="DA135" s="5"/>
      <c r="DB135" s="5"/>
      <c r="DC135" s="5"/>
      <c r="DD135" s="5"/>
      <c r="DE135" s="5"/>
      <c r="DF135" s="5"/>
      <c r="DG135" s="5"/>
      <c r="DH135" s="5"/>
      <c r="DI135" s="5"/>
      <c r="DJ135" s="5"/>
      <c r="DK135" s="5"/>
      <c r="DL135" s="5"/>
      <c r="DM135" s="5"/>
      <c r="DN135" s="5"/>
      <c r="DO135" s="5"/>
      <c r="DP135" s="5"/>
      <c r="DQ135" s="5"/>
      <c r="DR135" s="5"/>
      <c r="DS135" s="5"/>
      <c r="DT135" s="5"/>
      <c r="DU135" s="5"/>
      <c r="DV135" s="5"/>
      <c r="DW135" s="5"/>
      <c r="DX135" s="5"/>
      <c r="DY135" s="5"/>
      <c r="DZ135" s="5"/>
      <c r="EA135" s="5"/>
      <c r="EB135" s="5"/>
      <c r="EC135" s="5"/>
      <c r="ED135" s="5"/>
      <c r="EE135" s="5"/>
      <c r="EF135" s="5"/>
      <c r="EG135" s="5"/>
      <c r="EH135" s="5"/>
      <c r="EI135" s="5"/>
      <c r="EJ135" s="5"/>
      <c r="EK135" s="5"/>
      <c r="EL135" s="5"/>
      <c r="EM135" s="5"/>
      <c r="EN135" s="5"/>
      <c r="EO135" s="5"/>
      <c r="EP135" s="5"/>
      <c r="EQ135" s="5"/>
      <c r="ER135" s="5"/>
      <c r="ES135" s="5"/>
      <c r="ET135" s="5"/>
      <c r="EU135" s="5"/>
      <c r="EV135" s="5"/>
      <c r="EW135" s="5"/>
      <c r="EX135" s="5"/>
      <c r="EY135" s="5"/>
      <c r="EZ135" s="5"/>
      <c r="FA135" s="5"/>
      <c r="FB135" s="5"/>
      <c r="FC135" s="5"/>
      <c r="FD135" s="5"/>
      <c r="FE135" s="5"/>
      <c r="FF135" s="5"/>
      <c r="FG135" s="5"/>
      <c r="FH135" s="5"/>
      <c r="FI135" s="5"/>
      <c r="FJ135" s="5"/>
      <c r="FK135" s="5"/>
      <c r="FL135" s="5"/>
      <c r="FM135" s="5"/>
      <c r="FN135" s="5"/>
      <c r="FO135" s="5"/>
      <c r="FP135" s="5"/>
      <c r="FQ135" s="5"/>
      <c r="FR135" s="5"/>
      <c r="FS135" s="5"/>
      <c r="FT135" s="5"/>
      <c r="FU135" s="5"/>
      <c r="FV135" s="5"/>
      <c r="FW135" s="5"/>
      <c r="FX135" s="5"/>
      <c r="FY135" s="5"/>
      <c r="FZ135" s="5"/>
      <c r="GA135" s="5"/>
      <c r="GB135" s="5"/>
      <c r="GC135" s="5"/>
      <c r="GD135" s="5"/>
      <c r="GE135" s="5"/>
      <c r="GF135" s="5"/>
      <c r="GG135" s="5"/>
      <c r="GH135" s="5"/>
      <c r="GI135" s="5"/>
      <c r="GJ135" s="5"/>
      <c r="GK135" s="5"/>
      <c r="GL135" s="5"/>
      <c r="GM135" s="5"/>
      <c r="GN135" s="5"/>
      <c r="GO135" s="5"/>
      <c r="GP135" s="5"/>
      <c r="GQ135" s="5"/>
      <c r="GR135" s="5"/>
      <c r="GS135" s="5"/>
      <c r="GT135" s="5"/>
      <c r="GU135" s="5"/>
      <c r="GV135" s="5"/>
      <c r="GW135" s="5"/>
      <c r="GX135" s="5"/>
      <c r="GY135" s="5"/>
      <c r="GZ135" s="5"/>
      <c r="HA135" s="5"/>
      <c r="HB135" s="5"/>
      <c r="HC135" s="5"/>
      <c r="HD135" s="5"/>
      <c r="HE135" s="5"/>
      <c r="HF135" s="5"/>
      <c r="HG135" s="5"/>
      <c r="HH135" s="5"/>
      <c r="HI135" s="5"/>
      <c r="HJ135" s="5"/>
      <c r="HK135" s="5"/>
      <c r="HL135" s="5"/>
      <c r="HM135" s="5"/>
      <c r="HN135" s="5"/>
      <c r="HO135" s="5"/>
      <c r="HP135" s="5"/>
      <c r="HQ135" s="5"/>
      <c r="HR135" s="5"/>
      <c r="HS135" s="5"/>
      <c r="HT135" s="5"/>
      <c r="HU135" s="5"/>
      <c r="HV135" s="5"/>
      <c r="HW135" s="5"/>
      <c r="HX135" s="5"/>
      <c r="HY135" s="5"/>
      <c r="HZ135" s="5"/>
      <c r="IA135" s="5"/>
      <c r="IB135" s="5"/>
      <c r="IC135" s="5"/>
      <c r="ID135" s="5"/>
      <c r="IE135" s="5"/>
      <c r="IF135" s="5"/>
      <c r="IG135" s="5"/>
      <c r="IH135" s="5"/>
      <c r="II135" s="5"/>
      <c r="IJ135" s="5"/>
      <c r="IK135" s="5"/>
      <c r="IL135" s="5"/>
      <c r="IM135" s="5"/>
      <c r="IN135" s="5"/>
      <c r="IO135" s="5"/>
      <c r="IP135" s="5"/>
      <c r="IQ135" s="5"/>
      <c r="IR135" s="5"/>
      <c r="IS135" s="5"/>
      <c r="IT135" s="5"/>
      <c r="IU135" s="5"/>
      <c r="IV135" s="5"/>
      <c r="IW135" s="5"/>
      <c r="IX135" s="5"/>
      <c r="IY135" s="5"/>
      <c r="IZ135" s="5"/>
      <c r="JA135" s="5"/>
      <c r="JB135" s="5"/>
      <c r="JC135" s="5"/>
      <c r="JD135" s="5"/>
      <c r="JE135" s="5"/>
      <c r="JF135" s="5"/>
      <c r="JG135" s="5"/>
      <c r="JH135" s="5"/>
      <c r="JI135" s="5"/>
      <c r="JJ135" s="5"/>
      <c r="JK135" s="5"/>
      <c r="JL135" s="5"/>
      <c r="JM135" s="5"/>
      <c r="JN135" s="5"/>
      <c r="JO135" s="5"/>
      <c r="JP135" s="5"/>
      <c r="JQ135" s="5"/>
      <c r="JR135" s="5"/>
      <c r="JS135" s="5"/>
      <c r="JT135" s="5"/>
      <c r="JU135" s="5"/>
      <c r="JV135" s="5"/>
      <c r="JW135" s="5"/>
      <c r="JX135" s="5"/>
      <c r="JY135" s="5"/>
      <c r="JZ135" s="5"/>
      <c r="KA135" s="5"/>
      <c r="KB135" s="5"/>
      <c r="KC135" s="5"/>
      <c r="KD135" s="5"/>
      <c r="KE135" s="5"/>
      <c r="KF135" s="5"/>
      <c r="KG135" s="5"/>
      <c r="KH135" s="5"/>
      <c r="KI135" s="5"/>
      <c r="KJ135" s="5"/>
      <c r="KK135" s="5"/>
      <c r="KL135" s="5"/>
      <c r="KM135" s="5"/>
      <c r="KN135" s="5"/>
      <c r="KO135" s="5"/>
      <c r="KP135" s="5"/>
      <c r="KQ135" s="5"/>
      <c r="KR135" s="5"/>
      <c r="KS135" s="5"/>
      <c r="KT135" s="5"/>
      <c r="KU135" s="5"/>
      <c r="KV135" s="5"/>
      <c r="KW135" s="5"/>
      <c r="KX135" s="5"/>
      <c r="KY135" s="5"/>
      <c r="KZ135" s="5"/>
      <c r="LA135" s="5"/>
      <c r="LB135" s="5"/>
      <c r="LC135" s="5"/>
      <c r="LD135" s="5"/>
      <c r="LE135" s="5"/>
      <c r="LF135" s="5"/>
      <c r="LG135" s="5"/>
      <c r="LH135" s="5"/>
      <c r="LI135" s="5"/>
      <c r="LJ135" s="5"/>
      <c r="LK135" s="5"/>
      <c r="LL135" s="5"/>
      <c r="LM135" s="5"/>
      <c r="LN135" s="5"/>
      <c r="LO135" s="5"/>
      <c r="LP135" s="5"/>
      <c r="LQ135" s="5"/>
      <c r="LR135" s="5"/>
      <c r="LS135" s="5"/>
      <c r="LT135" s="5"/>
      <c r="LU135" s="5"/>
      <c r="LV135" s="5"/>
      <c r="LW135" s="5"/>
      <c r="LX135" s="5"/>
      <c r="LY135" s="5"/>
      <c r="LZ135" s="5"/>
      <c r="MA135" s="5"/>
      <c r="MB135" s="5"/>
      <c r="MC135" s="5"/>
      <c r="MD135" s="5"/>
      <c r="ME135" s="5"/>
      <c r="MF135" s="5"/>
      <c r="MG135" s="5"/>
      <c r="MH135" s="5"/>
      <c r="MI135" s="5"/>
      <c r="MJ135" s="5"/>
      <c r="MK135" s="5"/>
      <c r="ML135" s="5"/>
      <c r="MM135" s="5"/>
      <c r="MN135" s="5"/>
      <c r="MO135" s="5"/>
      <c r="MP135" s="5"/>
      <c r="MQ135" s="5"/>
      <c r="MR135" s="5"/>
      <c r="MS135" s="5"/>
      <c r="MT135" s="5"/>
      <c r="MU135" s="5"/>
      <c r="MV135" s="5"/>
      <c r="MW135" s="5"/>
      <c r="MX135" s="5"/>
      <c r="MY135" s="5"/>
      <c r="MZ135" s="5"/>
      <c r="NA135" s="5"/>
      <c r="NB135" s="5"/>
      <c r="NC135" s="5"/>
      <c r="ND135" s="5"/>
      <c r="NE135" s="5"/>
      <c r="NF135" s="5"/>
      <c r="NG135" s="5"/>
      <c r="NH135" s="5"/>
      <c r="NI135" s="5"/>
      <c r="NJ135" s="5"/>
      <c r="NK135" s="5"/>
      <c r="NL135" s="5"/>
      <c r="NM135" s="5"/>
      <c r="NN135" s="5"/>
      <c r="NO135" s="5"/>
      <c r="NP135" s="5"/>
      <c r="NQ135" s="5"/>
      <c r="NR135" s="5"/>
      <c r="NS135" s="5"/>
      <c r="NT135" s="5"/>
      <c r="NU135" s="5"/>
      <c r="NV135" s="5"/>
      <c r="NW135" s="5"/>
      <c r="NX135" s="5"/>
      <c r="NY135" s="5"/>
      <c r="NZ135" s="5"/>
      <c r="OA135" s="5"/>
      <c r="OB135" s="5"/>
      <c r="OC135" s="5"/>
      <c r="OD135" s="5"/>
      <c r="OE135" s="5"/>
      <c r="OF135" s="5"/>
      <c r="OG135" s="5"/>
      <c r="OH135" s="5"/>
      <c r="OI135" s="5"/>
      <c r="OJ135" s="5"/>
      <c r="OK135" s="5"/>
      <c r="OL135" s="5"/>
      <c r="OM135" s="5"/>
      <c r="ON135" s="5"/>
      <c r="OO135" s="5"/>
      <c r="OP135" s="5"/>
      <c r="OQ135" s="5"/>
      <c r="OR135" s="5"/>
      <c r="OS135" s="5"/>
      <c r="OT135" s="5"/>
      <c r="OU135" s="5"/>
      <c r="OV135" s="5"/>
      <c r="OW135" s="5"/>
      <c r="OX135" s="5"/>
      <c r="OY135" s="5"/>
      <c r="OZ135" s="5"/>
      <c r="PA135" s="5"/>
      <c r="PB135" s="5"/>
      <c r="PC135" s="5"/>
      <c r="PD135" s="5"/>
      <c r="PE135" s="5"/>
      <c r="PF135" s="5"/>
      <c r="PG135" s="5"/>
      <c r="PH135" s="5"/>
      <c r="PI135" s="5"/>
      <c r="PJ135" s="5"/>
      <c r="PK135" s="5"/>
      <c r="PL135" s="5"/>
      <c r="PM135" s="5"/>
      <c r="PN135" s="5"/>
      <c r="PO135" s="5"/>
      <c r="PP135" s="5"/>
      <c r="PQ135" s="5"/>
      <c r="PR135" s="5"/>
      <c r="PS135" s="5"/>
      <c r="PT135" s="5"/>
      <c r="PU135" s="5"/>
      <c r="PV135" s="5"/>
      <c r="PW135" s="5"/>
      <c r="PX135" s="5"/>
      <c r="PY135" s="5"/>
      <c r="PZ135" s="5"/>
      <c r="QA135" s="5"/>
      <c r="QB135" s="5"/>
      <c r="QC135" s="5"/>
      <c r="QD135" s="5"/>
      <c r="QE135" s="5"/>
      <c r="QF135" s="5"/>
      <c r="QG135" s="5"/>
      <c r="QH135" s="5"/>
      <c r="QI135" s="5"/>
      <c r="QJ135" s="5"/>
      <c r="QK135" s="5"/>
      <c r="QL135" s="5"/>
      <c r="QM135" s="5"/>
      <c r="QN135" s="5"/>
      <c r="QO135" s="5"/>
      <c r="QP135" s="5"/>
      <c r="QQ135" s="5"/>
      <c r="QR135" s="5"/>
      <c r="QS135" s="5"/>
      <c r="QT135" s="5"/>
      <c r="QU135" s="5"/>
      <c r="QV135" s="5"/>
      <c r="QW135" s="5"/>
      <c r="QX135" s="5"/>
      <c r="QY135" s="5"/>
      <c r="QZ135" s="5"/>
      <c r="RA135" s="5"/>
      <c r="RB135" s="5"/>
      <c r="RC135" s="5"/>
      <c r="RD135" s="5"/>
      <c r="RE135" s="5"/>
      <c r="RF135" s="5"/>
      <c r="RG135" s="5"/>
      <c r="RH135" s="5"/>
      <c r="RI135" s="5"/>
      <c r="RJ135" s="5"/>
      <c r="RK135" s="5"/>
      <c r="RL135" s="5"/>
      <c r="RM135" s="5"/>
      <c r="RN135" s="5"/>
      <c r="RO135" s="5"/>
      <c r="RP135" s="5"/>
      <c r="RQ135" s="5"/>
      <c r="RR135" s="5"/>
      <c r="RS135" s="5"/>
      <c r="RT135" s="5"/>
      <c r="RU135" s="5"/>
      <c r="RV135" s="5"/>
      <c r="RW135" s="5"/>
      <c r="RX135" s="5"/>
      <c r="RY135" s="5"/>
      <c r="RZ135" s="5"/>
      <c r="SA135" s="5"/>
      <c r="SB135" s="5"/>
      <c r="SC135" s="5"/>
      <c r="SD135" s="5"/>
      <c r="SE135" s="5"/>
      <c r="SF135" s="5"/>
      <c r="SG135" s="5"/>
      <c r="SH135" s="5"/>
      <c r="SI135" s="5"/>
      <c r="SJ135" s="5"/>
      <c r="SK135" s="5"/>
      <c r="SL135" s="5"/>
      <c r="SM135" s="5"/>
      <c r="SN135" s="5"/>
      <c r="SO135" s="5"/>
      <c r="SP135" s="5"/>
      <c r="SQ135" s="5"/>
      <c r="SR135" s="5"/>
      <c r="SS135" s="5"/>
      <c r="ST135" s="5"/>
      <c r="SU135" s="5"/>
      <c r="SV135" s="5"/>
      <c r="SW135" s="5"/>
      <c r="SX135" s="5"/>
      <c r="SY135" s="5"/>
      <c r="SZ135" s="5"/>
      <c r="TA135" s="5"/>
      <c r="TB135" s="5"/>
      <c r="TC135" s="5"/>
      <c r="TD135" s="5"/>
      <c r="TE135" s="5"/>
      <c r="TF135" s="5"/>
      <c r="TG135" s="5"/>
      <c r="TH135" s="5"/>
      <c r="TI135" s="5"/>
      <c r="TJ135" s="5"/>
      <c r="TK135" s="5"/>
      <c r="TL135" s="5"/>
      <c r="TM135" s="5"/>
      <c r="TN135" s="5"/>
      <c r="TO135" s="5"/>
      <c r="TP135" s="5"/>
      <c r="TQ135" s="5"/>
      <c r="TR135" s="5"/>
      <c r="TS135" s="5"/>
      <c r="TT135" s="5"/>
      <c r="TU135" s="5"/>
      <c r="TV135" s="5"/>
      <c r="TW135" s="5"/>
      <c r="TX135" s="5"/>
      <c r="TY135" s="5"/>
      <c r="TZ135" s="5"/>
      <c r="UA135" s="5"/>
      <c r="UB135" s="5"/>
      <c r="UC135" s="5"/>
      <c r="UD135" s="5"/>
      <c r="UE135" s="5"/>
      <c r="UF135" s="5"/>
      <c r="UG135" s="5"/>
      <c r="UH135" s="5"/>
      <c r="UI135" s="5"/>
      <c r="UJ135" s="5"/>
      <c r="UK135" s="5"/>
      <c r="UL135" s="5"/>
      <c r="UM135" s="5"/>
      <c r="UN135" s="5"/>
      <c r="UO135" s="5"/>
      <c r="UP135" s="5"/>
      <c r="UQ135" s="5"/>
      <c r="UR135" s="5"/>
      <c r="US135" s="5"/>
      <c r="UT135" s="5"/>
      <c r="UU135" s="5"/>
      <c r="UV135" s="5"/>
      <c r="UW135" s="5"/>
      <c r="UX135" s="5"/>
      <c r="UY135" s="5"/>
      <c r="UZ135" s="5"/>
      <c r="VA135" s="5"/>
      <c r="VB135" s="5"/>
      <c r="VC135" s="5"/>
      <c r="VD135" s="5"/>
      <c r="VE135" s="5"/>
      <c r="VF135" s="5"/>
      <c r="VG135" s="5"/>
      <c r="VH135" s="5"/>
      <c r="VI135" s="5"/>
      <c r="VJ135" s="5"/>
      <c r="VK135" s="5"/>
      <c r="VL135" s="5"/>
      <c r="VM135" s="5"/>
      <c r="VN135" s="5"/>
      <c r="VO135" s="5"/>
      <c r="VP135" s="5"/>
      <c r="VQ135" s="5"/>
      <c r="VR135" s="5"/>
      <c r="VS135" s="5"/>
      <c r="VT135" s="5"/>
      <c r="VU135" s="5"/>
      <c r="VV135" s="5"/>
      <c r="VW135" s="5"/>
      <c r="VX135" s="5"/>
      <c r="VY135" s="5"/>
      <c r="VZ135" s="5"/>
      <c r="WA135" s="5"/>
      <c r="WB135" s="5"/>
      <c r="WC135" s="5"/>
      <c r="WD135" s="5"/>
      <c r="WE135" s="5"/>
      <c r="WF135" s="5"/>
      <c r="WG135" s="5"/>
      <c r="WH135" s="5"/>
      <c r="WI135" s="5"/>
      <c r="WJ135" s="5"/>
      <c r="WK135" s="5"/>
      <c r="WL135" s="5"/>
      <c r="WM135" s="5"/>
      <c r="WN135" s="5"/>
      <c r="WO135" s="5"/>
      <c r="WP135" s="5"/>
      <c r="WQ135" s="5"/>
      <c r="WR135" s="5"/>
      <c r="WS135" s="5"/>
      <c r="WT135" s="5"/>
      <c r="WU135" s="5"/>
      <c r="WV135" s="5"/>
      <c r="WW135" s="5"/>
      <c r="WX135" s="5"/>
      <c r="WY135" s="5"/>
      <c r="WZ135" s="5"/>
      <c r="XA135" s="5"/>
      <c r="XB135" s="5"/>
      <c r="XC135" s="5"/>
      <c r="XD135" s="5"/>
      <c r="XE135" s="5"/>
      <c r="XF135" s="5"/>
      <c r="XG135" s="5"/>
      <c r="XH135" s="5"/>
      <c r="XI135" s="5"/>
      <c r="XJ135" s="5"/>
      <c r="XK135" s="5"/>
      <c r="XL135" s="5"/>
      <c r="XM135" s="5"/>
      <c r="XN135" s="5"/>
      <c r="XO135" s="5"/>
      <c r="XP135" s="5"/>
      <c r="XQ135" s="5"/>
      <c r="XR135" s="5"/>
      <c r="XS135" s="5"/>
      <c r="XT135" s="5"/>
      <c r="XU135" s="5"/>
      <c r="XV135" s="5"/>
      <c r="XW135" s="5"/>
      <c r="XX135" s="5"/>
      <c r="XY135" s="5"/>
      <c r="XZ135" s="5"/>
      <c r="YA135" s="5"/>
      <c r="YB135" s="5"/>
      <c r="YC135" s="5"/>
      <c r="YD135" s="5"/>
      <c r="YE135" s="5"/>
      <c r="YF135" s="5"/>
      <c r="YG135" s="5"/>
      <c r="YH135" s="5"/>
      <c r="YI135" s="5"/>
      <c r="YJ135" s="5"/>
      <c r="YK135" s="5"/>
      <c r="YL135" s="5"/>
      <c r="YM135" s="5"/>
      <c r="YN135" s="5"/>
      <c r="YO135" s="5"/>
      <c r="YP135" s="5"/>
      <c r="YQ135" s="5"/>
      <c r="YR135" s="5"/>
      <c r="YS135" s="5"/>
      <c r="YT135" s="5"/>
      <c r="YU135" s="5"/>
      <c r="YV135" s="5"/>
      <c r="YW135" s="5"/>
      <c r="YX135" s="5"/>
      <c r="YY135" s="5"/>
      <c r="YZ135" s="5"/>
    </row>
    <row r="136" spans="1:676">
      <c r="A136" s="7">
        <v>126</v>
      </c>
      <c r="B136" s="7" t="s">
        <v>326</v>
      </c>
      <c r="C136" s="10" t="s">
        <v>327</v>
      </c>
      <c r="D136" s="7" t="s">
        <v>214</v>
      </c>
      <c r="E136" s="7" t="s">
        <v>71</v>
      </c>
      <c r="F136" s="7" t="s">
        <v>162</v>
      </c>
      <c r="G136" s="7"/>
      <c r="H136" s="7" t="s">
        <v>168</v>
      </c>
      <c r="I136" s="11">
        <v>2</v>
      </c>
      <c r="J136" s="11">
        <v>3</v>
      </c>
      <c r="K136" s="11">
        <v>1</v>
      </c>
      <c r="L136" s="11">
        <v>0.7800000000000002</v>
      </c>
      <c r="M136" s="11">
        <v>0</v>
      </c>
      <c r="N136" s="11">
        <v>0</v>
      </c>
      <c r="O136" s="11">
        <v>0.36</v>
      </c>
      <c r="P136" s="11">
        <v>1.66</v>
      </c>
      <c r="Q136" s="11">
        <v>3.8</v>
      </c>
      <c r="R136" s="11">
        <v>0</v>
      </c>
      <c r="S136" s="11">
        <v>3.8</v>
      </c>
      <c r="T136" s="11">
        <v>2</v>
      </c>
      <c r="U136" s="11">
        <v>1.8</v>
      </c>
      <c r="V136" s="11">
        <v>0</v>
      </c>
      <c r="W136" s="13">
        <v>2</v>
      </c>
      <c r="X136" s="13">
        <v>3</v>
      </c>
      <c r="Y136" s="13" t="str">
        <f>MIN(W136,S136)</f>
        <v>0</v>
      </c>
      <c r="Z136" s="13" t="str">
        <f>MIN(X136,(S136-Y136))</f>
        <v>0</v>
      </c>
      <c r="AA136" s="13" t="str">
        <f>S136-SUM(Y136,Z136)</f>
        <v>0</v>
      </c>
      <c r="AB136" s="15"/>
      <c r="AC136" s="15"/>
      <c r="AD136" s="1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/>
      <c r="CD136" s="5"/>
      <c r="CE136" s="5"/>
      <c r="CF136" s="5"/>
      <c r="CG136" s="5"/>
      <c r="CH136" s="5"/>
      <c r="CI136" s="5"/>
      <c r="CJ136" s="5"/>
      <c r="CK136" s="5"/>
      <c r="CL136" s="5"/>
      <c r="CM136" s="5"/>
      <c r="CN136" s="5"/>
      <c r="CO136" s="5"/>
      <c r="CP136" s="5"/>
      <c r="CQ136" s="5"/>
      <c r="CR136" s="5"/>
      <c r="CS136" s="5"/>
      <c r="CT136" s="5"/>
      <c r="CU136" s="5"/>
      <c r="CV136" s="5"/>
      <c r="CW136" s="5"/>
      <c r="CX136" s="5"/>
      <c r="CY136" s="5"/>
      <c r="CZ136" s="5"/>
      <c r="DA136" s="5"/>
      <c r="DB136" s="5"/>
      <c r="DC136" s="5"/>
      <c r="DD136" s="5"/>
      <c r="DE136" s="5"/>
      <c r="DF136" s="5"/>
      <c r="DG136" s="5"/>
      <c r="DH136" s="5"/>
      <c r="DI136" s="5"/>
      <c r="DJ136" s="5"/>
      <c r="DK136" s="5"/>
      <c r="DL136" s="5"/>
      <c r="DM136" s="5"/>
      <c r="DN136" s="5"/>
      <c r="DO136" s="5"/>
      <c r="DP136" s="5"/>
      <c r="DQ136" s="5"/>
      <c r="DR136" s="5"/>
      <c r="DS136" s="5"/>
      <c r="DT136" s="5"/>
      <c r="DU136" s="5"/>
      <c r="DV136" s="5"/>
      <c r="DW136" s="5"/>
      <c r="DX136" s="5"/>
      <c r="DY136" s="5"/>
      <c r="DZ136" s="5"/>
      <c r="EA136" s="5"/>
      <c r="EB136" s="5"/>
      <c r="EC136" s="5"/>
      <c r="ED136" s="5"/>
      <c r="EE136" s="5"/>
      <c r="EF136" s="5"/>
      <c r="EG136" s="5"/>
      <c r="EH136" s="5"/>
      <c r="EI136" s="5"/>
      <c r="EJ136" s="5"/>
      <c r="EK136" s="5"/>
      <c r="EL136" s="5"/>
      <c r="EM136" s="5"/>
      <c r="EN136" s="5"/>
      <c r="EO136" s="5"/>
      <c r="EP136" s="5"/>
      <c r="EQ136" s="5"/>
      <c r="ER136" s="5"/>
      <c r="ES136" s="5"/>
      <c r="ET136" s="5"/>
      <c r="EU136" s="5"/>
      <c r="EV136" s="5"/>
      <c r="EW136" s="5"/>
      <c r="EX136" s="5"/>
      <c r="EY136" s="5"/>
      <c r="EZ136" s="5"/>
      <c r="FA136" s="5"/>
      <c r="FB136" s="5"/>
      <c r="FC136" s="5"/>
      <c r="FD136" s="5"/>
      <c r="FE136" s="5"/>
      <c r="FF136" s="5"/>
      <c r="FG136" s="5"/>
      <c r="FH136" s="5"/>
      <c r="FI136" s="5"/>
      <c r="FJ136" s="5"/>
      <c r="FK136" s="5"/>
      <c r="FL136" s="5"/>
      <c r="FM136" s="5"/>
      <c r="FN136" s="5"/>
      <c r="FO136" s="5"/>
      <c r="FP136" s="5"/>
      <c r="FQ136" s="5"/>
      <c r="FR136" s="5"/>
      <c r="FS136" s="5"/>
      <c r="FT136" s="5"/>
      <c r="FU136" s="5"/>
      <c r="FV136" s="5"/>
      <c r="FW136" s="5"/>
      <c r="FX136" s="5"/>
      <c r="FY136" s="5"/>
      <c r="FZ136" s="5"/>
      <c r="GA136" s="5"/>
      <c r="GB136" s="5"/>
      <c r="GC136" s="5"/>
      <c r="GD136" s="5"/>
      <c r="GE136" s="5"/>
      <c r="GF136" s="5"/>
      <c r="GG136" s="5"/>
      <c r="GH136" s="5"/>
      <c r="GI136" s="5"/>
      <c r="GJ136" s="5"/>
      <c r="GK136" s="5"/>
      <c r="GL136" s="5"/>
      <c r="GM136" s="5"/>
      <c r="GN136" s="5"/>
      <c r="GO136" s="5"/>
      <c r="GP136" s="5"/>
      <c r="GQ136" s="5"/>
      <c r="GR136" s="5"/>
      <c r="GS136" s="5"/>
      <c r="GT136" s="5"/>
      <c r="GU136" s="5"/>
      <c r="GV136" s="5"/>
      <c r="GW136" s="5"/>
      <c r="GX136" s="5"/>
      <c r="GY136" s="5"/>
      <c r="GZ136" s="5"/>
      <c r="HA136" s="5"/>
      <c r="HB136" s="5"/>
      <c r="HC136" s="5"/>
      <c r="HD136" s="5"/>
      <c r="HE136" s="5"/>
      <c r="HF136" s="5"/>
      <c r="HG136" s="5"/>
      <c r="HH136" s="5"/>
      <c r="HI136" s="5"/>
      <c r="HJ136" s="5"/>
      <c r="HK136" s="5"/>
      <c r="HL136" s="5"/>
      <c r="HM136" s="5"/>
      <c r="HN136" s="5"/>
      <c r="HO136" s="5"/>
      <c r="HP136" s="5"/>
      <c r="HQ136" s="5"/>
      <c r="HR136" s="5"/>
      <c r="HS136" s="5"/>
      <c r="HT136" s="5"/>
      <c r="HU136" s="5"/>
      <c r="HV136" s="5"/>
      <c r="HW136" s="5"/>
      <c r="HX136" s="5"/>
      <c r="HY136" s="5"/>
      <c r="HZ136" s="5"/>
      <c r="IA136" s="5"/>
      <c r="IB136" s="5"/>
      <c r="IC136" s="5"/>
      <c r="ID136" s="5"/>
      <c r="IE136" s="5"/>
      <c r="IF136" s="5"/>
      <c r="IG136" s="5"/>
      <c r="IH136" s="5"/>
      <c r="II136" s="5"/>
      <c r="IJ136" s="5"/>
      <c r="IK136" s="5"/>
      <c r="IL136" s="5"/>
      <c r="IM136" s="5"/>
      <c r="IN136" s="5"/>
      <c r="IO136" s="5"/>
      <c r="IP136" s="5"/>
      <c r="IQ136" s="5"/>
      <c r="IR136" s="5"/>
      <c r="IS136" s="5"/>
      <c r="IT136" s="5"/>
      <c r="IU136" s="5"/>
      <c r="IV136" s="5"/>
      <c r="IW136" s="5"/>
      <c r="IX136" s="5"/>
      <c r="IY136" s="5"/>
      <c r="IZ136" s="5"/>
      <c r="JA136" s="5"/>
      <c r="JB136" s="5"/>
      <c r="JC136" s="5"/>
      <c r="JD136" s="5"/>
      <c r="JE136" s="5"/>
      <c r="JF136" s="5"/>
      <c r="JG136" s="5"/>
      <c r="JH136" s="5"/>
      <c r="JI136" s="5"/>
      <c r="JJ136" s="5"/>
      <c r="JK136" s="5"/>
      <c r="JL136" s="5"/>
      <c r="JM136" s="5"/>
      <c r="JN136" s="5"/>
      <c r="JO136" s="5"/>
      <c r="JP136" s="5"/>
      <c r="JQ136" s="5"/>
      <c r="JR136" s="5"/>
      <c r="JS136" s="5"/>
      <c r="JT136" s="5"/>
      <c r="JU136" s="5"/>
      <c r="JV136" s="5"/>
      <c r="JW136" s="5"/>
      <c r="JX136" s="5"/>
      <c r="JY136" s="5"/>
      <c r="JZ136" s="5"/>
      <c r="KA136" s="5"/>
      <c r="KB136" s="5"/>
      <c r="KC136" s="5"/>
      <c r="KD136" s="5"/>
      <c r="KE136" s="5"/>
      <c r="KF136" s="5"/>
      <c r="KG136" s="5"/>
      <c r="KH136" s="5"/>
      <c r="KI136" s="5"/>
      <c r="KJ136" s="5"/>
      <c r="KK136" s="5"/>
      <c r="KL136" s="5"/>
      <c r="KM136" s="5"/>
      <c r="KN136" s="5"/>
      <c r="KO136" s="5"/>
      <c r="KP136" s="5"/>
      <c r="KQ136" s="5"/>
      <c r="KR136" s="5"/>
      <c r="KS136" s="5"/>
      <c r="KT136" s="5"/>
      <c r="KU136" s="5"/>
      <c r="KV136" s="5"/>
      <c r="KW136" s="5"/>
      <c r="KX136" s="5"/>
      <c r="KY136" s="5"/>
      <c r="KZ136" s="5"/>
      <c r="LA136" s="5"/>
      <c r="LB136" s="5"/>
      <c r="LC136" s="5"/>
      <c r="LD136" s="5"/>
      <c r="LE136" s="5"/>
      <c r="LF136" s="5"/>
      <c r="LG136" s="5"/>
      <c r="LH136" s="5"/>
      <c r="LI136" s="5"/>
      <c r="LJ136" s="5"/>
      <c r="LK136" s="5"/>
      <c r="LL136" s="5"/>
      <c r="LM136" s="5"/>
      <c r="LN136" s="5"/>
      <c r="LO136" s="5"/>
      <c r="LP136" s="5"/>
      <c r="LQ136" s="5"/>
      <c r="LR136" s="5"/>
      <c r="LS136" s="5"/>
      <c r="LT136" s="5"/>
      <c r="LU136" s="5"/>
      <c r="LV136" s="5"/>
      <c r="LW136" s="5"/>
      <c r="LX136" s="5"/>
      <c r="LY136" s="5"/>
      <c r="LZ136" s="5"/>
      <c r="MA136" s="5"/>
      <c r="MB136" s="5"/>
      <c r="MC136" s="5"/>
      <c r="MD136" s="5"/>
      <c r="ME136" s="5"/>
      <c r="MF136" s="5"/>
      <c r="MG136" s="5"/>
      <c r="MH136" s="5"/>
      <c r="MI136" s="5"/>
      <c r="MJ136" s="5"/>
      <c r="MK136" s="5"/>
      <c r="ML136" s="5"/>
      <c r="MM136" s="5"/>
      <c r="MN136" s="5"/>
      <c r="MO136" s="5"/>
      <c r="MP136" s="5"/>
      <c r="MQ136" s="5"/>
      <c r="MR136" s="5"/>
      <c r="MS136" s="5"/>
      <c r="MT136" s="5"/>
      <c r="MU136" s="5"/>
      <c r="MV136" s="5"/>
      <c r="MW136" s="5"/>
      <c r="MX136" s="5"/>
      <c r="MY136" s="5"/>
      <c r="MZ136" s="5"/>
      <c r="NA136" s="5"/>
      <c r="NB136" s="5"/>
      <c r="NC136" s="5"/>
      <c r="ND136" s="5"/>
      <c r="NE136" s="5"/>
      <c r="NF136" s="5"/>
      <c r="NG136" s="5"/>
      <c r="NH136" s="5"/>
      <c r="NI136" s="5"/>
      <c r="NJ136" s="5"/>
      <c r="NK136" s="5"/>
      <c r="NL136" s="5"/>
      <c r="NM136" s="5"/>
      <c r="NN136" s="5"/>
      <c r="NO136" s="5"/>
      <c r="NP136" s="5"/>
      <c r="NQ136" s="5"/>
      <c r="NR136" s="5"/>
      <c r="NS136" s="5"/>
      <c r="NT136" s="5"/>
      <c r="NU136" s="5"/>
      <c r="NV136" s="5"/>
      <c r="NW136" s="5"/>
      <c r="NX136" s="5"/>
      <c r="NY136" s="5"/>
      <c r="NZ136" s="5"/>
      <c r="OA136" s="5"/>
      <c r="OB136" s="5"/>
      <c r="OC136" s="5"/>
      <c r="OD136" s="5"/>
      <c r="OE136" s="5"/>
      <c r="OF136" s="5"/>
      <c r="OG136" s="5"/>
      <c r="OH136" s="5"/>
      <c r="OI136" s="5"/>
      <c r="OJ136" s="5"/>
      <c r="OK136" s="5"/>
      <c r="OL136" s="5"/>
      <c r="OM136" s="5"/>
      <c r="ON136" s="5"/>
      <c r="OO136" s="5"/>
      <c r="OP136" s="5"/>
      <c r="OQ136" s="5"/>
      <c r="OR136" s="5"/>
      <c r="OS136" s="5"/>
      <c r="OT136" s="5"/>
      <c r="OU136" s="5"/>
      <c r="OV136" s="5"/>
      <c r="OW136" s="5"/>
      <c r="OX136" s="5"/>
      <c r="OY136" s="5"/>
      <c r="OZ136" s="5"/>
      <c r="PA136" s="5"/>
      <c r="PB136" s="5"/>
      <c r="PC136" s="5"/>
      <c r="PD136" s="5"/>
      <c r="PE136" s="5"/>
      <c r="PF136" s="5"/>
      <c r="PG136" s="5"/>
      <c r="PH136" s="5"/>
      <c r="PI136" s="5"/>
      <c r="PJ136" s="5"/>
      <c r="PK136" s="5"/>
      <c r="PL136" s="5"/>
      <c r="PM136" s="5"/>
      <c r="PN136" s="5"/>
      <c r="PO136" s="5"/>
      <c r="PP136" s="5"/>
      <c r="PQ136" s="5"/>
      <c r="PR136" s="5"/>
      <c r="PS136" s="5"/>
      <c r="PT136" s="5"/>
      <c r="PU136" s="5"/>
      <c r="PV136" s="5"/>
      <c r="PW136" s="5"/>
      <c r="PX136" s="5"/>
      <c r="PY136" s="5"/>
      <c r="PZ136" s="5"/>
      <c r="QA136" s="5"/>
      <c r="QB136" s="5"/>
      <c r="QC136" s="5"/>
      <c r="QD136" s="5"/>
      <c r="QE136" s="5"/>
      <c r="QF136" s="5"/>
      <c r="QG136" s="5"/>
      <c r="QH136" s="5"/>
      <c r="QI136" s="5"/>
      <c r="QJ136" s="5"/>
      <c r="QK136" s="5"/>
      <c r="QL136" s="5"/>
      <c r="QM136" s="5"/>
      <c r="QN136" s="5"/>
      <c r="QO136" s="5"/>
      <c r="QP136" s="5"/>
      <c r="QQ136" s="5"/>
      <c r="QR136" s="5"/>
      <c r="QS136" s="5"/>
      <c r="QT136" s="5"/>
      <c r="QU136" s="5"/>
      <c r="QV136" s="5"/>
      <c r="QW136" s="5"/>
      <c r="QX136" s="5"/>
      <c r="QY136" s="5"/>
      <c r="QZ136" s="5"/>
      <c r="RA136" s="5"/>
      <c r="RB136" s="5"/>
      <c r="RC136" s="5"/>
      <c r="RD136" s="5"/>
      <c r="RE136" s="5"/>
      <c r="RF136" s="5"/>
      <c r="RG136" s="5"/>
      <c r="RH136" s="5"/>
      <c r="RI136" s="5"/>
      <c r="RJ136" s="5"/>
      <c r="RK136" s="5"/>
      <c r="RL136" s="5"/>
      <c r="RM136" s="5"/>
      <c r="RN136" s="5"/>
      <c r="RO136" s="5"/>
      <c r="RP136" s="5"/>
      <c r="RQ136" s="5"/>
      <c r="RR136" s="5"/>
      <c r="RS136" s="5"/>
      <c r="RT136" s="5"/>
      <c r="RU136" s="5"/>
      <c r="RV136" s="5"/>
      <c r="RW136" s="5"/>
      <c r="RX136" s="5"/>
      <c r="RY136" s="5"/>
      <c r="RZ136" s="5"/>
      <c r="SA136" s="5"/>
      <c r="SB136" s="5"/>
      <c r="SC136" s="5"/>
      <c r="SD136" s="5"/>
      <c r="SE136" s="5"/>
      <c r="SF136" s="5"/>
      <c r="SG136" s="5"/>
      <c r="SH136" s="5"/>
      <c r="SI136" s="5"/>
      <c r="SJ136" s="5"/>
      <c r="SK136" s="5"/>
      <c r="SL136" s="5"/>
      <c r="SM136" s="5"/>
      <c r="SN136" s="5"/>
      <c r="SO136" s="5"/>
      <c r="SP136" s="5"/>
      <c r="SQ136" s="5"/>
      <c r="SR136" s="5"/>
      <c r="SS136" s="5"/>
      <c r="ST136" s="5"/>
      <c r="SU136" s="5"/>
      <c r="SV136" s="5"/>
      <c r="SW136" s="5"/>
      <c r="SX136" s="5"/>
      <c r="SY136" s="5"/>
      <c r="SZ136" s="5"/>
      <c r="TA136" s="5"/>
      <c r="TB136" s="5"/>
      <c r="TC136" s="5"/>
      <c r="TD136" s="5"/>
      <c r="TE136" s="5"/>
      <c r="TF136" s="5"/>
      <c r="TG136" s="5"/>
      <c r="TH136" s="5"/>
      <c r="TI136" s="5"/>
      <c r="TJ136" s="5"/>
      <c r="TK136" s="5"/>
      <c r="TL136" s="5"/>
      <c r="TM136" s="5"/>
      <c r="TN136" s="5"/>
      <c r="TO136" s="5"/>
      <c r="TP136" s="5"/>
      <c r="TQ136" s="5"/>
      <c r="TR136" s="5"/>
      <c r="TS136" s="5"/>
      <c r="TT136" s="5"/>
      <c r="TU136" s="5"/>
      <c r="TV136" s="5"/>
      <c r="TW136" s="5"/>
      <c r="TX136" s="5"/>
      <c r="TY136" s="5"/>
      <c r="TZ136" s="5"/>
      <c r="UA136" s="5"/>
      <c r="UB136" s="5"/>
      <c r="UC136" s="5"/>
      <c r="UD136" s="5"/>
      <c r="UE136" s="5"/>
      <c r="UF136" s="5"/>
      <c r="UG136" s="5"/>
      <c r="UH136" s="5"/>
      <c r="UI136" s="5"/>
      <c r="UJ136" s="5"/>
      <c r="UK136" s="5"/>
      <c r="UL136" s="5"/>
      <c r="UM136" s="5"/>
      <c r="UN136" s="5"/>
      <c r="UO136" s="5"/>
      <c r="UP136" s="5"/>
      <c r="UQ136" s="5"/>
      <c r="UR136" s="5"/>
      <c r="US136" s="5"/>
      <c r="UT136" s="5"/>
      <c r="UU136" s="5"/>
      <c r="UV136" s="5"/>
      <c r="UW136" s="5"/>
      <c r="UX136" s="5"/>
      <c r="UY136" s="5"/>
      <c r="UZ136" s="5"/>
      <c r="VA136" s="5"/>
      <c r="VB136" s="5"/>
      <c r="VC136" s="5"/>
      <c r="VD136" s="5"/>
      <c r="VE136" s="5"/>
      <c r="VF136" s="5"/>
      <c r="VG136" s="5"/>
      <c r="VH136" s="5"/>
      <c r="VI136" s="5"/>
      <c r="VJ136" s="5"/>
      <c r="VK136" s="5"/>
      <c r="VL136" s="5"/>
      <c r="VM136" s="5"/>
      <c r="VN136" s="5"/>
      <c r="VO136" s="5"/>
      <c r="VP136" s="5"/>
      <c r="VQ136" s="5"/>
      <c r="VR136" s="5"/>
      <c r="VS136" s="5"/>
      <c r="VT136" s="5"/>
      <c r="VU136" s="5"/>
      <c r="VV136" s="5"/>
      <c r="VW136" s="5"/>
      <c r="VX136" s="5"/>
      <c r="VY136" s="5"/>
      <c r="VZ136" s="5"/>
      <c r="WA136" s="5"/>
      <c r="WB136" s="5"/>
      <c r="WC136" s="5"/>
      <c r="WD136" s="5"/>
      <c r="WE136" s="5"/>
      <c r="WF136" s="5"/>
      <c r="WG136" s="5"/>
      <c r="WH136" s="5"/>
      <c r="WI136" s="5"/>
      <c r="WJ136" s="5"/>
      <c r="WK136" s="5"/>
      <c r="WL136" s="5"/>
      <c r="WM136" s="5"/>
      <c r="WN136" s="5"/>
      <c r="WO136" s="5"/>
      <c r="WP136" s="5"/>
      <c r="WQ136" s="5"/>
      <c r="WR136" s="5"/>
      <c r="WS136" s="5"/>
      <c r="WT136" s="5"/>
      <c r="WU136" s="5"/>
      <c r="WV136" s="5"/>
      <c r="WW136" s="5"/>
      <c r="WX136" s="5"/>
      <c r="WY136" s="5"/>
      <c r="WZ136" s="5"/>
      <c r="XA136" s="5"/>
      <c r="XB136" s="5"/>
      <c r="XC136" s="5"/>
      <c r="XD136" s="5"/>
      <c r="XE136" s="5"/>
      <c r="XF136" s="5"/>
      <c r="XG136" s="5"/>
      <c r="XH136" s="5"/>
      <c r="XI136" s="5"/>
      <c r="XJ136" s="5"/>
      <c r="XK136" s="5"/>
      <c r="XL136" s="5"/>
      <c r="XM136" s="5"/>
      <c r="XN136" s="5"/>
      <c r="XO136" s="5"/>
      <c r="XP136" s="5"/>
      <c r="XQ136" s="5"/>
      <c r="XR136" s="5"/>
      <c r="XS136" s="5"/>
      <c r="XT136" s="5"/>
      <c r="XU136" s="5"/>
      <c r="XV136" s="5"/>
      <c r="XW136" s="5"/>
      <c r="XX136" s="5"/>
      <c r="XY136" s="5"/>
      <c r="XZ136" s="5"/>
      <c r="YA136" s="5"/>
      <c r="YB136" s="5"/>
      <c r="YC136" s="5"/>
      <c r="YD136" s="5"/>
      <c r="YE136" s="5"/>
      <c r="YF136" s="5"/>
      <c r="YG136" s="5"/>
      <c r="YH136" s="5"/>
      <c r="YI136" s="5"/>
      <c r="YJ136" s="5"/>
      <c r="YK136" s="5"/>
      <c r="YL136" s="5"/>
      <c r="YM136" s="5"/>
      <c r="YN136" s="5"/>
      <c r="YO136" s="5"/>
      <c r="YP136" s="5"/>
      <c r="YQ136" s="5"/>
      <c r="YR136" s="5"/>
      <c r="YS136" s="5"/>
      <c r="YT136" s="5"/>
      <c r="YU136" s="5"/>
      <c r="YV136" s="5"/>
      <c r="YW136" s="5"/>
      <c r="YX136" s="5"/>
      <c r="YY136" s="5"/>
      <c r="YZ136" s="5"/>
    </row>
    <row r="137" spans="1:676">
      <c r="A137" s="7">
        <v>127</v>
      </c>
      <c r="B137" s="7" t="s">
        <v>328</v>
      </c>
      <c r="C137" s="10" t="s">
        <v>329</v>
      </c>
      <c r="D137" s="7" t="s">
        <v>60</v>
      </c>
      <c r="E137" s="7" t="s">
        <v>120</v>
      </c>
      <c r="F137" s="7" t="s">
        <v>162</v>
      </c>
      <c r="G137" s="7"/>
      <c r="H137" s="7" t="s">
        <v>43</v>
      </c>
      <c r="I137" s="11">
        <v>2</v>
      </c>
      <c r="J137" s="11">
        <v>3</v>
      </c>
      <c r="K137" s="11">
        <v>0</v>
      </c>
      <c r="L137" s="11">
        <v>1.67</v>
      </c>
      <c r="M137" s="11">
        <v>0</v>
      </c>
      <c r="N137" s="11">
        <v>0</v>
      </c>
      <c r="O137" s="11">
        <v>0.24</v>
      </c>
      <c r="P137" s="11">
        <v>1.63</v>
      </c>
      <c r="Q137" s="11">
        <v>3.540000000000001</v>
      </c>
      <c r="R137" s="11">
        <v>0</v>
      </c>
      <c r="S137" s="11">
        <v>3.540000000000001</v>
      </c>
      <c r="T137" s="11">
        <v>2</v>
      </c>
      <c r="U137" s="11">
        <v>1.540000000000001</v>
      </c>
      <c r="V137" s="11">
        <v>0</v>
      </c>
      <c r="W137" s="13">
        <v>2</v>
      </c>
      <c r="X137" s="13">
        <v>3</v>
      </c>
      <c r="Y137" s="13" t="str">
        <f>MIN(W137,S137)</f>
        <v>0</v>
      </c>
      <c r="Z137" s="13" t="str">
        <f>MIN(X137,(S137-Y137))</f>
        <v>0</v>
      </c>
      <c r="AA137" s="13" t="str">
        <f>S137-SUM(Y137,Z137)</f>
        <v>0</v>
      </c>
      <c r="AB137" s="15"/>
      <c r="AC137" s="15"/>
      <c r="AD137" s="1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  <c r="CE137" s="5"/>
      <c r="CF137" s="5"/>
      <c r="CG137" s="5"/>
      <c r="CH137" s="5"/>
      <c r="CI137" s="5"/>
      <c r="CJ137" s="5"/>
      <c r="CK137" s="5"/>
      <c r="CL137" s="5"/>
      <c r="CM137" s="5"/>
      <c r="CN137" s="5"/>
      <c r="CO137" s="5"/>
      <c r="CP137" s="5"/>
      <c r="CQ137" s="5"/>
      <c r="CR137" s="5"/>
      <c r="CS137" s="5"/>
      <c r="CT137" s="5"/>
      <c r="CU137" s="5"/>
      <c r="CV137" s="5"/>
      <c r="CW137" s="5"/>
      <c r="CX137" s="5"/>
      <c r="CY137" s="5"/>
      <c r="CZ137" s="5"/>
      <c r="DA137" s="5"/>
      <c r="DB137" s="5"/>
      <c r="DC137" s="5"/>
      <c r="DD137" s="5"/>
      <c r="DE137" s="5"/>
      <c r="DF137" s="5"/>
      <c r="DG137" s="5"/>
      <c r="DH137" s="5"/>
      <c r="DI137" s="5"/>
      <c r="DJ137" s="5"/>
      <c r="DK137" s="5"/>
      <c r="DL137" s="5"/>
      <c r="DM137" s="5"/>
      <c r="DN137" s="5"/>
      <c r="DO137" s="5"/>
      <c r="DP137" s="5"/>
      <c r="DQ137" s="5"/>
      <c r="DR137" s="5"/>
      <c r="DS137" s="5"/>
      <c r="DT137" s="5"/>
      <c r="DU137" s="5"/>
      <c r="DV137" s="5"/>
      <c r="DW137" s="5"/>
      <c r="DX137" s="5"/>
      <c r="DY137" s="5"/>
      <c r="DZ137" s="5"/>
      <c r="EA137" s="5"/>
      <c r="EB137" s="5"/>
      <c r="EC137" s="5"/>
      <c r="ED137" s="5"/>
      <c r="EE137" s="5"/>
      <c r="EF137" s="5"/>
      <c r="EG137" s="5"/>
      <c r="EH137" s="5"/>
      <c r="EI137" s="5"/>
      <c r="EJ137" s="5"/>
      <c r="EK137" s="5"/>
      <c r="EL137" s="5"/>
      <c r="EM137" s="5"/>
      <c r="EN137" s="5"/>
      <c r="EO137" s="5"/>
      <c r="EP137" s="5"/>
      <c r="EQ137" s="5"/>
      <c r="ER137" s="5"/>
      <c r="ES137" s="5"/>
      <c r="ET137" s="5"/>
      <c r="EU137" s="5"/>
      <c r="EV137" s="5"/>
      <c r="EW137" s="5"/>
      <c r="EX137" s="5"/>
      <c r="EY137" s="5"/>
      <c r="EZ137" s="5"/>
      <c r="FA137" s="5"/>
      <c r="FB137" s="5"/>
      <c r="FC137" s="5"/>
      <c r="FD137" s="5"/>
      <c r="FE137" s="5"/>
      <c r="FF137" s="5"/>
      <c r="FG137" s="5"/>
      <c r="FH137" s="5"/>
      <c r="FI137" s="5"/>
      <c r="FJ137" s="5"/>
      <c r="FK137" s="5"/>
      <c r="FL137" s="5"/>
      <c r="FM137" s="5"/>
      <c r="FN137" s="5"/>
      <c r="FO137" s="5"/>
      <c r="FP137" s="5"/>
      <c r="FQ137" s="5"/>
      <c r="FR137" s="5"/>
      <c r="FS137" s="5"/>
      <c r="FT137" s="5"/>
      <c r="FU137" s="5"/>
      <c r="FV137" s="5"/>
      <c r="FW137" s="5"/>
      <c r="FX137" s="5"/>
      <c r="FY137" s="5"/>
      <c r="FZ137" s="5"/>
      <c r="GA137" s="5"/>
      <c r="GB137" s="5"/>
      <c r="GC137" s="5"/>
      <c r="GD137" s="5"/>
      <c r="GE137" s="5"/>
      <c r="GF137" s="5"/>
      <c r="GG137" s="5"/>
      <c r="GH137" s="5"/>
      <c r="GI137" s="5"/>
      <c r="GJ137" s="5"/>
      <c r="GK137" s="5"/>
      <c r="GL137" s="5"/>
      <c r="GM137" s="5"/>
      <c r="GN137" s="5"/>
      <c r="GO137" s="5"/>
      <c r="GP137" s="5"/>
      <c r="GQ137" s="5"/>
      <c r="GR137" s="5"/>
      <c r="GS137" s="5"/>
      <c r="GT137" s="5"/>
      <c r="GU137" s="5"/>
      <c r="GV137" s="5"/>
      <c r="GW137" s="5"/>
      <c r="GX137" s="5"/>
      <c r="GY137" s="5"/>
      <c r="GZ137" s="5"/>
      <c r="HA137" s="5"/>
      <c r="HB137" s="5"/>
      <c r="HC137" s="5"/>
      <c r="HD137" s="5"/>
      <c r="HE137" s="5"/>
      <c r="HF137" s="5"/>
      <c r="HG137" s="5"/>
      <c r="HH137" s="5"/>
      <c r="HI137" s="5"/>
      <c r="HJ137" s="5"/>
      <c r="HK137" s="5"/>
      <c r="HL137" s="5"/>
      <c r="HM137" s="5"/>
      <c r="HN137" s="5"/>
      <c r="HO137" s="5"/>
      <c r="HP137" s="5"/>
      <c r="HQ137" s="5"/>
      <c r="HR137" s="5"/>
      <c r="HS137" s="5"/>
      <c r="HT137" s="5"/>
      <c r="HU137" s="5"/>
      <c r="HV137" s="5"/>
      <c r="HW137" s="5"/>
      <c r="HX137" s="5"/>
      <c r="HY137" s="5"/>
      <c r="HZ137" s="5"/>
      <c r="IA137" s="5"/>
      <c r="IB137" s="5"/>
      <c r="IC137" s="5"/>
      <c r="ID137" s="5"/>
      <c r="IE137" s="5"/>
      <c r="IF137" s="5"/>
      <c r="IG137" s="5"/>
      <c r="IH137" s="5"/>
      <c r="II137" s="5"/>
      <c r="IJ137" s="5"/>
      <c r="IK137" s="5"/>
      <c r="IL137" s="5"/>
      <c r="IM137" s="5"/>
      <c r="IN137" s="5"/>
      <c r="IO137" s="5"/>
      <c r="IP137" s="5"/>
      <c r="IQ137" s="5"/>
      <c r="IR137" s="5"/>
      <c r="IS137" s="5"/>
      <c r="IT137" s="5"/>
      <c r="IU137" s="5"/>
      <c r="IV137" s="5"/>
      <c r="IW137" s="5"/>
      <c r="IX137" s="5"/>
      <c r="IY137" s="5"/>
      <c r="IZ137" s="5"/>
      <c r="JA137" s="5"/>
      <c r="JB137" s="5"/>
      <c r="JC137" s="5"/>
      <c r="JD137" s="5"/>
      <c r="JE137" s="5"/>
      <c r="JF137" s="5"/>
      <c r="JG137" s="5"/>
      <c r="JH137" s="5"/>
      <c r="JI137" s="5"/>
      <c r="JJ137" s="5"/>
      <c r="JK137" s="5"/>
      <c r="JL137" s="5"/>
      <c r="JM137" s="5"/>
      <c r="JN137" s="5"/>
      <c r="JO137" s="5"/>
      <c r="JP137" s="5"/>
      <c r="JQ137" s="5"/>
      <c r="JR137" s="5"/>
      <c r="JS137" s="5"/>
      <c r="JT137" s="5"/>
      <c r="JU137" s="5"/>
      <c r="JV137" s="5"/>
      <c r="JW137" s="5"/>
      <c r="JX137" s="5"/>
      <c r="JY137" s="5"/>
      <c r="JZ137" s="5"/>
      <c r="KA137" s="5"/>
      <c r="KB137" s="5"/>
      <c r="KC137" s="5"/>
      <c r="KD137" s="5"/>
      <c r="KE137" s="5"/>
      <c r="KF137" s="5"/>
      <c r="KG137" s="5"/>
      <c r="KH137" s="5"/>
      <c r="KI137" s="5"/>
      <c r="KJ137" s="5"/>
      <c r="KK137" s="5"/>
      <c r="KL137" s="5"/>
      <c r="KM137" s="5"/>
      <c r="KN137" s="5"/>
      <c r="KO137" s="5"/>
      <c r="KP137" s="5"/>
      <c r="KQ137" s="5"/>
      <c r="KR137" s="5"/>
      <c r="KS137" s="5"/>
      <c r="KT137" s="5"/>
      <c r="KU137" s="5"/>
      <c r="KV137" s="5"/>
      <c r="KW137" s="5"/>
      <c r="KX137" s="5"/>
      <c r="KY137" s="5"/>
      <c r="KZ137" s="5"/>
      <c r="LA137" s="5"/>
      <c r="LB137" s="5"/>
      <c r="LC137" s="5"/>
      <c r="LD137" s="5"/>
      <c r="LE137" s="5"/>
      <c r="LF137" s="5"/>
      <c r="LG137" s="5"/>
      <c r="LH137" s="5"/>
      <c r="LI137" s="5"/>
      <c r="LJ137" s="5"/>
      <c r="LK137" s="5"/>
      <c r="LL137" s="5"/>
      <c r="LM137" s="5"/>
      <c r="LN137" s="5"/>
      <c r="LO137" s="5"/>
      <c r="LP137" s="5"/>
      <c r="LQ137" s="5"/>
      <c r="LR137" s="5"/>
      <c r="LS137" s="5"/>
      <c r="LT137" s="5"/>
      <c r="LU137" s="5"/>
      <c r="LV137" s="5"/>
      <c r="LW137" s="5"/>
      <c r="LX137" s="5"/>
      <c r="LY137" s="5"/>
      <c r="LZ137" s="5"/>
      <c r="MA137" s="5"/>
      <c r="MB137" s="5"/>
      <c r="MC137" s="5"/>
      <c r="MD137" s="5"/>
      <c r="ME137" s="5"/>
      <c r="MF137" s="5"/>
      <c r="MG137" s="5"/>
      <c r="MH137" s="5"/>
      <c r="MI137" s="5"/>
      <c r="MJ137" s="5"/>
      <c r="MK137" s="5"/>
      <c r="ML137" s="5"/>
      <c r="MM137" s="5"/>
      <c r="MN137" s="5"/>
      <c r="MO137" s="5"/>
      <c r="MP137" s="5"/>
      <c r="MQ137" s="5"/>
      <c r="MR137" s="5"/>
      <c r="MS137" s="5"/>
      <c r="MT137" s="5"/>
      <c r="MU137" s="5"/>
      <c r="MV137" s="5"/>
      <c r="MW137" s="5"/>
      <c r="MX137" s="5"/>
      <c r="MY137" s="5"/>
      <c r="MZ137" s="5"/>
      <c r="NA137" s="5"/>
      <c r="NB137" s="5"/>
      <c r="NC137" s="5"/>
      <c r="ND137" s="5"/>
      <c r="NE137" s="5"/>
      <c r="NF137" s="5"/>
      <c r="NG137" s="5"/>
      <c r="NH137" s="5"/>
      <c r="NI137" s="5"/>
      <c r="NJ137" s="5"/>
      <c r="NK137" s="5"/>
      <c r="NL137" s="5"/>
      <c r="NM137" s="5"/>
      <c r="NN137" s="5"/>
      <c r="NO137" s="5"/>
      <c r="NP137" s="5"/>
      <c r="NQ137" s="5"/>
      <c r="NR137" s="5"/>
      <c r="NS137" s="5"/>
      <c r="NT137" s="5"/>
      <c r="NU137" s="5"/>
      <c r="NV137" s="5"/>
      <c r="NW137" s="5"/>
      <c r="NX137" s="5"/>
      <c r="NY137" s="5"/>
      <c r="NZ137" s="5"/>
      <c r="OA137" s="5"/>
      <c r="OB137" s="5"/>
      <c r="OC137" s="5"/>
      <c r="OD137" s="5"/>
      <c r="OE137" s="5"/>
      <c r="OF137" s="5"/>
      <c r="OG137" s="5"/>
      <c r="OH137" s="5"/>
      <c r="OI137" s="5"/>
      <c r="OJ137" s="5"/>
      <c r="OK137" s="5"/>
      <c r="OL137" s="5"/>
      <c r="OM137" s="5"/>
      <c r="ON137" s="5"/>
      <c r="OO137" s="5"/>
      <c r="OP137" s="5"/>
      <c r="OQ137" s="5"/>
      <c r="OR137" s="5"/>
      <c r="OS137" s="5"/>
      <c r="OT137" s="5"/>
      <c r="OU137" s="5"/>
      <c r="OV137" s="5"/>
      <c r="OW137" s="5"/>
      <c r="OX137" s="5"/>
      <c r="OY137" s="5"/>
      <c r="OZ137" s="5"/>
      <c r="PA137" s="5"/>
      <c r="PB137" s="5"/>
      <c r="PC137" s="5"/>
      <c r="PD137" s="5"/>
      <c r="PE137" s="5"/>
      <c r="PF137" s="5"/>
      <c r="PG137" s="5"/>
      <c r="PH137" s="5"/>
      <c r="PI137" s="5"/>
      <c r="PJ137" s="5"/>
      <c r="PK137" s="5"/>
      <c r="PL137" s="5"/>
      <c r="PM137" s="5"/>
      <c r="PN137" s="5"/>
      <c r="PO137" s="5"/>
      <c r="PP137" s="5"/>
      <c r="PQ137" s="5"/>
      <c r="PR137" s="5"/>
      <c r="PS137" s="5"/>
      <c r="PT137" s="5"/>
      <c r="PU137" s="5"/>
      <c r="PV137" s="5"/>
      <c r="PW137" s="5"/>
      <c r="PX137" s="5"/>
      <c r="PY137" s="5"/>
      <c r="PZ137" s="5"/>
      <c r="QA137" s="5"/>
      <c r="QB137" s="5"/>
      <c r="QC137" s="5"/>
      <c r="QD137" s="5"/>
      <c r="QE137" s="5"/>
      <c r="QF137" s="5"/>
      <c r="QG137" s="5"/>
      <c r="QH137" s="5"/>
      <c r="QI137" s="5"/>
      <c r="QJ137" s="5"/>
      <c r="QK137" s="5"/>
      <c r="QL137" s="5"/>
      <c r="QM137" s="5"/>
      <c r="QN137" s="5"/>
      <c r="QO137" s="5"/>
      <c r="QP137" s="5"/>
      <c r="QQ137" s="5"/>
      <c r="QR137" s="5"/>
      <c r="QS137" s="5"/>
      <c r="QT137" s="5"/>
      <c r="QU137" s="5"/>
      <c r="QV137" s="5"/>
      <c r="QW137" s="5"/>
      <c r="QX137" s="5"/>
      <c r="QY137" s="5"/>
      <c r="QZ137" s="5"/>
      <c r="RA137" s="5"/>
      <c r="RB137" s="5"/>
      <c r="RC137" s="5"/>
      <c r="RD137" s="5"/>
      <c r="RE137" s="5"/>
      <c r="RF137" s="5"/>
      <c r="RG137" s="5"/>
      <c r="RH137" s="5"/>
      <c r="RI137" s="5"/>
      <c r="RJ137" s="5"/>
      <c r="RK137" s="5"/>
      <c r="RL137" s="5"/>
      <c r="RM137" s="5"/>
      <c r="RN137" s="5"/>
      <c r="RO137" s="5"/>
      <c r="RP137" s="5"/>
      <c r="RQ137" s="5"/>
      <c r="RR137" s="5"/>
      <c r="RS137" s="5"/>
      <c r="RT137" s="5"/>
      <c r="RU137" s="5"/>
      <c r="RV137" s="5"/>
      <c r="RW137" s="5"/>
      <c r="RX137" s="5"/>
      <c r="RY137" s="5"/>
      <c r="RZ137" s="5"/>
      <c r="SA137" s="5"/>
      <c r="SB137" s="5"/>
      <c r="SC137" s="5"/>
      <c r="SD137" s="5"/>
      <c r="SE137" s="5"/>
      <c r="SF137" s="5"/>
      <c r="SG137" s="5"/>
      <c r="SH137" s="5"/>
      <c r="SI137" s="5"/>
      <c r="SJ137" s="5"/>
      <c r="SK137" s="5"/>
      <c r="SL137" s="5"/>
      <c r="SM137" s="5"/>
      <c r="SN137" s="5"/>
      <c r="SO137" s="5"/>
      <c r="SP137" s="5"/>
      <c r="SQ137" s="5"/>
      <c r="SR137" s="5"/>
      <c r="SS137" s="5"/>
      <c r="ST137" s="5"/>
      <c r="SU137" s="5"/>
      <c r="SV137" s="5"/>
      <c r="SW137" s="5"/>
      <c r="SX137" s="5"/>
      <c r="SY137" s="5"/>
      <c r="SZ137" s="5"/>
      <c r="TA137" s="5"/>
      <c r="TB137" s="5"/>
      <c r="TC137" s="5"/>
      <c r="TD137" s="5"/>
      <c r="TE137" s="5"/>
      <c r="TF137" s="5"/>
      <c r="TG137" s="5"/>
      <c r="TH137" s="5"/>
      <c r="TI137" s="5"/>
      <c r="TJ137" s="5"/>
      <c r="TK137" s="5"/>
      <c r="TL137" s="5"/>
      <c r="TM137" s="5"/>
      <c r="TN137" s="5"/>
      <c r="TO137" s="5"/>
      <c r="TP137" s="5"/>
      <c r="TQ137" s="5"/>
      <c r="TR137" s="5"/>
      <c r="TS137" s="5"/>
      <c r="TT137" s="5"/>
      <c r="TU137" s="5"/>
      <c r="TV137" s="5"/>
      <c r="TW137" s="5"/>
      <c r="TX137" s="5"/>
      <c r="TY137" s="5"/>
      <c r="TZ137" s="5"/>
      <c r="UA137" s="5"/>
      <c r="UB137" s="5"/>
      <c r="UC137" s="5"/>
      <c r="UD137" s="5"/>
      <c r="UE137" s="5"/>
      <c r="UF137" s="5"/>
      <c r="UG137" s="5"/>
      <c r="UH137" s="5"/>
      <c r="UI137" s="5"/>
      <c r="UJ137" s="5"/>
      <c r="UK137" s="5"/>
      <c r="UL137" s="5"/>
      <c r="UM137" s="5"/>
      <c r="UN137" s="5"/>
      <c r="UO137" s="5"/>
      <c r="UP137" s="5"/>
      <c r="UQ137" s="5"/>
      <c r="UR137" s="5"/>
      <c r="US137" s="5"/>
      <c r="UT137" s="5"/>
      <c r="UU137" s="5"/>
      <c r="UV137" s="5"/>
      <c r="UW137" s="5"/>
      <c r="UX137" s="5"/>
      <c r="UY137" s="5"/>
      <c r="UZ137" s="5"/>
      <c r="VA137" s="5"/>
      <c r="VB137" s="5"/>
      <c r="VC137" s="5"/>
      <c r="VD137" s="5"/>
      <c r="VE137" s="5"/>
      <c r="VF137" s="5"/>
      <c r="VG137" s="5"/>
      <c r="VH137" s="5"/>
      <c r="VI137" s="5"/>
      <c r="VJ137" s="5"/>
      <c r="VK137" s="5"/>
      <c r="VL137" s="5"/>
      <c r="VM137" s="5"/>
      <c r="VN137" s="5"/>
      <c r="VO137" s="5"/>
      <c r="VP137" s="5"/>
      <c r="VQ137" s="5"/>
      <c r="VR137" s="5"/>
      <c r="VS137" s="5"/>
      <c r="VT137" s="5"/>
      <c r="VU137" s="5"/>
      <c r="VV137" s="5"/>
      <c r="VW137" s="5"/>
      <c r="VX137" s="5"/>
      <c r="VY137" s="5"/>
      <c r="VZ137" s="5"/>
      <c r="WA137" s="5"/>
      <c r="WB137" s="5"/>
      <c r="WC137" s="5"/>
      <c r="WD137" s="5"/>
      <c r="WE137" s="5"/>
      <c r="WF137" s="5"/>
      <c r="WG137" s="5"/>
      <c r="WH137" s="5"/>
      <c r="WI137" s="5"/>
      <c r="WJ137" s="5"/>
      <c r="WK137" s="5"/>
      <c r="WL137" s="5"/>
      <c r="WM137" s="5"/>
      <c r="WN137" s="5"/>
      <c r="WO137" s="5"/>
      <c r="WP137" s="5"/>
      <c r="WQ137" s="5"/>
      <c r="WR137" s="5"/>
      <c r="WS137" s="5"/>
      <c r="WT137" s="5"/>
      <c r="WU137" s="5"/>
      <c r="WV137" s="5"/>
      <c r="WW137" s="5"/>
      <c r="WX137" s="5"/>
      <c r="WY137" s="5"/>
      <c r="WZ137" s="5"/>
      <c r="XA137" s="5"/>
      <c r="XB137" s="5"/>
      <c r="XC137" s="5"/>
      <c r="XD137" s="5"/>
      <c r="XE137" s="5"/>
      <c r="XF137" s="5"/>
      <c r="XG137" s="5"/>
      <c r="XH137" s="5"/>
      <c r="XI137" s="5"/>
      <c r="XJ137" s="5"/>
      <c r="XK137" s="5"/>
      <c r="XL137" s="5"/>
      <c r="XM137" s="5"/>
      <c r="XN137" s="5"/>
      <c r="XO137" s="5"/>
      <c r="XP137" s="5"/>
      <c r="XQ137" s="5"/>
      <c r="XR137" s="5"/>
      <c r="XS137" s="5"/>
      <c r="XT137" s="5"/>
      <c r="XU137" s="5"/>
      <c r="XV137" s="5"/>
      <c r="XW137" s="5"/>
      <c r="XX137" s="5"/>
      <c r="XY137" s="5"/>
      <c r="XZ137" s="5"/>
      <c r="YA137" s="5"/>
      <c r="YB137" s="5"/>
      <c r="YC137" s="5"/>
      <c r="YD137" s="5"/>
      <c r="YE137" s="5"/>
      <c r="YF137" s="5"/>
      <c r="YG137" s="5"/>
      <c r="YH137" s="5"/>
      <c r="YI137" s="5"/>
      <c r="YJ137" s="5"/>
      <c r="YK137" s="5"/>
      <c r="YL137" s="5"/>
      <c r="YM137" s="5"/>
      <c r="YN137" s="5"/>
      <c r="YO137" s="5"/>
      <c r="YP137" s="5"/>
      <c r="YQ137" s="5"/>
      <c r="YR137" s="5"/>
      <c r="YS137" s="5"/>
      <c r="YT137" s="5"/>
      <c r="YU137" s="5"/>
      <c r="YV137" s="5"/>
      <c r="YW137" s="5"/>
      <c r="YX137" s="5"/>
      <c r="YY137" s="5"/>
      <c r="YZ137" s="5"/>
    </row>
    <row r="138" spans="1:676">
      <c r="A138" s="7">
        <v>128</v>
      </c>
      <c r="B138" s="7" t="s">
        <v>330</v>
      </c>
      <c r="C138" s="10" t="s">
        <v>331</v>
      </c>
      <c r="D138" s="7" t="s">
        <v>60</v>
      </c>
      <c r="E138" s="7" t="s">
        <v>178</v>
      </c>
      <c r="F138" s="7" t="s">
        <v>162</v>
      </c>
      <c r="G138" s="7"/>
      <c r="H138" s="7" t="s">
        <v>43</v>
      </c>
      <c r="I138" s="11">
        <v>2</v>
      </c>
      <c r="J138" s="11">
        <v>3</v>
      </c>
      <c r="K138" s="11">
        <v>0</v>
      </c>
      <c r="L138" s="11">
        <v>2.669999999999999</v>
      </c>
      <c r="M138" s="11">
        <v>0</v>
      </c>
      <c r="N138" s="11">
        <v>0</v>
      </c>
      <c r="O138" s="11">
        <v>0</v>
      </c>
      <c r="P138" s="11">
        <v>0</v>
      </c>
      <c r="Q138" s="11">
        <v>2.669999999999999</v>
      </c>
      <c r="R138" s="11">
        <v>0</v>
      </c>
      <c r="S138" s="11">
        <v>2.669999999999999</v>
      </c>
      <c r="T138" s="11">
        <v>2</v>
      </c>
      <c r="U138" s="11">
        <v>0.6699999999999995</v>
      </c>
      <c r="V138" s="11">
        <v>0</v>
      </c>
      <c r="W138" s="13">
        <v>2</v>
      </c>
      <c r="X138" s="13">
        <v>3</v>
      </c>
      <c r="Y138" s="13" t="str">
        <f>MIN(W138,S138)</f>
        <v>0</v>
      </c>
      <c r="Z138" s="13" t="str">
        <f>MIN(X138,(S138-Y138))</f>
        <v>0</v>
      </c>
      <c r="AA138" s="13" t="str">
        <f>S138-SUM(Y138,Z138)</f>
        <v>0</v>
      </c>
      <c r="AB138" s="15"/>
      <c r="AC138" s="15"/>
      <c r="AD138" s="1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5"/>
      <c r="CD138" s="5"/>
      <c r="CE138" s="5"/>
      <c r="CF138" s="5"/>
      <c r="CG138" s="5"/>
      <c r="CH138" s="5"/>
      <c r="CI138" s="5"/>
      <c r="CJ138" s="5"/>
      <c r="CK138" s="5"/>
      <c r="CL138" s="5"/>
      <c r="CM138" s="5"/>
      <c r="CN138" s="5"/>
      <c r="CO138" s="5"/>
      <c r="CP138" s="5"/>
      <c r="CQ138" s="5"/>
      <c r="CR138" s="5"/>
      <c r="CS138" s="5"/>
      <c r="CT138" s="5"/>
      <c r="CU138" s="5"/>
      <c r="CV138" s="5"/>
      <c r="CW138" s="5"/>
      <c r="CX138" s="5"/>
      <c r="CY138" s="5"/>
      <c r="CZ138" s="5"/>
      <c r="DA138" s="5"/>
      <c r="DB138" s="5"/>
      <c r="DC138" s="5"/>
      <c r="DD138" s="5"/>
      <c r="DE138" s="5"/>
      <c r="DF138" s="5"/>
      <c r="DG138" s="5"/>
      <c r="DH138" s="5"/>
      <c r="DI138" s="5"/>
      <c r="DJ138" s="5"/>
      <c r="DK138" s="5"/>
      <c r="DL138" s="5"/>
      <c r="DM138" s="5"/>
      <c r="DN138" s="5"/>
      <c r="DO138" s="5"/>
      <c r="DP138" s="5"/>
      <c r="DQ138" s="5"/>
      <c r="DR138" s="5"/>
      <c r="DS138" s="5"/>
      <c r="DT138" s="5"/>
      <c r="DU138" s="5"/>
      <c r="DV138" s="5"/>
      <c r="DW138" s="5"/>
      <c r="DX138" s="5"/>
      <c r="DY138" s="5"/>
      <c r="DZ138" s="5"/>
      <c r="EA138" s="5"/>
      <c r="EB138" s="5"/>
      <c r="EC138" s="5"/>
      <c r="ED138" s="5"/>
      <c r="EE138" s="5"/>
      <c r="EF138" s="5"/>
      <c r="EG138" s="5"/>
      <c r="EH138" s="5"/>
      <c r="EI138" s="5"/>
      <c r="EJ138" s="5"/>
      <c r="EK138" s="5"/>
      <c r="EL138" s="5"/>
      <c r="EM138" s="5"/>
      <c r="EN138" s="5"/>
      <c r="EO138" s="5"/>
      <c r="EP138" s="5"/>
      <c r="EQ138" s="5"/>
      <c r="ER138" s="5"/>
      <c r="ES138" s="5"/>
      <c r="ET138" s="5"/>
      <c r="EU138" s="5"/>
      <c r="EV138" s="5"/>
      <c r="EW138" s="5"/>
      <c r="EX138" s="5"/>
      <c r="EY138" s="5"/>
      <c r="EZ138" s="5"/>
      <c r="FA138" s="5"/>
      <c r="FB138" s="5"/>
      <c r="FC138" s="5"/>
      <c r="FD138" s="5"/>
      <c r="FE138" s="5"/>
      <c r="FF138" s="5"/>
      <c r="FG138" s="5"/>
      <c r="FH138" s="5"/>
      <c r="FI138" s="5"/>
      <c r="FJ138" s="5"/>
      <c r="FK138" s="5"/>
      <c r="FL138" s="5"/>
      <c r="FM138" s="5"/>
      <c r="FN138" s="5"/>
      <c r="FO138" s="5"/>
      <c r="FP138" s="5"/>
      <c r="FQ138" s="5"/>
      <c r="FR138" s="5"/>
      <c r="FS138" s="5"/>
      <c r="FT138" s="5"/>
      <c r="FU138" s="5"/>
      <c r="FV138" s="5"/>
      <c r="FW138" s="5"/>
      <c r="FX138" s="5"/>
      <c r="FY138" s="5"/>
      <c r="FZ138" s="5"/>
      <c r="GA138" s="5"/>
      <c r="GB138" s="5"/>
      <c r="GC138" s="5"/>
      <c r="GD138" s="5"/>
      <c r="GE138" s="5"/>
      <c r="GF138" s="5"/>
      <c r="GG138" s="5"/>
      <c r="GH138" s="5"/>
      <c r="GI138" s="5"/>
      <c r="GJ138" s="5"/>
      <c r="GK138" s="5"/>
      <c r="GL138" s="5"/>
      <c r="GM138" s="5"/>
      <c r="GN138" s="5"/>
      <c r="GO138" s="5"/>
      <c r="GP138" s="5"/>
      <c r="GQ138" s="5"/>
      <c r="GR138" s="5"/>
      <c r="GS138" s="5"/>
      <c r="GT138" s="5"/>
      <c r="GU138" s="5"/>
      <c r="GV138" s="5"/>
      <c r="GW138" s="5"/>
      <c r="GX138" s="5"/>
      <c r="GY138" s="5"/>
      <c r="GZ138" s="5"/>
      <c r="HA138" s="5"/>
      <c r="HB138" s="5"/>
      <c r="HC138" s="5"/>
      <c r="HD138" s="5"/>
      <c r="HE138" s="5"/>
      <c r="HF138" s="5"/>
      <c r="HG138" s="5"/>
      <c r="HH138" s="5"/>
      <c r="HI138" s="5"/>
      <c r="HJ138" s="5"/>
      <c r="HK138" s="5"/>
      <c r="HL138" s="5"/>
      <c r="HM138" s="5"/>
      <c r="HN138" s="5"/>
      <c r="HO138" s="5"/>
      <c r="HP138" s="5"/>
      <c r="HQ138" s="5"/>
      <c r="HR138" s="5"/>
      <c r="HS138" s="5"/>
      <c r="HT138" s="5"/>
      <c r="HU138" s="5"/>
      <c r="HV138" s="5"/>
      <c r="HW138" s="5"/>
      <c r="HX138" s="5"/>
      <c r="HY138" s="5"/>
      <c r="HZ138" s="5"/>
      <c r="IA138" s="5"/>
      <c r="IB138" s="5"/>
      <c r="IC138" s="5"/>
      <c r="ID138" s="5"/>
      <c r="IE138" s="5"/>
      <c r="IF138" s="5"/>
      <c r="IG138" s="5"/>
      <c r="IH138" s="5"/>
      <c r="II138" s="5"/>
      <c r="IJ138" s="5"/>
      <c r="IK138" s="5"/>
      <c r="IL138" s="5"/>
      <c r="IM138" s="5"/>
      <c r="IN138" s="5"/>
      <c r="IO138" s="5"/>
      <c r="IP138" s="5"/>
      <c r="IQ138" s="5"/>
      <c r="IR138" s="5"/>
      <c r="IS138" s="5"/>
      <c r="IT138" s="5"/>
      <c r="IU138" s="5"/>
      <c r="IV138" s="5"/>
      <c r="IW138" s="5"/>
      <c r="IX138" s="5"/>
      <c r="IY138" s="5"/>
      <c r="IZ138" s="5"/>
      <c r="JA138" s="5"/>
      <c r="JB138" s="5"/>
      <c r="JC138" s="5"/>
      <c r="JD138" s="5"/>
      <c r="JE138" s="5"/>
      <c r="JF138" s="5"/>
      <c r="JG138" s="5"/>
      <c r="JH138" s="5"/>
      <c r="JI138" s="5"/>
      <c r="JJ138" s="5"/>
      <c r="JK138" s="5"/>
      <c r="JL138" s="5"/>
      <c r="JM138" s="5"/>
      <c r="JN138" s="5"/>
      <c r="JO138" s="5"/>
      <c r="JP138" s="5"/>
      <c r="JQ138" s="5"/>
      <c r="JR138" s="5"/>
      <c r="JS138" s="5"/>
      <c r="JT138" s="5"/>
      <c r="JU138" s="5"/>
      <c r="JV138" s="5"/>
      <c r="JW138" s="5"/>
      <c r="JX138" s="5"/>
      <c r="JY138" s="5"/>
      <c r="JZ138" s="5"/>
      <c r="KA138" s="5"/>
      <c r="KB138" s="5"/>
      <c r="KC138" s="5"/>
      <c r="KD138" s="5"/>
      <c r="KE138" s="5"/>
      <c r="KF138" s="5"/>
      <c r="KG138" s="5"/>
      <c r="KH138" s="5"/>
      <c r="KI138" s="5"/>
      <c r="KJ138" s="5"/>
      <c r="KK138" s="5"/>
      <c r="KL138" s="5"/>
      <c r="KM138" s="5"/>
      <c r="KN138" s="5"/>
      <c r="KO138" s="5"/>
      <c r="KP138" s="5"/>
      <c r="KQ138" s="5"/>
      <c r="KR138" s="5"/>
      <c r="KS138" s="5"/>
      <c r="KT138" s="5"/>
      <c r="KU138" s="5"/>
      <c r="KV138" s="5"/>
      <c r="KW138" s="5"/>
      <c r="KX138" s="5"/>
      <c r="KY138" s="5"/>
      <c r="KZ138" s="5"/>
      <c r="LA138" s="5"/>
      <c r="LB138" s="5"/>
      <c r="LC138" s="5"/>
      <c r="LD138" s="5"/>
      <c r="LE138" s="5"/>
      <c r="LF138" s="5"/>
      <c r="LG138" s="5"/>
      <c r="LH138" s="5"/>
      <c r="LI138" s="5"/>
      <c r="LJ138" s="5"/>
      <c r="LK138" s="5"/>
      <c r="LL138" s="5"/>
      <c r="LM138" s="5"/>
      <c r="LN138" s="5"/>
      <c r="LO138" s="5"/>
      <c r="LP138" s="5"/>
      <c r="LQ138" s="5"/>
      <c r="LR138" s="5"/>
      <c r="LS138" s="5"/>
      <c r="LT138" s="5"/>
      <c r="LU138" s="5"/>
      <c r="LV138" s="5"/>
      <c r="LW138" s="5"/>
      <c r="LX138" s="5"/>
      <c r="LY138" s="5"/>
      <c r="LZ138" s="5"/>
      <c r="MA138" s="5"/>
      <c r="MB138" s="5"/>
      <c r="MC138" s="5"/>
      <c r="MD138" s="5"/>
      <c r="ME138" s="5"/>
      <c r="MF138" s="5"/>
      <c r="MG138" s="5"/>
      <c r="MH138" s="5"/>
      <c r="MI138" s="5"/>
      <c r="MJ138" s="5"/>
      <c r="MK138" s="5"/>
      <c r="ML138" s="5"/>
      <c r="MM138" s="5"/>
      <c r="MN138" s="5"/>
      <c r="MO138" s="5"/>
      <c r="MP138" s="5"/>
      <c r="MQ138" s="5"/>
      <c r="MR138" s="5"/>
      <c r="MS138" s="5"/>
      <c r="MT138" s="5"/>
      <c r="MU138" s="5"/>
      <c r="MV138" s="5"/>
      <c r="MW138" s="5"/>
      <c r="MX138" s="5"/>
      <c r="MY138" s="5"/>
      <c r="MZ138" s="5"/>
      <c r="NA138" s="5"/>
      <c r="NB138" s="5"/>
      <c r="NC138" s="5"/>
      <c r="ND138" s="5"/>
      <c r="NE138" s="5"/>
      <c r="NF138" s="5"/>
      <c r="NG138" s="5"/>
      <c r="NH138" s="5"/>
      <c r="NI138" s="5"/>
      <c r="NJ138" s="5"/>
      <c r="NK138" s="5"/>
      <c r="NL138" s="5"/>
      <c r="NM138" s="5"/>
      <c r="NN138" s="5"/>
      <c r="NO138" s="5"/>
      <c r="NP138" s="5"/>
      <c r="NQ138" s="5"/>
      <c r="NR138" s="5"/>
      <c r="NS138" s="5"/>
      <c r="NT138" s="5"/>
      <c r="NU138" s="5"/>
      <c r="NV138" s="5"/>
      <c r="NW138" s="5"/>
      <c r="NX138" s="5"/>
      <c r="NY138" s="5"/>
      <c r="NZ138" s="5"/>
      <c r="OA138" s="5"/>
      <c r="OB138" s="5"/>
      <c r="OC138" s="5"/>
      <c r="OD138" s="5"/>
      <c r="OE138" s="5"/>
      <c r="OF138" s="5"/>
      <c r="OG138" s="5"/>
      <c r="OH138" s="5"/>
      <c r="OI138" s="5"/>
      <c r="OJ138" s="5"/>
      <c r="OK138" s="5"/>
      <c r="OL138" s="5"/>
      <c r="OM138" s="5"/>
      <c r="ON138" s="5"/>
      <c r="OO138" s="5"/>
      <c r="OP138" s="5"/>
      <c r="OQ138" s="5"/>
      <c r="OR138" s="5"/>
      <c r="OS138" s="5"/>
      <c r="OT138" s="5"/>
      <c r="OU138" s="5"/>
      <c r="OV138" s="5"/>
      <c r="OW138" s="5"/>
      <c r="OX138" s="5"/>
      <c r="OY138" s="5"/>
      <c r="OZ138" s="5"/>
      <c r="PA138" s="5"/>
      <c r="PB138" s="5"/>
      <c r="PC138" s="5"/>
      <c r="PD138" s="5"/>
      <c r="PE138" s="5"/>
      <c r="PF138" s="5"/>
      <c r="PG138" s="5"/>
      <c r="PH138" s="5"/>
      <c r="PI138" s="5"/>
      <c r="PJ138" s="5"/>
      <c r="PK138" s="5"/>
      <c r="PL138" s="5"/>
      <c r="PM138" s="5"/>
      <c r="PN138" s="5"/>
      <c r="PO138" s="5"/>
      <c r="PP138" s="5"/>
      <c r="PQ138" s="5"/>
      <c r="PR138" s="5"/>
      <c r="PS138" s="5"/>
      <c r="PT138" s="5"/>
      <c r="PU138" s="5"/>
      <c r="PV138" s="5"/>
      <c r="PW138" s="5"/>
      <c r="PX138" s="5"/>
      <c r="PY138" s="5"/>
      <c r="PZ138" s="5"/>
      <c r="QA138" s="5"/>
      <c r="QB138" s="5"/>
      <c r="QC138" s="5"/>
      <c r="QD138" s="5"/>
      <c r="QE138" s="5"/>
      <c r="QF138" s="5"/>
      <c r="QG138" s="5"/>
      <c r="QH138" s="5"/>
      <c r="QI138" s="5"/>
      <c r="QJ138" s="5"/>
      <c r="QK138" s="5"/>
      <c r="QL138" s="5"/>
      <c r="QM138" s="5"/>
      <c r="QN138" s="5"/>
      <c r="QO138" s="5"/>
      <c r="QP138" s="5"/>
      <c r="QQ138" s="5"/>
      <c r="QR138" s="5"/>
      <c r="QS138" s="5"/>
      <c r="QT138" s="5"/>
      <c r="QU138" s="5"/>
      <c r="QV138" s="5"/>
      <c r="QW138" s="5"/>
      <c r="QX138" s="5"/>
      <c r="QY138" s="5"/>
      <c r="QZ138" s="5"/>
      <c r="RA138" s="5"/>
      <c r="RB138" s="5"/>
      <c r="RC138" s="5"/>
      <c r="RD138" s="5"/>
      <c r="RE138" s="5"/>
      <c r="RF138" s="5"/>
      <c r="RG138" s="5"/>
      <c r="RH138" s="5"/>
      <c r="RI138" s="5"/>
      <c r="RJ138" s="5"/>
      <c r="RK138" s="5"/>
      <c r="RL138" s="5"/>
      <c r="RM138" s="5"/>
      <c r="RN138" s="5"/>
      <c r="RO138" s="5"/>
      <c r="RP138" s="5"/>
      <c r="RQ138" s="5"/>
      <c r="RR138" s="5"/>
      <c r="RS138" s="5"/>
      <c r="RT138" s="5"/>
      <c r="RU138" s="5"/>
      <c r="RV138" s="5"/>
      <c r="RW138" s="5"/>
      <c r="RX138" s="5"/>
      <c r="RY138" s="5"/>
      <c r="RZ138" s="5"/>
      <c r="SA138" s="5"/>
      <c r="SB138" s="5"/>
      <c r="SC138" s="5"/>
      <c r="SD138" s="5"/>
      <c r="SE138" s="5"/>
      <c r="SF138" s="5"/>
      <c r="SG138" s="5"/>
      <c r="SH138" s="5"/>
      <c r="SI138" s="5"/>
      <c r="SJ138" s="5"/>
      <c r="SK138" s="5"/>
      <c r="SL138" s="5"/>
      <c r="SM138" s="5"/>
      <c r="SN138" s="5"/>
      <c r="SO138" s="5"/>
      <c r="SP138" s="5"/>
      <c r="SQ138" s="5"/>
      <c r="SR138" s="5"/>
      <c r="SS138" s="5"/>
      <c r="ST138" s="5"/>
      <c r="SU138" s="5"/>
      <c r="SV138" s="5"/>
      <c r="SW138" s="5"/>
      <c r="SX138" s="5"/>
      <c r="SY138" s="5"/>
      <c r="SZ138" s="5"/>
      <c r="TA138" s="5"/>
      <c r="TB138" s="5"/>
      <c r="TC138" s="5"/>
      <c r="TD138" s="5"/>
      <c r="TE138" s="5"/>
      <c r="TF138" s="5"/>
      <c r="TG138" s="5"/>
      <c r="TH138" s="5"/>
      <c r="TI138" s="5"/>
      <c r="TJ138" s="5"/>
      <c r="TK138" s="5"/>
      <c r="TL138" s="5"/>
      <c r="TM138" s="5"/>
      <c r="TN138" s="5"/>
      <c r="TO138" s="5"/>
      <c r="TP138" s="5"/>
      <c r="TQ138" s="5"/>
      <c r="TR138" s="5"/>
      <c r="TS138" s="5"/>
      <c r="TT138" s="5"/>
      <c r="TU138" s="5"/>
      <c r="TV138" s="5"/>
      <c r="TW138" s="5"/>
      <c r="TX138" s="5"/>
      <c r="TY138" s="5"/>
      <c r="TZ138" s="5"/>
      <c r="UA138" s="5"/>
      <c r="UB138" s="5"/>
      <c r="UC138" s="5"/>
      <c r="UD138" s="5"/>
      <c r="UE138" s="5"/>
      <c r="UF138" s="5"/>
      <c r="UG138" s="5"/>
      <c r="UH138" s="5"/>
      <c r="UI138" s="5"/>
      <c r="UJ138" s="5"/>
      <c r="UK138" s="5"/>
      <c r="UL138" s="5"/>
      <c r="UM138" s="5"/>
      <c r="UN138" s="5"/>
      <c r="UO138" s="5"/>
      <c r="UP138" s="5"/>
      <c r="UQ138" s="5"/>
      <c r="UR138" s="5"/>
      <c r="US138" s="5"/>
      <c r="UT138" s="5"/>
      <c r="UU138" s="5"/>
      <c r="UV138" s="5"/>
      <c r="UW138" s="5"/>
      <c r="UX138" s="5"/>
      <c r="UY138" s="5"/>
      <c r="UZ138" s="5"/>
      <c r="VA138" s="5"/>
      <c r="VB138" s="5"/>
      <c r="VC138" s="5"/>
      <c r="VD138" s="5"/>
      <c r="VE138" s="5"/>
      <c r="VF138" s="5"/>
      <c r="VG138" s="5"/>
      <c r="VH138" s="5"/>
      <c r="VI138" s="5"/>
      <c r="VJ138" s="5"/>
      <c r="VK138" s="5"/>
      <c r="VL138" s="5"/>
      <c r="VM138" s="5"/>
      <c r="VN138" s="5"/>
      <c r="VO138" s="5"/>
      <c r="VP138" s="5"/>
      <c r="VQ138" s="5"/>
      <c r="VR138" s="5"/>
      <c r="VS138" s="5"/>
      <c r="VT138" s="5"/>
      <c r="VU138" s="5"/>
      <c r="VV138" s="5"/>
      <c r="VW138" s="5"/>
      <c r="VX138" s="5"/>
      <c r="VY138" s="5"/>
      <c r="VZ138" s="5"/>
      <c r="WA138" s="5"/>
      <c r="WB138" s="5"/>
      <c r="WC138" s="5"/>
      <c r="WD138" s="5"/>
      <c r="WE138" s="5"/>
      <c r="WF138" s="5"/>
      <c r="WG138" s="5"/>
      <c r="WH138" s="5"/>
      <c r="WI138" s="5"/>
      <c r="WJ138" s="5"/>
      <c r="WK138" s="5"/>
      <c r="WL138" s="5"/>
      <c r="WM138" s="5"/>
      <c r="WN138" s="5"/>
      <c r="WO138" s="5"/>
      <c r="WP138" s="5"/>
      <c r="WQ138" s="5"/>
      <c r="WR138" s="5"/>
      <c r="WS138" s="5"/>
      <c r="WT138" s="5"/>
      <c r="WU138" s="5"/>
      <c r="WV138" s="5"/>
      <c r="WW138" s="5"/>
      <c r="WX138" s="5"/>
      <c r="WY138" s="5"/>
      <c r="WZ138" s="5"/>
      <c r="XA138" s="5"/>
      <c r="XB138" s="5"/>
      <c r="XC138" s="5"/>
      <c r="XD138" s="5"/>
      <c r="XE138" s="5"/>
      <c r="XF138" s="5"/>
      <c r="XG138" s="5"/>
      <c r="XH138" s="5"/>
      <c r="XI138" s="5"/>
      <c r="XJ138" s="5"/>
      <c r="XK138" s="5"/>
      <c r="XL138" s="5"/>
      <c r="XM138" s="5"/>
      <c r="XN138" s="5"/>
      <c r="XO138" s="5"/>
      <c r="XP138" s="5"/>
      <c r="XQ138" s="5"/>
      <c r="XR138" s="5"/>
      <c r="XS138" s="5"/>
      <c r="XT138" s="5"/>
      <c r="XU138" s="5"/>
      <c r="XV138" s="5"/>
      <c r="XW138" s="5"/>
      <c r="XX138" s="5"/>
      <c r="XY138" s="5"/>
      <c r="XZ138" s="5"/>
      <c r="YA138" s="5"/>
      <c r="YB138" s="5"/>
      <c r="YC138" s="5"/>
      <c r="YD138" s="5"/>
      <c r="YE138" s="5"/>
      <c r="YF138" s="5"/>
      <c r="YG138" s="5"/>
      <c r="YH138" s="5"/>
      <c r="YI138" s="5"/>
      <c r="YJ138" s="5"/>
      <c r="YK138" s="5"/>
      <c r="YL138" s="5"/>
      <c r="YM138" s="5"/>
      <c r="YN138" s="5"/>
      <c r="YO138" s="5"/>
      <c r="YP138" s="5"/>
      <c r="YQ138" s="5"/>
      <c r="YR138" s="5"/>
      <c r="YS138" s="5"/>
      <c r="YT138" s="5"/>
      <c r="YU138" s="5"/>
      <c r="YV138" s="5"/>
      <c r="YW138" s="5"/>
      <c r="YX138" s="5"/>
      <c r="YY138" s="5"/>
      <c r="YZ138" s="5"/>
    </row>
    <row r="139" spans="1:676">
      <c r="A139" s="7">
        <v>129</v>
      </c>
      <c r="B139" s="7" t="s">
        <v>332</v>
      </c>
      <c r="C139" s="10" t="s">
        <v>333</v>
      </c>
      <c r="D139" s="7" t="s">
        <v>50</v>
      </c>
      <c r="E139" s="7" t="s">
        <v>71</v>
      </c>
      <c r="F139" s="7" t="s">
        <v>162</v>
      </c>
      <c r="G139" s="7"/>
      <c r="H139" s="7" t="s">
        <v>43</v>
      </c>
      <c r="I139" s="11">
        <v>2</v>
      </c>
      <c r="J139" s="11">
        <v>3</v>
      </c>
      <c r="K139" s="11">
        <v>0</v>
      </c>
      <c r="L139" s="11">
        <v>2.42</v>
      </c>
      <c r="M139" s="11">
        <v>0.08</v>
      </c>
      <c r="N139" s="11">
        <v>0</v>
      </c>
      <c r="O139" s="11">
        <v>0</v>
      </c>
      <c r="P139" s="11">
        <v>1.6</v>
      </c>
      <c r="Q139" s="11">
        <v>4.1</v>
      </c>
      <c r="R139" s="11">
        <v>0</v>
      </c>
      <c r="S139" s="11">
        <v>4.1</v>
      </c>
      <c r="T139" s="11">
        <v>2</v>
      </c>
      <c r="U139" s="11">
        <v>2.1</v>
      </c>
      <c r="V139" s="11">
        <v>0</v>
      </c>
      <c r="W139" s="13">
        <v>2</v>
      </c>
      <c r="X139" s="13">
        <v>3</v>
      </c>
      <c r="Y139" s="13" t="str">
        <f>MIN(W139,S139)</f>
        <v>0</v>
      </c>
      <c r="Z139" s="13" t="str">
        <f>MIN(X139,(S139-Y139))</f>
        <v>0</v>
      </c>
      <c r="AA139" s="13" t="str">
        <f>S139-SUM(Y139,Z139)</f>
        <v>0</v>
      </c>
      <c r="AB139" s="15"/>
      <c r="AC139" s="15"/>
      <c r="AD139" s="1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C139" s="5"/>
      <c r="CD139" s="5"/>
      <c r="CE139" s="5"/>
      <c r="CF139" s="5"/>
      <c r="CG139" s="5"/>
      <c r="CH139" s="5"/>
      <c r="CI139" s="5"/>
      <c r="CJ139" s="5"/>
      <c r="CK139" s="5"/>
      <c r="CL139" s="5"/>
      <c r="CM139" s="5"/>
      <c r="CN139" s="5"/>
      <c r="CO139" s="5"/>
      <c r="CP139" s="5"/>
      <c r="CQ139" s="5"/>
      <c r="CR139" s="5"/>
      <c r="CS139" s="5"/>
      <c r="CT139" s="5"/>
      <c r="CU139" s="5"/>
      <c r="CV139" s="5"/>
      <c r="CW139" s="5"/>
      <c r="CX139" s="5"/>
      <c r="CY139" s="5"/>
      <c r="CZ139" s="5"/>
      <c r="DA139" s="5"/>
      <c r="DB139" s="5"/>
      <c r="DC139" s="5"/>
      <c r="DD139" s="5"/>
      <c r="DE139" s="5"/>
      <c r="DF139" s="5"/>
      <c r="DG139" s="5"/>
      <c r="DH139" s="5"/>
      <c r="DI139" s="5"/>
      <c r="DJ139" s="5"/>
      <c r="DK139" s="5"/>
      <c r="DL139" s="5"/>
      <c r="DM139" s="5"/>
      <c r="DN139" s="5"/>
      <c r="DO139" s="5"/>
      <c r="DP139" s="5"/>
      <c r="DQ139" s="5"/>
      <c r="DR139" s="5"/>
      <c r="DS139" s="5"/>
      <c r="DT139" s="5"/>
      <c r="DU139" s="5"/>
      <c r="DV139" s="5"/>
      <c r="DW139" s="5"/>
      <c r="DX139" s="5"/>
      <c r="DY139" s="5"/>
      <c r="DZ139" s="5"/>
      <c r="EA139" s="5"/>
      <c r="EB139" s="5"/>
      <c r="EC139" s="5"/>
      <c r="ED139" s="5"/>
      <c r="EE139" s="5"/>
      <c r="EF139" s="5"/>
      <c r="EG139" s="5"/>
      <c r="EH139" s="5"/>
      <c r="EI139" s="5"/>
      <c r="EJ139" s="5"/>
      <c r="EK139" s="5"/>
      <c r="EL139" s="5"/>
      <c r="EM139" s="5"/>
      <c r="EN139" s="5"/>
      <c r="EO139" s="5"/>
      <c r="EP139" s="5"/>
      <c r="EQ139" s="5"/>
      <c r="ER139" s="5"/>
      <c r="ES139" s="5"/>
      <c r="ET139" s="5"/>
      <c r="EU139" s="5"/>
      <c r="EV139" s="5"/>
      <c r="EW139" s="5"/>
      <c r="EX139" s="5"/>
      <c r="EY139" s="5"/>
      <c r="EZ139" s="5"/>
      <c r="FA139" s="5"/>
      <c r="FB139" s="5"/>
      <c r="FC139" s="5"/>
      <c r="FD139" s="5"/>
      <c r="FE139" s="5"/>
      <c r="FF139" s="5"/>
      <c r="FG139" s="5"/>
      <c r="FH139" s="5"/>
      <c r="FI139" s="5"/>
      <c r="FJ139" s="5"/>
      <c r="FK139" s="5"/>
      <c r="FL139" s="5"/>
      <c r="FM139" s="5"/>
      <c r="FN139" s="5"/>
      <c r="FO139" s="5"/>
      <c r="FP139" s="5"/>
      <c r="FQ139" s="5"/>
      <c r="FR139" s="5"/>
      <c r="FS139" s="5"/>
      <c r="FT139" s="5"/>
      <c r="FU139" s="5"/>
      <c r="FV139" s="5"/>
      <c r="FW139" s="5"/>
      <c r="FX139" s="5"/>
      <c r="FY139" s="5"/>
      <c r="FZ139" s="5"/>
      <c r="GA139" s="5"/>
      <c r="GB139" s="5"/>
      <c r="GC139" s="5"/>
      <c r="GD139" s="5"/>
      <c r="GE139" s="5"/>
      <c r="GF139" s="5"/>
      <c r="GG139" s="5"/>
      <c r="GH139" s="5"/>
      <c r="GI139" s="5"/>
      <c r="GJ139" s="5"/>
      <c r="GK139" s="5"/>
      <c r="GL139" s="5"/>
      <c r="GM139" s="5"/>
      <c r="GN139" s="5"/>
      <c r="GO139" s="5"/>
      <c r="GP139" s="5"/>
      <c r="GQ139" s="5"/>
      <c r="GR139" s="5"/>
      <c r="GS139" s="5"/>
      <c r="GT139" s="5"/>
      <c r="GU139" s="5"/>
      <c r="GV139" s="5"/>
      <c r="GW139" s="5"/>
      <c r="GX139" s="5"/>
      <c r="GY139" s="5"/>
      <c r="GZ139" s="5"/>
      <c r="HA139" s="5"/>
      <c r="HB139" s="5"/>
      <c r="HC139" s="5"/>
      <c r="HD139" s="5"/>
      <c r="HE139" s="5"/>
      <c r="HF139" s="5"/>
      <c r="HG139" s="5"/>
      <c r="HH139" s="5"/>
      <c r="HI139" s="5"/>
      <c r="HJ139" s="5"/>
      <c r="HK139" s="5"/>
      <c r="HL139" s="5"/>
      <c r="HM139" s="5"/>
      <c r="HN139" s="5"/>
      <c r="HO139" s="5"/>
      <c r="HP139" s="5"/>
      <c r="HQ139" s="5"/>
      <c r="HR139" s="5"/>
      <c r="HS139" s="5"/>
      <c r="HT139" s="5"/>
      <c r="HU139" s="5"/>
      <c r="HV139" s="5"/>
      <c r="HW139" s="5"/>
      <c r="HX139" s="5"/>
      <c r="HY139" s="5"/>
      <c r="HZ139" s="5"/>
      <c r="IA139" s="5"/>
      <c r="IB139" s="5"/>
      <c r="IC139" s="5"/>
      <c r="ID139" s="5"/>
      <c r="IE139" s="5"/>
      <c r="IF139" s="5"/>
      <c r="IG139" s="5"/>
      <c r="IH139" s="5"/>
      <c r="II139" s="5"/>
      <c r="IJ139" s="5"/>
      <c r="IK139" s="5"/>
      <c r="IL139" s="5"/>
      <c r="IM139" s="5"/>
      <c r="IN139" s="5"/>
      <c r="IO139" s="5"/>
      <c r="IP139" s="5"/>
      <c r="IQ139" s="5"/>
      <c r="IR139" s="5"/>
      <c r="IS139" s="5"/>
      <c r="IT139" s="5"/>
      <c r="IU139" s="5"/>
      <c r="IV139" s="5"/>
      <c r="IW139" s="5"/>
      <c r="IX139" s="5"/>
      <c r="IY139" s="5"/>
      <c r="IZ139" s="5"/>
      <c r="JA139" s="5"/>
      <c r="JB139" s="5"/>
      <c r="JC139" s="5"/>
      <c r="JD139" s="5"/>
      <c r="JE139" s="5"/>
      <c r="JF139" s="5"/>
      <c r="JG139" s="5"/>
      <c r="JH139" s="5"/>
      <c r="JI139" s="5"/>
      <c r="JJ139" s="5"/>
      <c r="JK139" s="5"/>
      <c r="JL139" s="5"/>
      <c r="JM139" s="5"/>
      <c r="JN139" s="5"/>
      <c r="JO139" s="5"/>
      <c r="JP139" s="5"/>
      <c r="JQ139" s="5"/>
      <c r="JR139" s="5"/>
      <c r="JS139" s="5"/>
      <c r="JT139" s="5"/>
      <c r="JU139" s="5"/>
      <c r="JV139" s="5"/>
      <c r="JW139" s="5"/>
      <c r="JX139" s="5"/>
      <c r="JY139" s="5"/>
      <c r="JZ139" s="5"/>
      <c r="KA139" s="5"/>
      <c r="KB139" s="5"/>
      <c r="KC139" s="5"/>
      <c r="KD139" s="5"/>
      <c r="KE139" s="5"/>
      <c r="KF139" s="5"/>
      <c r="KG139" s="5"/>
      <c r="KH139" s="5"/>
      <c r="KI139" s="5"/>
      <c r="KJ139" s="5"/>
      <c r="KK139" s="5"/>
      <c r="KL139" s="5"/>
      <c r="KM139" s="5"/>
      <c r="KN139" s="5"/>
      <c r="KO139" s="5"/>
      <c r="KP139" s="5"/>
      <c r="KQ139" s="5"/>
      <c r="KR139" s="5"/>
      <c r="KS139" s="5"/>
      <c r="KT139" s="5"/>
      <c r="KU139" s="5"/>
      <c r="KV139" s="5"/>
      <c r="KW139" s="5"/>
      <c r="KX139" s="5"/>
      <c r="KY139" s="5"/>
      <c r="KZ139" s="5"/>
      <c r="LA139" s="5"/>
      <c r="LB139" s="5"/>
      <c r="LC139" s="5"/>
      <c r="LD139" s="5"/>
      <c r="LE139" s="5"/>
      <c r="LF139" s="5"/>
      <c r="LG139" s="5"/>
      <c r="LH139" s="5"/>
      <c r="LI139" s="5"/>
      <c r="LJ139" s="5"/>
      <c r="LK139" s="5"/>
      <c r="LL139" s="5"/>
      <c r="LM139" s="5"/>
      <c r="LN139" s="5"/>
      <c r="LO139" s="5"/>
      <c r="LP139" s="5"/>
      <c r="LQ139" s="5"/>
      <c r="LR139" s="5"/>
      <c r="LS139" s="5"/>
      <c r="LT139" s="5"/>
      <c r="LU139" s="5"/>
      <c r="LV139" s="5"/>
      <c r="LW139" s="5"/>
      <c r="LX139" s="5"/>
      <c r="LY139" s="5"/>
      <c r="LZ139" s="5"/>
      <c r="MA139" s="5"/>
      <c r="MB139" s="5"/>
      <c r="MC139" s="5"/>
      <c r="MD139" s="5"/>
      <c r="ME139" s="5"/>
      <c r="MF139" s="5"/>
      <c r="MG139" s="5"/>
      <c r="MH139" s="5"/>
      <c r="MI139" s="5"/>
      <c r="MJ139" s="5"/>
      <c r="MK139" s="5"/>
      <c r="ML139" s="5"/>
      <c r="MM139" s="5"/>
      <c r="MN139" s="5"/>
      <c r="MO139" s="5"/>
      <c r="MP139" s="5"/>
      <c r="MQ139" s="5"/>
      <c r="MR139" s="5"/>
      <c r="MS139" s="5"/>
      <c r="MT139" s="5"/>
      <c r="MU139" s="5"/>
      <c r="MV139" s="5"/>
      <c r="MW139" s="5"/>
      <c r="MX139" s="5"/>
      <c r="MY139" s="5"/>
      <c r="MZ139" s="5"/>
      <c r="NA139" s="5"/>
      <c r="NB139" s="5"/>
      <c r="NC139" s="5"/>
      <c r="ND139" s="5"/>
      <c r="NE139" s="5"/>
      <c r="NF139" s="5"/>
      <c r="NG139" s="5"/>
      <c r="NH139" s="5"/>
      <c r="NI139" s="5"/>
      <c r="NJ139" s="5"/>
      <c r="NK139" s="5"/>
      <c r="NL139" s="5"/>
      <c r="NM139" s="5"/>
      <c r="NN139" s="5"/>
      <c r="NO139" s="5"/>
      <c r="NP139" s="5"/>
      <c r="NQ139" s="5"/>
      <c r="NR139" s="5"/>
      <c r="NS139" s="5"/>
      <c r="NT139" s="5"/>
      <c r="NU139" s="5"/>
      <c r="NV139" s="5"/>
      <c r="NW139" s="5"/>
      <c r="NX139" s="5"/>
      <c r="NY139" s="5"/>
      <c r="NZ139" s="5"/>
      <c r="OA139" s="5"/>
      <c r="OB139" s="5"/>
      <c r="OC139" s="5"/>
      <c r="OD139" s="5"/>
      <c r="OE139" s="5"/>
      <c r="OF139" s="5"/>
      <c r="OG139" s="5"/>
      <c r="OH139" s="5"/>
      <c r="OI139" s="5"/>
      <c r="OJ139" s="5"/>
      <c r="OK139" s="5"/>
      <c r="OL139" s="5"/>
      <c r="OM139" s="5"/>
      <c r="ON139" s="5"/>
      <c r="OO139" s="5"/>
      <c r="OP139" s="5"/>
      <c r="OQ139" s="5"/>
      <c r="OR139" s="5"/>
      <c r="OS139" s="5"/>
      <c r="OT139" s="5"/>
      <c r="OU139" s="5"/>
      <c r="OV139" s="5"/>
      <c r="OW139" s="5"/>
      <c r="OX139" s="5"/>
      <c r="OY139" s="5"/>
      <c r="OZ139" s="5"/>
      <c r="PA139" s="5"/>
      <c r="PB139" s="5"/>
      <c r="PC139" s="5"/>
      <c r="PD139" s="5"/>
      <c r="PE139" s="5"/>
      <c r="PF139" s="5"/>
      <c r="PG139" s="5"/>
      <c r="PH139" s="5"/>
      <c r="PI139" s="5"/>
      <c r="PJ139" s="5"/>
      <c r="PK139" s="5"/>
      <c r="PL139" s="5"/>
      <c r="PM139" s="5"/>
      <c r="PN139" s="5"/>
      <c r="PO139" s="5"/>
      <c r="PP139" s="5"/>
      <c r="PQ139" s="5"/>
      <c r="PR139" s="5"/>
      <c r="PS139" s="5"/>
      <c r="PT139" s="5"/>
      <c r="PU139" s="5"/>
      <c r="PV139" s="5"/>
      <c r="PW139" s="5"/>
      <c r="PX139" s="5"/>
      <c r="PY139" s="5"/>
      <c r="PZ139" s="5"/>
      <c r="QA139" s="5"/>
      <c r="QB139" s="5"/>
      <c r="QC139" s="5"/>
      <c r="QD139" s="5"/>
      <c r="QE139" s="5"/>
      <c r="QF139" s="5"/>
      <c r="QG139" s="5"/>
      <c r="QH139" s="5"/>
      <c r="QI139" s="5"/>
      <c r="QJ139" s="5"/>
      <c r="QK139" s="5"/>
      <c r="QL139" s="5"/>
      <c r="QM139" s="5"/>
      <c r="QN139" s="5"/>
      <c r="QO139" s="5"/>
      <c r="QP139" s="5"/>
      <c r="QQ139" s="5"/>
      <c r="QR139" s="5"/>
      <c r="QS139" s="5"/>
      <c r="QT139" s="5"/>
      <c r="QU139" s="5"/>
      <c r="QV139" s="5"/>
      <c r="QW139" s="5"/>
      <c r="QX139" s="5"/>
      <c r="QY139" s="5"/>
      <c r="QZ139" s="5"/>
      <c r="RA139" s="5"/>
      <c r="RB139" s="5"/>
      <c r="RC139" s="5"/>
      <c r="RD139" s="5"/>
      <c r="RE139" s="5"/>
      <c r="RF139" s="5"/>
      <c r="RG139" s="5"/>
      <c r="RH139" s="5"/>
      <c r="RI139" s="5"/>
      <c r="RJ139" s="5"/>
      <c r="RK139" s="5"/>
      <c r="RL139" s="5"/>
      <c r="RM139" s="5"/>
      <c r="RN139" s="5"/>
      <c r="RO139" s="5"/>
      <c r="RP139" s="5"/>
      <c r="RQ139" s="5"/>
      <c r="RR139" s="5"/>
      <c r="RS139" s="5"/>
      <c r="RT139" s="5"/>
      <c r="RU139" s="5"/>
      <c r="RV139" s="5"/>
      <c r="RW139" s="5"/>
      <c r="RX139" s="5"/>
      <c r="RY139" s="5"/>
      <c r="RZ139" s="5"/>
      <c r="SA139" s="5"/>
      <c r="SB139" s="5"/>
      <c r="SC139" s="5"/>
      <c r="SD139" s="5"/>
      <c r="SE139" s="5"/>
      <c r="SF139" s="5"/>
      <c r="SG139" s="5"/>
      <c r="SH139" s="5"/>
      <c r="SI139" s="5"/>
      <c r="SJ139" s="5"/>
      <c r="SK139" s="5"/>
      <c r="SL139" s="5"/>
      <c r="SM139" s="5"/>
      <c r="SN139" s="5"/>
      <c r="SO139" s="5"/>
      <c r="SP139" s="5"/>
      <c r="SQ139" s="5"/>
      <c r="SR139" s="5"/>
      <c r="SS139" s="5"/>
      <c r="ST139" s="5"/>
      <c r="SU139" s="5"/>
      <c r="SV139" s="5"/>
      <c r="SW139" s="5"/>
      <c r="SX139" s="5"/>
      <c r="SY139" s="5"/>
      <c r="SZ139" s="5"/>
      <c r="TA139" s="5"/>
      <c r="TB139" s="5"/>
      <c r="TC139" s="5"/>
      <c r="TD139" s="5"/>
      <c r="TE139" s="5"/>
      <c r="TF139" s="5"/>
      <c r="TG139" s="5"/>
      <c r="TH139" s="5"/>
      <c r="TI139" s="5"/>
      <c r="TJ139" s="5"/>
      <c r="TK139" s="5"/>
      <c r="TL139" s="5"/>
      <c r="TM139" s="5"/>
      <c r="TN139" s="5"/>
      <c r="TO139" s="5"/>
      <c r="TP139" s="5"/>
      <c r="TQ139" s="5"/>
      <c r="TR139" s="5"/>
      <c r="TS139" s="5"/>
      <c r="TT139" s="5"/>
      <c r="TU139" s="5"/>
      <c r="TV139" s="5"/>
      <c r="TW139" s="5"/>
      <c r="TX139" s="5"/>
      <c r="TY139" s="5"/>
      <c r="TZ139" s="5"/>
      <c r="UA139" s="5"/>
      <c r="UB139" s="5"/>
      <c r="UC139" s="5"/>
      <c r="UD139" s="5"/>
      <c r="UE139" s="5"/>
      <c r="UF139" s="5"/>
      <c r="UG139" s="5"/>
      <c r="UH139" s="5"/>
      <c r="UI139" s="5"/>
      <c r="UJ139" s="5"/>
      <c r="UK139" s="5"/>
      <c r="UL139" s="5"/>
      <c r="UM139" s="5"/>
      <c r="UN139" s="5"/>
      <c r="UO139" s="5"/>
      <c r="UP139" s="5"/>
      <c r="UQ139" s="5"/>
      <c r="UR139" s="5"/>
      <c r="US139" s="5"/>
      <c r="UT139" s="5"/>
      <c r="UU139" s="5"/>
      <c r="UV139" s="5"/>
      <c r="UW139" s="5"/>
      <c r="UX139" s="5"/>
      <c r="UY139" s="5"/>
      <c r="UZ139" s="5"/>
      <c r="VA139" s="5"/>
      <c r="VB139" s="5"/>
      <c r="VC139" s="5"/>
      <c r="VD139" s="5"/>
      <c r="VE139" s="5"/>
      <c r="VF139" s="5"/>
      <c r="VG139" s="5"/>
      <c r="VH139" s="5"/>
      <c r="VI139" s="5"/>
      <c r="VJ139" s="5"/>
      <c r="VK139" s="5"/>
      <c r="VL139" s="5"/>
      <c r="VM139" s="5"/>
      <c r="VN139" s="5"/>
      <c r="VO139" s="5"/>
      <c r="VP139" s="5"/>
      <c r="VQ139" s="5"/>
      <c r="VR139" s="5"/>
      <c r="VS139" s="5"/>
      <c r="VT139" s="5"/>
      <c r="VU139" s="5"/>
      <c r="VV139" s="5"/>
      <c r="VW139" s="5"/>
      <c r="VX139" s="5"/>
      <c r="VY139" s="5"/>
      <c r="VZ139" s="5"/>
      <c r="WA139" s="5"/>
      <c r="WB139" s="5"/>
      <c r="WC139" s="5"/>
      <c r="WD139" s="5"/>
      <c r="WE139" s="5"/>
      <c r="WF139" s="5"/>
      <c r="WG139" s="5"/>
      <c r="WH139" s="5"/>
      <c r="WI139" s="5"/>
      <c r="WJ139" s="5"/>
      <c r="WK139" s="5"/>
      <c r="WL139" s="5"/>
      <c r="WM139" s="5"/>
      <c r="WN139" s="5"/>
      <c r="WO139" s="5"/>
      <c r="WP139" s="5"/>
      <c r="WQ139" s="5"/>
      <c r="WR139" s="5"/>
      <c r="WS139" s="5"/>
      <c r="WT139" s="5"/>
      <c r="WU139" s="5"/>
      <c r="WV139" s="5"/>
      <c r="WW139" s="5"/>
      <c r="WX139" s="5"/>
      <c r="WY139" s="5"/>
      <c r="WZ139" s="5"/>
      <c r="XA139" s="5"/>
      <c r="XB139" s="5"/>
      <c r="XC139" s="5"/>
      <c r="XD139" s="5"/>
      <c r="XE139" s="5"/>
      <c r="XF139" s="5"/>
      <c r="XG139" s="5"/>
      <c r="XH139" s="5"/>
      <c r="XI139" s="5"/>
      <c r="XJ139" s="5"/>
      <c r="XK139" s="5"/>
      <c r="XL139" s="5"/>
      <c r="XM139" s="5"/>
      <c r="XN139" s="5"/>
      <c r="XO139" s="5"/>
      <c r="XP139" s="5"/>
      <c r="XQ139" s="5"/>
      <c r="XR139" s="5"/>
      <c r="XS139" s="5"/>
      <c r="XT139" s="5"/>
      <c r="XU139" s="5"/>
      <c r="XV139" s="5"/>
      <c r="XW139" s="5"/>
      <c r="XX139" s="5"/>
      <c r="XY139" s="5"/>
      <c r="XZ139" s="5"/>
      <c r="YA139" s="5"/>
      <c r="YB139" s="5"/>
      <c r="YC139" s="5"/>
      <c r="YD139" s="5"/>
      <c r="YE139" s="5"/>
      <c r="YF139" s="5"/>
      <c r="YG139" s="5"/>
      <c r="YH139" s="5"/>
      <c r="YI139" s="5"/>
      <c r="YJ139" s="5"/>
      <c r="YK139" s="5"/>
      <c r="YL139" s="5"/>
      <c r="YM139" s="5"/>
      <c r="YN139" s="5"/>
      <c r="YO139" s="5"/>
      <c r="YP139" s="5"/>
      <c r="YQ139" s="5"/>
      <c r="YR139" s="5"/>
      <c r="YS139" s="5"/>
      <c r="YT139" s="5"/>
      <c r="YU139" s="5"/>
      <c r="YV139" s="5"/>
      <c r="YW139" s="5"/>
      <c r="YX139" s="5"/>
      <c r="YY139" s="5"/>
      <c r="YZ139" s="5"/>
    </row>
    <row r="140" spans="1:676">
      <c r="A140" s="7">
        <v>130</v>
      </c>
      <c r="B140" s="7" t="s">
        <v>334</v>
      </c>
      <c r="C140" s="10" t="s">
        <v>335</v>
      </c>
      <c r="D140" s="7" t="s">
        <v>214</v>
      </c>
      <c r="E140" s="7" t="s">
        <v>120</v>
      </c>
      <c r="F140" s="7" t="s">
        <v>162</v>
      </c>
      <c r="G140" s="7"/>
      <c r="H140" s="7" t="s">
        <v>336</v>
      </c>
      <c r="I140" s="11">
        <v>2</v>
      </c>
      <c r="J140" s="11">
        <v>3</v>
      </c>
      <c r="K140" s="11">
        <v>1.33</v>
      </c>
      <c r="L140" s="11">
        <v>0.42</v>
      </c>
      <c r="M140" s="11">
        <v>0.24</v>
      </c>
      <c r="N140" s="11">
        <v>0</v>
      </c>
      <c r="O140" s="11">
        <v>0.54</v>
      </c>
      <c r="P140" s="11">
        <v>1.63</v>
      </c>
      <c r="Q140" s="11">
        <v>4.16</v>
      </c>
      <c r="R140" s="11">
        <v>0</v>
      </c>
      <c r="S140" s="11">
        <v>4.16</v>
      </c>
      <c r="T140" s="11">
        <v>2</v>
      </c>
      <c r="U140" s="11">
        <v>2.16</v>
      </c>
      <c r="V140" s="11">
        <v>0</v>
      </c>
      <c r="W140" s="13">
        <v>2</v>
      </c>
      <c r="X140" s="13">
        <v>3</v>
      </c>
      <c r="Y140" s="13" t="str">
        <f>MIN(W140,S140)</f>
        <v>0</v>
      </c>
      <c r="Z140" s="13" t="str">
        <f>MIN(X140,(S140-Y140))</f>
        <v>0</v>
      </c>
      <c r="AA140" s="13" t="str">
        <f>S140-SUM(Y140,Z140)</f>
        <v>0</v>
      </c>
      <c r="AB140" s="15"/>
      <c r="AC140" s="15"/>
      <c r="AD140" s="1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5"/>
      <c r="CD140" s="5"/>
      <c r="CE140" s="5"/>
      <c r="CF140" s="5"/>
      <c r="CG140" s="5"/>
      <c r="CH140" s="5"/>
      <c r="CI140" s="5"/>
      <c r="CJ140" s="5"/>
      <c r="CK140" s="5"/>
      <c r="CL140" s="5"/>
      <c r="CM140" s="5"/>
      <c r="CN140" s="5"/>
      <c r="CO140" s="5"/>
      <c r="CP140" s="5"/>
      <c r="CQ140" s="5"/>
      <c r="CR140" s="5"/>
      <c r="CS140" s="5"/>
      <c r="CT140" s="5"/>
      <c r="CU140" s="5"/>
      <c r="CV140" s="5"/>
      <c r="CW140" s="5"/>
      <c r="CX140" s="5"/>
      <c r="CY140" s="5"/>
      <c r="CZ140" s="5"/>
      <c r="DA140" s="5"/>
      <c r="DB140" s="5"/>
      <c r="DC140" s="5"/>
      <c r="DD140" s="5"/>
      <c r="DE140" s="5"/>
      <c r="DF140" s="5"/>
      <c r="DG140" s="5"/>
      <c r="DH140" s="5"/>
      <c r="DI140" s="5"/>
      <c r="DJ140" s="5"/>
      <c r="DK140" s="5"/>
      <c r="DL140" s="5"/>
      <c r="DM140" s="5"/>
      <c r="DN140" s="5"/>
      <c r="DO140" s="5"/>
      <c r="DP140" s="5"/>
      <c r="DQ140" s="5"/>
      <c r="DR140" s="5"/>
      <c r="DS140" s="5"/>
      <c r="DT140" s="5"/>
      <c r="DU140" s="5"/>
      <c r="DV140" s="5"/>
      <c r="DW140" s="5"/>
      <c r="DX140" s="5"/>
      <c r="DY140" s="5"/>
      <c r="DZ140" s="5"/>
      <c r="EA140" s="5"/>
      <c r="EB140" s="5"/>
      <c r="EC140" s="5"/>
      <c r="ED140" s="5"/>
      <c r="EE140" s="5"/>
      <c r="EF140" s="5"/>
      <c r="EG140" s="5"/>
      <c r="EH140" s="5"/>
      <c r="EI140" s="5"/>
      <c r="EJ140" s="5"/>
      <c r="EK140" s="5"/>
      <c r="EL140" s="5"/>
      <c r="EM140" s="5"/>
      <c r="EN140" s="5"/>
      <c r="EO140" s="5"/>
      <c r="EP140" s="5"/>
      <c r="EQ140" s="5"/>
      <c r="ER140" s="5"/>
      <c r="ES140" s="5"/>
      <c r="ET140" s="5"/>
      <c r="EU140" s="5"/>
      <c r="EV140" s="5"/>
      <c r="EW140" s="5"/>
      <c r="EX140" s="5"/>
      <c r="EY140" s="5"/>
      <c r="EZ140" s="5"/>
      <c r="FA140" s="5"/>
      <c r="FB140" s="5"/>
      <c r="FC140" s="5"/>
      <c r="FD140" s="5"/>
      <c r="FE140" s="5"/>
      <c r="FF140" s="5"/>
      <c r="FG140" s="5"/>
      <c r="FH140" s="5"/>
      <c r="FI140" s="5"/>
      <c r="FJ140" s="5"/>
      <c r="FK140" s="5"/>
      <c r="FL140" s="5"/>
      <c r="FM140" s="5"/>
      <c r="FN140" s="5"/>
      <c r="FO140" s="5"/>
      <c r="FP140" s="5"/>
      <c r="FQ140" s="5"/>
      <c r="FR140" s="5"/>
      <c r="FS140" s="5"/>
      <c r="FT140" s="5"/>
      <c r="FU140" s="5"/>
      <c r="FV140" s="5"/>
      <c r="FW140" s="5"/>
      <c r="FX140" s="5"/>
      <c r="FY140" s="5"/>
      <c r="FZ140" s="5"/>
      <c r="GA140" s="5"/>
      <c r="GB140" s="5"/>
      <c r="GC140" s="5"/>
      <c r="GD140" s="5"/>
      <c r="GE140" s="5"/>
      <c r="GF140" s="5"/>
      <c r="GG140" s="5"/>
      <c r="GH140" s="5"/>
      <c r="GI140" s="5"/>
      <c r="GJ140" s="5"/>
      <c r="GK140" s="5"/>
      <c r="GL140" s="5"/>
      <c r="GM140" s="5"/>
      <c r="GN140" s="5"/>
      <c r="GO140" s="5"/>
      <c r="GP140" s="5"/>
      <c r="GQ140" s="5"/>
      <c r="GR140" s="5"/>
      <c r="GS140" s="5"/>
      <c r="GT140" s="5"/>
      <c r="GU140" s="5"/>
      <c r="GV140" s="5"/>
      <c r="GW140" s="5"/>
      <c r="GX140" s="5"/>
      <c r="GY140" s="5"/>
      <c r="GZ140" s="5"/>
      <c r="HA140" s="5"/>
      <c r="HB140" s="5"/>
      <c r="HC140" s="5"/>
      <c r="HD140" s="5"/>
      <c r="HE140" s="5"/>
      <c r="HF140" s="5"/>
      <c r="HG140" s="5"/>
      <c r="HH140" s="5"/>
      <c r="HI140" s="5"/>
      <c r="HJ140" s="5"/>
      <c r="HK140" s="5"/>
      <c r="HL140" s="5"/>
      <c r="HM140" s="5"/>
      <c r="HN140" s="5"/>
      <c r="HO140" s="5"/>
      <c r="HP140" s="5"/>
      <c r="HQ140" s="5"/>
      <c r="HR140" s="5"/>
      <c r="HS140" s="5"/>
      <c r="HT140" s="5"/>
      <c r="HU140" s="5"/>
      <c r="HV140" s="5"/>
      <c r="HW140" s="5"/>
      <c r="HX140" s="5"/>
      <c r="HY140" s="5"/>
      <c r="HZ140" s="5"/>
      <c r="IA140" s="5"/>
      <c r="IB140" s="5"/>
      <c r="IC140" s="5"/>
      <c r="ID140" s="5"/>
      <c r="IE140" s="5"/>
      <c r="IF140" s="5"/>
      <c r="IG140" s="5"/>
      <c r="IH140" s="5"/>
      <c r="II140" s="5"/>
      <c r="IJ140" s="5"/>
      <c r="IK140" s="5"/>
      <c r="IL140" s="5"/>
      <c r="IM140" s="5"/>
      <c r="IN140" s="5"/>
      <c r="IO140" s="5"/>
      <c r="IP140" s="5"/>
      <c r="IQ140" s="5"/>
      <c r="IR140" s="5"/>
      <c r="IS140" s="5"/>
      <c r="IT140" s="5"/>
      <c r="IU140" s="5"/>
      <c r="IV140" s="5"/>
      <c r="IW140" s="5"/>
      <c r="IX140" s="5"/>
      <c r="IY140" s="5"/>
      <c r="IZ140" s="5"/>
      <c r="JA140" s="5"/>
      <c r="JB140" s="5"/>
      <c r="JC140" s="5"/>
      <c r="JD140" s="5"/>
      <c r="JE140" s="5"/>
      <c r="JF140" s="5"/>
      <c r="JG140" s="5"/>
      <c r="JH140" s="5"/>
      <c r="JI140" s="5"/>
      <c r="JJ140" s="5"/>
      <c r="JK140" s="5"/>
      <c r="JL140" s="5"/>
      <c r="JM140" s="5"/>
      <c r="JN140" s="5"/>
      <c r="JO140" s="5"/>
      <c r="JP140" s="5"/>
      <c r="JQ140" s="5"/>
      <c r="JR140" s="5"/>
      <c r="JS140" s="5"/>
      <c r="JT140" s="5"/>
      <c r="JU140" s="5"/>
      <c r="JV140" s="5"/>
      <c r="JW140" s="5"/>
      <c r="JX140" s="5"/>
      <c r="JY140" s="5"/>
      <c r="JZ140" s="5"/>
      <c r="KA140" s="5"/>
      <c r="KB140" s="5"/>
      <c r="KC140" s="5"/>
      <c r="KD140" s="5"/>
      <c r="KE140" s="5"/>
      <c r="KF140" s="5"/>
      <c r="KG140" s="5"/>
      <c r="KH140" s="5"/>
      <c r="KI140" s="5"/>
      <c r="KJ140" s="5"/>
      <c r="KK140" s="5"/>
      <c r="KL140" s="5"/>
      <c r="KM140" s="5"/>
      <c r="KN140" s="5"/>
      <c r="KO140" s="5"/>
      <c r="KP140" s="5"/>
      <c r="KQ140" s="5"/>
      <c r="KR140" s="5"/>
      <c r="KS140" s="5"/>
      <c r="KT140" s="5"/>
      <c r="KU140" s="5"/>
      <c r="KV140" s="5"/>
      <c r="KW140" s="5"/>
      <c r="KX140" s="5"/>
      <c r="KY140" s="5"/>
      <c r="KZ140" s="5"/>
      <c r="LA140" s="5"/>
      <c r="LB140" s="5"/>
      <c r="LC140" s="5"/>
      <c r="LD140" s="5"/>
      <c r="LE140" s="5"/>
      <c r="LF140" s="5"/>
      <c r="LG140" s="5"/>
      <c r="LH140" s="5"/>
      <c r="LI140" s="5"/>
      <c r="LJ140" s="5"/>
      <c r="LK140" s="5"/>
      <c r="LL140" s="5"/>
      <c r="LM140" s="5"/>
      <c r="LN140" s="5"/>
      <c r="LO140" s="5"/>
      <c r="LP140" s="5"/>
      <c r="LQ140" s="5"/>
      <c r="LR140" s="5"/>
      <c r="LS140" s="5"/>
      <c r="LT140" s="5"/>
      <c r="LU140" s="5"/>
      <c r="LV140" s="5"/>
      <c r="LW140" s="5"/>
      <c r="LX140" s="5"/>
      <c r="LY140" s="5"/>
      <c r="LZ140" s="5"/>
      <c r="MA140" s="5"/>
      <c r="MB140" s="5"/>
      <c r="MC140" s="5"/>
      <c r="MD140" s="5"/>
      <c r="ME140" s="5"/>
      <c r="MF140" s="5"/>
      <c r="MG140" s="5"/>
      <c r="MH140" s="5"/>
      <c r="MI140" s="5"/>
      <c r="MJ140" s="5"/>
      <c r="MK140" s="5"/>
      <c r="ML140" s="5"/>
      <c r="MM140" s="5"/>
      <c r="MN140" s="5"/>
      <c r="MO140" s="5"/>
      <c r="MP140" s="5"/>
      <c r="MQ140" s="5"/>
      <c r="MR140" s="5"/>
      <c r="MS140" s="5"/>
      <c r="MT140" s="5"/>
      <c r="MU140" s="5"/>
      <c r="MV140" s="5"/>
      <c r="MW140" s="5"/>
      <c r="MX140" s="5"/>
      <c r="MY140" s="5"/>
      <c r="MZ140" s="5"/>
      <c r="NA140" s="5"/>
      <c r="NB140" s="5"/>
      <c r="NC140" s="5"/>
      <c r="ND140" s="5"/>
      <c r="NE140" s="5"/>
      <c r="NF140" s="5"/>
      <c r="NG140" s="5"/>
      <c r="NH140" s="5"/>
      <c r="NI140" s="5"/>
      <c r="NJ140" s="5"/>
      <c r="NK140" s="5"/>
      <c r="NL140" s="5"/>
      <c r="NM140" s="5"/>
      <c r="NN140" s="5"/>
      <c r="NO140" s="5"/>
      <c r="NP140" s="5"/>
      <c r="NQ140" s="5"/>
      <c r="NR140" s="5"/>
      <c r="NS140" s="5"/>
      <c r="NT140" s="5"/>
      <c r="NU140" s="5"/>
      <c r="NV140" s="5"/>
      <c r="NW140" s="5"/>
      <c r="NX140" s="5"/>
      <c r="NY140" s="5"/>
      <c r="NZ140" s="5"/>
      <c r="OA140" s="5"/>
      <c r="OB140" s="5"/>
      <c r="OC140" s="5"/>
      <c r="OD140" s="5"/>
      <c r="OE140" s="5"/>
      <c r="OF140" s="5"/>
      <c r="OG140" s="5"/>
      <c r="OH140" s="5"/>
      <c r="OI140" s="5"/>
      <c r="OJ140" s="5"/>
      <c r="OK140" s="5"/>
      <c r="OL140" s="5"/>
      <c r="OM140" s="5"/>
      <c r="ON140" s="5"/>
      <c r="OO140" s="5"/>
      <c r="OP140" s="5"/>
      <c r="OQ140" s="5"/>
      <c r="OR140" s="5"/>
      <c r="OS140" s="5"/>
      <c r="OT140" s="5"/>
      <c r="OU140" s="5"/>
      <c r="OV140" s="5"/>
      <c r="OW140" s="5"/>
      <c r="OX140" s="5"/>
      <c r="OY140" s="5"/>
      <c r="OZ140" s="5"/>
      <c r="PA140" s="5"/>
      <c r="PB140" s="5"/>
      <c r="PC140" s="5"/>
      <c r="PD140" s="5"/>
      <c r="PE140" s="5"/>
      <c r="PF140" s="5"/>
      <c r="PG140" s="5"/>
      <c r="PH140" s="5"/>
      <c r="PI140" s="5"/>
      <c r="PJ140" s="5"/>
      <c r="PK140" s="5"/>
      <c r="PL140" s="5"/>
      <c r="PM140" s="5"/>
      <c r="PN140" s="5"/>
      <c r="PO140" s="5"/>
      <c r="PP140" s="5"/>
      <c r="PQ140" s="5"/>
      <c r="PR140" s="5"/>
      <c r="PS140" s="5"/>
      <c r="PT140" s="5"/>
      <c r="PU140" s="5"/>
      <c r="PV140" s="5"/>
      <c r="PW140" s="5"/>
      <c r="PX140" s="5"/>
      <c r="PY140" s="5"/>
      <c r="PZ140" s="5"/>
      <c r="QA140" s="5"/>
      <c r="QB140" s="5"/>
      <c r="QC140" s="5"/>
      <c r="QD140" s="5"/>
      <c r="QE140" s="5"/>
      <c r="QF140" s="5"/>
      <c r="QG140" s="5"/>
      <c r="QH140" s="5"/>
      <c r="QI140" s="5"/>
      <c r="QJ140" s="5"/>
      <c r="QK140" s="5"/>
      <c r="QL140" s="5"/>
      <c r="QM140" s="5"/>
      <c r="QN140" s="5"/>
      <c r="QO140" s="5"/>
      <c r="QP140" s="5"/>
      <c r="QQ140" s="5"/>
      <c r="QR140" s="5"/>
      <c r="QS140" s="5"/>
      <c r="QT140" s="5"/>
      <c r="QU140" s="5"/>
      <c r="QV140" s="5"/>
      <c r="QW140" s="5"/>
      <c r="QX140" s="5"/>
      <c r="QY140" s="5"/>
      <c r="QZ140" s="5"/>
      <c r="RA140" s="5"/>
      <c r="RB140" s="5"/>
      <c r="RC140" s="5"/>
      <c r="RD140" s="5"/>
      <c r="RE140" s="5"/>
      <c r="RF140" s="5"/>
      <c r="RG140" s="5"/>
      <c r="RH140" s="5"/>
      <c r="RI140" s="5"/>
      <c r="RJ140" s="5"/>
      <c r="RK140" s="5"/>
      <c r="RL140" s="5"/>
      <c r="RM140" s="5"/>
      <c r="RN140" s="5"/>
      <c r="RO140" s="5"/>
      <c r="RP140" s="5"/>
      <c r="RQ140" s="5"/>
      <c r="RR140" s="5"/>
      <c r="RS140" s="5"/>
      <c r="RT140" s="5"/>
      <c r="RU140" s="5"/>
      <c r="RV140" s="5"/>
      <c r="RW140" s="5"/>
      <c r="RX140" s="5"/>
      <c r="RY140" s="5"/>
      <c r="RZ140" s="5"/>
      <c r="SA140" s="5"/>
      <c r="SB140" s="5"/>
      <c r="SC140" s="5"/>
      <c r="SD140" s="5"/>
      <c r="SE140" s="5"/>
      <c r="SF140" s="5"/>
      <c r="SG140" s="5"/>
      <c r="SH140" s="5"/>
      <c r="SI140" s="5"/>
      <c r="SJ140" s="5"/>
      <c r="SK140" s="5"/>
      <c r="SL140" s="5"/>
      <c r="SM140" s="5"/>
      <c r="SN140" s="5"/>
      <c r="SO140" s="5"/>
      <c r="SP140" s="5"/>
      <c r="SQ140" s="5"/>
      <c r="SR140" s="5"/>
      <c r="SS140" s="5"/>
      <c r="ST140" s="5"/>
      <c r="SU140" s="5"/>
      <c r="SV140" s="5"/>
      <c r="SW140" s="5"/>
      <c r="SX140" s="5"/>
      <c r="SY140" s="5"/>
      <c r="SZ140" s="5"/>
      <c r="TA140" s="5"/>
      <c r="TB140" s="5"/>
      <c r="TC140" s="5"/>
      <c r="TD140" s="5"/>
      <c r="TE140" s="5"/>
      <c r="TF140" s="5"/>
      <c r="TG140" s="5"/>
      <c r="TH140" s="5"/>
      <c r="TI140" s="5"/>
      <c r="TJ140" s="5"/>
      <c r="TK140" s="5"/>
      <c r="TL140" s="5"/>
      <c r="TM140" s="5"/>
      <c r="TN140" s="5"/>
      <c r="TO140" s="5"/>
      <c r="TP140" s="5"/>
      <c r="TQ140" s="5"/>
      <c r="TR140" s="5"/>
      <c r="TS140" s="5"/>
      <c r="TT140" s="5"/>
      <c r="TU140" s="5"/>
      <c r="TV140" s="5"/>
      <c r="TW140" s="5"/>
      <c r="TX140" s="5"/>
      <c r="TY140" s="5"/>
      <c r="TZ140" s="5"/>
      <c r="UA140" s="5"/>
      <c r="UB140" s="5"/>
      <c r="UC140" s="5"/>
      <c r="UD140" s="5"/>
      <c r="UE140" s="5"/>
      <c r="UF140" s="5"/>
      <c r="UG140" s="5"/>
      <c r="UH140" s="5"/>
      <c r="UI140" s="5"/>
      <c r="UJ140" s="5"/>
      <c r="UK140" s="5"/>
      <c r="UL140" s="5"/>
      <c r="UM140" s="5"/>
      <c r="UN140" s="5"/>
      <c r="UO140" s="5"/>
      <c r="UP140" s="5"/>
      <c r="UQ140" s="5"/>
      <c r="UR140" s="5"/>
      <c r="US140" s="5"/>
      <c r="UT140" s="5"/>
      <c r="UU140" s="5"/>
      <c r="UV140" s="5"/>
      <c r="UW140" s="5"/>
      <c r="UX140" s="5"/>
      <c r="UY140" s="5"/>
      <c r="UZ140" s="5"/>
      <c r="VA140" s="5"/>
      <c r="VB140" s="5"/>
      <c r="VC140" s="5"/>
      <c r="VD140" s="5"/>
      <c r="VE140" s="5"/>
      <c r="VF140" s="5"/>
      <c r="VG140" s="5"/>
      <c r="VH140" s="5"/>
      <c r="VI140" s="5"/>
      <c r="VJ140" s="5"/>
      <c r="VK140" s="5"/>
      <c r="VL140" s="5"/>
      <c r="VM140" s="5"/>
      <c r="VN140" s="5"/>
      <c r="VO140" s="5"/>
      <c r="VP140" s="5"/>
      <c r="VQ140" s="5"/>
      <c r="VR140" s="5"/>
      <c r="VS140" s="5"/>
      <c r="VT140" s="5"/>
      <c r="VU140" s="5"/>
      <c r="VV140" s="5"/>
      <c r="VW140" s="5"/>
      <c r="VX140" s="5"/>
      <c r="VY140" s="5"/>
      <c r="VZ140" s="5"/>
      <c r="WA140" s="5"/>
      <c r="WB140" s="5"/>
      <c r="WC140" s="5"/>
      <c r="WD140" s="5"/>
      <c r="WE140" s="5"/>
      <c r="WF140" s="5"/>
      <c r="WG140" s="5"/>
      <c r="WH140" s="5"/>
      <c r="WI140" s="5"/>
      <c r="WJ140" s="5"/>
      <c r="WK140" s="5"/>
      <c r="WL140" s="5"/>
      <c r="WM140" s="5"/>
      <c r="WN140" s="5"/>
      <c r="WO140" s="5"/>
      <c r="WP140" s="5"/>
      <c r="WQ140" s="5"/>
      <c r="WR140" s="5"/>
      <c r="WS140" s="5"/>
      <c r="WT140" s="5"/>
      <c r="WU140" s="5"/>
      <c r="WV140" s="5"/>
      <c r="WW140" s="5"/>
      <c r="WX140" s="5"/>
      <c r="WY140" s="5"/>
      <c r="WZ140" s="5"/>
      <c r="XA140" s="5"/>
      <c r="XB140" s="5"/>
      <c r="XC140" s="5"/>
      <c r="XD140" s="5"/>
      <c r="XE140" s="5"/>
      <c r="XF140" s="5"/>
      <c r="XG140" s="5"/>
      <c r="XH140" s="5"/>
      <c r="XI140" s="5"/>
      <c r="XJ140" s="5"/>
      <c r="XK140" s="5"/>
      <c r="XL140" s="5"/>
      <c r="XM140" s="5"/>
      <c r="XN140" s="5"/>
      <c r="XO140" s="5"/>
      <c r="XP140" s="5"/>
      <c r="XQ140" s="5"/>
      <c r="XR140" s="5"/>
      <c r="XS140" s="5"/>
      <c r="XT140" s="5"/>
      <c r="XU140" s="5"/>
      <c r="XV140" s="5"/>
      <c r="XW140" s="5"/>
      <c r="XX140" s="5"/>
      <c r="XY140" s="5"/>
      <c r="XZ140" s="5"/>
      <c r="YA140" s="5"/>
      <c r="YB140" s="5"/>
      <c r="YC140" s="5"/>
      <c r="YD140" s="5"/>
      <c r="YE140" s="5"/>
      <c r="YF140" s="5"/>
      <c r="YG140" s="5"/>
      <c r="YH140" s="5"/>
      <c r="YI140" s="5"/>
      <c r="YJ140" s="5"/>
      <c r="YK140" s="5"/>
      <c r="YL140" s="5"/>
      <c r="YM140" s="5"/>
      <c r="YN140" s="5"/>
      <c r="YO140" s="5"/>
      <c r="YP140" s="5"/>
      <c r="YQ140" s="5"/>
      <c r="YR140" s="5"/>
      <c r="YS140" s="5"/>
      <c r="YT140" s="5"/>
      <c r="YU140" s="5"/>
      <c r="YV140" s="5"/>
      <c r="YW140" s="5"/>
      <c r="YX140" s="5"/>
      <c r="YY140" s="5"/>
      <c r="YZ140" s="5"/>
    </row>
    <row r="141" spans="1:676">
      <c r="A141" s="7">
        <v>131</v>
      </c>
      <c r="B141" s="7" t="s">
        <v>337</v>
      </c>
      <c r="C141" s="10" t="s">
        <v>338</v>
      </c>
      <c r="D141" s="7" t="s">
        <v>50</v>
      </c>
      <c r="E141" s="7" t="s">
        <v>71</v>
      </c>
      <c r="F141" s="7" t="s">
        <v>162</v>
      </c>
      <c r="G141" s="7"/>
      <c r="H141" s="7" t="s">
        <v>43</v>
      </c>
      <c r="I141" s="11">
        <v>2</v>
      </c>
      <c r="J141" s="11">
        <v>3</v>
      </c>
      <c r="K141" s="11">
        <v>0</v>
      </c>
      <c r="L141" s="11">
        <v>3.049999999999999</v>
      </c>
      <c r="M141" s="11">
        <v>0.08</v>
      </c>
      <c r="N141" s="11">
        <v>0</v>
      </c>
      <c r="O141" s="11">
        <v>0</v>
      </c>
      <c r="P141" s="11">
        <v>1.6</v>
      </c>
      <c r="Q141" s="11">
        <v>4.729999999999995</v>
      </c>
      <c r="R141" s="11">
        <v>0</v>
      </c>
      <c r="S141" s="11">
        <v>4.729999999999995</v>
      </c>
      <c r="T141" s="11">
        <v>2</v>
      </c>
      <c r="U141" s="11">
        <v>2.729999999999995</v>
      </c>
      <c r="V141" s="11">
        <v>0</v>
      </c>
      <c r="W141" s="13">
        <v>2</v>
      </c>
      <c r="X141" s="13">
        <v>3</v>
      </c>
      <c r="Y141" s="13" t="str">
        <f>MIN(W141,S141)</f>
        <v>0</v>
      </c>
      <c r="Z141" s="13" t="str">
        <f>MIN(X141,(S141-Y141))</f>
        <v>0</v>
      </c>
      <c r="AA141" s="13" t="str">
        <f>S141-SUM(Y141,Z141)</f>
        <v>0</v>
      </c>
      <c r="AB141" s="15"/>
      <c r="AC141" s="15"/>
      <c r="AD141" s="1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T141" s="5"/>
      <c r="BU141" s="5"/>
      <c r="BV141" s="5"/>
      <c r="BW141" s="5"/>
      <c r="BX141" s="5"/>
      <c r="BY141" s="5"/>
      <c r="BZ141" s="5"/>
      <c r="CA141" s="5"/>
      <c r="CB141" s="5"/>
      <c r="CC141" s="5"/>
      <c r="CD141" s="5"/>
      <c r="CE141" s="5"/>
      <c r="CF141" s="5"/>
      <c r="CG141" s="5"/>
      <c r="CH141" s="5"/>
      <c r="CI141" s="5"/>
      <c r="CJ141" s="5"/>
      <c r="CK141" s="5"/>
      <c r="CL141" s="5"/>
      <c r="CM141" s="5"/>
      <c r="CN141" s="5"/>
      <c r="CO141" s="5"/>
      <c r="CP141" s="5"/>
      <c r="CQ141" s="5"/>
      <c r="CR141" s="5"/>
      <c r="CS141" s="5"/>
      <c r="CT141" s="5"/>
      <c r="CU141" s="5"/>
      <c r="CV141" s="5"/>
      <c r="CW141" s="5"/>
      <c r="CX141" s="5"/>
      <c r="CY141" s="5"/>
      <c r="CZ141" s="5"/>
      <c r="DA141" s="5"/>
      <c r="DB141" s="5"/>
      <c r="DC141" s="5"/>
      <c r="DD141" s="5"/>
      <c r="DE141" s="5"/>
      <c r="DF141" s="5"/>
      <c r="DG141" s="5"/>
      <c r="DH141" s="5"/>
      <c r="DI141" s="5"/>
      <c r="DJ141" s="5"/>
      <c r="DK141" s="5"/>
      <c r="DL141" s="5"/>
      <c r="DM141" s="5"/>
      <c r="DN141" s="5"/>
      <c r="DO141" s="5"/>
      <c r="DP141" s="5"/>
      <c r="DQ141" s="5"/>
      <c r="DR141" s="5"/>
      <c r="DS141" s="5"/>
      <c r="DT141" s="5"/>
      <c r="DU141" s="5"/>
      <c r="DV141" s="5"/>
      <c r="DW141" s="5"/>
      <c r="DX141" s="5"/>
      <c r="DY141" s="5"/>
      <c r="DZ141" s="5"/>
      <c r="EA141" s="5"/>
      <c r="EB141" s="5"/>
      <c r="EC141" s="5"/>
      <c r="ED141" s="5"/>
      <c r="EE141" s="5"/>
      <c r="EF141" s="5"/>
      <c r="EG141" s="5"/>
      <c r="EH141" s="5"/>
      <c r="EI141" s="5"/>
      <c r="EJ141" s="5"/>
      <c r="EK141" s="5"/>
      <c r="EL141" s="5"/>
      <c r="EM141" s="5"/>
      <c r="EN141" s="5"/>
      <c r="EO141" s="5"/>
      <c r="EP141" s="5"/>
      <c r="EQ141" s="5"/>
      <c r="ER141" s="5"/>
      <c r="ES141" s="5"/>
      <c r="ET141" s="5"/>
      <c r="EU141" s="5"/>
      <c r="EV141" s="5"/>
      <c r="EW141" s="5"/>
      <c r="EX141" s="5"/>
      <c r="EY141" s="5"/>
      <c r="EZ141" s="5"/>
      <c r="FA141" s="5"/>
      <c r="FB141" s="5"/>
      <c r="FC141" s="5"/>
      <c r="FD141" s="5"/>
      <c r="FE141" s="5"/>
      <c r="FF141" s="5"/>
      <c r="FG141" s="5"/>
      <c r="FH141" s="5"/>
      <c r="FI141" s="5"/>
      <c r="FJ141" s="5"/>
      <c r="FK141" s="5"/>
      <c r="FL141" s="5"/>
      <c r="FM141" s="5"/>
      <c r="FN141" s="5"/>
      <c r="FO141" s="5"/>
      <c r="FP141" s="5"/>
      <c r="FQ141" s="5"/>
      <c r="FR141" s="5"/>
      <c r="FS141" s="5"/>
      <c r="FT141" s="5"/>
      <c r="FU141" s="5"/>
      <c r="FV141" s="5"/>
      <c r="FW141" s="5"/>
      <c r="FX141" s="5"/>
      <c r="FY141" s="5"/>
      <c r="FZ141" s="5"/>
      <c r="GA141" s="5"/>
      <c r="GB141" s="5"/>
      <c r="GC141" s="5"/>
      <c r="GD141" s="5"/>
      <c r="GE141" s="5"/>
      <c r="GF141" s="5"/>
      <c r="GG141" s="5"/>
      <c r="GH141" s="5"/>
      <c r="GI141" s="5"/>
      <c r="GJ141" s="5"/>
      <c r="GK141" s="5"/>
      <c r="GL141" s="5"/>
      <c r="GM141" s="5"/>
      <c r="GN141" s="5"/>
      <c r="GO141" s="5"/>
      <c r="GP141" s="5"/>
      <c r="GQ141" s="5"/>
      <c r="GR141" s="5"/>
      <c r="GS141" s="5"/>
      <c r="GT141" s="5"/>
      <c r="GU141" s="5"/>
      <c r="GV141" s="5"/>
      <c r="GW141" s="5"/>
      <c r="GX141" s="5"/>
      <c r="GY141" s="5"/>
      <c r="GZ141" s="5"/>
      <c r="HA141" s="5"/>
      <c r="HB141" s="5"/>
      <c r="HC141" s="5"/>
      <c r="HD141" s="5"/>
      <c r="HE141" s="5"/>
      <c r="HF141" s="5"/>
      <c r="HG141" s="5"/>
      <c r="HH141" s="5"/>
      <c r="HI141" s="5"/>
      <c r="HJ141" s="5"/>
      <c r="HK141" s="5"/>
      <c r="HL141" s="5"/>
      <c r="HM141" s="5"/>
      <c r="HN141" s="5"/>
      <c r="HO141" s="5"/>
      <c r="HP141" s="5"/>
      <c r="HQ141" s="5"/>
      <c r="HR141" s="5"/>
      <c r="HS141" s="5"/>
      <c r="HT141" s="5"/>
      <c r="HU141" s="5"/>
      <c r="HV141" s="5"/>
      <c r="HW141" s="5"/>
      <c r="HX141" s="5"/>
      <c r="HY141" s="5"/>
      <c r="HZ141" s="5"/>
      <c r="IA141" s="5"/>
      <c r="IB141" s="5"/>
      <c r="IC141" s="5"/>
      <c r="ID141" s="5"/>
      <c r="IE141" s="5"/>
      <c r="IF141" s="5"/>
      <c r="IG141" s="5"/>
      <c r="IH141" s="5"/>
      <c r="II141" s="5"/>
      <c r="IJ141" s="5"/>
      <c r="IK141" s="5"/>
      <c r="IL141" s="5"/>
      <c r="IM141" s="5"/>
      <c r="IN141" s="5"/>
      <c r="IO141" s="5"/>
      <c r="IP141" s="5"/>
      <c r="IQ141" s="5"/>
      <c r="IR141" s="5"/>
      <c r="IS141" s="5"/>
      <c r="IT141" s="5"/>
      <c r="IU141" s="5"/>
      <c r="IV141" s="5"/>
      <c r="IW141" s="5"/>
      <c r="IX141" s="5"/>
      <c r="IY141" s="5"/>
      <c r="IZ141" s="5"/>
      <c r="JA141" s="5"/>
      <c r="JB141" s="5"/>
      <c r="JC141" s="5"/>
      <c r="JD141" s="5"/>
      <c r="JE141" s="5"/>
      <c r="JF141" s="5"/>
      <c r="JG141" s="5"/>
      <c r="JH141" s="5"/>
      <c r="JI141" s="5"/>
      <c r="JJ141" s="5"/>
      <c r="JK141" s="5"/>
      <c r="JL141" s="5"/>
      <c r="JM141" s="5"/>
      <c r="JN141" s="5"/>
      <c r="JO141" s="5"/>
      <c r="JP141" s="5"/>
      <c r="JQ141" s="5"/>
      <c r="JR141" s="5"/>
      <c r="JS141" s="5"/>
      <c r="JT141" s="5"/>
      <c r="JU141" s="5"/>
      <c r="JV141" s="5"/>
      <c r="JW141" s="5"/>
      <c r="JX141" s="5"/>
      <c r="JY141" s="5"/>
      <c r="JZ141" s="5"/>
      <c r="KA141" s="5"/>
      <c r="KB141" s="5"/>
      <c r="KC141" s="5"/>
      <c r="KD141" s="5"/>
      <c r="KE141" s="5"/>
      <c r="KF141" s="5"/>
      <c r="KG141" s="5"/>
      <c r="KH141" s="5"/>
      <c r="KI141" s="5"/>
      <c r="KJ141" s="5"/>
      <c r="KK141" s="5"/>
      <c r="KL141" s="5"/>
      <c r="KM141" s="5"/>
      <c r="KN141" s="5"/>
      <c r="KO141" s="5"/>
      <c r="KP141" s="5"/>
      <c r="KQ141" s="5"/>
      <c r="KR141" s="5"/>
      <c r="KS141" s="5"/>
      <c r="KT141" s="5"/>
      <c r="KU141" s="5"/>
      <c r="KV141" s="5"/>
      <c r="KW141" s="5"/>
      <c r="KX141" s="5"/>
      <c r="KY141" s="5"/>
      <c r="KZ141" s="5"/>
      <c r="LA141" s="5"/>
      <c r="LB141" s="5"/>
      <c r="LC141" s="5"/>
      <c r="LD141" s="5"/>
      <c r="LE141" s="5"/>
      <c r="LF141" s="5"/>
      <c r="LG141" s="5"/>
      <c r="LH141" s="5"/>
      <c r="LI141" s="5"/>
      <c r="LJ141" s="5"/>
      <c r="LK141" s="5"/>
      <c r="LL141" s="5"/>
      <c r="LM141" s="5"/>
      <c r="LN141" s="5"/>
      <c r="LO141" s="5"/>
      <c r="LP141" s="5"/>
      <c r="LQ141" s="5"/>
      <c r="LR141" s="5"/>
      <c r="LS141" s="5"/>
      <c r="LT141" s="5"/>
      <c r="LU141" s="5"/>
      <c r="LV141" s="5"/>
      <c r="LW141" s="5"/>
      <c r="LX141" s="5"/>
      <c r="LY141" s="5"/>
      <c r="LZ141" s="5"/>
      <c r="MA141" s="5"/>
      <c r="MB141" s="5"/>
      <c r="MC141" s="5"/>
      <c r="MD141" s="5"/>
      <c r="ME141" s="5"/>
      <c r="MF141" s="5"/>
      <c r="MG141" s="5"/>
      <c r="MH141" s="5"/>
      <c r="MI141" s="5"/>
      <c r="MJ141" s="5"/>
      <c r="MK141" s="5"/>
      <c r="ML141" s="5"/>
      <c r="MM141" s="5"/>
      <c r="MN141" s="5"/>
      <c r="MO141" s="5"/>
      <c r="MP141" s="5"/>
      <c r="MQ141" s="5"/>
      <c r="MR141" s="5"/>
      <c r="MS141" s="5"/>
      <c r="MT141" s="5"/>
      <c r="MU141" s="5"/>
      <c r="MV141" s="5"/>
      <c r="MW141" s="5"/>
      <c r="MX141" s="5"/>
      <c r="MY141" s="5"/>
      <c r="MZ141" s="5"/>
      <c r="NA141" s="5"/>
      <c r="NB141" s="5"/>
      <c r="NC141" s="5"/>
      <c r="ND141" s="5"/>
      <c r="NE141" s="5"/>
      <c r="NF141" s="5"/>
      <c r="NG141" s="5"/>
      <c r="NH141" s="5"/>
      <c r="NI141" s="5"/>
      <c r="NJ141" s="5"/>
      <c r="NK141" s="5"/>
      <c r="NL141" s="5"/>
      <c r="NM141" s="5"/>
      <c r="NN141" s="5"/>
      <c r="NO141" s="5"/>
      <c r="NP141" s="5"/>
      <c r="NQ141" s="5"/>
      <c r="NR141" s="5"/>
      <c r="NS141" s="5"/>
      <c r="NT141" s="5"/>
      <c r="NU141" s="5"/>
      <c r="NV141" s="5"/>
      <c r="NW141" s="5"/>
      <c r="NX141" s="5"/>
      <c r="NY141" s="5"/>
      <c r="NZ141" s="5"/>
      <c r="OA141" s="5"/>
      <c r="OB141" s="5"/>
      <c r="OC141" s="5"/>
      <c r="OD141" s="5"/>
      <c r="OE141" s="5"/>
      <c r="OF141" s="5"/>
      <c r="OG141" s="5"/>
      <c r="OH141" s="5"/>
      <c r="OI141" s="5"/>
      <c r="OJ141" s="5"/>
      <c r="OK141" s="5"/>
      <c r="OL141" s="5"/>
      <c r="OM141" s="5"/>
      <c r="ON141" s="5"/>
      <c r="OO141" s="5"/>
      <c r="OP141" s="5"/>
      <c r="OQ141" s="5"/>
      <c r="OR141" s="5"/>
      <c r="OS141" s="5"/>
      <c r="OT141" s="5"/>
      <c r="OU141" s="5"/>
      <c r="OV141" s="5"/>
      <c r="OW141" s="5"/>
      <c r="OX141" s="5"/>
      <c r="OY141" s="5"/>
      <c r="OZ141" s="5"/>
      <c r="PA141" s="5"/>
      <c r="PB141" s="5"/>
      <c r="PC141" s="5"/>
      <c r="PD141" s="5"/>
      <c r="PE141" s="5"/>
      <c r="PF141" s="5"/>
      <c r="PG141" s="5"/>
      <c r="PH141" s="5"/>
      <c r="PI141" s="5"/>
      <c r="PJ141" s="5"/>
      <c r="PK141" s="5"/>
      <c r="PL141" s="5"/>
      <c r="PM141" s="5"/>
      <c r="PN141" s="5"/>
      <c r="PO141" s="5"/>
      <c r="PP141" s="5"/>
      <c r="PQ141" s="5"/>
      <c r="PR141" s="5"/>
      <c r="PS141" s="5"/>
      <c r="PT141" s="5"/>
      <c r="PU141" s="5"/>
      <c r="PV141" s="5"/>
      <c r="PW141" s="5"/>
      <c r="PX141" s="5"/>
      <c r="PY141" s="5"/>
      <c r="PZ141" s="5"/>
      <c r="QA141" s="5"/>
      <c r="QB141" s="5"/>
      <c r="QC141" s="5"/>
      <c r="QD141" s="5"/>
      <c r="QE141" s="5"/>
      <c r="QF141" s="5"/>
      <c r="QG141" s="5"/>
      <c r="QH141" s="5"/>
      <c r="QI141" s="5"/>
      <c r="QJ141" s="5"/>
      <c r="QK141" s="5"/>
      <c r="QL141" s="5"/>
      <c r="QM141" s="5"/>
      <c r="QN141" s="5"/>
      <c r="QO141" s="5"/>
      <c r="QP141" s="5"/>
      <c r="QQ141" s="5"/>
      <c r="QR141" s="5"/>
      <c r="QS141" s="5"/>
      <c r="QT141" s="5"/>
      <c r="QU141" s="5"/>
      <c r="QV141" s="5"/>
      <c r="QW141" s="5"/>
      <c r="QX141" s="5"/>
      <c r="QY141" s="5"/>
      <c r="QZ141" s="5"/>
      <c r="RA141" s="5"/>
      <c r="RB141" s="5"/>
      <c r="RC141" s="5"/>
      <c r="RD141" s="5"/>
      <c r="RE141" s="5"/>
      <c r="RF141" s="5"/>
      <c r="RG141" s="5"/>
      <c r="RH141" s="5"/>
      <c r="RI141" s="5"/>
      <c r="RJ141" s="5"/>
      <c r="RK141" s="5"/>
      <c r="RL141" s="5"/>
      <c r="RM141" s="5"/>
      <c r="RN141" s="5"/>
      <c r="RO141" s="5"/>
      <c r="RP141" s="5"/>
      <c r="RQ141" s="5"/>
      <c r="RR141" s="5"/>
      <c r="RS141" s="5"/>
      <c r="RT141" s="5"/>
      <c r="RU141" s="5"/>
      <c r="RV141" s="5"/>
      <c r="RW141" s="5"/>
      <c r="RX141" s="5"/>
      <c r="RY141" s="5"/>
      <c r="RZ141" s="5"/>
      <c r="SA141" s="5"/>
      <c r="SB141" s="5"/>
      <c r="SC141" s="5"/>
      <c r="SD141" s="5"/>
      <c r="SE141" s="5"/>
      <c r="SF141" s="5"/>
      <c r="SG141" s="5"/>
      <c r="SH141" s="5"/>
      <c r="SI141" s="5"/>
      <c r="SJ141" s="5"/>
      <c r="SK141" s="5"/>
      <c r="SL141" s="5"/>
      <c r="SM141" s="5"/>
      <c r="SN141" s="5"/>
      <c r="SO141" s="5"/>
      <c r="SP141" s="5"/>
      <c r="SQ141" s="5"/>
      <c r="SR141" s="5"/>
      <c r="SS141" s="5"/>
      <c r="ST141" s="5"/>
      <c r="SU141" s="5"/>
      <c r="SV141" s="5"/>
      <c r="SW141" s="5"/>
      <c r="SX141" s="5"/>
      <c r="SY141" s="5"/>
      <c r="SZ141" s="5"/>
      <c r="TA141" s="5"/>
      <c r="TB141" s="5"/>
      <c r="TC141" s="5"/>
      <c r="TD141" s="5"/>
      <c r="TE141" s="5"/>
      <c r="TF141" s="5"/>
      <c r="TG141" s="5"/>
      <c r="TH141" s="5"/>
      <c r="TI141" s="5"/>
      <c r="TJ141" s="5"/>
      <c r="TK141" s="5"/>
      <c r="TL141" s="5"/>
      <c r="TM141" s="5"/>
      <c r="TN141" s="5"/>
      <c r="TO141" s="5"/>
      <c r="TP141" s="5"/>
      <c r="TQ141" s="5"/>
      <c r="TR141" s="5"/>
      <c r="TS141" s="5"/>
      <c r="TT141" s="5"/>
      <c r="TU141" s="5"/>
      <c r="TV141" s="5"/>
      <c r="TW141" s="5"/>
      <c r="TX141" s="5"/>
      <c r="TY141" s="5"/>
      <c r="TZ141" s="5"/>
      <c r="UA141" s="5"/>
      <c r="UB141" s="5"/>
      <c r="UC141" s="5"/>
      <c r="UD141" s="5"/>
      <c r="UE141" s="5"/>
      <c r="UF141" s="5"/>
      <c r="UG141" s="5"/>
      <c r="UH141" s="5"/>
      <c r="UI141" s="5"/>
      <c r="UJ141" s="5"/>
      <c r="UK141" s="5"/>
      <c r="UL141" s="5"/>
      <c r="UM141" s="5"/>
      <c r="UN141" s="5"/>
      <c r="UO141" s="5"/>
      <c r="UP141" s="5"/>
      <c r="UQ141" s="5"/>
      <c r="UR141" s="5"/>
      <c r="US141" s="5"/>
      <c r="UT141" s="5"/>
      <c r="UU141" s="5"/>
      <c r="UV141" s="5"/>
      <c r="UW141" s="5"/>
      <c r="UX141" s="5"/>
      <c r="UY141" s="5"/>
      <c r="UZ141" s="5"/>
      <c r="VA141" s="5"/>
      <c r="VB141" s="5"/>
      <c r="VC141" s="5"/>
      <c r="VD141" s="5"/>
      <c r="VE141" s="5"/>
      <c r="VF141" s="5"/>
      <c r="VG141" s="5"/>
      <c r="VH141" s="5"/>
      <c r="VI141" s="5"/>
      <c r="VJ141" s="5"/>
      <c r="VK141" s="5"/>
      <c r="VL141" s="5"/>
      <c r="VM141" s="5"/>
      <c r="VN141" s="5"/>
      <c r="VO141" s="5"/>
      <c r="VP141" s="5"/>
      <c r="VQ141" s="5"/>
      <c r="VR141" s="5"/>
      <c r="VS141" s="5"/>
      <c r="VT141" s="5"/>
      <c r="VU141" s="5"/>
      <c r="VV141" s="5"/>
      <c r="VW141" s="5"/>
      <c r="VX141" s="5"/>
      <c r="VY141" s="5"/>
      <c r="VZ141" s="5"/>
      <c r="WA141" s="5"/>
      <c r="WB141" s="5"/>
      <c r="WC141" s="5"/>
      <c r="WD141" s="5"/>
      <c r="WE141" s="5"/>
      <c r="WF141" s="5"/>
      <c r="WG141" s="5"/>
      <c r="WH141" s="5"/>
      <c r="WI141" s="5"/>
      <c r="WJ141" s="5"/>
      <c r="WK141" s="5"/>
      <c r="WL141" s="5"/>
      <c r="WM141" s="5"/>
      <c r="WN141" s="5"/>
      <c r="WO141" s="5"/>
      <c r="WP141" s="5"/>
      <c r="WQ141" s="5"/>
      <c r="WR141" s="5"/>
      <c r="WS141" s="5"/>
      <c r="WT141" s="5"/>
      <c r="WU141" s="5"/>
      <c r="WV141" s="5"/>
      <c r="WW141" s="5"/>
      <c r="WX141" s="5"/>
      <c r="WY141" s="5"/>
      <c r="WZ141" s="5"/>
      <c r="XA141" s="5"/>
      <c r="XB141" s="5"/>
      <c r="XC141" s="5"/>
      <c r="XD141" s="5"/>
      <c r="XE141" s="5"/>
      <c r="XF141" s="5"/>
      <c r="XG141" s="5"/>
      <c r="XH141" s="5"/>
      <c r="XI141" s="5"/>
      <c r="XJ141" s="5"/>
      <c r="XK141" s="5"/>
      <c r="XL141" s="5"/>
      <c r="XM141" s="5"/>
      <c r="XN141" s="5"/>
      <c r="XO141" s="5"/>
      <c r="XP141" s="5"/>
      <c r="XQ141" s="5"/>
      <c r="XR141" s="5"/>
      <c r="XS141" s="5"/>
      <c r="XT141" s="5"/>
      <c r="XU141" s="5"/>
      <c r="XV141" s="5"/>
      <c r="XW141" s="5"/>
      <c r="XX141" s="5"/>
      <c r="XY141" s="5"/>
      <c r="XZ141" s="5"/>
      <c r="YA141" s="5"/>
      <c r="YB141" s="5"/>
      <c r="YC141" s="5"/>
      <c r="YD141" s="5"/>
      <c r="YE141" s="5"/>
      <c r="YF141" s="5"/>
      <c r="YG141" s="5"/>
      <c r="YH141" s="5"/>
      <c r="YI141" s="5"/>
      <c r="YJ141" s="5"/>
      <c r="YK141" s="5"/>
      <c r="YL141" s="5"/>
      <c r="YM141" s="5"/>
      <c r="YN141" s="5"/>
      <c r="YO141" s="5"/>
      <c r="YP141" s="5"/>
      <c r="YQ141" s="5"/>
      <c r="YR141" s="5"/>
      <c r="YS141" s="5"/>
      <c r="YT141" s="5"/>
      <c r="YU141" s="5"/>
      <c r="YV141" s="5"/>
      <c r="YW141" s="5"/>
      <c r="YX141" s="5"/>
      <c r="YY141" s="5"/>
      <c r="YZ141" s="5"/>
    </row>
    <row r="142" spans="1:676">
      <c r="A142" s="7">
        <v>132</v>
      </c>
      <c r="B142" s="7" t="s">
        <v>339</v>
      </c>
      <c r="C142" s="10" t="s">
        <v>340</v>
      </c>
      <c r="D142" s="7" t="s">
        <v>54</v>
      </c>
      <c r="E142" s="7" t="s">
        <v>71</v>
      </c>
      <c r="F142" s="7" t="s">
        <v>162</v>
      </c>
      <c r="G142" s="7"/>
      <c r="H142" s="7" t="s">
        <v>165</v>
      </c>
      <c r="I142" s="11">
        <v>2</v>
      </c>
      <c r="J142" s="11">
        <v>3</v>
      </c>
      <c r="K142" s="11">
        <v>0.95</v>
      </c>
      <c r="L142" s="11">
        <v>0.27</v>
      </c>
      <c r="M142" s="11">
        <v>0</v>
      </c>
      <c r="N142" s="11">
        <v>0</v>
      </c>
      <c r="O142" s="11">
        <v>0.8300000000000001</v>
      </c>
      <c r="P142" s="11">
        <v>2.49</v>
      </c>
      <c r="Q142" s="11">
        <v>4.54</v>
      </c>
      <c r="R142" s="11">
        <v>0</v>
      </c>
      <c r="S142" s="11">
        <v>4.54</v>
      </c>
      <c r="T142" s="11">
        <v>2</v>
      </c>
      <c r="U142" s="11">
        <v>2.54</v>
      </c>
      <c r="V142" s="11">
        <v>0</v>
      </c>
      <c r="W142" s="13">
        <v>2</v>
      </c>
      <c r="X142" s="13">
        <v>3</v>
      </c>
      <c r="Y142" s="13" t="str">
        <f>MIN(W142,S142)</f>
        <v>0</v>
      </c>
      <c r="Z142" s="13" t="str">
        <f>MIN(X142,(S142-Y142))</f>
        <v>0</v>
      </c>
      <c r="AA142" s="13" t="str">
        <f>S142-SUM(Y142,Z142)</f>
        <v>0</v>
      </c>
      <c r="AB142" s="15"/>
      <c r="AC142" s="15"/>
      <c r="AD142" s="1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5"/>
      <c r="BS142" s="5"/>
      <c r="BT142" s="5"/>
      <c r="BU142" s="5"/>
      <c r="BV142" s="5"/>
      <c r="BW142" s="5"/>
      <c r="BX142" s="5"/>
      <c r="BY142" s="5"/>
      <c r="BZ142" s="5"/>
      <c r="CA142" s="5"/>
      <c r="CB142" s="5"/>
      <c r="CC142" s="5"/>
      <c r="CD142" s="5"/>
      <c r="CE142" s="5"/>
      <c r="CF142" s="5"/>
      <c r="CG142" s="5"/>
      <c r="CH142" s="5"/>
      <c r="CI142" s="5"/>
      <c r="CJ142" s="5"/>
      <c r="CK142" s="5"/>
      <c r="CL142" s="5"/>
      <c r="CM142" s="5"/>
      <c r="CN142" s="5"/>
      <c r="CO142" s="5"/>
      <c r="CP142" s="5"/>
      <c r="CQ142" s="5"/>
      <c r="CR142" s="5"/>
      <c r="CS142" s="5"/>
      <c r="CT142" s="5"/>
      <c r="CU142" s="5"/>
      <c r="CV142" s="5"/>
      <c r="CW142" s="5"/>
      <c r="CX142" s="5"/>
      <c r="CY142" s="5"/>
      <c r="CZ142" s="5"/>
      <c r="DA142" s="5"/>
      <c r="DB142" s="5"/>
      <c r="DC142" s="5"/>
      <c r="DD142" s="5"/>
      <c r="DE142" s="5"/>
      <c r="DF142" s="5"/>
      <c r="DG142" s="5"/>
      <c r="DH142" s="5"/>
      <c r="DI142" s="5"/>
      <c r="DJ142" s="5"/>
      <c r="DK142" s="5"/>
      <c r="DL142" s="5"/>
      <c r="DM142" s="5"/>
      <c r="DN142" s="5"/>
      <c r="DO142" s="5"/>
      <c r="DP142" s="5"/>
      <c r="DQ142" s="5"/>
      <c r="DR142" s="5"/>
      <c r="DS142" s="5"/>
      <c r="DT142" s="5"/>
      <c r="DU142" s="5"/>
      <c r="DV142" s="5"/>
      <c r="DW142" s="5"/>
      <c r="DX142" s="5"/>
      <c r="DY142" s="5"/>
      <c r="DZ142" s="5"/>
      <c r="EA142" s="5"/>
      <c r="EB142" s="5"/>
      <c r="EC142" s="5"/>
      <c r="ED142" s="5"/>
      <c r="EE142" s="5"/>
      <c r="EF142" s="5"/>
      <c r="EG142" s="5"/>
      <c r="EH142" s="5"/>
      <c r="EI142" s="5"/>
      <c r="EJ142" s="5"/>
      <c r="EK142" s="5"/>
      <c r="EL142" s="5"/>
      <c r="EM142" s="5"/>
      <c r="EN142" s="5"/>
      <c r="EO142" s="5"/>
      <c r="EP142" s="5"/>
      <c r="EQ142" s="5"/>
      <c r="ER142" s="5"/>
      <c r="ES142" s="5"/>
      <c r="ET142" s="5"/>
      <c r="EU142" s="5"/>
      <c r="EV142" s="5"/>
      <c r="EW142" s="5"/>
      <c r="EX142" s="5"/>
      <c r="EY142" s="5"/>
      <c r="EZ142" s="5"/>
      <c r="FA142" s="5"/>
      <c r="FB142" s="5"/>
      <c r="FC142" s="5"/>
      <c r="FD142" s="5"/>
      <c r="FE142" s="5"/>
      <c r="FF142" s="5"/>
      <c r="FG142" s="5"/>
      <c r="FH142" s="5"/>
      <c r="FI142" s="5"/>
      <c r="FJ142" s="5"/>
      <c r="FK142" s="5"/>
      <c r="FL142" s="5"/>
      <c r="FM142" s="5"/>
      <c r="FN142" s="5"/>
      <c r="FO142" s="5"/>
      <c r="FP142" s="5"/>
      <c r="FQ142" s="5"/>
      <c r="FR142" s="5"/>
      <c r="FS142" s="5"/>
      <c r="FT142" s="5"/>
      <c r="FU142" s="5"/>
      <c r="FV142" s="5"/>
      <c r="FW142" s="5"/>
      <c r="FX142" s="5"/>
      <c r="FY142" s="5"/>
      <c r="FZ142" s="5"/>
      <c r="GA142" s="5"/>
      <c r="GB142" s="5"/>
      <c r="GC142" s="5"/>
      <c r="GD142" s="5"/>
      <c r="GE142" s="5"/>
      <c r="GF142" s="5"/>
      <c r="GG142" s="5"/>
      <c r="GH142" s="5"/>
      <c r="GI142" s="5"/>
      <c r="GJ142" s="5"/>
      <c r="GK142" s="5"/>
      <c r="GL142" s="5"/>
      <c r="GM142" s="5"/>
      <c r="GN142" s="5"/>
      <c r="GO142" s="5"/>
      <c r="GP142" s="5"/>
      <c r="GQ142" s="5"/>
      <c r="GR142" s="5"/>
      <c r="GS142" s="5"/>
      <c r="GT142" s="5"/>
      <c r="GU142" s="5"/>
      <c r="GV142" s="5"/>
      <c r="GW142" s="5"/>
      <c r="GX142" s="5"/>
      <c r="GY142" s="5"/>
      <c r="GZ142" s="5"/>
      <c r="HA142" s="5"/>
      <c r="HB142" s="5"/>
      <c r="HC142" s="5"/>
      <c r="HD142" s="5"/>
      <c r="HE142" s="5"/>
      <c r="HF142" s="5"/>
      <c r="HG142" s="5"/>
      <c r="HH142" s="5"/>
      <c r="HI142" s="5"/>
      <c r="HJ142" s="5"/>
      <c r="HK142" s="5"/>
      <c r="HL142" s="5"/>
      <c r="HM142" s="5"/>
      <c r="HN142" s="5"/>
      <c r="HO142" s="5"/>
      <c r="HP142" s="5"/>
      <c r="HQ142" s="5"/>
      <c r="HR142" s="5"/>
      <c r="HS142" s="5"/>
      <c r="HT142" s="5"/>
      <c r="HU142" s="5"/>
      <c r="HV142" s="5"/>
      <c r="HW142" s="5"/>
      <c r="HX142" s="5"/>
      <c r="HY142" s="5"/>
      <c r="HZ142" s="5"/>
      <c r="IA142" s="5"/>
      <c r="IB142" s="5"/>
      <c r="IC142" s="5"/>
      <c r="ID142" s="5"/>
      <c r="IE142" s="5"/>
      <c r="IF142" s="5"/>
      <c r="IG142" s="5"/>
      <c r="IH142" s="5"/>
      <c r="II142" s="5"/>
      <c r="IJ142" s="5"/>
      <c r="IK142" s="5"/>
      <c r="IL142" s="5"/>
      <c r="IM142" s="5"/>
      <c r="IN142" s="5"/>
      <c r="IO142" s="5"/>
      <c r="IP142" s="5"/>
      <c r="IQ142" s="5"/>
      <c r="IR142" s="5"/>
      <c r="IS142" s="5"/>
      <c r="IT142" s="5"/>
      <c r="IU142" s="5"/>
      <c r="IV142" s="5"/>
      <c r="IW142" s="5"/>
      <c r="IX142" s="5"/>
      <c r="IY142" s="5"/>
      <c r="IZ142" s="5"/>
      <c r="JA142" s="5"/>
      <c r="JB142" s="5"/>
      <c r="JC142" s="5"/>
      <c r="JD142" s="5"/>
      <c r="JE142" s="5"/>
      <c r="JF142" s="5"/>
      <c r="JG142" s="5"/>
      <c r="JH142" s="5"/>
      <c r="JI142" s="5"/>
      <c r="JJ142" s="5"/>
      <c r="JK142" s="5"/>
      <c r="JL142" s="5"/>
      <c r="JM142" s="5"/>
      <c r="JN142" s="5"/>
      <c r="JO142" s="5"/>
      <c r="JP142" s="5"/>
      <c r="JQ142" s="5"/>
      <c r="JR142" s="5"/>
      <c r="JS142" s="5"/>
      <c r="JT142" s="5"/>
      <c r="JU142" s="5"/>
      <c r="JV142" s="5"/>
      <c r="JW142" s="5"/>
      <c r="JX142" s="5"/>
      <c r="JY142" s="5"/>
      <c r="JZ142" s="5"/>
      <c r="KA142" s="5"/>
      <c r="KB142" s="5"/>
      <c r="KC142" s="5"/>
      <c r="KD142" s="5"/>
      <c r="KE142" s="5"/>
      <c r="KF142" s="5"/>
      <c r="KG142" s="5"/>
      <c r="KH142" s="5"/>
      <c r="KI142" s="5"/>
      <c r="KJ142" s="5"/>
      <c r="KK142" s="5"/>
      <c r="KL142" s="5"/>
      <c r="KM142" s="5"/>
      <c r="KN142" s="5"/>
      <c r="KO142" s="5"/>
      <c r="KP142" s="5"/>
      <c r="KQ142" s="5"/>
      <c r="KR142" s="5"/>
      <c r="KS142" s="5"/>
      <c r="KT142" s="5"/>
      <c r="KU142" s="5"/>
      <c r="KV142" s="5"/>
      <c r="KW142" s="5"/>
      <c r="KX142" s="5"/>
      <c r="KY142" s="5"/>
      <c r="KZ142" s="5"/>
      <c r="LA142" s="5"/>
      <c r="LB142" s="5"/>
      <c r="LC142" s="5"/>
      <c r="LD142" s="5"/>
      <c r="LE142" s="5"/>
      <c r="LF142" s="5"/>
      <c r="LG142" s="5"/>
      <c r="LH142" s="5"/>
      <c r="LI142" s="5"/>
      <c r="LJ142" s="5"/>
      <c r="LK142" s="5"/>
      <c r="LL142" s="5"/>
      <c r="LM142" s="5"/>
      <c r="LN142" s="5"/>
      <c r="LO142" s="5"/>
      <c r="LP142" s="5"/>
      <c r="LQ142" s="5"/>
      <c r="LR142" s="5"/>
      <c r="LS142" s="5"/>
      <c r="LT142" s="5"/>
      <c r="LU142" s="5"/>
      <c r="LV142" s="5"/>
      <c r="LW142" s="5"/>
      <c r="LX142" s="5"/>
      <c r="LY142" s="5"/>
      <c r="LZ142" s="5"/>
      <c r="MA142" s="5"/>
      <c r="MB142" s="5"/>
      <c r="MC142" s="5"/>
      <c r="MD142" s="5"/>
      <c r="ME142" s="5"/>
      <c r="MF142" s="5"/>
      <c r="MG142" s="5"/>
      <c r="MH142" s="5"/>
      <c r="MI142" s="5"/>
      <c r="MJ142" s="5"/>
      <c r="MK142" s="5"/>
      <c r="ML142" s="5"/>
      <c r="MM142" s="5"/>
      <c r="MN142" s="5"/>
      <c r="MO142" s="5"/>
      <c r="MP142" s="5"/>
      <c r="MQ142" s="5"/>
      <c r="MR142" s="5"/>
      <c r="MS142" s="5"/>
      <c r="MT142" s="5"/>
      <c r="MU142" s="5"/>
      <c r="MV142" s="5"/>
      <c r="MW142" s="5"/>
      <c r="MX142" s="5"/>
      <c r="MY142" s="5"/>
      <c r="MZ142" s="5"/>
      <c r="NA142" s="5"/>
      <c r="NB142" s="5"/>
      <c r="NC142" s="5"/>
      <c r="ND142" s="5"/>
      <c r="NE142" s="5"/>
      <c r="NF142" s="5"/>
      <c r="NG142" s="5"/>
      <c r="NH142" s="5"/>
      <c r="NI142" s="5"/>
      <c r="NJ142" s="5"/>
      <c r="NK142" s="5"/>
      <c r="NL142" s="5"/>
      <c r="NM142" s="5"/>
      <c r="NN142" s="5"/>
      <c r="NO142" s="5"/>
      <c r="NP142" s="5"/>
      <c r="NQ142" s="5"/>
      <c r="NR142" s="5"/>
      <c r="NS142" s="5"/>
      <c r="NT142" s="5"/>
      <c r="NU142" s="5"/>
      <c r="NV142" s="5"/>
      <c r="NW142" s="5"/>
      <c r="NX142" s="5"/>
      <c r="NY142" s="5"/>
      <c r="NZ142" s="5"/>
      <c r="OA142" s="5"/>
      <c r="OB142" s="5"/>
      <c r="OC142" s="5"/>
      <c r="OD142" s="5"/>
      <c r="OE142" s="5"/>
      <c r="OF142" s="5"/>
      <c r="OG142" s="5"/>
      <c r="OH142" s="5"/>
      <c r="OI142" s="5"/>
      <c r="OJ142" s="5"/>
      <c r="OK142" s="5"/>
      <c r="OL142" s="5"/>
      <c r="OM142" s="5"/>
      <c r="ON142" s="5"/>
      <c r="OO142" s="5"/>
      <c r="OP142" s="5"/>
      <c r="OQ142" s="5"/>
      <c r="OR142" s="5"/>
      <c r="OS142" s="5"/>
      <c r="OT142" s="5"/>
      <c r="OU142" s="5"/>
      <c r="OV142" s="5"/>
      <c r="OW142" s="5"/>
      <c r="OX142" s="5"/>
      <c r="OY142" s="5"/>
      <c r="OZ142" s="5"/>
      <c r="PA142" s="5"/>
      <c r="PB142" s="5"/>
      <c r="PC142" s="5"/>
      <c r="PD142" s="5"/>
      <c r="PE142" s="5"/>
      <c r="PF142" s="5"/>
      <c r="PG142" s="5"/>
      <c r="PH142" s="5"/>
      <c r="PI142" s="5"/>
      <c r="PJ142" s="5"/>
      <c r="PK142" s="5"/>
      <c r="PL142" s="5"/>
      <c r="PM142" s="5"/>
      <c r="PN142" s="5"/>
      <c r="PO142" s="5"/>
      <c r="PP142" s="5"/>
      <c r="PQ142" s="5"/>
      <c r="PR142" s="5"/>
      <c r="PS142" s="5"/>
      <c r="PT142" s="5"/>
      <c r="PU142" s="5"/>
      <c r="PV142" s="5"/>
      <c r="PW142" s="5"/>
      <c r="PX142" s="5"/>
      <c r="PY142" s="5"/>
      <c r="PZ142" s="5"/>
      <c r="QA142" s="5"/>
      <c r="QB142" s="5"/>
      <c r="QC142" s="5"/>
      <c r="QD142" s="5"/>
      <c r="QE142" s="5"/>
      <c r="QF142" s="5"/>
      <c r="QG142" s="5"/>
      <c r="QH142" s="5"/>
      <c r="QI142" s="5"/>
      <c r="QJ142" s="5"/>
      <c r="QK142" s="5"/>
      <c r="QL142" s="5"/>
      <c r="QM142" s="5"/>
      <c r="QN142" s="5"/>
      <c r="QO142" s="5"/>
      <c r="QP142" s="5"/>
      <c r="QQ142" s="5"/>
      <c r="QR142" s="5"/>
      <c r="QS142" s="5"/>
      <c r="QT142" s="5"/>
      <c r="QU142" s="5"/>
      <c r="QV142" s="5"/>
      <c r="QW142" s="5"/>
      <c r="QX142" s="5"/>
      <c r="QY142" s="5"/>
      <c r="QZ142" s="5"/>
      <c r="RA142" s="5"/>
      <c r="RB142" s="5"/>
      <c r="RC142" s="5"/>
      <c r="RD142" s="5"/>
      <c r="RE142" s="5"/>
      <c r="RF142" s="5"/>
      <c r="RG142" s="5"/>
      <c r="RH142" s="5"/>
      <c r="RI142" s="5"/>
      <c r="RJ142" s="5"/>
      <c r="RK142" s="5"/>
      <c r="RL142" s="5"/>
      <c r="RM142" s="5"/>
      <c r="RN142" s="5"/>
      <c r="RO142" s="5"/>
      <c r="RP142" s="5"/>
      <c r="RQ142" s="5"/>
      <c r="RR142" s="5"/>
      <c r="RS142" s="5"/>
      <c r="RT142" s="5"/>
      <c r="RU142" s="5"/>
      <c r="RV142" s="5"/>
      <c r="RW142" s="5"/>
      <c r="RX142" s="5"/>
      <c r="RY142" s="5"/>
      <c r="RZ142" s="5"/>
      <c r="SA142" s="5"/>
      <c r="SB142" s="5"/>
      <c r="SC142" s="5"/>
      <c r="SD142" s="5"/>
      <c r="SE142" s="5"/>
      <c r="SF142" s="5"/>
      <c r="SG142" s="5"/>
      <c r="SH142" s="5"/>
      <c r="SI142" s="5"/>
      <c r="SJ142" s="5"/>
      <c r="SK142" s="5"/>
      <c r="SL142" s="5"/>
      <c r="SM142" s="5"/>
      <c r="SN142" s="5"/>
      <c r="SO142" s="5"/>
      <c r="SP142" s="5"/>
      <c r="SQ142" s="5"/>
      <c r="SR142" s="5"/>
      <c r="SS142" s="5"/>
      <c r="ST142" s="5"/>
      <c r="SU142" s="5"/>
      <c r="SV142" s="5"/>
      <c r="SW142" s="5"/>
      <c r="SX142" s="5"/>
      <c r="SY142" s="5"/>
      <c r="SZ142" s="5"/>
      <c r="TA142" s="5"/>
      <c r="TB142" s="5"/>
      <c r="TC142" s="5"/>
      <c r="TD142" s="5"/>
      <c r="TE142" s="5"/>
      <c r="TF142" s="5"/>
      <c r="TG142" s="5"/>
      <c r="TH142" s="5"/>
      <c r="TI142" s="5"/>
      <c r="TJ142" s="5"/>
      <c r="TK142" s="5"/>
      <c r="TL142" s="5"/>
      <c r="TM142" s="5"/>
      <c r="TN142" s="5"/>
      <c r="TO142" s="5"/>
      <c r="TP142" s="5"/>
      <c r="TQ142" s="5"/>
      <c r="TR142" s="5"/>
      <c r="TS142" s="5"/>
      <c r="TT142" s="5"/>
      <c r="TU142" s="5"/>
      <c r="TV142" s="5"/>
      <c r="TW142" s="5"/>
      <c r="TX142" s="5"/>
      <c r="TY142" s="5"/>
      <c r="TZ142" s="5"/>
      <c r="UA142" s="5"/>
      <c r="UB142" s="5"/>
      <c r="UC142" s="5"/>
      <c r="UD142" s="5"/>
      <c r="UE142" s="5"/>
      <c r="UF142" s="5"/>
      <c r="UG142" s="5"/>
      <c r="UH142" s="5"/>
      <c r="UI142" s="5"/>
      <c r="UJ142" s="5"/>
      <c r="UK142" s="5"/>
      <c r="UL142" s="5"/>
      <c r="UM142" s="5"/>
      <c r="UN142" s="5"/>
      <c r="UO142" s="5"/>
      <c r="UP142" s="5"/>
      <c r="UQ142" s="5"/>
      <c r="UR142" s="5"/>
      <c r="US142" s="5"/>
      <c r="UT142" s="5"/>
      <c r="UU142" s="5"/>
      <c r="UV142" s="5"/>
      <c r="UW142" s="5"/>
      <c r="UX142" s="5"/>
      <c r="UY142" s="5"/>
      <c r="UZ142" s="5"/>
      <c r="VA142" s="5"/>
      <c r="VB142" s="5"/>
      <c r="VC142" s="5"/>
      <c r="VD142" s="5"/>
      <c r="VE142" s="5"/>
      <c r="VF142" s="5"/>
      <c r="VG142" s="5"/>
      <c r="VH142" s="5"/>
      <c r="VI142" s="5"/>
      <c r="VJ142" s="5"/>
      <c r="VK142" s="5"/>
      <c r="VL142" s="5"/>
      <c r="VM142" s="5"/>
      <c r="VN142" s="5"/>
      <c r="VO142" s="5"/>
      <c r="VP142" s="5"/>
      <c r="VQ142" s="5"/>
      <c r="VR142" s="5"/>
      <c r="VS142" s="5"/>
      <c r="VT142" s="5"/>
      <c r="VU142" s="5"/>
      <c r="VV142" s="5"/>
      <c r="VW142" s="5"/>
      <c r="VX142" s="5"/>
      <c r="VY142" s="5"/>
      <c r="VZ142" s="5"/>
      <c r="WA142" s="5"/>
      <c r="WB142" s="5"/>
      <c r="WC142" s="5"/>
      <c r="WD142" s="5"/>
      <c r="WE142" s="5"/>
      <c r="WF142" s="5"/>
      <c r="WG142" s="5"/>
      <c r="WH142" s="5"/>
      <c r="WI142" s="5"/>
      <c r="WJ142" s="5"/>
      <c r="WK142" s="5"/>
      <c r="WL142" s="5"/>
      <c r="WM142" s="5"/>
      <c r="WN142" s="5"/>
      <c r="WO142" s="5"/>
      <c r="WP142" s="5"/>
      <c r="WQ142" s="5"/>
      <c r="WR142" s="5"/>
      <c r="WS142" s="5"/>
      <c r="WT142" s="5"/>
      <c r="WU142" s="5"/>
      <c r="WV142" s="5"/>
      <c r="WW142" s="5"/>
      <c r="WX142" s="5"/>
      <c r="WY142" s="5"/>
      <c r="WZ142" s="5"/>
      <c r="XA142" s="5"/>
      <c r="XB142" s="5"/>
      <c r="XC142" s="5"/>
      <c r="XD142" s="5"/>
      <c r="XE142" s="5"/>
      <c r="XF142" s="5"/>
      <c r="XG142" s="5"/>
      <c r="XH142" s="5"/>
      <c r="XI142" s="5"/>
      <c r="XJ142" s="5"/>
      <c r="XK142" s="5"/>
      <c r="XL142" s="5"/>
      <c r="XM142" s="5"/>
      <c r="XN142" s="5"/>
      <c r="XO142" s="5"/>
      <c r="XP142" s="5"/>
      <c r="XQ142" s="5"/>
      <c r="XR142" s="5"/>
      <c r="XS142" s="5"/>
      <c r="XT142" s="5"/>
      <c r="XU142" s="5"/>
      <c r="XV142" s="5"/>
      <c r="XW142" s="5"/>
      <c r="XX142" s="5"/>
      <c r="XY142" s="5"/>
      <c r="XZ142" s="5"/>
      <c r="YA142" s="5"/>
      <c r="YB142" s="5"/>
      <c r="YC142" s="5"/>
      <c r="YD142" s="5"/>
      <c r="YE142" s="5"/>
      <c r="YF142" s="5"/>
      <c r="YG142" s="5"/>
      <c r="YH142" s="5"/>
      <c r="YI142" s="5"/>
      <c r="YJ142" s="5"/>
      <c r="YK142" s="5"/>
      <c r="YL142" s="5"/>
      <c r="YM142" s="5"/>
      <c r="YN142" s="5"/>
      <c r="YO142" s="5"/>
      <c r="YP142" s="5"/>
      <c r="YQ142" s="5"/>
      <c r="YR142" s="5"/>
      <c r="YS142" s="5"/>
      <c r="YT142" s="5"/>
      <c r="YU142" s="5"/>
      <c r="YV142" s="5"/>
      <c r="YW142" s="5"/>
      <c r="YX142" s="5"/>
      <c r="YY142" s="5"/>
      <c r="YZ142" s="5"/>
    </row>
    <row r="143" spans="1:676">
      <c r="A143" s="7">
        <v>133</v>
      </c>
      <c r="B143" s="7" t="s">
        <v>341</v>
      </c>
      <c r="C143" s="10" t="s">
        <v>342</v>
      </c>
      <c r="D143" s="7" t="s">
        <v>105</v>
      </c>
      <c r="E143" s="7" t="s">
        <v>343</v>
      </c>
      <c r="F143" s="7" t="s">
        <v>344</v>
      </c>
      <c r="G143" s="7"/>
      <c r="H143" s="7" t="s">
        <v>43</v>
      </c>
      <c r="I143" s="11">
        <v>2</v>
      </c>
      <c r="J143" s="11">
        <v>3</v>
      </c>
      <c r="K143" s="11">
        <v>0</v>
      </c>
      <c r="L143" s="11">
        <v>1.94</v>
      </c>
      <c r="M143" s="11">
        <v>0</v>
      </c>
      <c r="N143" s="11">
        <v>0</v>
      </c>
      <c r="O143" s="11">
        <v>0.18</v>
      </c>
      <c r="P143" s="11">
        <v>0.83</v>
      </c>
      <c r="Q143" s="11">
        <v>2.95</v>
      </c>
      <c r="R143" s="11">
        <v>0</v>
      </c>
      <c r="S143" s="11">
        <v>2.95</v>
      </c>
      <c r="T143" s="11">
        <v>2</v>
      </c>
      <c r="U143" s="11">
        <v>0.9499999999999997</v>
      </c>
      <c r="V143" s="11">
        <v>0</v>
      </c>
      <c r="W143" s="13">
        <v>2</v>
      </c>
      <c r="X143" s="13">
        <v>3</v>
      </c>
      <c r="Y143" s="13" t="str">
        <f>MIN(W143,S143)</f>
        <v>0</v>
      </c>
      <c r="Z143" s="13" t="str">
        <f>MIN(X143,(S143-Y143))</f>
        <v>0</v>
      </c>
      <c r="AA143" s="13" t="str">
        <f>S143-SUM(Y143,Z143)</f>
        <v>0</v>
      </c>
      <c r="AB143" s="15"/>
      <c r="AC143" s="15"/>
      <c r="AD143" s="1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  <c r="BS143" s="5"/>
      <c r="BT143" s="5"/>
      <c r="BU143" s="5"/>
      <c r="BV143" s="5"/>
      <c r="BW143" s="5"/>
      <c r="BX143" s="5"/>
      <c r="BY143" s="5"/>
      <c r="BZ143" s="5"/>
      <c r="CA143" s="5"/>
      <c r="CB143" s="5"/>
      <c r="CC143" s="5"/>
      <c r="CD143" s="5"/>
      <c r="CE143" s="5"/>
      <c r="CF143" s="5"/>
      <c r="CG143" s="5"/>
      <c r="CH143" s="5"/>
      <c r="CI143" s="5"/>
      <c r="CJ143" s="5"/>
      <c r="CK143" s="5"/>
      <c r="CL143" s="5"/>
      <c r="CM143" s="5"/>
      <c r="CN143" s="5"/>
      <c r="CO143" s="5"/>
      <c r="CP143" s="5"/>
      <c r="CQ143" s="5"/>
      <c r="CR143" s="5"/>
      <c r="CS143" s="5"/>
      <c r="CT143" s="5"/>
      <c r="CU143" s="5"/>
      <c r="CV143" s="5"/>
      <c r="CW143" s="5"/>
      <c r="CX143" s="5"/>
      <c r="CY143" s="5"/>
      <c r="CZ143" s="5"/>
      <c r="DA143" s="5"/>
      <c r="DB143" s="5"/>
      <c r="DC143" s="5"/>
      <c r="DD143" s="5"/>
      <c r="DE143" s="5"/>
      <c r="DF143" s="5"/>
      <c r="DG143" s="5"/>
      <c r="DH143" s="5"/>
      <c r="DI143" s="5"/>
      <c r="DJ143" s="5"/>
      <c r="DK143" s="5"/>
      <c r="DL143" s="5"/>
      <c r="DM143" s="5"/>
      <c r="DN143" s="5"/>
      <c r="DO143" s="5"/>
      <c r="DP143" s="5"/>
      <c r="DQ143" s="5"/>
      <c r="DR143" s="5"/>
      <c r="DS143" s="5"/>
      <c r="DT143" s="5"/>
      <c r="DU143" s="5"/>
      <c r="DV143" s="5"/>
      <c r="DW143" s="5"/>
      <c r="DX143" s="5"/>
      <c r="DY143" s="5"/>
      <c r="DZ143" s="5"/>
      <c r="EA143" s="5"/>
      <c r="EB143" s="5"/>
      <c r="EC143" s="5"/>
      <c r="ED143" s="5"/>
      <c r="EE143" s="5"/>
      <c r="EF143" s="5"/>
      <c r="EG143" s="5"/>
      <c r="EH143" s="5"/>
      <c r="EI143" s="5"/>
      <c r="EJ143" s="5"/>
      <c r="EK143" s="5"/>
      <c r="EL143" s="5"/>
      <c r="EM143" s="5"/>
      <c r="EN143" s="5"/>
      <c r="EO143" s="5"/>
      <c r="EP143" s="5"/>
      <c r="EQ143" s="5"/>
      <c r="ER143" s="5"/>
      <c r="ES143" s="5"/>
      <c r="ET143" s="5"/>
      <c r="EU143" s="5"/>
      <c r="EV143" s="5"/>
      <c r="EW143" s="5"/>
      <c r="EX143" s="5"/>
      <c r="EY143" s="5"/>
      <c r="EZ143" s="5"/>
      <c r="FA143" s="5"/>
      <c r="FB143" s="5"/>
      <c r="FC143" s="5"/>
      <c r="FD143" s="5"/>
      <c r="FE143" s="5"/>
      <c r="FF143" s="5"/>
      <c r="FG143" s="5"/>
      <c r="FH143" s="5"/>
      <c r="FI143" s="5"/>
      <c r="FJ143" s="5"/>
      <c r="FK143" s="5"/>
      <c r="FL143" s="5"/>
      <c r="FM143" s="5"/>
      <c r="FN143" s="5"/>
      <c r="FO143" s="5"/>
      <c r="FP143" s="5"/>
      <c r="FQ143" s="5"/>
      <c r="FR143" s="5"/>
      <c r="FS143" s="5"/>
      <c r="FT143" s="5"/>
      <c r="FU143" s="5"/>
      <c r="FV143" s="5"/>
      <c r="FW143" s="5"/>
      <c r="FX143" s="5"/>
      <c r="FY143" s="5"/>
      <c r="FZ143" s="5"/>
      <c r="GA143" s="5"/>
      <c r="GB143" s="5"/>
      <c r="GC143" s="5"/>
      <c r="GD143" s="5"/>
      <c r="GE143" s="5"/>
      <c r="GF143" s="5"/>
      <c r="GG143" s="5"/>
      <c r="GH143" s="5"/>
      <c r="GI143" s="5"/>
      <c r="GJ143" s="5"/>
      <c r="GK143" s="5"/>
      <c r="GL143" s="5"/>
      <c r="GM143" s="5"/>
      <c r="GN143" s="5"/>
      <c r="GO143" s="5"/>
      <c r="GP143" s="5"/>
      <c r="GQ143" s="5"/>
      <c r="GR143" s="5"/>
      <c r="GS143" s="5"/>
      <c r="GT143" s="5"/>
      <c r="GU143" s="5"/>
      <c r="GV143" s="5"/>
      <c r="GW143" s="5"/>
      <c r="GX143" s="5"/>
      <c r="GY143" s="5"/>
      <c r="GZ143" s="5"/>
      <c r="HA143" s="5"/>
      <c r="HB143" s="5"/>
      <c r="HC143" s="5"/>
      <c r="HD143" s="5"/>
      <c r="HE143" s="5"/>
      <c r="HF143" s="5"/>
      <c r="HG143" s="5"/>
      <c r="HH143" s="5"/>
      <c r="HI143" s="5"/>
      <c r="HJ143" s="5"/>
      <c r="HK143" s="5"/>
      <c r="HL143" s="5"/>
      <c r="HM143" s="5"/>
      <c r="HN143" s="5"/>
      <c r="HO143" s="5"/>
      <c r="HP143" s="5"/>
      <c r="HQ143" s="5"/>
      <c r="HR143" s="5"/>
      <c r="HS143" s="5"/>
      <c r="HT143" s="5"/>
      <c r="HU143" s="5"/>
      <c r="HV143" s="5"/>
      <c r="HW143" s="5"/>
      <c r="HX143" s="5"/>
      <c r="HY143" s="5"/>
      <c r="HZ143" s="5"/>
      <c r="IA143" s="5"/>
      <c r="IB143" s="5"/>
      <c r="IC143" s="5"/>
      <c r="ID143" s="5"/>
      <c r="IE143" s="5"/>
      <c r="IF143" s="5"/>
      <c r="IG143" s="5"/>
      <c r="IH143" s="5"/>
      <c r="II143" s="5"/>
      <c r="IJ143" s="5"/>
      <c r="IK143" s="5"/>
      <c r="IL143" s="5"/>
      <c r="IM143" s="5"/>
      <c r="IN143" s="5"/>
      <c r="IO143" s="5"/>
      <c r="IP143" s="5"/>
      <c r="IQ143" s="5"/>
      <c r="IR143" s="5"/>
      <c r="IS143" s="5"/>
      <c r="IT143" s="5"/>
      <c r="IU143" s="5"/>
      <c r="IV143" s="5"/>
      <c r="IW143" s="5"/>
      <c r="IX143" s="5"/>
      <c r="IY143" s="5"/>
      <c r="IZ143" s="5"/>
      <c r="JA143" s="5"/>
      <c r="JB143" s="5"/>
      <c r="JC143" s="5"/>
      <c r="JD143" s="5"/>
      <c r="JE143" s="5"/>
      <c r="JF143" s="5"/>
      <c r="JG143" s="5"/>
      <c r="JH143" s="5"/>
      <c r="JI143" s="5"/>
      <c r="JJ143" s="5"/>
      <c r="JK143" s="5"/>
      <c r="JL143" s="5"/>
      <c r="JM143" s="5"/>
      <c r="JN143" s="5"/>
      <c r="JO143" s="5"/>
      <c r="JP143" s="5"/>
      <c r="JQ143" s="5"/>
      <c r="JR143" s="5"/>
      <c r="JS143" s="5"/>
      <c r="JT143" s="5"/>
      <c r="JU143" s="5"/>
      <c r="JV143" s="5"/>
      <c r="JW143" s="5"/>
      <c r="JX143" s="5"/>
      <c r="JY143" s="5"/>
      <c r="JZ143" s="5"/>
      <c r="KA143" s="5"/>
      <c r="KB143" s="5"/>
      <c r="KC143" s="5"/>
      <c r="KD143" s="5"/>
      <c r="KE143" s="5"/>
      <c r="KF143" s="5"/>
      <c r="KG143" s="5"/>
      <c r="KH143" s="5"/>
      <c r="KI143" s="5"/>
      <c r="KJ143" s="5"/>
      <c r="KK143" s="5"/>
      <c r="KL143" s="5"/>
      <c r="KM143" s="5"/>
      <c r="KN143" s="5"/>
      <c r="KO143" s="5"/>
      <c r="KP143" s="5"/>
      <c r="KQ143" s="5"/>
      <c r="KR143" s="5"/>
      <c r="KS143" s="5"/>
      <c r="KT143" s="5"/>
      <c r="KU143" s="5"/>
      <c r="KV143" s="5"/>
      <c r="KW143" s="5"/>
      <c r="KX143" s="5"/>
      <c r="KY143" s="5"/>
      <c r="KZ143" s="5"/>
      <c r="LA143" s="5"/>
      <c r="LB143" s="5"/>
      <c r="LC143" s="5"/>
      <c r="LD143" s="5"/>
      <c r="LE143" s="5"/>
      <c r="LF143" s="5"/>
      <c r="LG143" s="5"/>
      <c r="LH143" s="5"/>
      <c r="LI143" s="5"/>
      <c r="LJ143" s="5"/>
      <c r="LK143" s="5"/>
      <c r="LL143" s="5"/>
      <c r="LM143" s="5"/>
      <c r="LN143" s="5"/>
      <c r="LO143" s="5"/>
      <c r="LP143" s="5"/>
      <c r="LQ143" s="5"/>
      <c r="LR143" s="5"/>
      <c r="LS143" s="5"/>
      <c r="LT143" s="5"/>
      <c r="LU143" s="5"/>
      <c r="LV143" s="5"/>
      <c r="LW143" s="5"/>
      <c r="LX143" s="5"/>
      <c r="LY143" s="5"/>
      <c r="LZ143" s="5"/>
      <c r="MA143" s="5"/>
      <c r="MB143" s="5"/>
      <c r="MC143" s="5"/>
      <c r="MD143" s="5"/>
      <c r="ME143" s="5"/>
      <c r="MF143" s="5"/>
      <c r="MG143" s="5"/>
      <c r="MH143" s="5"/>
      <c r="MI143" s="5"/>
      <c r="MJ143" s="5"/>
      <c r="MK143" s="5"/>
      <c r="ML143" s="5"/>
      <c r="MM143" s="5"/>
      <c r="MN143" s="5"/>
      <c r="MO143" s="5"/>
      <c r="MP143" s="5"/>
      <c r="MQ143" s="5"/>
      <c r="MR143" s="5"/>
      <c r="MS143" s="5"/>
      <c r="MT143" s="5"/>
      <c r="MU143" s="5"/>
      <c r="MV143" s="5"/>
      <c r="MW143" s="5"/>
      <c r="MX143" s="5"/>
      <c r="MY143" s="5"/>
      <c r="MZ143" s="5"/>
      <c r="NA143" s="5"/>
      <c r="NB143" s="5"/>
      <c r="NC143" s="5"/>
      <c r="ND143" s="5"/>
      <c r="NE143" s="5"/>
      <c r="NF143" s="5"/>
      <c r="NG143" s="5"/>
      <c r="NH143" s="5"/>
      <c r="NI143" s="5"/>
      <c r="NJ143" s="5"/>
      <c r="NK143" s="5"/>
      <c r="NL143" s="5"/>
      <c r="NM143" s="5"/>
      <c r="NN143" s="5"/>
      <c r="NO143" s="5"/>
      <c r="NP143" s="5"/>
      <c r="NQ143" s="5"/>
      <c r="NR143" s="5"/>
      <c r="NS143" s="5"/>
      <c r="NT143" s="5"/>
      <c r="NU143" s="5"/>
      <c r="NV143" s="5"/>
      <c r="NW143" s="5"/>
      <c r="NX143" s="5"/>
      <c r="NY143" s="5"/>
      <c r="NZ143" s="5"/>
      <c r="OA143" s="5"/>
      <c r="OB143" s="5"/>
      <c r="OC143" s="5"/>
      <c r="OD143" s="5"/>
      <c r="OE143" s="5"/>
      <c r="OF143" s="5"/>
      <c r="OG143" s="5"/>
      <c r="OH143" s="5"/>
      <c r="OI143" s="5"/>
      <c r="OJ143" s="5"/>
      <c r="OK143" s="5"/>
      <c r="OL143" s="5"/>
      <c r="OM143" s="5"/>
      <c r="ON143" s="5"/>
      <c r="OO143" s="5"/>
      <c r="OP143" s="5"/>
      <c r="OQ143" s="5"/>
      <c r="OR143" s="5"/>
      <c r="OS143" s="5"/>
      <c r="OT143" s="5"/>
      <c r="OU143" s="5"/>
      <c r="OV143" s="5"/>
      <c r="OW143" s="5"/>
      <c r="OX143" s="5"/>
      <c r="OY143" s="5"/>
      <c r="OZ143" s="5"/>
      <c r="PA143" s="5"/>
      <c r="PB143" s="5"/>
      <c r="PC143" s="5"/>
      <c r="PD143" s="5"/>
      <c r="PE143" s="5"/>
      <c r="PF143" s="5"/>
      <c r="PG143" s="5"/>
      <c r="PH143" s="5"/>
      <c r="PI143" s="5"/>
      <c r="PJ143" s="5"/>
      <c r="PK143" s="5"/>
      <c r="PL143" s="5"/>
      <c r="PM143" s="5"/>
      <c r="PN143" s="5"/>
      <c r="PO143" s="5"/>
      <c r="PP143" s="5"/>
      <c r="PQ143" s="5"/>
      <c r="PR143" s="5"/>
      <c r="PS143" s="5"/>
      <c r="PT143" s="5"/>
      <c r="PU143" s="5"/>
      <c r="PV143" s="5"/>
      <c r="PW143" s="5"/>
      <c r="PX143" s="5"/>
      <c r="PY143" s="5"/>
      <c r="PZ143" s="5"/>
      <c r="QA143" s="5"/>
      <c r="QB143" s="5"/>
      <c r="QC143" s="5"/>
      <c r="QD143" s="5"/>
      <c r="QE143" s="5"/>
      <c r="QF143" s="5"/>
      <c r="QG143" s="5"/>
      <c r="QH143" s="5"/>
      <c r="QI143" s="5"/>
      <c r="QJ143" s="5"/>
      <c r="QK143" s="5"/>
      <c r="QL143" s="5"/>
      <c r="QM143" s="5"/>
      <c r="QN143" s="5"/>
      <c r="QO143" s="5"/>
      <c r="QP143" s="5"/>
      <c r="QQ143" s="5"/>
      <c r="QR143" s="5"/>
      <c r="QS143" s="5"/>
      <c r="QT143" s="5"/>
      <c r="QU143" s="5"/>
      <c r="QV143" s="5"/>
      <c r="QW143" s="5"/>
      <c r="QX143" s="5"/>
      <c r="QY143" s="5"/>
      <c r="QZ143" s="5"/>
      <c r="RA143" s="5"/>
      <c r="RB143" s="5"/>
      <c r="RC143" s="5"/>
      <c r="RD143" s="5"/>
      <c r="RE143" s="5"/>
      <c r="RF143" s="5"/>
      <c r="RG143" s="5"/>
      <c r="RH143" s="5"/>
      <c r="RI143" s="5"/>
      <c r="RJ143" s="5"/>
      <c r="RK143" s="5"/>
      <c r="RL143" s="5"/>
      <c r="RM143" s="5"/>
      <c r="RN143" s="5"/>
      <c r="RO143" s="5"/>
      <c r="RP143" s="5"/>
      <c r="RQ143" s="5"/>
      <c r="RR143" s="5"/>
      <c r="RS143" s="5"/>
      <c r="RT143" s="5"/>
      <c r="RU143" s="5"/>
      <c r="RV143" s="5"/>
      <c r="RW143" s="5"/>
      <c r="RX143" s="5"/>
      <c r="RY143" s="5"/>
      <c r="RZ143" s="5"/>
      <c r="SA143" s="5"/>
      <c r="SB143" s="5"/>
      <c r="SC143" s="5"/>
      <c r="SD143" s="5"/>
      <c r="SE143" s="5"/>
      <c r="SF143" s="5"/>
      <c r="SG143" s="5"/>
      <c r="SH143" s="5"/>
      <c r="SI143" s="5"/>
      <c r="SJ143" s="5"/>
      <c r="SK143" s="5"/>
      <c r="SL143" s="5"/>
      <c r="SM143" s="5"/>
      <c r="SN143" s="5"/>
      <c r="SO143" s="5"/>
      <c r="SP143" s="5"/>
      <c r="SQ143" s="5"/>
      <c r="SR143" s="5"/>
      <c r="SS143" s="5"/>
      <c r="ST143" s="5"/>
      <c r="SU143" s="5"/>
      <c r="SV143" s="5"/>
      <c r="SW143" s="5"/>
      <c r="SX143" s="5"/>
      <c r="SY143" s="5"/>
      <c r="SZ143" s="5"/>
      <c r="TA143" s="5"/>
      <c r="TB143" s="5"/>
      <c r="TC143" s="5"/>
      <c r="TD143" s="5"/>
      <c r="TE143" s="5"/>
      <c r="TF143" s="5"/>
      <c r="TG143" s="5"/>
      <c r="TH143" s="5"/>
      <c r="TI143" s="5"/>
      <c r="TJ143" s="5"/>
      <c r="TK143" s="5"/>
      <c r="TL143" s="5"/>
      <c r="TM143" s="5"/>
      <c r="TN143" s="5"/>
      <c r="TO143" s="5"/>
      <c r="TP143" s="5"/>
      <c r="TQ143" s="5"/>
      <c r="TR143" s="5"/>
      <c r="TS143" s="5"/>
      <c r="TT143" s="5"/>
      <c r="TU143" s="5"/>
      <c r="TV143" s="5"/>
      <c r="TW143" s="5"/>
      <c r="TX143" s="5"/>
      <c r="TY143" s="5"/>
      <c r="TZ143" s="5"/>
      <c r="UA143" s="5"/>
      <c r="UB143" s="5"/>
      <c r="UC143" s="5"/>
      <c r="UD143" s="5"/>
      <c r="UE143" s="5"/>
      <c r="UF143" s="5"/>
      <c r="UG143" s="5"/>
      <c r="UH143" s="5"/>
      <c r="UI143" s="5"/>
      <c r="UJ143" s="5"/>
      <c r="UK143" s="5"/>
      <c r="UL143" s="5"/>
      <c r="UM143" s="5"/>
      <c r="UN143" s="5"/>
      <c r="UO143" s="5"/>
      <c r="UP143" s="5"/>
      <c r="UQ143" s="5"/>
      <c r="UR143" s="5"/>
      <c r="US143" s="5"/>
      <c r="UT143" s="5"/>
      <c r="UU143" s="5"/>
      <c r="UV143" s="5"/>
      <c r="UW143" s="5"/>
      <c r="UX143" s="5"/>
      <c r="UY143" s="5"/>
      <c r="UZ143" s="5"/>
      <c r="VA143" s="5"/>
      <c r="VB143" s="5"/>
      <c r="VC143" s="5"/>
      <c r="VD143" s="5"/>
      <c r="VE143" s="5"/>
      <c r="VF143" s="5"/>
      <c r="VG143" s="5"/>
      <c r="VH143" s="5"/>
      <c r="VI143" s="5"/>
      <c r="VJ143" s="5"/>
      <c r="VK143" s="5"/>
      <c r="VL143" s="5"/>
      <c r="VM143" s="5"/>
      <c r="VN143" s="5"/>
      <c r="VO143" s="5"/>
      <c r="VP143" s="5"/>
      <c r="VQ143" s="5"/>
      <c r="VR143" s="5"/>
      <c r="VS143" s="5"/>
      <c r="VT143" s="5"/>
      <c r="VU143" s="5"/>
      <c r="VV143" s="5"/>
      <c r="VW143" s="5"/>
      <c r="VX143" s="5"/>
      <c r="VY143" s="5"/>
      <c r="VZ143" s="5"/>
      <c r="WA143" s="5"/>
      <c r="WB143" s="5"/>
      <c r="WC143" s="5"/>
      <c r="WD143" s="5"/>
      <c r="WE143" s="5"/>
      <c r="WF143" s="5"/>
      <c r="WG143" s="5"/>
      <c r="WH143" s="5"/>
      <c r="WI143" s="5"/>
      <c r="WJ143" s="5"/>
      <c r="WK143" s="5"/>
      <c r="WL143" s="5"/>
      <c r="WM143" s="5"/>
      <c r="WN143" s="5"/>
      <c r="WO143" s="5"/>
      <c r="WP143" s="5"/>
      <c r="WQ143" s="5"/>
      <c r="WR143" s="5"/>
      <c r="WS143" s="5"/>
      <c r="WT143" s="5"/>
      <c r="WU143" s="5"/>
      <c r="WV143" s="5"/>
      <c r="WW143" s="5"/>
      <c r="WX143" s="5"/>
      <c r="WY143" s="5"/>
      <c r="WZ143" s="5"/>
      <c r="XA143" s="5"/>
      <c r="XB143" s="5"/>
      <c r="XC143" s="5"/>
      <c r="XD143" s="5"/>
      <c r="XE143" s="5"/>
      <c r="XF143" s="5"/>
      <c r="XG143" s="5"/>
      <c r="XH143" s="5"/>
      <c r="XI143" s="5"/>
      <c r="XJ143" s="5"/>
      <c r="XK143" s="5"/>
      <c r="XL143" s="5"/>
      <c r="XM143" s="5"/>
      <c r="XN143" s="5"/>
      <c r="XO143" s="5"/>
      <c r="XP143" s="5"/>
      <c r="XQ143" s="5"/>
      <c r="XR143" s="5"/>
      <c r="XS143" s="5"/>
      <c r="XT143" s="5"/>
      <c r="XU143" s="5"/>
      <c r="XV143" s="5"/>
      <c r="XW143" s="5"/>
      <c r="XX143" s="5"/>
      <c r="XY143" s="5"/>
      <c r="XZ143" s="5"/>
      <c r="YA143" s="5"/>
      <c r="YB143" s="5"/>
      <c r="YC143" s="5"/>
      <c r="YD143" s="5"/>
      <c r="YE143" s="5"/>
      <c r="YF143" s="5"/>
      <c r="YG143" s="5"/>
      <c r="YH143" s="5"/>
      <c r="YI143" s="5"/>
      <c r="YJ143" s="5"/>
      <c r="YK143" s="5"/>
      <c r="YL143" s="5"/>
      <c r="YM143" s="5"/>
      <c r="YN143" s="5"/>
      <c r="YO143" s="5"/>
      <c r="YP143" s="5"/>
      <c r="YQ143" s="5"/>
      <c r="YR143" s="5"/>
      <c r="YS143" s="5"/>
      <c r="YT143" s="5"/>
      <c r="YU143" s="5"/>
      <c r="YV143" s="5"/>
      <c r="YW143" s="5"/>
      <c r="YX143" s="5"/>
      <c r="YY143" s="5"/>
      <c r="YZ143" s="5"/>
    </row>
    <row r="144" spans="1:676">
      <c r="A144" s="7">
        <v>134</v>
      </c>
      <c r="B144" s="7" t="s">
        <v>345</v>
      </c>
      <c r="C144" s="10" t="s">
        <v>346</v>
      </c>
      <c r="D144" s="7" t="s">
        <v>54</v>
      </c>
      <c r="E144" s="7" t="s">
        <v>178</v>
      </c>
      <c r="F144" s="7" t="s">
        <v>347</v>
      </c>
      <c r="G144" s="7"/>
      <c r="H144" s="7"/>
      <c r="I144" s="11">
        <v>2</v>
      </c>
      <c r="J144" s="11">
        <v>3</v>
      </c>
      <c r="K144" s="11">
        <v>0</v>
      </c>
      <c r="L144" s="11">
        <v>1.01</v>
      </c>
      <c r="M144" s="11">
        <v>0.08</v>
      </c>
      <c r="N144" s="11">
        <v>0</v>
      </c>
      <c r="O144" s="11">
        <v>0.22</v>
      </c>
      <c r="P144" s="11">
        <v>0</v>
      </c>
      <c r="Q144" s="11">
        <v>1.31</v>
      </c>
      <c r="R144" s="11">
        <v>0</v>
      </c>
      <c r="S144" s="11">
        <v>1.31</v>
      </c>
      <c r="T144" s="11">
        <v>1.31</v>
      </c>
      <c r="U144" s="11">
        <v>0</v>
      </c>
      <c r="V144" s="11">
        <v>0</v>
      </c>
      <c r="W144" s="13">
        <v>2</v>
      </c>
      <c r="X144" s="13">
        <v>3</v>
      </c>
      <c r="Y144" s="13" t="str">
        <f>MIN(W144,S144)</f>
        <v>0</v>
      </c>
      <c r="Z144" s="13" t="str">
        <f>MIN(X144,(S144-Y144))</f>
        <v>0</v>
      </c>
      <c r="AA144" s="13" t="str">
        <f>S144-SUM(Y144,Z144)</f>
        <v>0</v>
      </c>
      <c r="AB144" s="15"/>
      <c r="AC144" s="15"/>
      <c r="AD144" s="1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/>
      <c r="BR144" s="5"/>
      <c r="BS144" s="5"/>
      <c r="BT144" s="5"/>
      <c r="BU144" s="5"/>
      <c r="BV144" s="5"/>
      <c r="BW144" s="5"/>
      <c r="BX144" s="5"/>
      <c r="BY144" s="5"/>
      <c r="BZ144" s="5"/>
      <c r="CA144" s="5"/>
      <c r="CB144" s="5"/>
      <c r="CC144" s="5"/>
      <c r="CD144" s="5"/>
      <c r="CE144" s="5"/>
      <c r="CF144" s="5"/>
      <c r="CG144" s="5"/>
      <c r="CH144" s="5"/>
      <c r="CI144" s="5"/>
      <c r="CJ144" s="5"/>
      <c r="CK144" s="5"/>
      <c r="CL144" s="5"/>
      <c r="CM144" s="5"/>
      <c r="CN144" s="5"/>
      <c r="CO144" s="5"/>
      <c r="CP144" s="5"/>
      <c r="CQ144" s="5"/>
      <c r="CR144" s="5"/>
      <c r="CS144" s="5"/>
      <c r="CT144" s="5"/>
      <c r="CU144" s="5"/>
      <c r="CV144" s="5"/>
      <c r="CW144" s="5"/>
      <c r="CX144" s="5"/>
      <c r="CY144" s="5"/>
      <c r="CZ144" s="5"/>
      <c r="DA144" s="5"/>
      <c r="DB144" s="5"/>
      <c r="DC144" s="5"/>
      <c r="DD144" s="5"/>
      <c r="DE144" s="5"/>
      <c r="DF144" s="5"/>
      <c r="DG144" s="5"/>
      <c r="DH144" s="5"/>
      <c r="DI144" s="5"/>
      <c r="DJ144" s="5"/>
      <c r="DK144" s="5"/>
      <c r="DL144" s="5"/>
      <c r="DM144" s="5"/>
      <c r="DN144" s="5"/>
      <c r="DO144" s="5"/>
      <c r="DP144" s="5"/>
      <c r="DQ144" s="5"/>
      <c r="DR144" s="5"/>
      <c r="DS144" s="5"/>
      <c r="DT144" s="5"/>
      <c r="DU144" s="5"/>
      <c r="DV144" s="5"/>
      <c r="DW144" s="5"/>
      <c r="DX144" s="5"/>
      <c r="DY144" s="5"/>
      <c r="DZ144" s="5"/>
      <c r="EA144" s="5"/>
      <c r="EB144" s="5"/>
      <c r="EC144" s="5"/>
      <c r="ED144" s="5"/>
      <c r="EE144" s="5"/>
      <c r="EF144" s="5"/>
      <c r="EG144" s="5"/>
      <c r="EH144" s="5"/>
      <c r="EI144" s="5"/>
      <c r="EJ144" s="5"/>
      <c r="EK144" s="5"/>
      <c r="EL144" s="5"/>
      <c r="EM144" s="5"/>
      <c r="EN144" s="5"/>
      <c r="EO144" s="5"/>
      <c r="EP144" s="5"/>
      <c r="EQ144" s="5"/>
      <c r="ER144" s="5"/>
      <c r="ES144" s="5"/>
      <c r="ET144" s="5"/>
      <c r="EU144" s="5"/>
      <c r="EV144" s="5"/>
      <c r="EW144" s="5"/>
      <c r="EX144" s="5"/>
      <c r="EY144" s="5"/>
      <c r="EZ144" s="5"/>
      <c r="FA144" s="5"/>
      <c r="FB144" s="5"/>
      <c r="FC144" s="5"/>
      <c r="FD144" s="5"/>
      <c r="FE144" s="5"/>
      <c r="FF144" s="5"/>
      <c r="FG144" s="5"/>
      <c r="FH144" s="5"/>
      <c r="FI144" s="5"/>
      <c r="FJ144" s="5"/>
      <c r="FK144" s="5"/>
      <c r="FL144" s="5"/>
      <c r="FM144" s="5"/>
      <c r="FN144" s="5"/>
      <c r="FO144" s="5"/>
      <c r="FP144" s="5"/>
      <c r="FQ144" s="5"/>
      <c r="FR144" s="5"/>
      <c r="FS144" s="5"/>
      <c r="FT144" s="5"/>
      <c r="FU144" s="5"/>
      <c r="FV144" s="5"/>
      <c r="FW144" s="5"/>
      <c r="FX144" s="5"/>
      <c r="FY144" s="5"/>
      <c r="FZ144" s="5"/>
      <c r="GA144" s="5"/>
      <c r="GB144" s="5"/>
      <c r="GC144" s="5"/>
      <c r="GD144" s="5"/>
      <c r="GE144" s="5"/>
      <c r="GF144" s="5"/>
      <c r="GG144" s="5"/>
      <c r="GH144" s="5"/>
      <c r="GI144" s="5"/>
      <c r="GJ144" s="5"/>
      <c r="GK144" s="5"/>
      <c r="GL144" s="5"/>
      <c r="GM144" s="5"/>
      <c r="GN144" s="5"/>
      <c r="GO144" s="5"/>
      <c r="GP144" s="5"/>
      <c r="GQ144" s="5"/>
      <c r="GR144" s="5"/>
      <c r="GS144" s="5"/>
      <c r="GT144" s="5"/>
      <c r="GU144" s="5"/>
      <c r="GV144" s="5"/>
      <c r="GW144" s="5"/>
      <c r="GX144" s="5"/>
      <c r="GY144" s="5"/>
      <c r="GZ144" s="5"/>
      <c r="HA144" s="5"/>
      <c r="HB144" s="5"/>
      <c r="HC144" s="5"/>
      <c r="HD144" s="5"/>
      <c r="HE144" s="5"/>
      <c r="HF144" s="5"/>
      <c r="HG144" s="5"/>
      <c r="HH144" s="5"/>
      <c r="HI144" s="5"/>
      <c r="HJ144" s="5"/>
      <c r="HK144" s="5"/>
      <c r="HL144" s="5"/>
      <c r="HM144" s="5"/>
      <c r="HN144" s="5"/>
      <c r="HO144" s="5"/>
      <c r="HP144" s="5"/>
      <c r="HQ144" s="5"/>
      <c r="HR144" s="5"/>
      <c r="HS144" s="5"/>
      <c r="HT144" s="5"/>
      <c r="HU144" s="5"/>
      <c r="HV144" s="5"/>
      <c r="HW144" s="5"/>
      <c r="HX144" s="5"/>
      <c r="HY144" s="5"/>
      <c r="HZ144" s="5"/>
      <c r="IA144" s="5"/>
      <c r="IB144" s="5"/>
      <c r="IC144" s="5"/>
      <c r="ID144" s="5"/>
      <c r="IE144" s="5"/>
      <c r="IF144" s="5"/>
      <c r="IG144" s="5"/>
      <c r="IH144" s="5"/>
      <c r="II144" s="5"/>
      <c r="IJ144" s="5"/>
      <c r="IK144" s="5"/>
      <c r="IL144" s="5"/>
      <c r="IM144" s="5"/>
      <c r="IN144" s="5"/>
      <c r="IO144" s="5"/>
      <c r="IP144" s="5"/>
      <c r="IQ144" s="5"/>
      <c r="IR144" s="5"/>
      <c r="IS144" s="5"/>
      <c r="IT144" s="5"/>
      <c r="IU144" s="5"/>
      <c r="IV144" s="5"/>
      <c r="IW144" s="5"/>
      <c r="IX144" s="5"/>
      <c r="IY144" s="5"/>
      <c r="IZ144" s="5"/>
      <c r="JA144" s="5"/>
      <c r="JB144" s="5"/>
      <c r="JC144" s="5"/>
      <c r="JD144" s="5"/>
      <c r="JE144" s="5"/>
      <c r="JF144" s="5"/>
      <c r="JG144" s="5"/>
      <c r="JH144" s="5"/>
      <c r="JI144" s="5"/>
      <c r="JJ144" s="5"/>
      <c r="JK144" s="5"/>
      <c r="JL144" s="5"/>
      <c r="JM144" s="5"/>
      <c r="JN144" s="5"/>
      <c r="JO144" s="5"/>
      <c r="JP144" s="5"/>
      <c r="JQ144" s="5"/>
      <c r="JR144" s="5"/>
      <c r="JS144" s="5"/>
      <c r="JT144" s="5"/>
      <c r="JU144" s="5"/>
      <c r="JV144" s="5"/>
      <c r="JW144" s="5"/>
      <c r="JX144" s="5"/>
      <c r="JY144" s="5"/>
      <c r="JZ144" s="5"/>
      <c r="KA144" s="5"/>
      <c r="KB144" s="5"/>
      <c r="KC144" s="5"/>
      <c r="KD144" s="5"/>
      <c r="KE144" s="5"/>
      <c r="KF144" s="5"/>
      <c r="KG144" s="5"/>
      <c r="KH144" s="5"/>
      <c r="KI144" s="5"/>
      <c r="KJ144" s="5"/>
      <c r="KK144" s="5"/>
      <c r="KL144" s="5"/>
      <c r="KM144" s="5"/>
      <c r="KN144" s="5"/>
      <c r="KO144" s="5"/>
      <c r="KP144" s="5"/>
      <c r="KQ144" s="5"/>
      <c r="KR144" s="5"/>
      <c r="KS144" s="5"/>
      <c r="KT144" s="5"/>
      <c r="KU144" s="5"/>
      <c r="KV144" s="5"/>
      <c r="KW144" s="5"/>
      <c r="KX144" s="5"/>
      <c r="KY144" s="5"/>
      <c r="KZ144" s="5"/>
      <c r="LA144" s="5"/>
      <c r="LB144" s="5"/>
      <c r="LC144" s="5"/>
      <c r="LD144" s="5"/>
      <c r="LE144" s="5"/>
      <c r="LF144" s="5"/>
      <c r="LG144" s="5"/>
      <c r="LH144" s="5"/>
      <c r="LI144" s="5"/>
      <c r="LJ144" s="5"/>
      <c r="LK144" s="5"/>
      <c r="LL144" s="5"/>
      <c r="LM144" s="5"/>
      <c r="LN144" s="5"/>
      <c r="LO144" s="5"/>
      <c r="LP144" s="5"/>
      <c r="LQ144" s="5"/>
      <c r="LR144" s="5"/>
      <c r="LS144" s="5"/>
      <c r="LT144" s="5"/>
      <c r="LU144" s="5"/>
      <c r="LV144" s="5"/>
      <c r="LW144" s="5"/>
      <c r="LX144" s="5"/>
      <c r="LY144" s="5"/>
      <c r="LZ144" s="5"/>
      <c r="MA144" s="5"/>
      <c r="MB144" s="5"/>
      <c r="MC144" s="5"/>
      <c r="MD144" s="5"/>
      <c r="ME144" s="5"/>
      <c r="MF144" s="5"/>
      <c r="MG144" s="5"/>
      <c r="MH144" s="5"/>
      <c r="MI144" s="5"/>
      <c r="MJ144" s="5"/>
      <c r="MK144" s="5"/>
      <c r="ML144" s="5"/>
      <c r="MM144" s="5"/>
      <c r="MN144" s="5"/>
      <c r="MO144" s="5"/>
      <c r="MP144" s="5"/>
      <c r="MQ144" s="5"/>
      <c r="MR144" s="5"/>
      <c r="MS144" s="5"/>
      <c r="MT144" s="5"/>
      <c r="MU144" s="5"/>
      <c r="MV144" s="5"/>
      <c r="MW144" s="5"/>
      <c r="MX144" s="5"/>
      <c r="MY144" s="5"/>
      <c r="MZ144" s="5"/>
      <c r="NA144" s="5"/>
      <c r="NB144" s="5"/>
      <c r="NC144" s="5"/>
      <c r="ND144" s="5"/>
      <c r="NE144" s="5"/>
      <c r="NF144" s="5"/>
      <c r="NG144" s="5"/>
      <c r="NH144" s="5"/>
      <c r="NI144" s="5"/>
      <c r="NJ144" s="5"/>
      <c r="NK144" s="5"/>
      <c r="NL144" s="5"/>
      <c r="NM144" s="5"/>
      <c r="NN144" s="5"/>
      <c r="NO144" s="5"/>
      <c r="NP144" s="5"/>
      <c r="NQ144" s="5"/>
      <c r="NR144" s="5"/>
      <c r="NS144" s="5"/>
      <c r="NT144" s="5"/>
      <c r="NU144" s="5"/>
      <c r="NV144" s="5"/>
      <c r="NW144" s="5"/>
      <c r="NX144" s="5"/>
      <c r="NY144" s="5"/>
      <c r="NZ144" s="5"/>
      <c r="OA144" s="5"/>
      <c r="OB144" s="5"/>
      <c r="OC144" s="5"/>
      <c r="OD144" s="5"/>
      <c r="OE144" s="5"/>
      <c r="OF144" s="5"/>
      <c r="OG144" s="5"/>
      <c r="OH144" s="5"/>
      <c r="OI144" s="5"/>
      <c r="OJ144" s="5"/>
      <c r="OK144" s="5"/>
      <c r="OL144" s="5"/>
      <c r="OM144" s="5"/>
      <c r="ON144" s="5"/>
      <c r="OO144" s="5"/>
      <c r="OP144" s="5"/>
      <c r="OQ144" s="5"/>
      <c r="OR144" s="5"/>
      <c r="OS144" s="5"/>
      <c r="OT144" s="5"/>
      <c r="OU144" s="5"/>
      <c r="OV144" s="5"/>
      <c r="OW144" s="5"/>
      <c r="OX144" s="5"/>
      <c r="OY144" s="5"/>
      <c r="OZ144" s="5"/>
      <c r="PA144" s="5"/>
      <c r="PB144" s="5"/>
      <c r="PC144" s="5"/>
      <c r="PD144" s="5"/>
      <c r="PE144" s="5"/>
      <c r="PF144" s="5"/>
      <c r="PG144" s="5"/>
      <c r="PH144" s="5"/>
      <c r="PI144" s="5"/>
      <c r="PJ144" s="5"/>
      <c r="PK144" s="5"/>
      <c r="PL144" s="5"/>
      <c r="PM144" s="5"/>
      <c r="PN144" s="5"/>
      <c r="PO144" s="5"/>
      <c r="PP144" s="5"/>
      <c r="PQ144" s="5"/>
      <c r="PR144" s="5"/>
      <c r="PS144" s="5"/>
      <c r="PT144" s="5"/>
      <c r="PU144" s="5"/>
      <c r="PV144" s="5"/>
      <c r="PW144" s="5"/>
      <c r="PX144" s="5"/>
      <c r="PY144" s="5"/>
      <c r="PZ144" s="5"/>
      <c r="QA144" s="5"/>
      <c r="QB144" s="5"/>
      <c r="QC144" s="5"/>
      <c r="QD144" s="5"/>
      <c r="QE144" s="5"/>
      <c r="QF144" s="5"/>
      <c r="QG144" s="5"/>
      <c r="QH144" s="5"/>
      <c r="QI144" s="5"/>
      <c r="QJ144" s="5"/>
      <c r="QK144" s="5"/>
      <c r="QL144" s="5"/>
      <c r="QM144" s="5"/>
      <c r="QN144" s="5"/>
      <c r="QO144" s="5"/>
      <c r="QP144" s="5"/>
      <c r="QQ144" s="5"/>
      <c r="QR144" s="5"/>
      <c r="QS144" s="5"/>
      <c r="QT144" s="5"/>
      <c r="QU144" s="5"/>
      <c r="QV144" s="5"/>
      <c r="QW144" s="5"/>
      <c r="QX144" s="5"/>
      <c r="QY144" s="5"/>
      <c r="QZ144" s="5"/>
      <c r="RA144" s="5"/>
      <c r="RB144" s="5"/>
      <c r="RC144" s="5"/>
      <c r="RD144" s="5"/>
      <c r="RE144" s="5"/>
      <c r="RF144" s="5"/>
      <c r="RG144" s="5"/>
      <c r="RH144" s="5"/>
      <c r="RI144" s="5"/>
      <c r="RJ144" s="5"/>
      <c r="RK144" s="5"/>
      <c r="RL144" s="5"/>
      <c r="RM144" s="5"/>
      <c r="RN144" s="5"/>
      <c r="RO144" s="5"/>
      <c r="RP144" s="5"/>
      <c r="RQ144" s="5"/>
      <c r="RR144" s="5"/>
      <c r="RS144" s="5"/>
      <c r="RT144" s="5"/>
      <c r="RU144" s="5"/>
      <c r="RV144" s="5"/>
      <c r="RW144" s="5"/>
      <c r="RX144" s="5"/>
      <c r="RY144" s="5"/>
      <c r="RZ144" s="5"/>
      <c r="SA144" s="5"/>
      <c r="SB144" s="5"/>
      <c r="SC144" s="5"/>
      <c r="SD144" s="5"/>
      <c r="SE144" s="5"/>
      <c r="SF144" s="5"/>
      <c r="SG144" s="5"/>
      <c r="SH144" s="5"/>
      <c r="SI144" s="5"/>
      <c r="SJ144" s="5"/>
      <c r="SK144" s="5"/>
      <c r="SL144" s="5"/>
      <c r="SM144" s="5"/>
      <c r="SN144" s="5"/>
      <c r="SO144" s="5"/>
      <c r="SP144" s="5"/>
      <c r="SQ144" s="5"/>
      <c r="SR144" s="5"/>
      <c r="SS144" s="5"/>
      <c r="ST144" s="5"/>
      <c r="SU144" s="5"/>
      <c r="SV144" s="5"/>
      <c r="SW144" s="5"/>
      <c r="SX144" s="5"/>
      <c r="SY144" s="5"/>
      <c r="SZ144" s="5"/>
      <c r="TA144" s="5"/>
      <c r="TB144" s="5"/>
      <c r="TC144" s="5"/>
      <c r="TD144" s="5"/>
      <c r="TE144" s="5"/>
      <c r="TF144" s="5"/>
      <c r="TG144" s="5"/>
      <c r="TH144" s="5"/>
      <c r="TI144" s="5"/>
      <c r="TJ144" s="5"/>
      <c r="TK144" s="5"/>
      <c r="TL144" s="5"/>
      <c r="TM144" s="5"/>
      <c r="TN144" s="5"/>
      <c r="TO144" s="5"/>
      <c r="TP144" s="5"/>
      <c r="TQ144" s="5"/>
      <c r="TR144" s="5"/>
      <c r="TS144" s="5"/>
      <c r="TT144" s="5"/>
      <c r="TU144" s="5"/>
      <c r="TV144" s="5"/>
      <c r="TW144" s="5"/>
      <c r="TX144" s="5"/>
      <c r="TY144" s="5"/>
      <c r="TZ144" s="5"/>
      <c r="UA144" s="5"/>
      <c r="UB144" s="5"/>
      <c r="UC144" s="5"/>
      <c r="UD144" s="5"/>
      <c r="UE144" s="5"/>
      <c r="UF144" s="5"/>
      <c r="UG144" s="5"/>
      <c r="UH144" s="5"/>
      <c r="UI144" s="5"/>
      <c r="UJ144" s="5"/>
      <c r="UK144" s="5"/>
      <c r="UL144" s="5"/>
      <c r="UM144" s="5"/>
      <c r="UN144" s="5"/>
      <c r="UO144" s="5"/>
      <c r="UP144" s="5"/>
      <c r="UQ144" s="5"/>
      <c r="UR144" s="5"/>
      <c r="US144" s="5"/>
      <c r="UT144" s="5"/>
      <c r="UU144" s="5"/>
      <c r="UV144" s="5"/>
      <c r="UW144" s="5"/>
      <c r="UX144" s="5"/>
      <c r="UY144" s="5"/>
      <c r="UZ144" s="5"/>
      <c r="VA144" s="5"/>
      <c r="VB144" s="5"/>
      <c r="VC144" s="5"/>
      <c r="VD144" s="5"/>
      <c r="VE144" s="5"/>
      <c r="VF144" s="5"/>
      <c r="VG144" s="5"/>
      <c r="VH144" s="5"/>
      <c r="VI144" s="5"/>
      <c r="VJ144" s="5"/>
      <c r="VK144" s="5"/>
      <c r="VL144" s="5"/>
      <c r="VM144" s="5"/>
      <c r="VN144" s="5"/>
      <c r="VO144" s="5"/>
      <c r="VP144" s="5"/>
      <c r="VQ144" s="5"/>
      <c r="VR144" s="5"/>
      <c r="VS144" s="5"/>
      <c r="VT144" s="5"/>
      <c r="VU144" s="5"/>
      <c r="VV144" s="5"/>
      <c r="VW144" s="5"/>
      <c r="VX144" s="5"/>
      <c r="VY144" s="5"/>
      <c r="VZ144" s="5"/>
      <c r="WA144" s="5"/>
      <c r="WB144" s="5"/>
      <c r="WC144" s="5"/>
      <c r="WD144" s="5"/>
      <c r="WE144" s="5"/>
      <c r="WF144" s="5"/>
      <c r="WG144" s="5"/>
      <c r="WH144" s="5"/>
      <c r="WI144" s="5"/>
      <c r="WJ144" s="5"/>
      <c r="WK144" s="5"/>
      <c r="WL144" s="5"/>
      <c r="WM144" s="5"/>
      <c r="WN144" s="5"/>
      <c r="WO144" s="5"/>
      <c r="WP144" s="5"/>
      <c r="WQ144" s="5"/>
      <c r="WR144" s="5"/>
      <c r="WS144" s="5"/>
      <c r="WT144" s="5"/>
      <c r="WU144" s="5"/>
      <c r="WV144" s="5"/>
      <c r="WW144" s="5"/>
      <c r="WX144" s="5"/>
      <c r="WY144" s="5"/>
      <c r="WZ144" s="5"/>
      <c r="XA144" s="5"/>
      <c r="XB144" s="5"/>
      <c r="XC144" s="5"/>
      <c r="XD144" s="5"/>
      <c r="XE144" s="5"/>
      <c r="XF144" s="5"/>
      <c r="XG144" s="5"/>
      <c r="XH144" s="5"/>
      <c r="XI144" s="5"/>
      <c r="XJ144" s="5"/>
      <c r="XK144" s="5"/>
      <c r="XL144" s="5"/>
      <c r="XM144" s="5"/>
      <c r="XN144" s="5"/>
      <c r="XO144" s="5"/>
      <c r="XP144" s="5"/>
      <c r="XQ144" s="5"/>
      <c r="XR144" s="5"/>
      <c r="XS144" s="5"/>
      <c r="XT144" s="5"/>
      <c r="XU144" s="5"/>
      <c r="XV144" s="5"/>
      <c r="XW144" s="5"/>
      <c r="XX144" s="5"/>
      <c r="XY144" s="5"/>
      <c r="XZ144" s="5"/>
      <c r="YA144" s="5"/>
      <c r="YB144" s="5"/>
      <c r="YC144" s="5"/>
      <c r="YD144" s="5"/>
      <c r="YE144" s="5"/>
      <c r="YF144" s="5"/>
      <c r="YG144" s="5"/>
      <c r="YH144" s="5"/>
      <c r="YI144" s="5"/>
      <c r="YJ144" s="5"/>
      <c r="YK144" s="5"/>
      <c r="YL144" s="5"/>
      <c r="YM144" s="5"/>
      <c r="YN144" s="5"/>
      <c r="YO144" s="5"/>
      <c r="YP144" s="5"/>
      <c r="YQ144" s="5"/>
      <c r="YR144" s="5"/>
      <c r="YS144" s="5"/>
      <c r="YT144" s="5"/>
      <c r="YU144" s="5"/>
      <c r="YV144" s="5"/>
      <c r="YW144" s="5"/>
      <c r="YX144" s="5"/>
      <c r="YY144" s="5"/>
      <c r="YZ144" s="5"/>
    </row>
    <row r="145" spans="1:676">
      <c r="A145" s="7">
        <v>135</v>
      </c>
      <c r="B145" s="7" t="s">
        <v>348</v>
      </c>
      <c r="C145" s="10" t="s">
        <v>349</v>
      </c>
      <c r="D145" s="7" t="s">
        <v>82</v>
      </c>
      <c r="E145" s="7" t="s">
        <v>178</v>
      </c>
      <c r="F145" s="7" t="s">
        <v>347</v>
      </c>
      <c r="G145" s="7"/>
      <c r="H145" s="7"/>
      <c r="I145" s="11">
        <v>2</v>
      </c>
      <c r="J145" s="11">
        <v>3</v>
      </c>
      <c r="K145" s="11">
        <v>0</v>
      </c>
      <c r="L145" s="11">
        <v>0</v>
      </c>
      <c r="M145" s="11">
        <v>0.16</v>
      </c>
      <c r="N145" s="11">
        <v>0</v>
      </c>
      <c r="O145" s="11">
        <v>0.42</v>
      </c>
      <c r="P145" s="11">
        <v>0</v>
      </c>
      <c r="Q145" s="11">
        <v>0.58</v>
      </c>
      <c r="R145" s="11">
        <v>0</v>
      </c>
      <c r="S145" s="11">
        <v>0.58</v>
      </c>
      <c r="T145" s="11">
        <v>0.58</v>
      </c>
      <c r="U145" s="11">
        <v>0</v>
      </c>
      <c r="V145" s="11">
        <v>0</v>
      </c>
      <c r="W145" s="13">
        <v>2</v>
      </c>
      <c r="X145" s="13">
        <v>3</v>
      </c>
      <c r="Y145" s="13" t="str">
        <f>MIN(W145,S145)</f>
        <v>0</v>
      </c>
      <c r="Z145" s="13" t="str">
        <f>MIN(X145,(S145-Y145))</f>
        <v>0</v>
      </c>
      <c r="AA145" s="13" t="str">
        <f>S145-SUM(Y145,Z145)</f>
        <v>0</v>
      </c>
      <c r="AB145" s="15"/>
      <c r="AC145" s="15"/>
      <c r="AD145" s="1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/>
      <c r="BR145" s="5"/>
      <c r="BS145" s="5"/>
      <c r="BT145" s="5"/>
      <c r="BU145" s="5"/>
      <c r="BV145" s="5"/>
      <c r="BW145" s="5"/>
      <c r="BX145" s="5"/>
      <c r="BY145" s="5"/>
      <c r="BZ145" s="5"/>
      <c r="CA145" s="5"/>
      <c r="CB145" s="5"/>
      <c r="CC145" s="5"/>
      <c r="CD145" s="5"/>
      <c r="CE145" s="5"/>
      <c r="CF145" s="5"/>
      <c r="CG145" s="5"/>
      <c r="CH145" s="5"/>
      <c r="CI145" s="5"/>
      <c r="CJ145" s="5"/>
      <c r="CK145" s="5"/>
      <c r="CL145" s="5"/>
      <c r="CM145" s="5"/>
      <c r="CN145" s="5"/>
      <c r="CO145" s="5"/>
      <c r="CP145" s="5"/>
      <c r="CQ145" s="5"/>
      <c r="CR145" s="5"/>
      <c r="CS145" s="5"/>
      <c r="CT145" s="5"/>
      <c r="CU145" s="5"/>
      <c r="CV145" s="5"/>
      <c r="CW145" s="5"/>
      <c r="CX145" s="5"/>
      <c r="CY145" s="5"/>
      <c r="CZ145" s="5"/>
      <c r="DA145" s="5"/>
      <c r="DB145" s="5"/>
      <c r="DC145" s="5"/>
      <c r="DD145" s="5"/>
      <c r="DE145" s="5"/>
      <c r="DF145" s="5"/>
      <c r="DG145" s="5"/>
      <c r="DH145" s="5"/>
      <c r="DI145" s="5"/>
      <c r="DJ145" s="5"/>
      <c r="DK145" s="5"/>
      <c r="DL145" s="5"/>
      <c r="DM145" s="5"/>
      <c r="DN145" s="5"/>
      <c r="DO145" s="5"/>
      <c r="DP145" s="5"/>
      <c r="DQ145" s="5"/>
      <c r="DR145" s="5"/>
      <c r="DS145" s="5"/>
      <c r="DT145" s="5"/>
      <c r="DU145" s="5"/>
      <c r="DV145" s="5"/>
      <c r="DW145" s="5"/>
      <c r="DX145" s="5"/>
      <c r="DY145" s="5"/>
      <c r="DZ145" s="5"/>
      <c r="EA145" s="5"/>
      <c r="EB145" s="5"/>
      <c r="EC145" s="5"/>
      <c r="ED145" s="5"/>
      <c r="EE145" s="5"/>
      <c r="EF145" s="5"/>
      <c r="EG145" s="5"/>
      <c r="EH145" s="5"/>
      <c r="EI145" s="5"/>
      <c r="EJ145" s="5"/>
      <c r="EK145" s="5"/>
      <c r="EL145" s="5"/>
      <c r="EM145" s="5"/>
      <c r="EN145" s="5"/>
      <c r="EO145" s="5"/>
      <c r="EP145" s="5"/>
      <c r="EQ145" s="5"/>
      <c r="ER145" s="5"/>
      <c r="ES145" s="5"/>
      <c r="ET145" s="5"/>
      <c r="EU145" s="5"/>
      <c r="EV145" s="5"/>
      <c r="EW145" s="5"/>
      <c r="EX145" s="5"/>
      <c r="EY145" s="5"/>
      <c r="EZ145" s="5"/>
      <c r="FA145" s="5"/>
      <c r="FB145" s="5"/>
      <c r="FC145" s="5"/>
      <c r="FD145" s="5"/>
      <c r="FE145" s="5"/>
      <c r="FF145" s="5"/>
      <c r="FG145" s="5"/>
      <c r="FH145" s="5"/>
      <c r="FI145" s="5"/>
      <c r="FJ145" s="5"/>
      <c r="FK145" s="5"/>
      <c r="FL145" s="5"/>
      <c r="FM145" s="5"/>
      <c r="FN145" s="5"/>
      <c r="FO145" s="5"/>
      <c r="FP145" s="5"/>
      <c r="FQ145" s="5"/>
      <c r="FR145" s="5"/>
      <c r="FS145" s="5"/>
      <c r="FT145" s="5"/>
      <c r="FU145" s="5"/>
      <c r="FV145" s="5"/>
      <c r="FW145" s="5"/>
      <c r="FX145" s="5"/>
      <c r="FY145" s="5"/>
      <c r="FZ145" s="5"/>
      <c r="GA145" s="5"/>
      <c r="GB145" s="5"/>
      <c r="GC145" s="5"/>
      <c r="GD145" s="5"/>
      <c r="GE145" s="5"/>
      <c r="GF145" s="5"/>
      <c r="GG145" s="5"/>
      <c r="GH145" s="5"/>
      <c r="GI145" s="5"/>
      <c r="GJ145" s="5"/>
      <c r="GK145" s="5"/>
      <c r="GL145" s="5"/>
      <c r="GM145" s="5"/>
      <c r="GN145" s="5"/>
      <c r="GO145" s="5"/>
      <c r="GP145" s="5"/>
      <c r="GQ145" s="5"/>
      <c r="GR145" s="5"/>
      <c r="GS145" s="5"/>
      <c r="GT145" s="5"/>
      <c r="GU145" s="5"/>
      <c r="GV145" s="5"/>
      <c r="GW145" s="5"/>
      <c r="GX145" s="5"/>
      <c r="GY145" s="5"/>
      <c r="GZ145" s="5"/>
      <c r="HA145" s="5"/>
      <c r="HB145" s="5"/>
      <c r="HC145" s="5"/>
      <c r="HD145" s="5"/>
      <c r="HE145" s="5"/>
      <c r="HF145" s="5"/>
      <c r="HG145" s="5"/>
      <c r="HH145" s="5"/>
      <c r="HI145" s="5"/>
      <c r="HJ145" s="5"/>
      <c r="HK145" s="5"/>
      <c r="HL145" s="5"/>
      <c r="HM145" s="5"/>
      <c r="HN145" s="5"/>
      <c r="HO145" s="5"/>
      <c r="HP145" s="5"/>
      <c r="HQ145" s="5"/>
      <c r="HR145" s="5"/>
      <c r="HS145" s="5"/>
      <c r="HT145" s="5"/>
      <c r="HU145" s="5"/>
      <c r="HV145" s="5"/>
      <c r="HW145" s="5"/>
      <c r="HX145" s="5"/>
      <c r="HY145" s="5"/>
      <c r="HZ145" s="5"/>
      <c r="IA145" s="5"/>
      <c r="IB145" s="5"/>
      <c r="IC145" s="5"/>
      <c r="ID145" s="5"/>
      <c r="IE145" s="5"/>
      <c r="IF145" s="5"/>
      <c r="IG145" s="5"/>
      <c r="IH145" s="5"/>
      <c r="II145" s="5"/>
      <c r="IJ145" s="5"/>
      <c r="IK145" s="5"/>
      <c r="IL145" s="5"/>
      <c r="IM145" s="5"/>
      <c r="IN145" s="5"/>
      <c r="IO145" s="5"/>
      <c r="IP145" s="5"/>
      <c r="IQ145" s="5"/>
      <c r="IR145" s="5"/>
      <c r="IS145" s="5"/>
      <c r="IT145" s="5"/>
      <c r="IU145" s="5"/>
      <c r="IV145" s="5"/>
      <c r="IW145" s="5"/>
      <c r="IX145" s="5"/>
      <c r="IY145" s="5"/>
      <c r="IZ145" s="5"/>
      <c r="JA145" s="5"/>
      <c r="JB145" s="5"/>
      <c r="JC145" s="5"/>
      <c r="JD145" s="5"/>
      <c r="JE145" s="5"/>
      <c r="JF145" s="5"/>
      <c r="JG145" s="5"/>
      <c r="JH145" s="5"/>
      <c r="JI145" s="5"/>
      <c r="JJ145" s="5"/>
      <c r="JK145" s="5"/>
      <c r="JL145" s="5"/>
      <c r="JM145" s="5"/>
      <c r="JN145" s="5"/>
      <c r="JO145" s="5"/>
      <c r="JP145" s="5"/>
      <c r="JQ145" s="5"/>
      <c r="JR145" s="5"/>
      <c r="JS145" s="5"/>
      <c r="JT145" s="5"/>
      <c r="JU145" s="5"/>
      <c r="JV145" s="5"/>
      <c r="JW145" s="5"/>
      <c r="JX145" s="5"/>
      <c r="JY145" s="5"/>
      <c r="JZ145" s="5"/>
      <c r="KA145" s="5"/>
      <c r="KB145" s="5"/>
      <c r="KC145" s="5"/>
      <c r="KD145" s="5"/>
      <c r="KE145" s="5"/>
      <c r="KF145" s="5"/>
      <c r="KG145" s="5"/>
      <c r="KH145" s="5"/>
      <c r="KI145" s="5"/>
      <c r="KJ145" s="5"/>
      <c r="KK145" s="5"/>
      <c r="KL145" s="5"/>
      <c r="KM145" s="5"/>
      <c r="KN145" s="5"/>
      <c r="KO145" s="5"/>
      <c r="KP145" s="5"/>
      <c r="KQ145" s="5"/>
      <c r="KR145" s="5"/>
      <c r="KS145" s="5"/>
      <c r="KT145" s="5"/>
      <c r="KU145" s="5"/>
      <c r="KV145" s="5"/>
      <c r="KW145" s="5"/>
      <c r="KX145" s="5"/>
      <c r="KY145" s="5"/>
      <c r="KZ145" s="5"/>
      <c r="LA145" s="5"/>
      <c r="LB145" s="5"/>
      <c r="LC145" s="5"/>
      <c r="LD145" s="5"/>
      <c r="LE145" s="5"/>
      <c r="LF145" s="5"/>
      <c r="LG145" s="5"/>
      <c r="LH145" s="5"/>
      <c r="LI145" s="5"/>
      <c r="LJ145" s="5"/>
      <c r="LK145" s="5"/>
      <c r="LL145" s="5"/>
      <c r="LM145" s="5"/>
      <c r="LN145" s="5"/>
      <c r="LO145" s="5"/>
      <c r="LP145" s="5"/>
      <c r="LQ145" s="5"/>
      <c r="LR145" s="5"/>
      <c r="LS145" s="5"/>
      <c r="LT145" s="5"/>
      <c r="LU145" s="5"/>
      <c r="LV145" s="5"/>
      <c r="LW145" s="5"/>
      <c r="LX145" s="5"/>
      <c r="LY145" s="5"/>
      <c r="LZ145" s="5"/>
      <c r="MA145" s="5"/>
      <c r="MB145" s="5"/>
      <c r="MC145" s="5"/>
      <c r="MD145" s="5"/>
      <c r="ME145" s="5"/>
      <c r="MF145" s="5"/>
      <c r="MG145" s="5"/>
      <c r="MH145" s="5"/>
      <c r="MI145" s="5"/>
      <c r="MJ145" s="5"/>
      <c r="MK145" s="5"/>
      <c r="ML145" s="5"/>
      <c r="MM145" s="5"/>
      <c r="MN145" s="5"/>
      <c r="MO145" s="5"/>
      <c r="MP145" s="5"/>
      <c r="MQ145" s="5"/>
      <c r="MR145" s="5"/>
      <c r="MS145" s="5"/>
      <c r="MT145" s="5"/>
      <c r="MU145" s="5"/>
      <c r="MV145" s="5"/>
      <c r="MW145" s="5"/>
      <c r="MX145" s="5"/>
      <c r="MY145" s="5"/>
      <c r="MZ145" s="5"/>
      <c r="NA145" s="5"/>
      <c r="NB145" s="5"/>
      <c r="NC145" s="5"/>
      <c r="ND145" s="5"/>
      <c r="NE145" s="5"/>
      <c r="NF145" s="5"/>
      <c r="NG145" s="5"/>
      <c r="NH145" s="5"/>
      <c r="NI145" s="5"/>
      <c r="NJ145" s="5"/>
      <c r="NK145" s="5"/>
      <c r="NL145" s="5"/>
      <c r="NM145" s="5"/>
      <c r="NN145" s="5"/>
      <c r="NO145" s="5"/>
      <c r="NP145" s="5"/>
      <c r="NQ145" s="5"/>
      <c r="NR145" s="5"/>
      <c r="NS145" s="5"/>
      <c r="NT145" s="5"/>
      <c r="NU145" s="5"/>
      <c r="NV145" s="5"/>
      <c r="NW145" s="5"/>
      <c r="NX145" s="5"/>
      <c r="NY145" s="5"/>
      <c r="NZ145" s="5"/>
      <c r="OA145" s="5"/>
      <c r="OB145" s="5"/>
      <c r="OC145" s="5"/>
      <c r="OD145" s="5"/>
      <c r="OE145" s="5"/>
      <c r="OF145" s="5"/>
      <c r="OG145" s="5"/>
      <c r="OH145" s="5"/>
      <c r="OI145" s="5"/>
      <c r="OJ145" s="5"/>
      <c r="OK145" s="5"/>
      <c r="OL145" s="5"/>
      <c r="OM145" s="5"/>
      <c r="ON145" s="5"/>
      <c r="OO145" s="5"/>
      <c r="OP145" s="5"/>
      <c r="OQ145" s="5"/>
      <c r="OR145" s="5"/>
      <c r="OS145" s="5"/>
      <c r="OT145" s="5"/>
      <c r="OU145" s="5"/>
      <c r="OV145" s="5"/>
      <c r="OW145" s="5"/>
      <c r="OX145" s="5"/>
      <c r="OY145" s="5"/>
      <c r="OZ145" s="5"/>
      <c r="PA145" s="5"/>
      <c r="PB145" s="5"/>
      <c r="PC145" s="5"/>
      <c r="PD145" s="5"/>
      <c r="PE145" s="5"/>
      <c r="PF145" s="5"/>
      <c r="PG145" s="5"/>
      <c r="PH145" s="5"/>
      <c r="PI145" s="5"/>
      <c r="PJ145" s="5"/>
      <c r="PK145" s="5"/>
      <c r="PL145" s="5"/>
      <c r="PM145" s="5"/>
      <c r="PN145" s="5"/>
      <c r="PO145" s="5"/>
      <c r="PP145" s="5"/>
      <c r="PQ145" s="5"/>
      <c r="PR145" s="5"/>
      <c r="PS145" s="5"/>
      <c r="PT145" s="5"/>
      <c r="PU145" s="5"/>
      <c r="PV145" s="5"/>
      <c r="PW145" s="5"/>
      <c r="PX145" s="5"/>
      <c r="PY145" s="5"/>
      <c r="PZ145" s="5"/>
      <c r="QA145" s="5"/>
      <c r="QB145" s="5"/>
      <c r="QC145" s="5"/>
      <c r="QD145" s="5"/>
      <c r="QE145" s="5"/>
      <c r="QF145" s="5"/>
      <c r="QG145" s="5"/>
      <c r="QH145" s="5"/>
      <c r="QI145" s="5"/>
      <c r="QJ145" s="5"/>
      <c r="QK145" s="5"/>
      <c r="QL145" s="5"/>
      <c r="QM145" s="5"/>
      <c r="QN145" s="5"/>
      <c r="QO145" s="5"/>
      <c r="QP145" s="5"/>
      <c r="QQ145" s="5"/>
      <c r="QR145" s="5"/>
      <c r="QS145" s="5"/>
      <c r="QT145" s="5"/>
      <c r="QU145" s="5"/>
      <c r="QV145" s="5"/>
      <c r="QW145" s="5"/>
      <c r="QX145" s="5"/>
      <c r="QY145" s="5"/>
      <c r="QZ145" s="5"/>
      <c r="RA145" s="5"/>
      <c r="RB145" s="5"/>
      <c r="RC145" s="5"/>
      <c r="RD145" s="5"/>
      <c r="RE145" s="5"/>
      <c r="RF145" s="5"/>
      <c r="RG145" s="5"/>
      <c r="RH145" s="5"/>
      <c r="RI145" s="5"/>
      <c r="RJ145" s="5"/>
      <c r="RK145" s="5"/>
      <c r="RL145" s="5"/>
      <c r="RM145" s="5"/>
      <c r="RN145" s="5"/>
      <c r="RO145" s="5"/>
      <c r="RP145" s="5"/>
      <c r="RQ145" s="5"/>
      <c r="RR145" s="5"/>
      <c r="RS145" s="5"/>
      <c r="RT145" s="5"/>
      <c r="RU145" s="5"/>
      <c r="RV145" s="5"/>
      <c r="RW145" s="5"/>
      <c r="RX145" s="5"/>
      <c r="RY145" s="5"/>
      <c r="RZ145" s="5"/>
      <c r="SA145" s="5"/>
      <c r="SB145" s="5"/>
      <c r="SC145" s="5"/>
      <c r="SD145" s="5"/>
      <c r="SE145" s="5"/>
      <c r="SF145" s="5"/>
      <c r="SG145" s="5"/>
      <c r="SH145" s="5"/>
      <c r="SI145" s="5"/>
      <c r="SJ145" s="5"/>
      <c r="SK145" s="5"/>
      <c r="SL145" s="5"/>
      <c r="SM145" s="5"/>
      <c r="SN145" s="5"/>
      <c r="SO145" s="5"/>
      <c r="SP145" s="5"/>
      <c r="SQ145" s="5"/>
      <c r="SR145" s="5"/>
      <c r="SS145" s="5"/>
      <c r="ST145" s="5"/>
      <c r="SU145" s="5"/>
      <c r="SV145" s="5"/>
      <c r="SW145" s="5"/>
      <c r="SX145" s="5"/>
      <c r="SY145" s="5"/>
      <c r="SZ145" s="5"/>
      <c r="TA145" s="5"/>
      <c r="TB145" s="5"/>
      <c r="TC145" s="5"/>
      <c r="TD145" s="5"/>
      <c r="TE145" s="5"/>
      <c r="TF145" s="5"/>
      <c r="TG145" s="5"/>
      <c r="TH145" s="5"/>
      <c r="TI145" s="5"/>
      <c r="TJ145" s="5"/>
      <c r="TK145" s="5"/>
      <c r="TL145" s="5"/>
      <c r="TM145" s="5"/>
      <c r="TN145" s="5"/>
      <c r="TO145" s="5"/>
      <c r="TP145" s="5"/>
      <c r="TQ145" s="5"/>
      <c r="TR145" s="5"/>
      <c r="TS145" s="5"/>
      <c r="TT145" s="5"/>
      <c r="TU145" s="5"/>
      <c r="TV145" s="5"/>
      <c r="TW145" s="5"/>
      <c r="TX145" s="5"/>
      <c r="TY145" s="5"/>
      <c r="TZ145" s="5"/>
      <c r="UA145" s="5"/>
      <c r="UB145" s="5"/>
      <c r="UC145" s="5"/>
      <c r="UD145" s="5"/>
      <c r="UE145" s="5"/>
      <c r="UF145" s="5"/>
      <c r="UG145" s="5"/>
      <c r="UH145" s="5"/>
      <c r="UI145" s="5"/>
      <c r="UJ145" s="5"/>
      <c r="UK145" s="5"/>
      <c r="UL145" s="5"/>
      <c r="UM145" s="5"/>
      <c r="UN145" s="5"/>
      <c r="UO145" s="5"/>
      <c r="UP145" s="5"/>
      <c r="UQ145" s="5"/>
      <c r="UR145" s="5"/>
      <c r="US145" s="5"/>
      <c r="UT145" s="5"/>
      <c r="UU145" s="5"/>
      <c r="UV145" s="5"/>
      <c r="UW145" s="5"/>
      <c r="UX145" s="5"/>
      <c r="UY145" s="5"/>
      <c r="UZ145" s="5"/>
      <c r="VA145" s="5"/>
      <c r="VB145" s="5"/>
      <c r="VC145" s="5"/>
      <c r="VD145" s="5"/>
      <c r="VE145" s="5"/>
      <c r="VF145" s="5"/>
      <c r="VG145" s="5"/>
      <c r="VH145" s="5"/>
      <c r="VI145" s="5"/>
      <c r="VJ145" s="5"/>
      <c r="VK145" s="5"/>
      <c r="VL145" s="5"/>
      <c r="VM145" s="5"/>
      <c r="VN145" s="5"/>
      <c r="VO145" s="5"/>
      <c r="VP145" s="5"/>
      <c r="VQ145" s="5"/>
      <c r="VR145" s="5"/>
      <c r="VS145" s="5"/>
      <c r="VT145" s="5"/>
      <c r="VU145" s="5"/>
      <c r="VV145" s="5"/>
      <c r="VW145" s="5"/>
      <c r="VX145" s="5"/>
      <c r="VY145" s="5"/>
      <c r="VZ145" s="5"/>
      <c r="WA145" s="5"/>
      <c r="WB145" s="5"/>
      <c r="WC145" s="5"/>
      <c r="WD145" s="5"/>
      <c r="WE145" s="5"/>
      <c r="WF145" s="5"/>
      <c r="WG145" s="5"/>
      <c r="WH145" s="5"/>
      <c r="WI145" s="5"/>
      <c r="WJ145" s="5"/>
      <c r="WK145" s="5"/>
      <c r="WL145" s="5"/>
      <c r="WM145" s="5"/>
      <c r="WN145" s="5"/>
      <c r="WO145" s="5"/>
      <c r="WP145" s="5"/>
      <c r="WQ145" s="5"/>
      <c r="WR145" s="5"/>
      <c r="WS145" s="5"/>
      <c r="WT145" s="5"/>
      <c r="WU145" s="5"/>
      <c r="WV145" s="5"/>
      <c r="WW145" s="5"/>
      <c r="WX145" s="5"/>
      <c r="WY145" s="5"/>
      <c r="WZ145" s="5"/>
      <c r="XA145" s="5"/>
      <c r="XB145" s="5"/>
      <c r="XC145" s="5"/>
      <c r="XD145" s="5"/>
      <c r="XE145" s="5"/>
      <c r="XF145" s="5"/>
      <c r="XG145" s="5"/>
      <c r="XH145" s="5"/>
      <c r="XI145" s="5"/>
      <c r="XJ145" s="5"/>
      <c r="XK145" s="5"/>
      <c r="XL145" s="5"/>
      <c r="XM145" s="5"/>
      <c r="XN145" s="5"/>
      <c r="XO145" s="5"/>
      <c r="XP145" s="5"/>
      <c r="XQ145" s="5"/>
      <c r="XR145" s="5"/>
      <c r="XS145" s="5"/>
      <c r="XT145" s="5"/>
      <c r="XU145" s="5"/>
      <c r="XV145" s="5"/>
      <c r="XW145" s="5"/>
      <c r="XX145" s="5"/>
      <c r="XY145" s="5"/>
      <c r="XZ145" s="5"/>
      <c r="YA145" s="5"/>
      <c r="YB145" s="5"/>
      <c r="YC145" s="5"/>
      <c r="YD145" s="5"/>
      <c r="YE145" s="5"/>
      <c r="YF145" s="5"/>
      <c r="YG145" s="5"/>
      <c r="YH145" s="5"/>
      <c r="YI145" s="5"/>
      <c r="YJ145" s="5"/>
      <c r="YK145" s="5"/>
      <c r="YL145" s="5"/>
      <c r="YM145" s="5"/>
      <c r="YN145" s="5"/>
      <c r="YO145" s="5"/>
      <c r="YP145" s="5"/>
      <c r="YQ145" s="5"/>
      <c r="YR145" s="5"/>
      <c r="YS145" s="5"/>
      <c r="YT145" s="5"/>
      <c r="YU145" s="5"/>
      <c r="YV145" s="5"/>
      <c r="YW145" s="5"/>
      <c r="YX145" s="5"/>
      <c r="YY145" s="5"/>
      <c r="YZ145" s="5"/>
    </row>
    <row r="146" spans="1:676">
      <c r="A146" s="7">
        <v>136</v>
      </c>
      <c r="B146" s="7" t="s">
        <v>350</v>
      </c>
      <c r="C146" s="10" t="s">
        <v>351</v>
      </c>
      <c r="D146" s="7" t="s">
        <v>60</v>
      </c>
      <c r="E146" s="7" t="s">
        <v>120</v>
      </c>
      <c r="F146" s="7" t="s">
        <v>352</v>
      </c>
      <c r="G146" s="7"/>
      <c r="H146" s="7"/>
      <c r="I146" s="11">
        <v>2</v>
      </c>
      <c r="J146" s="11">
        <v>0</v>
      </c>
      <c r="K146" s="11">
        <v>0</v>
      </c>
      <c r="L146" s="11">
        <v>0</v>
      </c>
      <c r="M146" s="11">
        <v>0</v>
      </c>
      <c r="N146" s="11">
        <v>0</v>
      </c>
      <c r="O146" s="11">
        <v>0</v>
      </c>
      <c r="P146" s="11">
        <v>0</v>
      </c>
      <c r="Q146" s="11">
        <v>0</v>
      </c>
      <c r="R146" s="11">
        <v>0</v>
      </c>
      <c r="S146" s="11">
        <v>0</v>
      </c>
      <c r="T146" s="11">
        <v>0</v>
      </c>
      <c r="U146" s="11">
        <v>0</v>
      </c>
      <c r="V146" s="11">
        <v>0</v>
      </c>
      <c r="W146" s="13">
        <v>2</v>
      </c>
      <c r="X146" s="13">
        <v>0</v>
      </c>
      <c r="Y146" s="13" t="str">
        <f>MIN(W146,S146)</f>
        <v>0</v>
      </c>
      <c r="Z146" s="13" t="str">
        <f>MIN(X146,(S146-Y146))</f>
        <v>0</v>
      </c>
      <c r="AA146" s="13" t="str">
        <f>S146-SUM(Y146,Z146)</f>
        <v>0</v>
      </c>
      <c r="AB146" s="15"/>
      <c r="AC146" s="15"/>
      <c r="AD146" s="1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5"/>
      <c r="BS146" s="5"/>
      <c r="BT146" s="5"/>
      <c r="BU146" s="5"/>
      <c r="BV146" s="5"/>
      <c r="BW146" s="5"/>
      <c r="BX146" s="5"/>
      <c r="BY146" s="5"/>
      <c r="BZ146" s="5"/>
      <c r="CA146" s="5"/>
      <c r="CB146" s="5"/>
      <c r="CC146" s="5"/>
      <c r="CD146" s="5"/>
      <c r="CE146" s="5"/>
      <c r="CF146" s="5"/>
      <c r="CG146" s="5"/>
      <c r="CH146" s="5"/>
      <c r="CI146" s="5"/>
      <c r="CJ146" s="5"/>
      <c r="CK146" s="5"/>
      <c r="CL146" s="5"/>
      <c r="CM146" s="5"/>
      <c r="CN146" s="5"/>
      <c r="CO146" s="5"/>
      <c r="CP146" s="5"/>
      <c r="CQ146" s="5"/>
      <c r="CR146" s="5"/>
      <c r="CS146" s="5"/>
      <c r="CT146" s="5"/>
      <c r="CU146" s="5"/>
      <c r="CV146" s="5"/>
      <c r="CW146" s="5"/>
      <c r="CX146" s="5"/>
      <c r="CY146" s="5"/>
      <c r="CZ146" s="5"/>
      <c r="DA146" s="5"/>
      <c r="DB146" s="5"/>
      <c r="DC146" s="5"/>
      <c r="DD146" s="5"/>
      <c r="DE146" s="5"/>
      <c r="DF146" s="5"/>
      <c r="DG146" s="5"/>
      <c r="DH146" s="5"/>
      <c r="DI146" s="5"/>
      <c r="DJ146" s="5"/>
      <c r="DK146" s="5"/>
      <c r="DL146" s="5"/>
      <c r="DM146" s="5"/>
      <c r="DN146" s="5"/>
      <c r="DO146" s="5"/>
      <c r="DP146" s="5"/>
      <c r="DQ146" s="5"/>
      <c r="DR146" s="5"/>
      <c r="DS146" s="5"/>
      <c r="DT146" s="5"/>
      <c r="DU146" s="5"/>
      <c r="DV146" s="5"/>
      <c r="DW146" s="5"/>
      <c r="DX146" s="5"/>
      <c r="DY146" s="5"/>
      <c r="DZ146" s="5"/>
      <c r="EA146" s="5"/>
      <c r="EB146" s="5"/>
      <c r="EC146" s="5"/>
      <c r="ED146" s="5"/>
      <c r="EE146" s="5"/>
      <c r="EF146" s="5"/>
      <c r="EG146" s="5"/>
      <c r="EH146" s="5"/>
      <c r="EI146" s="5"/>
      <c r="EJ146" s="5"/>
      <c r="EK146" s="5"/>
      <c r="EL146" s="5"/>
      <c r="EM146" s="5"/>
      <c r="EN146" s="5"/>
      <c r="EO146" s="5"/>
      <c r="EP146" s="5"/>
      <c r="EQ146" s="5"/>
      <c r="ER146" s="5"/>
      <c r="ES146" s="5"/>
      <c r="ET146" s="5"/>
      <c r="EU146" s="5"/>
      <c r="EV146" s="5"/>
      <c r="EW146" s="5"/>
      <c r="EX146" s="5"/>
      <c r="EY146" s="5"/>
      <c r="EZ146" s="5"/>
      <c r="FA146" s="5"/>
      <c r="FB146" s="5"/>
      <c r="FC146" s="5"/>
      <c r="FD146" s="5"/>
      <c r="FE146" s="5"/>
      <c r="FF146" s="5"/>
      <c r="FG146" s="5"/>
      <c r="FH146" s="5"/>
      <c r="FI146" s="5"/>
      <c r="FJ146" s="5"/>
      <c r="FK146" s="5"/>
      <c r="FL146" s="5"/>
      <c r="FM146" s="5"/>
      <c r="FN146" s="5"/>
      <c r="FO146" s="5"/>
      <c r="FP146" s="5"/>
      <c r="FQ146" s="5"/>
      <c r="FR146" s="5"/>
      <c r="FS146" s="5"/>
      <c r="FT146" s="5"/>
      <c r="FU146" s="5"/>
      <c r="FV146" s="5"/>
      <c r="FW146" s="5"/>
      <c r="FX146" s="5"/>
      <c r="FY146" s="5"/>
      <c r="FZ146" s="5"/>
      <c r="GA146" s="5"/>
      <c r="GB146" s="5"/>
      <c r="GC146" s="5"/>
      <c r="GD146" s="5"/>
      <c r="GE146" s="5"/>
      <c r="GF146" s="5"/>
      <c r="GG146" s="5"/>
      <c r="GH146" s="5"/>
      <c r="GI146" s="5"/>
      <c r="GJ146" s="5"/>
      <c r="GK146" s="5"/>
      <c r="GL146" s="5"/>
      <c r="GM146" s="5"/>
      <c r="GN146" s="5"/>
      <c r="GO146" s="5"/>
      <c r="GP146" s="5"/>
      <c r="GQ146" s="5"/>
      <c r="GR146" s="5"/>
      <c r="GS146" s="5"/>
      <c r="GT146" s="5"/>
      <c r="GU146" s="5"/>
      <c r="GV146" s="5"/>
      <c r="GW146" s="5"/>
      <c r="GX146" s="5"/>
      <c r="GY146" s="5"/>
      <c r="GZ146" s="5"/>
      <c r="HA146" s="5"/>
      <c r="HB146" s="5"/>
      <c r="HC146" s="5"/>
      <c r="HD146" s="5"/>
      <c r="HE146" s="5"/>
      <c r="HF146" s="5"/>
      <c r="HG146" s="5"/>
      <c r="HH146" s="5"/>
      <c r="HI146" s="5"/>
      <c r="HJ146" s="5"/>
      <c r="HK146" s="5"/>
      <c r="HL146" s="5"/>
      <c r="HM146" s="5"/>
      <c r="HN146" s="5"/>
      <c r="HO146" s="5"/>
      <c r="HP146" s="5"/>
      <c r="HQ146" s="5"/>
      <c r="HR146" s="5"/>
      <c r="HS146" s="5"/>
      <c r="HT146" s="5"/>
      <c r="HU146" s="5"/>
      <c r="HV146" s="5"/>
      <c r="HW146" s="5"/>
      <c r="HX146" s="5"/>
      <c r="HY146" s="5"/>
      <c r="HZ146" s="5"/>
      <c r="IA146" s="5"/>
      <c r="IB146" s="5"/>
      <c r="IC146" s="5"/>
      <c r="ID146" s="5"/>
      <c r="IE146" s="5"/>
      <c r="IF146" s="5"/>
      <c r="IG146" s="5"/>
      <c r="IH146" s="5"/>
      <c r="II146" s="5"/>
      <c r="IJ146" s="5"/>
      <c r="IK146" s="5"/>
      <c r="IL146" s="5"/>
      <c r="IM146" s="5"/>
      <c r="IN146" s="5"/>
      <c r="IO146" s="5"/>
      <c r="IP146" s="5"/>
      <c r="IQ146" s="5"/>
      <c r="IR146" s="5"/>
      <c r="IS146" s="5"/>
      <c r="IT146" s="5"/>
      <c r="IU146" s="5"/>
      <c r="IV146" s="5"/>
      <c r="IW146" s="5"/>
      <c r="IX146" s="5"/>
      <c r="IY146" s="5"/>
      <c r="IZ146" s="5"/>
      <c r="JA146" s="5"/>
      <c r="JB146" s="5"/>
      <c r="JC146" s="5"/>
      <c r="JD146" s="5"/>
      <c r="JE146" s="5"/>
      <c r="JF146" s="5"/>
      <c r="JG146" s="5"/>
      <c r="JH146" s="5"/>
      <c r="JI146" s="5"/>
      <c r="JJ146" s="5"/>
      <c r="JK146" s="5"/>
      <c r="JL146" s="5"/>
      <c r="JM146" s="5"/>
      <c r="JN146" s="5"/>
      <c r="JO146" s="5"/>
      <c r="JP146" s="5"/>
      <c r="JQ146" s="5"/>
      <c r="JR146" s="5"/>
      <c r="JS146" s="5"/>
      <c r="JT146" s="5"/>
      <c r="JU146" s="5"/>
      <c r="JV146" s="5"/>
      <c r="JW146" s="5"/>
      <c r="JX146" s="5"/>
      <c r="JY146" s="5"/>
      <c r="JZ146" s="5"/>
      <c r="KA146" s="5"/>
      <c r="KB146" s="5"/>
      <c r="KC146" s="5"/>
      <c r="KD146" s="5"/>
      <c r="KE146" s="5"/>
      <c r="KF146" s="5"/>
      <c r="KG146" s="5"/>
      <c r="KH146" s="5"/>
      <c r="KI146" s="5"/>
      <c r="KJ146" s="5"/>
      <c r="KK146" s="5"/>
      <c r="KL146" s="5"/>
      <c r="KM146" s="5"/>
      <c r="KN146" s="5"/>
      <c r="KO146" s="5"/>
      <c r="KP146" s="5"/>
      <c r="KQ146" s="5"/>
      <c r="KR146" s="5"/>
      <c r="KS146" s="5"/>
      <c r="KT146" s="5"/>
      <c r="KU146" s="5"/>
      <c r="KV146" s="5"/>
      <c r="KW146" s="5"/>
      <c r="KX146" s="5"/>
      <c r="KY146" s="5"/>
      <c r="KZ146" s="5"/>
      <c r="LA146" s="5"/>
      <c r="LB146" s="5"/>
      <c r="LC146" s="5"/>
      <c r="LD146" s="5"/>
      <c r="LE146" s="5"/>
      <c r="LF146" s="5"/>
      <c r="LG146" s="5"/>
      <c r="LH146" s="5"/>
      <c r="LI146" s="5"/>
      <c r="LJ146" s="5"/>
      <c r="LK146" s="5"/>
      <c r="LL146" s="5"/>
      <c r="LM146" s="5"/>
      <c r="LN146" s="5"/>
      <c r="LO146" s="5"/>
      <c r="LP146" s="5"/>
      <c r="LQ146" s="5"/>
      <c r="LR146" s="5"/>
      <c r="LS146" s="5"/>
      <c r="LT146" s="5"/>
      <c r="LU146" s="5"/>
      <c r="LV146" s="5"/>
      <c r="LW146" s="5"/>
      <c r="LX146" s="5"/>
      <c r="LY146" s="5"/>
      <c r="LZ146" s="5"/>
      <c r="MA146" s="5"/>
      <c r="MB146" s="5"/>
      <c r="MC146" s="5"/>
      <c r="MD146" s="5"/>
      <c r="ME146" s="5"/>
      <c r="MF146" s="5"/>
      <c r="MG146" s="5"/>
      <c r="MH146" s="5"/>
      <c r="MI146" s="5"/>
      <c r="MJ146" s="5"/>
      <c r="MK146" s="5"/>
      <c r="ML146" s="5"/>
      <c r="MM146" s="5"/>
      <c r="MN146" s="5"/>
      <c r="MO146" s="5"/>
      <c r="MP146" s="5"/>
      <c r="MQ146" s="5"/>
      <c r="MR146" s="5"/>
      <c r="MS146" s="5"/>
      <c r="MT146" s="5"/>
      <c r="MU146" s="5"/>
      <c r="MV146" s="5"/>
      <c r="MW146" s="5"/>
      <c r="MX146" s="5"/>
      <c r="MY146" s="5"/>
      <c r="MZ146" s="5"/>
      <c r="NA146" s="5"/>
      <c r="NB146" s="5"/>
      <c r="NC146" s="5"/>
      <c r="ND146" s="5"/>
      <c r="NE146" s="5"/>
      <c r="NF146" s="5"/>
      <c r="NG146" s="5"/>
      <c r="NH146" s="5"/>
      <c r="NI146" s="5"/>
      <c r="NJ146" s="5"/>
      <c r="NK146" s="5"/>
      <c r="NL146" s="5"/>
      <c r="NM146" s="5"/>
      <c r="NN146" s="5"/>
      <c r="NO146" s="5"/>
      <c r="NP146" s="5"/>
      <c r="NQ146" s="5"/>
      <c r="NR146" s="5"/>
      <c r="NS146" s="5"/>
      <c r="NT146" s="5"/>
      <c r="NU146" s="5"/>
      <c r="NV146" s="5"/>
      <c r="NW146" s="5"/>
      <c r="NX146" s="5"/>
      <c r="NY146" s="5"/>
      <c r="NZ146" s="5"/>
      <c r="OA146" s="5"/>
      <c r="OB146" s="5"/>
      <c r="OC146" s="5"/>
      <c r="OD146" s="5"/>
      <c r="OE146" s="5"/>
      <c r="OF146" s="5"/>
      <c r="OG146" s="5"/>
      <c r="OH146" s="5"/>
      <c r="OI146" s="5"/>
      <c r="OJ146" s="5"/>
      <c r="OK146" s="5"/>
      <c r="OL146" s="5"/>
      <c r="OM146" s="5"/>
      <c r="ON146" s="5"/>
      <c r="OO146" s="5"/>
      <c r="OP146" s="5"/>
      <c r="OQ146" s="5"/>
      <c r="OR146" s="5"/>
      <c r="OS146" s="5"/>
      <c r="OT146" s="5"/>
      <c r="OU146" s="5"/>
      <c r="OV146" s="5"/>
      <c r="OW146" s="5"/>
      <c r="OX146" s="5"/>
      <c r="OY146" s="5"/>
      <c r="OZ146" s="5"/>
      <c r="PA146" s="5"/>
      <c r="PB146" s="5"/>
      <c r="PC146" s="5"/>
      <c r="PD146" s="5"/>
      <c r="PE146" s="5"/>
      <c r="PF146" s="5"/>
      <c r="PG146" s="5"/>
      <c r="PH146" s="5"/>
      <c r="PI146" s="5"/>
      <c r="PJ146" s="5"/>
      <c r="PK146" s="5"/>
      <c r="PL146" s="5"/>
      <c r="PM146" s="5"/>
      <c r="PN146" s="5"/>
      <c r="PO146" s="5"/>
      <c r="PP146" s="5"/>
      <c r="PQ146" s="5"/>
      <c r="PR146" s="5"/>
      <c r="PS146" s="5"/>
      <c r="PT146" s="5"/>
      <c r="PU146" s="5"/>
      <c r="PV146" s="5"/>
      <c r="PW146" s="5"/>
      <c r="PX146" s="5"/>
      <c r="PY146" s="5"/>
      <c r="PZ146" s="5"/>
      <c r="QA146" s="5"/>
      <c r="QB146" s="5"/>
      <c r="QC146" s="5"/>
      <c r="QD146" s="5"/>
      <c r="QE146" s="5"/>
      <c r="QF146" s="5"/>
      <c r="QG146" s="5"/>
      <c r="QH146" s="5"/>
      <c r="QI146" s="5"/>
      <c r="QJ146" s="5"/>
      <c r="QK146" s="5"/>
      <c r="QL146" s="5"/>
      <c r="QM146" s="5"/>
      <c r="QN146" s="5"/>
      <c r="QO146" s="5"/>
      <c r="QP146" s="5"/>
      <c r="QQ146" s="5"/>
      <c r="QR146" s="5"/>
      <c r="QS146" s="5"/>
      <c r="QT146" s="5"/>
      <c r="QU146" s="5"/>
      <c r="QV146" s="5"/>
      <c r="QW146" s="5"/>
      <c r="QX146" s="5"/>
      <c r="QY146" s="5"/>
      <c r="QZ146" s="5"/>
      <c r="RA146" s="5"/>
      <c r="RB146" s="5"/>
      <c r="RC146" s="5"/>
      <c r="RD146" s="5"/>
      <c r="RE146" s="5"/>
      <c r="RF146" s="5"/>
      <c r="RG146" s="5"/>
      <c r="RH146" s="5"/>
      <c r="RI146" s="5"/>
      <c r="RJ146" s="5"/>
      <c r="RK146" s="5"/>
      <c r="RL146" s="5"/>
      <c r="RM146" s="5"/>
      <c r="RN146" s="5"/>
      <c r="RO146" s="5"/>
      <c r="RP146" s="5"/>
      <c r="RQ146" s="5"/>
      <c r="RR146" s="5"/>
      <c r="RS146" s="5"/>
      <c r="RT146" s="5"/>
      <c r="RU146" s="5"/>
      <c r="RV146" s="5"/>
      <c r="RW146" s="5"/>
      <c r="RX146" s="5"/>
      <c r="RY146" s="5"/>
      <c r="RZ146" s="5"/>
      <c r="SA146" s="5"/>
      <c r="SB146" s="5"/>
      <c r="SC146" s="5"/>
      <c r="SD146" s="5"/>
      <c r="SE146" s="5"/>
      <c r="SF146" s="5"/>
      <c r="SG146" s="5"/>
      <c r="SH146" s="5"/>
      <c r="SI146" s="5"/>
      <c r="SJ146" s="5"/>
      <c r="SK146" s="5"/>
      <c r="SL146" s="5"/>
      <c r="SM146" s="5"/>
      <c r="SN146" s="5"/>
      <c r="SO146" s="5"/>
      <c r="SP146" s="5"/>
      <c r="SQ146" s="5"/>
      <c r="SR146" s="5"/>
      <c r="SS146" s="5"/>
      <c r="ST146" s="5"/>
      <c r="SU146" s="5"/>
      <c r="SV146" s="5"/>
      <c r="SW146" s="5"/>
      <c r="SX146" s="5"/>
      <c r="SY146" s="5"/>
      <c r="SZ146" s="5"/>
      <c r="TA146" s="5"/>
      <c r="TB146" s="5"/>
      <c r="TC146" s="5"/>
      <c r="TD146" s="5"/>
      <c r="TE146" s="5"/>
      <c r="TF146" s="5"/>
      <c r="TG146" s="5"/>
      <c r="TH146" s="5"/>
      <c r="TI146" s="5"/>
      <c r="TJ146" s="5"/>
      <c r="TK146" s="5"/>
      <c r="TL146" s="5"/>
      <c r="TM146" s="5"/>
      <c r="TN146" s="5"/>
      <c r="TO146" s="5"/>
      <c r="TP146" s="5"/>
      <c r="TQ146" s="5"/>
      <c r="TR146" s="5"/>
      <c r="TS146" s="5"/>
      <c r="TT146" s="5"/>
      <c r="TU146" s="5"/>
      <c r="TV146" s="5"/>
      <c r="TW146" s="5"/>
      <c r="TX146" s="5"/>
      <c r="TY146" s="5"/>
      <c r="TZ146" s="5"/>
      <c r="UA146" s="5"/>
      <c r="UB146" s="5"/>
      <c r="UC146" s="5"/>
      <c r="UD146" s="5"/>
      <c r="UE146" s="5"/>
      <c r="UF146" s="5"/>
      <c r="UG146" s="5"/>
      <c r="UH146" s="5"/>
      <c r="UI146" s="5"/>
      <c r="UJ146" s="5"/>
      <c r="UK146" s="5"/>
      <c r="UL146" s="5"/>
      <c r="UM146" s="5"/>
      <c r="UN146" s="5"/>
      <c r="UO146" s="5"/>
      <c r="UP146" s="5"/>
      <c r="UQ146" s="5"/>
      <c r="UR146" s="5"/>
      <c r="US146" s="5"/>
      <c r="UT146" s="5"/>
      <c r="UU146" s="5"/>
      <c r="UV146" s="5"/>
      <c r="UW146" s="5"/>
      <c r="UX146" s="5"/>
      <c r="UY146" s="5"/>
      <c r="UZ146" s="5"/>
      <c r="VA146" s="5"/>
      <c r="VB146" s="5"/>
      <c r="VC146" s="5"/>
      <c r="VD146" s="5"/>
      <c r="VE146" s="5"/>
      <c r="VF146" s="5"/>
      <c r="VG146" s="5"/>
      <c r="VH146" s="5"/>
      <c r="VI146" s="5"/>
      <c r="VJ146" s="5"/>
      <c r="VK146" s="5"/>
      <c r="VL146" s="5"/>
      <c r="VM146" s="5"/>
      <c r="VN146" s="5"/>
      <c r="VO146" s="5"/>
      <c r="VP146" s="5"/>
      <c r="VQ146" s="5"/>
      <c r="VR146" s="5"/>
      <c r="VS146" s="5"/>
      <c r="VT146" s="5"/>
      <c r="VU146" s="5"/>
      <c r="VV146" s="5"/>
      <c r="VW146" s="5"/>
      <c r="VX146" s="5"/>
      <c r="VY146" s="5"/>
      <c r="VZ146" s="5"/>
      <c r="WA146" s="5"/>
      <c r="WB146" s="5"/>
      <c r="WC146" s="5"/>
      <c r="WD146" s="5"/>
      <c r="WE146" s="5"/>
      <c r="WF146" s="5"/>
      <c r="WG146" s="5"/>
      <c r="WH146" s="5"/>
      <c r="WI146" s="5"/>
      <c r="WJ146" s="5"/>
      <c r="WK146" s="5"/>
      <c r="WL146" s="5"/>
      <c r="WM146" s="5"/>
      <c r="WN146" s="5"/>
      <c r="WO146" s="5"/>
      <c r="WP146" s="5"/>
      <c r="WQ146" s="5"/>
      <c r="WR146" s="5"/>
      <c r="WS146" s="5"/>
      <c r="WT146" s="5"/>
      <c r="WU146" s="5"/>
      <c r="WV146" s="5"/>
      <c r="WW146" s="5"/>
      <c r="WX146" s="5"/>
      <c r="WY146" s="5"/>
      <c r="WZ146" s="5"/>
      <c r="XA146" s="5"/>
      <c r="XB146" s="5"/>
      <c r="XC146" s="5"/>
      <c r="XD146" s="5"/>
      <c r="XE146" s="5"/>
      <c r="XF146" s="5"/>
      <c r="XG146" s="5"/>
      <c r="XH146" s="5"/>
      <c r="XI146" s="5"/>
      <c r="XJ146" s="5"/>
      <c r="XK146" s="5"/>
      <c r="XL146" s="5"/>
      <c r="XM146" s="5"/>
      <c r="XN146" s="5"/>
      <c r="XO146" s="5"/>
      <c r="XP146" s="5"/>
      <c r="XQ146" s="5"/>
      <c r="XR146" s="5"/>
      <c r="XS146" s="5"/>
      <c r="XT146" s="5"/>
      <c r="XU146" s="5"/>
      <c r="XV146" s="5"/>
      <c r="XW146" s="5"/>
      <c r="XX146" s="5"/>
      <c r="XY146" s="5"/>
      <c r="XZ146" s="5"/>
      <c r="YA146" s="5"/>
      <c r="YB146" s="5"/>
      <c r="YC146" s="5"/>
      <c r="YD146" s="5"/>
      <c r="YE146" s="5"/>
      <c r="YF146" s="5"/>
      <c r="YG146" s="5"/>
      <c r="YH146" s="5"/>
      <c r="YI146" s="5"/>
      <c r="YJ146" s="5"/>
      <c r="YK146" s="5"/>
      <c r="YL146" s="5"/>
      <c r="YM146" s="5"/>
      <c r="YN146" s="5"/>
      <c r="YO146" s="5"/>
      <c r="YP146" s="5"/>
      <c r="YQ146" s="5"/>
      <c r="YR146" s="5"/>
      <c r="YS146" s="5"/>
      <c r="YT146" s="5"/>
      <c r="YU146" s="5"/>
      <c r="YV146" s="5"/>
      <c r="YW146" s="5"/>
      <c r="YX146" s="5"/>
      <c r="YY146" s="5"/>
      <c r="YZ146" s="5"/>
    </row>
    <row r="147" spans="1:676">
      <c r="A147" s="7">
        <v>137</v>
      </c>
      <c r="B147" s="7" t="s">
        <v>353</v>
      </c>
      <c r="C147" s="10" t="s">
        <v>354</v>
      </c>
      <c r="D147" s="7" t="s">
        <v>171</v>
      </c>
      <c r="E147" s="7" t="s">
        <v>120</v>
      </c>
      <c r="F147" s="7" t="s">
        <v>355</v>
      </c>
      <c r="G147" s="7"/>
      <c r="H147" s="7" t="s">
        <v>43</v>
      </c>
      <c r="I147" s="11">
        <v>2</v>
      </c>
      <c r="J147" s="11">
        <v>3</v>
      </c>
      <c r="K147" s="11">
        <v>0</v>
      </c>
      <c r="L147" s="11">
        <v>0.18</v>
      </c>
      <c r="M147" s="11">
        <v>0</v>
      </c>
      <c r="N147" s="11">
        <v>0</v>
      </c>
      <c r="O147" s="11">
        <v>0.36</v>
      </c>
      <c r="P147" s="11">
        <v>0.83</v>
      </c>
      <c r="Q147" s="11">
        <v>1.37</v>
      </c>
      <c r="R147" s="11">
        <v>0</v>
      </c>
      <c r="S147" s="11">
        <v>1.37</v>
      </c>
      <c r="T147" s="11">
        <v>1.37</v>
      </c>
      <c r="U147" s="11">
        <v>0</v>
      </c>
      <c r="V147" s="11">
        <v>0</v>
      </c>
      <c r="W147" s="13">
        <v>2</v>
      </c>
      <c r="X147" s="13">
        <v>3</v>
      </c>
      <c r="Y147" s="13" t="str">
        <f>MIN(W147,S147)</f>
        <v>0</v>
      </c>
      <c r="Z147" s="13" t="str">
        <f>MIN(X147,(S147-Y147))</f>
        <v>0</v>
      </c>
      <c r="AA147" s="13" t="str">
        <f>S147-SUM(Y147,Z147)</f>
        <v>0</v>
      </c>
      <c r="AB147" s="15"/>
      <c r="AC147" s="15"/>
      <c r="AD147" s="1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  <c r="BP147" s="5"/>
      <c r="BQ147" s="5"/>
      <c r="BR147" s="5"/>
      <c r="BS147" s="5"/>
      <c r="BT147" s="5"/>
      <c r="BU147" s="5"/>
      <c r="BV147" s="5"/>
      <c r="BW147" s="5"/>
      <c r="BX147" s="5"/>
      <c r="BY147" s="5"/>
      <c r="BZ147" s="5"/>
      <c r="CA147" s="5"/>
      <c r="CB147" s="5"/>
      <c r="CC147" s="5"/>
      <c r="CD147" s="5"/>
      <c r="CE147" s="5"/>
      <c r="CF147" s="5"/>
      <c r="CG147" s="5"/>
      <c r="CH147" s="5"/>
      <c r="CI147" s="5"/>
      <c r="CJ147" s="5"/>
      <c r="CK147" s="5"/>
      <c r="CL147" s="5"/>
      <c r="CM147" s="5"/>
      <c r="CN147" s="5"/>
      <c r="CO147" s="5"/>
      <c r="CP147" s="5"/>
      <c r="CQ147" s="5"/>
      <c r="CR147" s="5"/>
      <c r="CS147" s="5"/>
      <c r="CT147" s="5"/>
      <c r="CU147" s="5"/>
      <c r="CV147" s="5"/>
      <c r="CW147" s="5"/>
      <c r="CX147" s="5"/>
      <c r="CY147" s="5"/>
      <c r="CZ147" s="5"/>
      <c r="DA147" s="5"/>
      <c r="DB147" s="5"/>
      <c r="DC147" s="5"/>
      <c r="DD147" s="5"/>
      <c r="DE147" s="5"/>
      <c r="DF147" s="5"/>
      <c r="DG147" s="5"/>
      <c r="DH147" s="5"/>
      <c r="DI147" s="5"/>
      <c r="DJ147" s="5"/>
      <c r="DK147" s="5"/>
      <c r="DL147" s="5"/>
      <c r="DM147" s="5"/>
      <c r="DN147" s="5"/>
      <c r="DO147" s="5"/>
      <c r="DP147" s="5"/>
      <c r="DQ147" s="5"/>
      <c r="DR147" s="5"/>
      <c r="DS147" s="5"/>
      <c r="DT147" s="5"/>
      <c r="DU147" s="5"/>
      <c r="DV147" s="5"/>
      <c r="DW147" s="5"/>
      <c r="DX147" s="5"/>
      <c r="DY147" s="5"/>
      <c r="DZ147" s="5"/>
      <c r="EA147" s="5"/>
      <c r="EB147" s="5"/>
      <c r="EC147" s="5"/>
      <c r="ED147" s="5"/>
      <c r="EE147" s="5"/>
      <c r="EF147" s="5"/>
      <c r="EG147" s="5"/>
      <c r="EH147" s="5"/>
      <c r="EI147" s="5"/>
      <c r="EJ147" s="5"/>
      <c r="EK147" s="5"/>
      <c r="EL147" s="5"/>
      <c r="EM147" s="5"/>
      <c r="EN147" s="5"/>
      <c r="EO147" s="5"/>
      <c r="EP147" s="5"/>
      <c r="EQ147" s="5"/>
      <c r="ER147" s="5"/>
      <c r="ES147" s="5"/>
      <c r="ET147" s="5"/>
      <c r="EU147" s="5"/>
      <c r="EV147" s="5"/>
      <c r="EW147" s="5"/>
      <c r="EX147" s="5"/>
      <c r="EY147" s="5"/>
      <c r="EZ147" s="5"/>
      <c r="FA147" s="5"/>
      <c r="FB147" s="5"/>
      <c r="FC147" s="5"/>
      <c r="FD147" s="5"/>
      <c r="FE147" s="5"/>
      <c r="FF147" s="5"/>
      <c r="FG147" s="5"/>
      <c r="FH147" s="5"/>
      <c r="FI147" s="5"/>
      <c r="FJ147" s="5"/>
      <c r="FK147" s="5"/>
      <c r="FL147" s="5"/>
      <c r="FM147" s="5"/>
      <c r="FN147" s="5"/>
      <c r="FO147" s="5"/>
      <c r="FP147" s="5"/>
      <c r="FQ147" s="5"/>
      <c r="FR147" s="5"/>
      <c r="FS147" s="5"/>
      <c r="FT147" s="5"/>
      <c r="FU147" s="5"/>
      <c r="FV147" s="5"/>
      <c r="FW147" s="5"/>
      <c r="FX147" s="5"/>
      <c r="FY147" s="5"/>
      <c r="FZ147" s="5"/>
      <c r="GA147" s="5"/>
      <c r="GB147" s="5"/>
      <c r="GC147" s="5"/>
      <c r="GD147" s="5"/>
      <c r="GE147" s="5"/>
      <c r="GF147" s="5"/>
      <c r="GG147" s="5"/>
      <c r="GH147" s="5"/>
      <c r="GI147" s="5"/>
      <c r="GJ147" s="5"/>
      <c r="GK147" s="5"/>
      <c r="GL147" s="5"/>
      <c r="GM147" s="5"/>
      <c r="GN147" s="5"/>
      <c r="GO147" s="5"/>
      <c r="GP147" s="5"/>
      <c r="GQ147" s="5"/>
      <c r="GR147" s="5"/>
      <c r="GS147" s="5"/>
      <c r="GT147" s="5"/>
      <c r="GU147" s="5"/>
      <c r="GV147" s="5"/>
      <c r="GW147" s="5"/>
      <c r="GX147" s="5"/>
      <c r="GY147" s="5"/>
      <c r="GZ147" s="5"/>
      <c r="HA147" s="5"/>
      <c r="HB147" s="5"/>
      <c r="HC147" s="5"/>
      <c r="HD147" s="5"/>
      <c r="HE147" s="5"/>
      <c r="HF147" s="5"/>
      <c r="HG147" s="5"/>
      <c r="HH147" s="5"/>
      <c r="HI147" s="5"/>
      <c r="HJ147" s="5"/>
      <c r="HK147" s="5"/>
      <c r="HL147" s="5"/>
      <c r="HM147" s="5"/>
      <c r="HN147" s="5"/>
      <c r="HO147" s="5"/>
      <c r="HP147" s="5"/>
      <c r="HQ147" s="5"/>
      <c r="HR147" s="5"/>
      <c r="HS147" s="5"/>
      <c r="HT147" s="5"/>
      <c r="HU147" s="5"/>
      <c r="HV147" s="5"/>
      <c r="HW147" s="5"/>
      <c r="HX147" s="5"/>
      <c r="HY147" s="5"/>
      <c r="HZ147" s="5"/>
      <c r="IA147" s="5"/>
      <c r="IB147" s="5"/>
      <c r="IC147" s="5"/>
      <c r="ID147" s="5"/>
      <c r="IE147" s="5"/>
      <c r="IF147" s="5"/>
      <c r="IG147" s="5"/>
      <c r="IH147" s="5"/>
      <c r="II147" s="5"/>
      <c r="IJ147" s="5"/>
      <c r="IK147" s="5"/>
      <c r="IL147" s="5"/>
      <c r="IM147" s="5"/>
      <c r="IN147" s="5"/>
      <c r="IO147" s="5"/>
      <c r="IP147" s="5"/>
      <c r="IQ147" s="5"/>
      <c r="IR147" s="5"/>
      <c r="IS147" s="5"/>
      <c r="IT147" s="5"/>
      <c r="IU147" s="5"/>
      <c r="IV147" s="5"/>
      <c r="IW147" s="5"/>
      <c r="IX147" s="5"/>
      <c r="IY147" s="5"/>
      <c r="IZ147" s="5"/>
      <c r="JA147" s="5"/>
      <c r="JB147" s="5"/>
      <c r="JC147" s="5"/>
      <c r="JD147" s="5"/>
      <c r="JE147" s="5"/>
      <c r="JF147" s="5"/>
      <c r="JG147" s="5"/>
      <c r="JH147" s="5"/>
      <c r="JI147" s="5"/>
      <c r="JJ147" s="5"/>
      <c r="JK147" s="5"/>
      <c r="JL147" s="5"/>
      <c r="JM147" s="5"/>
      <c r="JN147" s="5"/>
      <c r="JO147" s="5"/>
      <c r="JP147" s="5"/>
      <c r="JQ147" s="5"/>
      <c r="JR147" s="5"/>
      <c r="JS147" s="5"/>
      <c r="JT147" s="5"/>
      <c r="JU147" s="5"/>
      <c r="JV147" s="5"/>
      <c r="JW147" s="5"/>
      <c r="JX147" s="5"/>
      <c r="JY147" s="5"/>
      <c r="JZ147" s="5"/>
      <c r="KA147" s="5"/>
      <c r="KB147" s="5"/>
      <c r="KC147" s="5"/>
      <c r="KD147" s="5"/>
      <c r="KE147" s="5"/>
      <c r="KF147" s="5"/>
      <c r="KG147" s="5"/>
      <c r="KH147" s="5"/>
      <c r="KI147" s="5"/>
      <c r="KJ147" s="5"/>
      <c r="KK147" s="5"/>
      <c r="KL147" s="5"/>
      <c r="KM147" s="5"/>
      <c r="KN147" s="5"/>
      <c r="KO147" s="5"/>
      <c r="KP147" s="5"/>
      <c r="KQ147" s="5"/>
      <c r="KR147" s="5"/>
      <c r="KS147" s="5"/>
      <c r="KT147" s="5"/>
      <c r="KU147" s="5"/>
      <c r="KV147" s="5"/>
      <c r="KW147" s="5"/>
      <c r="KX147" s="5"/>
      <c r="KY147" s="5"/>
      <c r="KZ147" s="5"/>
      <c r="LA147" s="5"/>
      <c r="LB147" s="5"/>
      <c r="LC147" s="5"/>
      <c r="LD147" s="5"/>
      <c r="LE147" s="5"/>
      <c r="LF147" s="5"/>
      <c r="LG147" s="5"/>
      <c r="LH147" s="5"/>
      <c r="LI147" s="5"/>
      <c r="LJ147" s="5"/>
      <c r="LK147" s="5"/>
      <c r="LL147" s="5"/>
      <c r="LM147" s="5"/>
      <c r="LN147" s="5"/>
      <c r="LO147" s="5"/>
      <c r="LP147" s="5"/>
      <c r="LQ147" s="5"/>
      <c r="LR147" s="5"/>
      <c r="LS147" s="5"/>
      <c r="LT147" s="5"/>
      <c r="LU147" s="5"/>
      <c r="LV147" s="5"/>
      <c r="LW147" s="5"/>
      <c r="LX147" s="5"/>
      <c r="LY147" s="5"/>
      <c r="LZ147" s="5"/>
      <c r="MA147" s="5"/>
      <c r="MB147" s="5"/>
      <c r="MC147" s="5"/>
      <c r="MD147" s="5"/>
      <c r="ME147" s="5"/>
      <c r="MF147" s="5"/>
      <c r="MG147" s="5"/>
      <c r="MH147" s="5"/>
      <c r="MI147" s="5"/>
      <c r="MJ147" s="5"/>
      <c r="MK147" s="5"/>
      <c r="ML147" s="5"/>
      <c r="MM147" s="5"/>
      <c r="MN147" s="5"/>
      <c r="MO147" s="5"/>
      <c r="MP147" s="5"/>
      <c r="MQ147" s="5"/>
      <c r="MR147" s="5"/>
      <c r="MS147" s="5"/>
      <c r="MT147" s="5"/>
      <c r="MU147" s="5"/>
      <c r="MV147" s="5"/>
      <c r="MW147" s="5"/>
      <c r="MX147" s="5"/>
      <c r="MY147" s="5"/>
      <c r="MZ147" s="5"/>
      <c r="NA147" s="5"/>
      <c r="NB147" s="5"/>
      <c r="NC147" s="5"/>
      <c r="ND147" s="5"/>
      <c r="NE147" s="5"/>
      <c r="NF147" s="5"/>
      <c r="NG147" s="5"/>
      <c r="NH147" s="5"/>
      <c r="NI147" s="5"/>
      <c r="NJ147" s="5"/>
      <c r="NK147" s="5"/>
      <c r="NL147" s="5"/>
      <c r="NM147" s="5"/>
      <c r="NN147" s="5"/>
      <c r="NO147" s="5"/>
      <c r="NP147" s="5"/>
      <c r="NQ147" s="5"/>
      <c r="NR147" s="5"/>
      <c r="NS147" s="5"/>
      <c r="NT147" s="5"/>
      <c r="NU147" s="5"/>
      <c r="NV147" s="5"/>
      <c r="NW147" s="5"/>
      <c r="NX147" s="5"/>
      <c r="NY147" s="5"/>
      <c r="NZ147" s="5"/>
      <c r="OA147" s="5"/>
      <c r="OB147" s="5"/>
      <c r="OC147" s="5"/>
      <c r="OD147" s="5"/>
      <c r="OE147" s="5"/>
      <c r="OF147" s="5"/>
      <c r="OG147" s="5"/>
      <c r="OH147" s="5"/>
      <c r="OI147" s="5"/>
      <c r="OJ147" s="5"/>
      <c r="OK147" s="5"/>
      <c r="OL147" s="5"/>
      <c r="OM147" s="5"/>
      <c r="ON147" s="5"/>
      <c r="OO147" s="5"/>
      <c r="OP147" s="5"/>
      <c r="OQ147" s="5"/>
      <c r="OR147" s="5"/>
      <c r="OS147" s="5"/>
      <c r="OT147" s="5"/>
      <c r="OU147" s="5"/>
      <c r="OV147" s="5"/>
      <c r="OW147" s="5"/>
      <c r="OX147" s="5"/>
      <c r="OY147" s="5"/>
      <c r="OZ147" s="5"/>
      <c r="PA147" s="5"/>
      <c r="PB147" s="5"/>
      <c r="PC147" s="5"/>
      <c r="PD147" s="5"/>
      <c r="PE147" s="5"/>
      <c r="PF147" s="5"/>
      <c r="PG147" s="5"/>
      <c r="PH147" s="5"/>
      <c r="PI147" s="5"/>
      <c r="PJ147" s="5"/>
      <c r="PK147" s="5"/>
      <c r="PL147" s="5"/>
      <c r="PM147" s="5"/>
      <c r="PN147" s="5"/>
      <c r="PO147" s="5"/>
      <c r="PP147" s="5"/>
      <c r="PQ147" s="5"/>
      <c r="PR147" s="5"/>
      <c r="PS147" s="5"/>
      <c r="PT147" s="5"/>
      <c r="PU147" s="5"/>
      <c r="PV147" s="5"/>
      <c r="PW147" s="5"/>
      <c r="PX147" s="5"/>
      <c r="PY147" s="5"/>
      <c r="PZ147" s="5"/>
      <c r="QA147" s="5"/>
      <c r="QB147" s="5"/>
      <c r="QC147" s="5"/>
      <c r="QD147" s="5"/>
      <c r="QE147" s="5"/>
      <c r="QF147" s="5"/>
      <c r="QG147" s="5"/>
      <c r="QH147" s="5"/>
      <c r="QI147" s="5"/>
      <c r="QJ147" s="5"/>
      <c r="QK147" s="5"/>
      <c r="QL147" s="5"/>
      <c r="QM147" s="5"/>
      <c r="QN147" s="5"/>
      <c r="QO147" s="5"/>
      <c r="QP147" s="5"/>
      <c r="QQ147" s="5"/>
      <c r="QR147" s="5"/>
      <c r="QS147" s="5"/>
      <c r="QT147" s="5"/>
      <c r="QU147" s="5"/>
      <c r="QV147" s="5"/>
      <c r="QW147" s="5"/>
      <c r="QX147" s="5"/>
      <c r="QY147" s="5"/>
      <c r="QZ147" s="5"/>
      <c r="RA147" s="5"/>
      <c r="RB147" s="5"/>
      <c r="RC147" s="5"/>
      <c r="RD147" s="5"/>
      <c r="RE147" s="5"/>
      <c r="RF147" s="5"/>
      <c r="RG147" s="5"/>
      <c r="RH147" s="5"/>
      <c r="RI147" s="5"/>
      <c r="RJ147" s="5"/>
      <c r="RK147" s="5"/>
      <c r="RL147" s="5"/>
      <c r="RM147" s="5"/>
      <c r="RN147" s="5"/>
      <c r="RO147" s="5"/>
      <c r="RP147" s="5"/>
      <c r="RQ147" s="5"/>
      <c r="RR147" s="5"/>
      <c r="RS147" s="5"/>
      <c r="RT147" s="5"/>
      <c r="RU147" s="5"/>
      <c r="RV147" s="5"/>
      <c r="RW147" s="5"/>
      <c r="RX147" s="5"/>
      <c r="RY147" s="5"/>
      <c r="RZ147" s="5"/>
      <c r="SA147" s="5"/>
      <c r="SB147" s="5"/>
      <c r="SC147" s="5"/>
      <c r="SD147" s="5"/>
      <c r="SE147" s="5"/>
      <c r="SF147" s="5"/>
      <c r="SG147" s="5"/>
      <c r="SH147" s="5"/>
      <c r="SI147" s="5"/>
      <c r="SJ147" s="5"/>
      <c r="SK147" s="5"/>
      <c r="SL147" s="5"/>
      <c r="SM147" s="5"/>
      <c r="SN147" s="5"/>
      <c r="SO147" s="5"/>
      <c r="SP147" s="5"/>
      <c r="SQ147" s="5"/>
      <c r="SR147" s="5"/>
      <c r="SS147" s="5"/>
      <c r="ST147" s="5"/>
      <c r="SU147" s="5"/>
      <c r="SV147" s="5"/>
      <c r="SW147" s="5"/>
      <c r="SX147" s="5"/>
      <c r="SY147" s="5"/>
      <c r="SZ147" s="5"/>
      <c r="TA147" s="5"/>
      <c r="TB147" s="5"/>
      <c r="TC147" s="5"/>
      <c r="TD147" s="5"/>
      <c r="TE147" s="5"/>
      <c r="TF147" s="5"/>
      <c r="TG147" s="5"/>
      <c r="TH147" s="5"/>
      <c r="TI147" s="5"/>
      <c r="TJ147" s="5"/>
      <c r="TK147" s="5"/>
      <c r="TL147" s="5"/>
      <c r="TM147" s="5"/>
      <c r="TN147" s="5"/>
      <c r="TO147" s="5"/>
      <c r="TP147" s="5"/>
      <c r="TQ147" s="5"/>
      <c r="TR147" s="5"/>
      <c r="TS147" s="5"/>
      <c r="TT147" s="5"/>
      <c r="TU147" s="5"/>
      <c r="TV147" s="5"/>
      <c r="TW147" s="5"/>
      <c r="TX147" s="5"/>
      <c r="TY147" s="5"/>
      <c r="TZ147" s="5"/>
      <c r="UA147" s="5"/>
      <c r="UB147" s="5"/>
      <c r="UC147" s="5"/>
      <c r="UD147" s="5"/>
      <c r="UE147" s="5"/>
      <c r="UF147" s="5"/>
      <c r="UG147" s="5"/>
      <c r="UH147" s="5"/>
      <c r="UI147" s="5"/>
      <c r="UJ147" s="5"/>
      <c r="UK147" s="5"/>
      <c r="UL147" s="5"/>
      <c r="UM147" s="5"/>
      <c r="UN147" s="5"/>
      <c r="UO147" s="5"/>
      <c r="UP147" s="5"/>
      <c r="UQ147" s="5"/>
      <c r="UR147" s="5"/>
      <c r="US147" s="5"/>
      <c r="UT147" s="5"/>
      <c r="UU147" s="5"/>
      <c r="UV147" s="5"/>
      <c r="UW147" s="5"/>
      <c r="UX147" s="5"/>
      <c r="UY147" s="5"/>
      <c r="UZ147" s="5"/>
      <c r="VA147" s="5"/>
      <c r="VB147" s="5"/>
      <c r="VC147" s="5"/>
      <c r="VD147" s="5"/>
      <c r="VE147" s="5"/>
      <c r="VF147" s="5"/>
      <c r="VG147" s="5"/>
      <c r="VH147" s="5"/>
      <c r="VI147" s="5"/>
      <c r="VJ147" s="5"/>
      <c r="VK147" s="5"/>
      <c r="VL147" s="5"/>
      <c r="VM147" s="5"/>
      <c r="VN147" s="5"/>
      <c r="VO147" s="5"/>
      <c r="VP147" s="5"/>
      <c r="VQ147" s="5"/>
      <c r="VR147" s="5"/>
      <c r="VS147" s="5"/>
      <c r="VT147" s="5"/>
      <c r="VU147" s="5"/>
      <c r="VV147" s="5"/>
      <c r="VW147" s="5"/>
      <c r="VX147" s="5"/>
      <c r="VY147" s="5"/>
      <c r="VZ147" s="5"/>
      <c r="WA147" s="5"/>
      <c r="WB147" s="5"/>
      <c r="WC147" s="5"/>
      <c r="WD147" s="5"/>
      <c r="WE147" s="5"/>
      <c r="WF147" s="5"/>
      <c r="WG147" s="5"/>
      <c r="WH147" s="5"/>
      <c r="WI147" s="5"/>
      <c r="WJ147" s="5"/>
      <c r="WK147" s="5"/>
      <c r="WL147" s="5"/>
      <c r="WM147" s="5"/>
      <c r="WN147" s="5"/>
      <c r="WO147" s="5"/>
      <c r="WP147" s="5"/>
      <c r="WQ147" s="5"/>
      <c r="WR147" s="5"/>
      <c r="WS147" s="5"/>
      <c r="WT147" s="5"/>
      <c r="WU147" s="5"/>
      <c r="WV147" s="5"/>
      <c r="WW147" s="5"/>
      <c r="WX147" s="5"/>
      <c r="WY147" s="5"/>
      <c r="WZ147" s="5"/>
      <c r="XA147" s="5"/>
      <c r="XB147" s="5"/>
      <c r="XC147" s="5"/>
      <c r="XD147" s="5"/>
      <c r="XE147" s="5"/>
      <c r="XF147" s="5"/>
      <c r="XG147" s="5"/>
      <c r="XH147" s="5"/>
      <c r="XI147" s="5"/>
      <c r="XJ147" s="5"/>
      <c r="XK147" s="5"/>
      <c r="XL147" s="5"/>
      <c r="XM147" s="5"/>
      <c r="XN147" s="5"/>
      <c r="XO147" s="5"/>
      <c r="XP147" s="5"/>
      <c r="XQ147" s="5"/>
      <c r="XR147" s="5"/>
      <c r="XS147" s="5"/>
      <c r="XT147" s="5"/>
      <c r="XU147" s="5"/>
      <c r="XV147" s="5"/>
      <c r="XW147" s="5"/>
      <c r="XX147" s="5"/>
      <c r="XY147" s="5"/>
      <c r="XZ147" s="5"/>
      <c r="YA147" s="5"/>
      <c r="YB147" s="5"/>
      <c r="YC147" s="5"/>
      <c r="YD147" s="5"/>
      <c r="YE147" s="5"/>
      <c r="YF147" s="5"/>
      <c r="YG147" s="5"/>
      <c r="YH147" s="5"/>
      <c r="YI147" s="5"/>
      <c r="YJ147" s="5"/>
      <c r="YK147" s="5"/>
      <c r="YL147" s="5"/>
      <c r="YM147" s="5"/>
      <c r="YN147" s="5"/>
      <c r="YO147" s="5"/>
      <c r="YP147" s="5"/>
      <c r="YQ147" s="5"/>
      <c r="YR147" s="5"/>
      <c r="YS147" s="5"/>
      <c r="YT147" s="5"/>
      <c r="YU147" s="5"/>
      <c r="YV147" s="5"/>
      <c r="YW147" s="5"/>
      <c r="YX147" s="5"/>
      <c r="YY147" s="5"/>
      <c r="YZ147" s="5"/>
    </row>
    <row r="148" spans="1:676">
      <c r="A148" s="7">
        <v>138</v>
      </c>
      <c r="B148" s="7" t="s">
        <v>356</v>
      </c>
      <c r="C148" s="10" t="s">
        <v>357</v>
      </c>
      <c r="D148" s="7" t="s">
        <v>54</v>
      </c>
      <c r="E148" s="7" t="s">
        <v>46</v>
      </c>
      <c r="F148" s="7" t="s">
        <v>355</v>
      </c>
      <c r="G148" s="7"/>
      <c r="H148" s="7" t="s">
        <v>43</v>
      </c>
      <c r="I148" s="11">
        <v>2</v>
      </c>
      <c r="J148" s="11">
        <v>3</v>
      </c>
      <c r="K148" s="11">
        <v>0</v>
      </c>
      <c r="L148" s="11">
        <v>0.25</v>
      </c>
      <c r="M148" s="11">
        <v>0</v>
      </c>
      <c r="N148" s="11">
        <v>0</v>
      </c>
      <c r="O148" s="11">
        <v>0.2</v>
      </c>
      <c r="P148" s="11">
        <v>0</v>
      </c>
      <c r="Q148" s="11">
        <v>0.45</v>
      </c>
      <c r="R148" s="11">
        <v>0</v>
      </c>
      <c r="S148" s="11">
        <v>0.45</v>
      </c>
      <c r="T148" s="11">
        <v>0.45</v>
      </c>
      <c r="U148" s="11">
        <v>0</v>
      </c>
      <c r="V148" s="11">
        <v>0</v>
      </c>
      <c r="W148" s="13">
        <v>2</v>
      </c>
      <c r="X148" s="13">
        <v>3</v>
      </c>
      <c r="Y148" s="13" t="str">
        <f>MIN(W148,S148)</f>
        <v>0</v>
      </c>
      <c r="Z148" s="13" t="str">
        <f>MIN(X148,(S148-Y148))</f>
        <v>0</v>
      </c>
      <c r="AA148" s="13" t="str">
        <f>S148-SUM(Y148,Z148)</f>
        <v>0</v>
      </c>
      <c r="AB148" s="15"/>
      <c r="AC148" s="15"/>
      <c r="AD148" s="1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  <c r="BP148" s="5"/>
      <c r="BQ148" s="5"/>
      <c r="BR148" s="5"/>
      <c r="BS148" s="5"/>
      <c r="BT148" s="5"/>
      <c r="BU148" s="5"/>
      <c r="BV148" s="5"/>
      <c r="BW148" s="5"/>
      <c r="BX148" s="5"/>
      <c r="BY148" s="5"/>
      <c r="BZ148" s="5"/>
      <c r="CA148" s="5"/>
      <c r="CB148" s="5"/>
      <c r="CC148" s="5"/>
      <c r="CD148" s="5"/>
      <c r="CE148" s="5"/>
      <c r="CF148" s="5"/>
      <c r="CG148" s="5"/>
      <c r="CH148" s="5"/>
      <c r="CI148" s="5"/>
      <c r="CJ148" s="5"/>
      <c r="CK148" s="5"/>
      <c r="CL148" s="5"/>
      <c r="CM148" s="5"/>
      <c r="CN148" s="5"/>
      <c r="CO148" s="5"/>
      <c r="CP148" s="5"/>
      <c r="CQ148" s="5"/>
      <c r="CR148" s="5"/>
      <c r="CS148" s="5"/>
      <c r="CT148" s="5"/>
      <c r="CU148" s="5"/>
      <c r="CV148" s="5"/>
      <c r="CW148" s="5"/>
      <c r="CX148" s="5"/>
      <c r="CY148" s="5"/>
      <c r="CZ148" s="5"/>
      <c r="DA148" s="5"/>
      <c r="DB148" s="5"/>
      <c r="DC148" s="5"/>
      <c r="DD148" s="5"/>
      <c r="DE148" s="5"/>
      <c r="DF148" s="5"/>
      <c r="DG148" s="5"/>
      <c r="DH148" s="5"/>
      <c r="DI148" s="5"/>
      <c r="DJ148" s="5"/>
      <c r="DK148" s="5"/>
      <c r="DL148" s="5"/>
      <c r="DM148" s="5"/>
      <c r="DN148" s="5"/>
      <c r="DO148" s="5"/>
      <c r="DP148" s="5"/>
      <c r="DQ148" s="5"/>
      <c r="DR148" s="5"/>
      <c r="DS148" s="5"/>
      <c r="DT148" s="5"/>
      <c r="DU148" s="5"/>
      <c r="DV148" s="5"/>
      <c r="DW148" s="5"/>
      <c r="DX148" s="5"/>
      <c r="DY148" s="5"/>
      <c r="DZ148" s="5"/>
      <c r="EA148" s="5"/>
      <c r="EB148" s="5"/>
      <c r="EC148" s="5"/>
      <c r="ED148" s="5"/>
      <c r="EE148" s="5"/>
      <c r="EF148" s="5"/>
      <c r="EG148" s="5"/>
      <c r="EH148" s="5"/>
      <c r="EI148" s="5"/>
      <c r="EJ148" s="5"/>
      <c r="EK148" s="5"/>
      <c r="EL148" s="5"/>
      <c r="EM148" s="5"/>
      <c r="EN148" s="5"/>
      <c r="EO148" s="5"/>
      <c r="EP148" s="5"/>
      <c r="EQ148" s="5"/>
      <c r="ER148" s="5"/>
      <c r="ES148" s="5"/>
      <c r="ET148" s="5"/>
      <c r="EU148" s="5"/>
      <c r="EV148" s="5"/>
      <c r="EW148" s="5"/>
      <c r="EX148" s="5"/>
      <c r="EY148" s="5"/>
      <c r="EZ148" s="5"/>
      <c r="FA148" s="5"/>
      <c r="FB148" s="5"/>
      <c r="FC148" s="5"/>
      <c r="FD148" s="5"/>
      <c r="FE148" s="5"/>
      <c r="FF148" s="5"/>
      <c r="FG148" s="5"/>
      <c r="FH148" s="5"/>
      <c r="FI148" s="5"/>
      <c r="FJ148" s="5"/>
      <c r="FK148" s="5"/>
      <c r="FL148" s="5"/>
      <c r="FM148" s="5"/>
      <c r="FN148" s="5"/>
      <c r="FO148" s="5"/>
      <c r="FP148" s="5"/>
      <c r="FQ148" s="5"/>
      <c r="FR148" s="5"/>
      <c r="FS148" s="5"/>
      <c r="FT148" s="5"/>
      <c r="FU148" s="5"/>
      <c r="FV148" s="5"/>
      <c r="FW148" s="5"/>
      <c r="FX148" s="5"/>
      <c r="FY148" s="5"/>
      <c r="FZ148" s="5"/>
      <c r="GA148" s="5"/>
      <c r="GB148" s="5"/>
      <c r="GC148" s="5"/>
      <c r="GD148" s="5"/>
      <c r="GE148" s="5"/>
      <c r="GF148" s="5"/>
      <c r="GG148" s="5"/>
      <c r="GH148" s="5"/>
      <c r="GI148" s="5"/>
      <c r="GJ148" s="5"/>
      <c r="GK148" s="5"/>
      <c r="GL148" s="5"/>
      <c r="GM148" s="5"/>
      <c r="GN148" s="5"/>
      <c r="GO148" s="5"/>
      <c r="GP148" s="5"/>
      <c r="GQ148" s="5"/>
      <c r="GR148" s="5"/>
      <c r="GS148" s="5"/>
      <c r="GT148" s="5"/>
      <c r="GU148" s="5"/>
      <c r="GV148" s="5"/>
      <c r="GW148" s="5"/>
      <c r="GX148" s="5"/>
      <c r="GY148" s="5"/>
      <c r="GZ148" s="5"/>
      <c r="HA148" s="5"/>
      <c r="HB148" s="5"/>
      <c r="HC148" s="5"/>
      <c r="HD148" s="5"/>
      <c r="HE148" s="5"/>
      <c r="HF148" s="5"/>
      <c r="HG148" s="5"/>
      <c r="HH148" s="5"/>
      <c r="HI148" s="5"/>
      <c r="HJ148" s="5"/>
      <c r="HK148" s="5"/>
      <c r="HL148" s="5"/>
      <c r="HM148" s="5"/>
      <c r="HN148" s="5"/>
      <c r="HO148" s="5"/>
      <c r="HP148" s="5"/>
      <c r="HQ148" s="5"/>
      <c r="HR148" s="5"/>
      <c r="HS148" s="5"/>
      <c r="HT148" s="5"/>
      <c r="HU148" s="5"/>
      <c r="HV148" s="5"/>
      <c r="HW148" s="5"/>
      <c r="HX148" s="5"/>
      <c r="HY148" s="5"/>
      <c r="HZ148" s="5"/>
      <c r="IA148" s="5"/>
      <c r="IB148" s="5"/>
      <c r="IC148" s="5"/>
      <c r="ID148" s="5"/>
      <c r="IE148" s="5"/>
      <c r="IF148" s="5"/>
      <c r="IG148" s="5"/>
      <c r="IH148" s="5"/>
      <c r="II148" s="5"/>
      <c r="IJ148" s="5"/>
      <c r="IK148" s="5"/>
      <c r="IL148" s="5"/>
      <c r="IM148" s="5"/>
      <c r="IN148" s="5"/>
      <c r="IO148" s="5"/>
      <c r="IP148" s="5"/>
      <c r="IQ148" s="5"/>
      <c r="IR148" s="5"/>
      <c r="IS148" s="5"/>
      <c r="IT148" s="5"/>
      <c r="IU148" s="5"/>
      <c r="IV148" s="5"/>
      <c r="IW148" s="5"/>
      <c r="IX148" s="5"/>
      <c r="IY148" s="5"/>
      <c r="IZ148" s="5"/>
      <c r="JA148" s="5"/>
      <c r="JB148" s="5"/>
      <c r="JC148" s="5"/>
      <c r="JD148" s="5"/>
      <c r="JE148" s="5"/>
      <c r="JF148" s="5"/>
      <c r="JG148" s="5"/>
      <c r="JH148" s="5"/>
      <c r="JI148" s="5"/>
      <c r="JJ148" s="5"/>
      <c r="JK148" s="5"/>
      <c r="JL148" s="5"/>
      <c r="JM148" s="5"/>
      <c r="JN148" s="5"/>
      <c r="JO148" s="5"/>
      <c r="JP148" s="5"/>
      <c r="JQ148" s="5"/>
      <c r="JR148" s="5"/>
      <c r="JS148" s="5"/>
      <c r="JT148" s="5"/>
      <c r="JU148" s="5"/>
      <c r="JV148" s="5"/>
      <c r="JW148" s="5"/>
      <c r="JX148" s="5"/>
      <c r="JY148" s="5"/>
      <c r="JZ148" s="5"/>
      <c r="KA148" s="5"/>
      <c r="KB148" s="5"/>
      <c r="KC148" s="5"/>
      <c r="KD148" s="5"/>
      <c r="KE148" s="5"/>
      <c r="KF148" s="5"/>
      <c r="KG148" s="5"/>
      <c r="KH148" s="5"/>
      <c r="KI148" s="5"/>
      <c r="KJ148" s="5"/>
      <c r="KK148" s="5"/>
      <c r="KL148" s="5"/>
      <c r="KM148" s="5"/>
      <c r="KN148" s="5"/>
      <c r="KO148" s="5"/>
      <c r="KP148" s="5"/>
      <c r="KQ148" s="5"/>
      <c r="KR148" s="5"/>
      <c r="KS148" s="5"/>
      <c r="KT148" s="5"/>
      <c r="KU148" s="5"/>
      <c r="KV148" s="5"/>
      <c r="KW148" s="5"/>
      <c r="KX148" s="5"/>
      <c r="KY148" s="5"/>
      <c r="KZ148" s="5"/>
      <c r="LA148" s="5"/>
      <c r="LB148" s="5"/>
      <c r="LC148" s="5"/>
      <c r="LD148" s="5"/>
      <c r="LE148" s="5"/>
      <c r="LF148" s="5"/>
      <c r="LG148" s="5"/>
      <c r="LH148" s="5"/>
      <c r="LI148" s="5"/>
      <c r="LJ148" s="5"/>
      <c r="LK148" s="5"/>
      <c r="LL148" s="5"/>
      <c r="LM148" s="5"/>
      <c r="LN148" s="5"/>
      <c r="LO148" s="5"/>
      <c r="LP148" s="5"/>
      <c r="LQ148" s="5"/>
      <c r="LR148" s="5"/>
      <c r="LS148" s="5"/>
      <c r="LT148" s="5"/>
      <c r="LU148" s="5"/>
      <c r="LV148" s="5"/>
      <c r="LW148" s="5"/>
      <c r="LX148" s="5"/>
      <c r="LY148" s="5"/>
      <c r="LZ148" s="5"/>
      <c r="MA148" s="5"/>
      <c r="MB148" s="5"/>
      <c r="MC148" s="5"/>
      <c r="MD148" s="5"/>
      <c r="ME148" s="5"/>
      <c r="MF148" s="5"/>
      <c r="MG148" s="5"/>
      <c r="MH148" s="5"/>
      <c r="MI148" s="5"/>
      <c r="MJ148" s="5"/>
      <c r="MK148" s="5"/>
      <c r="ML148" s="5"/>
      <c r="MM148" s="5"/>
      <c r="MN148" s="5"/>
      <c r="MO148" s="5"/>
      <c r="MP148" s="5"/>
      <c r="MQ148" s="5"/>
      <c r="MR148" s="5"/>
      <c r="MS148" s="5"/>
      <c r="MT148" s="5"/>
      <c r="MU148" s="5"/>
      <c r="MV148" s="5"/>
      <c r="MW148" s="5"/>
      <c r="MX148" s="5"/>
      <c r="MY148" s="5"/>
      <c r="MZ148" s="5"/>
      <c r="NA148" s="5"/>
      <c r="NB148" s="5"/>
      <c r="NC148" s="5"/>
      <c r="ND148" s="5"/>
      <c r="NE148" s="5"/>
      <c r="NF148" s="5"/>
      <c r="NG148" s="5"/>
      <c r="NH148" s="5"/>
      <c r="NI148" s="5"/>
      <c r="NJ148" s="5"/>
      <c r="NK148" s="5"/>
      <c r="NL148" s="5"/>
      <c r="NM148" s="5"/>
      <c r="NN148" s="5"/>
      <c r="NO148" s="5"/>
      <c r="NP148" s="5"/>
      <c r="NQ148" s="5"/>
      <c r="NR148" s="5"/>
      <c r="NS148" s="5"/>
      <c r="NT148" s="5"/>
      <c r="NU148" s="5"/>
      <c r="NV148" s="5"/>
      <c r="NW148" s="5"/>
      <c r="NX148" s="5"/>
      <c r="NY148" s="5"/>
      <c r="NZ148" s="5"/>
      <c r="OA148" s="5"/>
      <c r="OB148" s="5"/>
      <c r="OC148" s="5"/>
      <c r="OD148" s="5"/>
      <c r="OE148" s="5"/>
      <c r="OF148" s="5"/>
      <c r="OG148" s="5"/>
      <c r="OH148" s="5"/>
      <c r="OI148" s="5"/>
      <c r="OJ148" s="5"/>
      <c r="OK148" s="5"/>
      <c r="OL148" s="5"/>
      <c r="OM148" s="5"/>
      <c r="ON148" s="5"/>
      <c r="OO148" s="5"/>
      <c r="OP148" s="5"/>
      <c r="OQ148" s="5"/>
      <c r="OR148" s="5"/>
      <c r="OS148" s="5"/>
      <c r="OT148" s="5"/>
      <c r="OU148" s="5"/>
      <c r="OV148" s="5"/>
      <c r="OW148" s="5"/>
      <c r="OX148" s="5"/>
      <c r="OY148" s="5"/>
      <c r="OZ148" s="5"/>
      <c r="PA148" s="5"/>
      <c r="PB148" s="5"/>
      <c r="PC148" s="5"/>
      <c r="PD148" s="5"/>
      <c r="PE148" s="5"/>
      <c r="PF148" s="5"/>
      <c r="PG148" s="5"/>
      <c r="PH148" s="5"/>
      <c r="PI148" s="5"/>
      <c r="PJ148" s="5"/>
      <c r="PK148" s="5"/>
      <c r="PL148" s="5"/>
      <c r="PM148" s="5"/>
      <c r="PN148" s="5"/>
      <c r="PO148" s="5"/>
      <c r="PP148" s="5"/>
      <c r="PQ148" s="5"/>
      <c r="PR148" s="5"/>
      <c r="PS148" s="5"/>
      <c r="PT148" s="5"/>
      <c r="PU148" s="5"/>
      <c r="PV148" s="5"/>
      <c r="PW148" s="5"/>
      <c r="PX148" s="5"/>
      <c r="PY148" s="5"/>
      <c r="PZ148" s="5"/>
      <c r="QA148" s="5"/>
      <c r="QB148" s="5"/>
      <c r="QC148" s="5"/>
      <c r="QD148" s="5"/>
      <c r="QE148" s="5"/>
      <c r="QF148" s="5"/>
      <c r="QG148" s="5"/>
      <c r="QH148" s="5"/>
      <c r="QI148" s="5"/>
      <c r="QJ148" s="5"/>
      <c r="QK148" s="5"/>
      <c r="QL148" s="5"/>
      <c r="QM148" s="5"/>
      <c r="QN148" s="5"/>
      <c r="QO148" s="5"/>
      <c r="QP148" s="5"/>
      <c r="QQ148" s="5"/>
      <c r="QR148" s="5"/>
      <c r="QS148" s="5"/>
      <c r="QT148" s="5"/>
      <c r="QU148" s="5"/>
      <c r="QV148" s="5"/>
      <c r="QW148" s="5"/>
      <c r="QX148" s="5"/>
      <c r="QY148" s="5"/>
      <c r="QZ148" s="5"/>
      <c r="RA148" s="5"/>
      <c r="RB148" s="5"/>
      <c r="RC148" s="5"/>
      <c r="RD148" s="5"/>
      <c r="RE148" s="5"/>
      <c r="RF148" s="5"/>
      <c r="RG148" s="5"/>
      <c r="RH148" s="5"/>
      <c r="RI148" s="5"/>
      <c r="RJ148" s="5"/>
      <c r="RK148" s="5"/>
      <c r="RL148" s="5"/>
      <c r="RM148" s="5"/>
      <c r="RN148" s="5"/>
      <c r="RO148" s="5"/>
      <c r="RP148" s="5"/>
      <c r="RQ148" s="5"/>
      <c r="RR148" s="5"/>
      <c r="RS148" s="5"/>
      <c r="RT148" s="5"/>
      <c r="RU148" s="5"/>
      <c r="RV148" s="5"/>
      <c r="RW148" s="5"/>
      <c r="RX148" s="5"/>
      <c r="RY148" s="5"/>
      <c r="RZ148" s="5"/>
      <c r="SA148" s="5"/>
      <c r="SB148" s="5"/>
      <c r="SC148" s="5"/>
      <c r="SD148" s="5"/>
      <c r="SE148" s="5"/>
      <c r="SF148" s="5"/>
      <c r="SG148" s="5"/>
      <c r="SH148" s="5"/>
      <c r="SI148" s="5"/>
      <c r="SJ148" s="5"/>
      <c r="SK148" s="5"/>
      <c r="SL148" s="5"/>
      <c r="SM148" s="5"/>
      <c r="SN148" s="5"/>
      <c r="SO148" s="5"/>
      <c r="SP148" s="5"/>
      <c r="SQ148" s="5"/>
      <c r="SR148" s="5"/>
      <c r="SS148" s="5"/>
      <c r="ST148" s="5"/>
      <c r="SU148" s="5"/>
      <c r="SV148" s="5"/>
      <c r="SW148" s="5"/>
      <c r="SX148" s="5"/>
      <c r="SY148" s="5"/>
      <c r="SZ148" s="5"/>
      <c r="TA148" s="5"/>
      <c r="TB148" s="5"/>
      <c r="TC148" s="5"/>
      <c r="TD148" s="5"/>
      <c r="TE148" s="5"/>
      <c r="TF148" s="5"/>
      <c r="TG148" s="5"/>
      <c r="TH148" s="5"/>
      <c r="TI148" s="5"/>
      <c r="TJ148" s="5"/>
      <c r="TK148" s="5"/>
      <c r="TL148" s="5"/>
      <c r="TM148" s="5"/>
      <c r="TN148" s="5"/>
      <c r="TO148" s="5"/>
      <c r="TP148" s="5"/>
      <c r="TQ148" s="5"/>
      <c r="TR148" s="5"/>
      <c r="TS148" s="5"/>
      <c r="TT148" s="5"/>
      <c r="TU148" s="5"/>
      <c r="TV148" s="5"/>
      <c r="TW148" s="5"/>
      <c r="TX148" s="5"/>
      <c r="TY148" s="5"/>
      <c r="TZ148" s="5"/>
      <c r="UA148" s="5"/>
      <c r="UB148" s="5"/>
      <c r="UC148" s="5"/>
      <c r="UD148" s="5"/>
      <c r="UE148" s="5"/>
      <c r="UF148" s="5"/>
      <c r="UG148" s="5"/>
      <c r="UH148" s="5"/>
      <c r="UI148" s="5"/>
      <c r="UJ148" s="5"/>
      <c r="UK148" s="5"/>
      <c r="UL148" s="5"/>
      <c r="UM148" s="5"/>
      <c r="UN148" s="5"/>
      <c r="UO148" s="5"/>
      <c r="UP148" s="5"/>
      <c r="UQ148" s="5"/>
      <c r="UR148" s="5"/>
      <c r="US148" s="5"/>
      <c r="UT148" s="5"/>
      <c r="UU148" s="5"/>
      <c r="UV148" s="5"/>
      <c r="UW148" s="5"/>
      <c r="UX148" s="5"/>
      <c r="UY148" s="5"/>
      <c r="UZ148" s="5"/>
      <c r="VA148" s="5"/>
      <c r="VB148" s="5"/>
      <c r="VC148" s="5"/>
      <c r="VD148" s="5"/>
      <c r="VE148" s="5"/>
      <c r="VF148" s="5"/>
      <c r="VG148" s="5"/>
      <c r="VH148" s="5"/>
      <c r="VI148" s="5"/>
      <c r="VJ148" s="5"/>
      <c r="VK148" s="5"/>
      <c r="VL148" s="5"/>
      <c r="VM148" s="5"/>
      <c r="VN148" s="5"/>
      <c r="VO148" s="5"/>
      <c r="VP148" s="5"/>
      <c r="VQ148" s="5"/>
      <c r="VR148" s="5"/>
      <c r="VS148" s="5"/>
      <c r="VT148" s="5"/>
      <c r="VU148" s="5"/>
      <c r="VV148" s="5"/>
      <c r="VW148" s="5"/>
      <c r="VX148" s="5"/>
      <c r="VY148" s="5"/>
      <c r="VZ148" s="5"/>
      <c r="WA148" s="5"/>
      <c r="WB148" s="5"/>
      <c r="WC148" s="5"/>
      <c r="WD148" s="5"/>
      <c r="WE148" s="5"/>
      <c r="WF148" s="5"/>
      <c r="WG148" s="5"/>
      <c r="WH148" s="5"/>
      <c r="WI148" s="5"/>
      <c r="WJ148" s="5"/>
      <c r="WK148" s="5"/>
      <c r="WL148" s="5"/>
      <c r="WM148" s="5"/>
      <c r="WN148" s="5"/>
      <c r="WO148" s="5"/>
      <c r="WP148" s="5"/>
      <c r="WQ148" s="5"/>
      <c r="WR148" s="5"/>
      <c r="WS148" s="5"/>
      <c r="WT148" s="5"/>
      <c r="WU148" s="5"/>
      <c r="WV148" s="5"/>
      <c r="WW148" s="5"/>
      <c r="WX148" s="5"/>
      <c r="WY148" s="5"/>
      <c r="WZ148" s="5"/>
      <c r="XA148" s="5"/>
      <c r="XB148" s="5"/>
      <c r="XC148" s="5"/>
      <c r="XD148" s="5"/>
      <c r="XE148" s="5"/>
      <c r="XF148" s="5"/>
      <c r="XG148" s="5"/>
      <c r="XH148" s="5"/>
      <c r="XI148" s="5"/>
      <c r="XJ148" s="5"/>
      <c r="XK148" s="5"/>
      <c r="XL148" s="5"/>
      <c r="XM148" s="5"/>
      <c r="XN148" s="5"/>
      <c r="XO148" s="5"/>
      <c r="XP148" s="5"/>
      <c r="XQ148" s="5"/>
      <c r="XR148" s="5"/>
      <c r="XS148" s="5"/>
      <c r="XT148" s="5"/>
      <c r="XU148" s="5"/>
      <c r="XV148" s="5"/>
      <c r="XW148" s="5"/>
      <c r="XX148" s="5"/>
      <c r="XY148" s="5"/>
      <c r="XZ148" s="5"/>
      <c r="YA148" s="5"/>
      <c r="YB148" s="5"/>
      <c r="YC148" s="5"/>
      <c r="YD148" s="5"/>
      <c r="YE148" s="5"/>
      <c r="YF148" s="5"/>
      <c r="YG148" s="5"/>
      <c r="YH148" s="5"/>
      <c r="YI148" s="5"/>
      <c r="YJ148" s="5"/>
      <c r="YK148" s="5"/>
      <c r="YL148" s="5"/>
      <c r="YM148" s="5"/>
      <c r="YN148" s="5"/>
      <c r="YO148" s="5"/>
      <c r="YP148" s="5"/>
      <c r="YQ148" s="5"/>
      <c r="YR148" s="5"/>
      <c r="YS148" s="5"/>
      <c r="YT148" s="5"/>
      <c r="YU148" s="5"/>
      <c r="YV148" s="5"/>
      <c r="YW148" s="5"/>
      <c r="YX148" s="5"/>
      <c r="YY148" s="5"/>
      <c r="YZ148" s="5"/>
    </row>
    <row r="149" spans="1:676">
      <c r="A149" s="7">
        <v>139</v>
      </c>
      <c r="B149" s="7" t="s">
        <v>358</v>
      </c>
      <c r="C149" s="10" t="s">
        <v>359</v>
      </c>
      <c r="D149" s="7" t="s">
        <v>50</v>
      </c>
      <c r="E149" s="7" t="s">
        <v>71</v>
      </c>
      <c r="F149" s="7" t="s">
        <v>352</v>
      </c>
      <c r="G149" s="7"/>
      <c r="H149" s="7" t="s">
        <v>43</v>
      </c>
      <c r="I149" s="11">
        <v>2</v>
      </c>
      <c r="J149" s="11">
        <v>0</v>
      </c>
      <c r="K149" s="11">
        <v>0</v>
      </c>
      <c r="L149" s="11">
        <v>0</v>
      </c>
      <c r="M149" s="11">
        <v>0</v>
      </c>
      <c r="N149" s="11">
        <v>0</v>
      </c>
      <c r="O149" s="11">
        <v>0</v>
      </c>
      <c r="P149" s="11">
        <v>0</v>
      </c>
      <c r="Q149" s="11">
        <v>0</v>
      </c>
      <c r="R149" s="11">
        <v>0</v>
      </c>
      <c r="S149" s="11">
        <v>0</v>
      </c>
      <c r="T149" s="11">
        <v>0</v>
      </c>
      <c r="U149" s="11">
        <v>0</v>
      </c>
      <c r="V149" s="11">
        <v>0</v>
      </c>
      <c r="W149" s="13">
        <v>2</v>
      </c>
      <c r="X149" s="13">
        <v>0</v>
      </c>
      <c r="Y149" s="13" t="str">
        <f>MIN(W149,S149)</f>
        <v>0</v>
      </c>
      <c r="Z149" s="13" t="str">
        <f>MIN(X149,(S149-Y149))</f>
        <v>0</v>
      </c>
      <c r="AA149" s="13" t="str">
        <f>S149-SUM(Y149,Z149)</f>
        <v>0</v>
      </c>
      <c r="AB149" s="15"/>
      <c r="AC149" s="15"/>
      <c r="AD149" s="1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/>
      <c r="BQ149" s="5"/>
      <c r="BR149" s="5"/>
      <c r="BS149" s="5"/>
      <c r="BT149" s="5"/>
      <c r="BU149" s="5"/>
      <c r="BV149" s="5"/>
      <c r="BW149" s="5"/>
      <c r="BX149" s="5"/>
      <c r="BY149" s="5"/>
      <c r="BZ149" s="5"/>
      <c r="CA149" s="5"/>
      <c r="CB149" s="5"/>
      <c r="CC149" s="5"/>
      <c r="CD149" s="5"/>
      <c r="CE149" s="5"/>
      <c r="CF149" s="5"/>
      <c r="CG149" s="5"/>
      <c r="CH149" s="5"/>
      <c r="CI149" s="5"/>
      <c r="CJ149" s="5"/>
      <c r="CK149" s="5"/>
      <c r="CL149" s="5"/>
      <c r="CM149" s="5"/>
      <c r="CN149" s="5"/>
      <c r="CO149" s="5"/>
      <c r="CP149" s="5"/>
      <c r="CQ149" s="5"/>
      <c r="CR149" s="5"/>
      <c r="CS149" s="5"/>
      <c r="CT149" s="5"/>
      <c r="CU149" s="5"/>
      <c r="CV149" s="5"/>
      <c r="CW149" s="5"/>
      <c r="CX149" s="5"/>
      <c r="CY149" s="5"/>
      <c r="CZ149" s="5"/>
      <c r="DA149" s="5"/>
      <c r="DB149" s="5"/>
      <c r="DC149" s="5"/>
      <c r="DD149" s="5"/>
      <c r="DE149" s="5"/>
      <c r="DF149" s="5"/>
      <c r="DG149" s="5"/>
      <c r="DH149" s="5"/>
      <c r="DI149" s="5"/>
      <c r="DJ149" s="5"/>
      <c r="DK149" s="5"/>
      <c r="DL149" s="5"/>
      <c r="DM149" s="5"/>
      <c r="DN149" s="5"/>
      <c r="DO149" s="5"/>
      <c r="DP149" s="5"/>
      <c r="DQ149" s="5"/>
      <c r="DR149" s="5"/>
      <c r="DS149" s="5"/>
      <c r="DT149" s="5"/>
      <c r="DU149" s="5"/>
      <c r="DV149" s="5"/>
      <c r="DW149" s="5"/>
      <c r="DX149" s="5"/>
      <c r="DY149" s="5"/>
      <c r="DZ149" s="5"/>
      <c r="EA149" s="5"/>
      <c r="EB149" s="5"/>
      <c r="EC149" s="5"/>
      <c r="ED149" s="5"/>
      <c r="EE149" s="5"/>
      <c r="EF149" s="5"/>
      <c r="EG149" s="5"/>
      <c r="EH149" s="5"/>
      <c r="EI149" s="5"/>
      <c r="EJ149" s="5"/>
      <c r="EK149" s="5"/>
      <c r="EL149" s="5"/>
      <c r="EM149" s="5"/>
      <c r="EN149" s="5"/>
      <c r="EO149" s="5"/>
      <c r="EP149" s="5"/>
      <c r="EQ149" s="5"/>
      <c r="ER149" s="5"/>
      <c r="ES149" s="5"/>
      <c r="ET149" s="5"/>
      <c r="EU149" s="5"/>
      <c r="EV149" s="5"/>
      <c r="EW149" s="5"/>
      <c r="EX149" s="5"/>
      <c r="EY149" s="5"/>
      <c r="EZ149" s="5"/>
      <c r="FA149" s="5"/>
      <c r="FB149" s="5"/>
      <c r="FC149" s="5"/>
      <c r="FD149" s="5"/>
      <c r="FE149" s="5"/>
      <c r="FF149" s="5"/>
      <c r="FG149" s="5"/>
      <c r="FH149" s="5"/>
      <c r="FI149" s="5"/>
      <c r="FJ149" s="5"/>
      <c r="FK149" s="5"/>
      <c r="FL149" s="5"/>
      <c r="FM149" s="5"/>
      <c r="FN149" s="5"/>
      <c r="FO149" s="5"/>
      <c r="FP149" s="5"/>
      <c r="FQ149" s="5"/>
      <c r="FR149" s="5"/>
      <c r="FS149" s="5"/>
      <c r="FT149" s="5"/>
      <c r="FU149" s="5"/>
      <c r="FV149" s="5"/>
      <c r="FW149" s="5"/>
      <c r="FX149" s="5"/>
      <c r="FY149" s="5"/>
      <c r="FZ149" s="5"/>
      <c r="GA149" s="5"/>
      <c r="GB149" s="5"/>
      <c r="GC149" s="5"/>
      <c r="GD149" s="5"/>
      <c r="GE149" s="5"/>
      <c r="GF149" s="5"/>
      <c r="GG149" s="5"/>
      <c r="GH149" s="5"/>
      <c r="GI149" s="5"/>
      <c r="GJ149" s="5"/>
      <c r="GK149" s="5"/>
      <c r="GL149" s="5"/>
      <c r="GM149" s="5"/>
      <c r="GN149" s="5"/>
      <c r="GO149" s="5"/>
      <c r="GP149" s="5"/>
      <c r="GQ149" s="5"/>
      <c r="GR149" s="5"/>
      <c r="GS149" s="5"/>
      <c r="GT149" s="5"/>
      <c r="GU149" s="5"/>
      <c r="GV149" s="5"/>
      <c r="GW149" s="5"/>
      <c r="GX149" s="5"/>
      <c r="GY149" s="5"/>
      <c r="GZ149" s="5"/>
      <c r="HA149" s="5"/>
      <c r="HB149" s="5"/>
      <c r="HC149" s="5"/>
      <c r="HD149" s="5"/>
      <c r="HE149" s="5"/>
      <c r="HF149" s="5"/>
      <c r="HG149" s="5"/>
      <c r="HH149" s="5"/>
      <c r="HI149" s="5"/>
      <c r="HJ149" s="5"/>
      <c r="HK149" s="5"/>
      <c r="HL149" s="5"/>
      <c r="HM149" s="5"/>
      <c r="HN149" s="5"/>
      <c r="HO149" s="5"/>
      <c r="HP149" s="5"/>
      <c r="HQ149" s="5"/>
      <c r="HR149" s="5"/>
      <c r="HS149" s="5"/>
      <c r="HT149" s="5"/>
      <c r="HU149" s="5"/>
      <c r="HV149" s="5"/>
      <c r="HW149" s="5"/>
      <c r="HX149" s="5"/>
      <c r="HY149" s="5"/>
      <c r="HZ149" s="5"/>
      <c r="IA149" s="5"/>
      <c r="IB149" s="5"/>
      <c r="IC149" s="5"/>
      <c r="ID149" s="5"/>
      <c r="IE149" s="5"/>
      <c r="IF149" s="5"/>
      <c r="IG149" s="5"/>
      <c r="IH149" s="5"/>
      <c r="II149" s="5"/>
      <c r="IJ149" s="5"/>
      <c r="IK149" s="5"/>
      <c r="IL149" s="5"/>
      <c r="IM149" s="5"/>
      <c r="IN149" s="5"/>
      <c r="IO149" s="5"/>
      <c r="IP149" s="5"/>
      <c r="IQ149" s="5"/>
      <c r="IR149" s="5"/>
      <c r="IS149" s="5"/>
      <c r="IT149" s="5"/>
      <c r="IU149" s="5"/>
      <c r="IV149" s="5"/>
      <c r="IW149" s="5"/>
      <c r="IX149" s="5"/>
      <c r="IY149" s="5"/>
      <c r="IZ149" s="5"/>
      <c r="JA149" s="5"/>
      <c r="JB149" s="5"/>
      <c r="JC149" s="5"/>
      <c r="JD149" s="5"/>
      <c r="JE149" s="5"/>
      <c r="JF149" s="5"/>
      <c r="JG149" s="5"/>
      <c r="JH149" s="5"/>
      <c r="JI149" s="5"/>
      <c r="JJ149" s="5"/>
      <c r="JK149" s="5"/>
      <c r="JL149" s="5"/>
      <c r="JM149" s="5"/>
      <c r="JN149" s="5"/>
      <c r="JO149" s="5"/>
      <c r="JP149" s="5"/>
      <c r="JQ149" s="5"/>
      <c r="JR149" s="5"/>
      <c r="JS149" s="5"/>
      <c r="JT149" s="5"/>
      <c r="JU149" s="5"/>
      <c r="JV149" s="5"/>
      <c r="JW149" s="5"/>
      <c r="JX149" s="5"/>
      <c r="JY149" s="5"/>
      <c r="JZ149" s="5"/>
      <c r="KA149" s="5"/>
      <c r="KB149" s="5"/>
      <c r="KC149" s="5"/>
      <c r="KD149" s="5"/>
      <c r="KE149" s="5"/>
      <c r="KF149" s="5"/>
      <c r="KG149" s="5"/>
      <c r="KH149" s="5"/>
      <c r="KI149" s="5"/>
      <c r="KJ149" s="5"/>
      <c r="KK149" s="5"/>
      <c r="KL149" s="5"/>
      <c r="KM149" s="5"/>
      <c r="KN149" s="5"/>
      <c r="KO149" s="5"/>
      <c r="KP149" s="5"/>
      <c r="KQ149" s="5"/>
      <c r="KR149" s="5"/>
      <c r="KS149" s="5"/>
      <c r="KT149" s="5"/>
      <c r="KU149" s="5"/>
      <c r="KV149" s="5"/>
      <c r="KW149" s="5"/>
      <c r="KX149" s="5"/>
      <c r="KY149" s="5"/>
      <c r="KZ149" s="5"/>
      <c r="LA149" s="5"/>
      <c r="LB149" s="5"/>
      <c r="LC149" s="5"/>
      <c r="LD149" s="5"/>
      <c r="LE149" s="5"/>
      <c r="LF149" s="5"/>
      <c r="LG149" s="5"/>
      <c r="LH149" s="5"/>
      <c r="LI149" s="5"/>
      <c r="LJ149" s="5"/>
      <c r="LK149" s="5"/>
      <c r="LL149" s="5"/>
      <c r="LM149" s="5"/>
      <c r="LN149" s="5"/>
      <c r="LO149" s="5"/>
      <c r="LP149" s="5"/>
      <c r="LQ149" s="5"/>
      <c r="LR149" s="5"/>
      <c r="LS149" s="5"/>
      <c r="LT149" s="5"/>
      <c r="LU149" s="5"/>
      <c r="LV149" s="5"/>
      <c r="LW149" s="5"/>
      <c r="LX149" s="5"/>
      <c r="LY149" s="5"/>
      <c r="LZ149" s="5"/>
      <c r="MA149" s="5"/>
      <c r="MB149" s="5"/>
      <c r="MC149" s="5"/>
      <c r="MD149" s="5"/>
      <c r="ME149" s="5"/>
      <c r="MF149" s="5"/>
      <c r="MG149" s="5"/>
      <c r="MH149" s="5"/>
      <c r="MI149" s="5"/>
      <c r="MJ149" s="5"/>
      <c r="MK149" s="5"/>
      <c r="ML149" s="5"/>
      <c r="MM149" s="5"/>
      <c r="MN149" s="5"/>
      <c r="MO149" s="5"/>
      <c r="MP149" s="5"/>
      <c r="MQ149" s="5"/>
      <c r="MR149" s="5"/>
      <c r="MS149" s="5"/>
      <c r="MT149" s="5"/>
      <c r="MU149" s="5"/>
      <c r="MV149" s="5"/>
      <c r="MW149" s="5"/>
      <c r="MX149" s="5"/>
      <c r="MY149" s="5"/>
      <c r="MZ149" s="5"/>
      <c r="NA149" s="5"/>
      <c r="NB149" s="5"/>
      <c r="NC149" s="5"/>
      <c r="ND149" s="5"/>
      <c r="NE149" s="5"/>
      <c r="NF149" s="5"/>
      <c r="NG149" s="5"/>
      <c r="NH149" s="5"/>
      <c r="NI149" s="5"/>
      <c r="NJ149" s="5"/>
      <c r="NK149" s="5"/>
      <c r="NL149" s="5"/>
      <c r="NM149" s="5"/>
      <c r="NN149" s="5"/>
      <c r="NO149" s="5"/>
      <c r="NP149" s="5"/>
      <c r="NQ149" s="5"/>
      <c r="NR149" s="5"/>
      <c r="NS149" s="5"/>
      <c r="NT149" s="5"/>
      <c r="NU149" s="5"/>
      <c r="NV149" s="5"/>
      <c r="NW149" s="5"/>
      <c r="NX149" s="5"/>
      <c r="NY149" s="5"/>
      <c r="NZ149" s="5"/>
      <c r="OA149" s="5"/>
      <c r="OB149" s="5"/>
      <c r="OC149" s="5"/>
      <c r="OD149" s="5"/>
      <c r="OE149" s="5"/>
      <c r="OF149" s="5"/>
      <c r="OG149" s="5"/>
      <c r="OH149" s="5"/>
      <c r="OI149" s="5"/>
      <c r="OJ149" s="5"/>
      <c r="OK149" s="5"/>
      <c r="OL149" s="5"/>
      <c r="OM149" s="5"/>
      <c r="ON149" s="5"/>
      <c r="OO149" s="5"/>
      <c r="OP149" s="5"/>
      <c r="OQ149" s="5"/>
      <c r="OR149" s="5"/>
      <c r="OS149" s="5"/>
      <c r="OT149" s="5"/>
      <c r="OU149" s="5"/>
      <c r="OV149" s="5"/>
      <c r="OW149" s="5"/>
      <c r="OX149" s="5"/>
      <c r="OY149" s="5"/>
      <c r="OZ149" s="5"/>
      <c r="PA149" s="5"/>
      <c r="PB149" s="5"/>
      <c r="PC149" s="5"/>
      <c r="PD149" s="5"/>
      <c r="PE149" s="5"/>
      <c r="PF149" s="5"/>
      <c r="PG149" s="5"/>
      <c r="PH149" s="5"/>
      <c r="PI149" s="5"/>
      <c r="PJ149" s="5"/>
      <c r="PK149" s="5"/>
      <c r="PL149" s="5"/>
      <c r="PM149" s="5"/>
      <c r="PN149" s="5"/>
      <c r="PO149" s="5"/>
      <c r="PP149" s="5"/>
      <c r="PQ149" s="5"/>
      <c r="PR149" s="5"/>
      <c r="PS149" s="5"/>
      <c r="PT149" s="5"/>
      <c r="PU149" s="5"/>
      <c r="PV149" s="5"/>
      <c r="PW149" s="5"/>
      <c r="PX149" s="5"/>
      <c r="PY149" s="5"/>
      <c r="PZ149" s="5"/>
      <c r="QA149" s="5"/>
      <c r="QB149" s="5"/>
      <c r="QC149" s="5"/>
      <c r="QD149" s="5"/>
      <c r="QE149" s="5"/>
      <c r="QF149" s="5"/>
      <c r="QG149" s="5"/>
      <c r="QH149" s="5"/>
      <c r="QI149" s="5"/>
      <c r="QJ149" s="5"/>
      <c r="QK149" s="5"/>
      <c r="QL149" s="5"/>
      <c r="QM149" s="5"/>
      <c r="QN149" s="5"/>
      <c r="QO149" s="5"/>
      <c r="QP149" s="5"/>
      <c r="QQ149" s="5"/>
      <c r="QR149" s="5"/>
      <c r="QS149" s="5"/>
      <c r="QT149" s="5"/>
      <c r="QU149" s="5"/>
      <c r="QV149" s="5"/>
      <c r="QW149" s="5"/>
      <c r="QX149" s="5"/>
      <c r="QY149" s="5"/>
      <c r="QZ149" s="5"/>
      <c r="RA149" s="5"/>
      <c r="RB149" s="5"/>
      <c r="RC149" s="5"/>
      <c r="RD149" s="5"/>
      <c r="RE149" s="5"/>
      <c r="RF149" s="5"/>
      <c r="RG149" s="5"/>
      <c r="RH149" s="5"/>
      <c r="RI149" s="5"/>
      <c r="RJ149" s="5"/>
      <c r="RK149" s="5"/>
      <c r="RL149" s="5"/>
      <c r="RM149" s="5"/>
      <c r="RN149" s="5"/>
      <c r="RO149" s="5"/>
      <c r="RP149" s="5"/>
      <c r="RQ149" s="5"/>
      <c r="RR149" s="5"/>
      <c r="RS149" s="5"/>
      <c r="RT149" s="5"/>
      <c r="RU149" s="5"/>
      <c r="RV149" s="5"/>
      <c r="RW149" s="5"/>
      <c r="RX149" s="5"/>
      <c r="RY149" s="5"/>
      <c r="RZ149" s="5"/>
      <c r="SA149" s="5"/>
      <c r="SB149" s="5"/>
      <c r="SC149" s="5"/>
      <c r="SD149" s="5"/>
      <c r="SE149" s="5"/>
      <c r="SF149" s="5"/>
      <c r="SG149" s="5"/>
      <c r="SH149" s="5"/>
      <c r="SI149" s="5"/>
      <c r="SJ149" s="5"/>
      <c r="SK149" s="5"/>
      <c r="SL149" s="5"/>
      <c r="SM149" s="5"/>
      <c r="SN149" s="5"/>
      <c r="SO149" s="5"/>
      <c r="SP149" s="5"/>
      <c r="SQ149" s="5"/>
      <c r="SR149" s="5"/>
      <c r="SS149" s="5"/>
      <c r="ST149" s="5"/>
      <c r="SU149" s="5"/>
      <c r="SV149" s="5"/>
      <c r="SW149" s="5"/>
      <c r="SX149" s="5"/>
      <c r="SY149" s="5"/>
      <c r="SZ149" s="5"/>
      <c r="TA149" s="5"/>
      <c r="TB149" s="5"/>
      <c r="TC149" s="5"/>
      <c r="TD149" s="5"/>
      <c r="TE149" s="5"/>
      <c r="TF149" s="5"/>
      <c r="TG149" s="5"/>
      <c r="TH149" s="5"/>
      <c r="TI149" s="5"/>
      <c r="TJ149" s="5"/>
      <c r="TK149" s="5"/>
      <c r="TL149" s="5"/>
      <c r="TM149" s="5"/>
      <c r="TN149" s="5"/>
      <c r="TO149" s="5"/>
      <c r="TP149" s="5"/>
      <c r="TQ149" s="5"/>
      <c r="TR149" s="5"/>
      <c r="TS149" s="5"/>
      <c r="TT149" s="5"/>
      <c r="TU149" s="5"/>
      <c r="TV149" s="5"/>
      <c r="TW149" s="5"/>
      <c r="TX149" s="5"/>
      <c r="TY149" s="5"/>
      <c r="TZ149" s="5"/>
      <c r="UA149" s="5"/>
      <c r="UB149" s="5"/>
      <c r="UC149" s="5"/>
      <c r="UD149" s="5"/>
      <c r="UE149" s="5"/>
      <c r="UF149" s="5"/>
      <c r="UG149" s="5"/>
      <c r="UH149" s="5"/>
      <c r="UI149" s="5"/>
      <c r="UJ149" s="5"/>
      <c r="UK149" s="5"/>
      <c r="UL149" s="5"/>
      <c r="UM149" s="5"/>
      <c r="UN149" s="5"/>
      <c r="UO149" s="5"/>
      <c r="UP149" s="5"/>
      <c r="UQ149" s="5"/>
      <c r="UR149" s="5"/>
      <c r="US149" s="5"/>
      <c r="UT149" s="5"/>
      <c r="UU149" s="5"/>
      <c r="UV149" s="5"/>
      <c r="UW149" s="5"/>
      <c r="UX149" s="5"/>
      <c r="UY149" s="5"/>
      <c r="UZ149" s="5"/>
      <c r="VA149" s="5"/>
      <c r="VB149" s="5"/>
      <c r="VC149" s="5"/>
      <c r="VD149" s="5"/>
      <c r="VE149" s="5"/>
      <c r="VF149" s="5"/>
      <c r="VG149" s="5"/>
      <c r="VH149" s="5"/>
      <c r="VI149" s="5"/>
      <c r="VJ149" s="5"/>
      <c r="VK149" s="5"/>
      <c r="VL149" s="5"/>
      <c r="VM149" s="5"/>
      <c r="VN149" s="5"/>
      <c r="VO149" s="5"/>
      <c r="VP149" s="5"/>
      <c r="VQ149" s="5"/>
      <c r="VR149" s="5"/>
      <c r="VS149" s="5"/>
      <c r="VT149" s="5"/>
      <c r="VU149" s="5"/>
      <c r="VV149" s="5"/>
      <c r="VW149" s="5"/>
      <c r="VX149" s="5"/>
      <c r="VY149" s="5"/>
      <c r="VZ149" s="5"/>
      <c r="WA149" s="5"/>
      <c r="WB149" s="5"/>
      <c r="WC149" s="5"/>
      <c r="WD149" s="5"/>
      <c r="WE149" s="5"/>
      <c r="WF149" s="5"/>
      <c r="WG149" s="5"/>
      <c r="WH149" s="5"/>
      <c r="WI149" s="5"/>
      <c r="WJ149" s="5"/>
      <c r="WK149" s="5"/>
      <c r="WL149" s="5"/>
      <c r="WM149" s="5"/>
      <c r="WN149" s="5"/>
      <c r="WO149" s="5"/>
      <c r="WP149" s="5"/>
      <c r="WQ149" s="5"/>
      <c r="WR149" s="5"/>
      <c r="WS149" s="5"/>
      <c r="WT149" s="5"/>
      <c r="WU149" s="5"/>
      <c r="WV149" s="5"/>
      <c r="WW149" s="5"/>
      <c r="WX149" s="5"/>
      <c r="WY149" s="5"/>
      <c r="WZ149" s="5"/>
      <c r="XA149" s="5"/>
      <c r="XB149" s="5"/>
      <c r="XC149" s="5"/>
      <c r="XD149" s="5"/>
      <c r="XE149" s="5"/>
      <c r="XF149" s="5"/>
      <c r="XG149" s="5"/>
      <c r="XH149" s="5"/>
      <c r="XI149" s="5"/>
      <c r="XJ149" s="5"/>
      <c r="XK149" s="5"/>
      <c r="XL149" s="5"/>
      <c r="XM149" s="5"/>
      <c r="XN149" s="5"/>
      <c r="XO149" s="5"/>
      <c r="XP149" s="5"/>
      <c r="XQ149" s="5"/>
      <c r="XR149" s="5"/>
      <c r="XS149" s="5"/>
      <c r="XT149" s="5"/>
      <c r="XU149" s="5"/>
      <c r="XV149" s="5"/>
      <c r="XW149" s="5"/>
      <c r="XX149" s="5"/>
      <c r="XY149" s="5"/>
      <c r="XZ149" s="5"/>
      <c r="YA149" s="5"/>
      <c r="YB149" s="5"/>
      <c r="YC149" s="5"/>
      <c r="YD149" s="5"/>
      <c r="YE149" s="5"/>
      <c r="YF149" s="5"/>
      <c r="YG149" s="5"/>
      <c r="YH149" s="5"/>
      <c r="YI149" s="5"/>
      <c r="YJ149" s="5"/>
      <c r="YK149" s="5"/>
      <c r="YL149" s="5"/>
      <c r="YM149" s="5"/>
      <c r="YN149" s="5"/>
      <c r="YO149" s="5"/>
      <c r="YP149" s="5"/>
      <c r="YQ149" s="5"/>
      <c r="YR149" s="5"/>
      <c r="YS149" s="5"/>
      <c r="YT149" s="5"/>
      <c r="YU149" s="5"/>
      <c r="YV149" s="5"/>
      <c r="YW149" s="5"/>
      <c r="YX149" s="5"/>
      <c r="YY149" s="5"/>
      <c r="YZ149" s="5"/>
    </row>
    <row r="150" spans="1:676">
      <c r="A150" s="7">
        <v>140</v>
      </c>
      <c r="B150" s="7" t="s">
        <v>360</v>
      </c>
      <c r="C150" s="10" t="s">
        <v>361</v>
      </c>
      <c r="D150" s="7" t="s">
        <v>50</v>
      </c>
      <c r="E150" s="7" t="s">
        <v>343</v>
      </c>
      <c r="F150" s="7" t="s">
        <v>344</v>
      </c>
      <c r="G150" s="7"/>
      <c r="H150" s="7" t="s">
        <v>43</v>
      </c>
      <c r="I150" s="11">
        <v>2</v>
      </c>
      <c r="J150" s="11">
        <v>3</v>
      </c>
      <c r="K150" s="11">
        <v>0</v>
      </c>
      <c r="L150" s="11">
        <v>0.4</v>
      </c>
      <c r="M150" s="11">
        <v>0</v>
      </c>
      <c r="N150" s="11">
        <v>0</v>
      </c>
      <c r="O150" s="11">
        <v>0</v>
      </c>
      <c r="P150" s="11">
        <v>0.83</v>
      </c>
      <c r="Q150" s="11">
        <v>1.23</v>
      </c>
      <c r="R150" s="11">
        <v>0</v>
      </c>
      <c r="S150" s="11">
        <v>1.23</v>
      </c>
      <c r="T150" s="11">
        <v>1.23</v>
      </c>
      <c r="U150" s="11">
        <v>0</v>
      </c>
      <c r="V150" s="11">
        <v>0</v>
      </c>
      <c r="W150" s="13">
        <v>2</v>
      </c>
      <c r="X150" s="13">
        <v>3</v>
      </c>
      <c r="Y150" s="13" t="str">
        <f>MIN(W150,S150)</f>
        <v>0</v>
      </c>
      <c r="Z150" s="13" t="str">
        <f>MIN(X150,(S150-Y150))</f>
        <v>0</v>
      </c>
      <c r="AA150" s="13" t="str">
        <f>S150-SUM(Y150,Z150)</f>
        <v>0</v>
      </c>
      <c r="AB150" s="15"/>
      <c r="AC150" s="15"/>
      <c r="AD150" s="1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  <c r="BS150" s="5"/>
      <c r="BT150" s="5"/>
      <c r="BU150" s="5"/>
      <c r="BV150" s="5"/>
      <c r="BW150" s="5"/>
      <c r="BX150" s="5"/>
      <c r="BY150" s="5"/>
      <c r="BZ150" s="5"/>
      <c r="CA150" s="5"/>
      <c r="CB150" s="5"/>
      <c r="CC150" s="5"/>
      <c r="CD150" s="5"/>
      <c r="CE150" s="5"/>
      <c r="CF150" s="5"/>
      <c r="CG150" s="5"/>
      <c r="CH150" s="5"/>
      <c r="CI150" s="5"/>
      <c r="CJ150" s="5"/>
      <c r="CK150" s="5"/>
      <c r="CL150" s="5"/>
      <c r="CM150" s="5"/>
      <c r="CN150" s="5"/>
      <c r="CO150" s="5"/>
      <c r="CP150" s="5"/>
      <c r="CQ150" s="5"/>
      <c r="CR150" s="5"/>
      <c r="CS150" s="5"/>
      <c r="CT150" s="5"/>
      <c r="CU150" s="5"/>
      <c r="CV150" s="5"/>
      <c r="CW150" s="5"/>
      <c r="CX150" s="5"/>
      <c r="CY150" s="5"/>
      <c r="CZ150" s="5"/>
      <c r="DA150" s="5"/>
      <c r="DB150" s="5"/>
      <c r="DC150" s="5"/>
      <c r="DD150" s="5"/>
      <c r="DE150" s="5"/>
      <c r="DF150" s="5"/>
      <c r="DG150" s="5"/>
      <c r="DH150" s="5"/>
      <c r="DI150" s="5"/>
      <c r="DJ150" s="5"/>
      <c r="DK150" s="5"/>
      <c r="DL150" s="5"/>
      <c r="DM150" s="5"/>
      <c r="DN150" s="5"/>
      <c r="DO150" s="5"/>
      <c r="DP150" s="5"/>
      <c r="DQ150" s="5"/>
      <c r="DR150" s="5"/>
      <c r="DS150" s="5"/>
      <c r="DT150" s="5"/>
      <c r="DU150" s="5"/>
      <c r="DV150" s="5"/>
      <c r="DW150" s="5"/>
      <c r="DX150" s="5"/>
      <c r="DY150" s="5"/>
      <c r="DZ150" s="5"/>
      <c r="EA150" s="5"/>
      <c r="EB150" s="5"/>
      <c r="EC150" s="5"/>
      <c r="ED150" s="5"/>
      <c r="EE150" s="5"/>
      <c r="EF150" s="5"/>
      <c r="EG150" s="5"/>
      <c r="EH150" s="5"/>
      <c r="EI150" s="5"/>
      <c r="EJ150" s="5"/>
      <c r="EK150" s="5"/>
      <c r="EL150" s="5"/>
      <c r="EM150" s="5"/>
      <c r="EN150" s="5"/>
      <c r="EO150" s="5"/>
      <c r="EP150" s="5"/>
      <c r="EQ150" s="5"/>
      <c r="ER150" s="5"/>
      <c r="ES150" s="5"/>
      <c r="ET150" s="5"/>
      <c r="EU150" s="5"/>
      <c r="EV150" s="5"/>
      <c r="EW150" s="5"/>
      <c r="EX150" s="5"/>
      <c r="EY150" s="5"/>
      <c r="EZ150" s="5"/>
      <c r="FA150" s="5"/>
      <c r="FB150" s="5"/>
      <c r="FC150" s="5"/>
      <c r="FD150" s="5"/>
      <c r="FE150" s="5"/>
      <c r="FF150" s="5"/>
      <c r="FG150" s="5"/>
      <c r="FH150" s="5"/>
      <c r="FI150" s="5"/>
      <c r="FJ150" s="5"/>
      <c r="FK150" s="5"/>
      <c r="FL150" s="5"/>
      <c r="FM150" s="5"/>
      <c r="FN150" s="5"/>
      <c r="FO150" s="5"/>
      <c r="FP150" s="5"/>
      <c r="FQ150" s="5"/>
      <c r="FR150" s="5"/>
      <c r="FS150" s="5"/>
      <c r="FT150" s="5"/>
      <c r="FU150" s="5"/>
      <c r="FV150" s="5"/>
      <c r="FW150" s="5"/>
      <c r="FX150" s="5"/>
      <c r="FY150" s="5"/>
      <c r="FZ150" s="5"/>
      <c r="GA150" s="5"/>
      <c r="GB150" s="5"/>
      <c r="GC150" s="5"/>
      <c r="GD150" s="5"/>
      <c r="GE150" s="5"/>
      <c r="GF150" s="5"/>
      <c r="GG150" s="5"/>
      <c r="GH150" s="5"/>
      <c r="GI150" s="5"/>
      <c r="GJ150" s="5"/>
      <c r="GK150" s="5"/>
      <c r="GL150" s="5"/>
      <c r="GM150" s="5"/>
      <c r="GN150" s="5"/>
      <c r="GO150" s="5"/>
      <c r="GP150" s="5"/>
      <c r="GQ150" s="5"/>
      <c r="GR150" s="5"/>
      <c r="GS150" s="5"/>
      <c r="GT150" s="5"/>
      <c r="GU150" s="5"/>
      <c r="GV150" s="5"/>
      <c r="GW150" s="5"/>
      <c r="GX150" s="5"/>
      <c r="GY150" s="5"/>
      <c r="GZ150" s="5"/>
      <c r="HA150" s="5"/>
      <c r="HB150" s="5"/>
      <c r="HC150" s="5"/>
      <c r="HD150" s="5"/>
      <c r="HE150" s="5"/>
      <c r="HF150" s="5"/>
      <c r="HG150" s="5"/>
      <c r="HH150" s="5"/>
      <c r="HI150" s="5"/>
      <c r="HJ150" s="5"/>
      <c r="HK150" s="5"/>
      <c r="HL150" s="5"/>
      <c r="HM150" s="5"/>
      <c r="HN150" s="5"/>
      <c r="HO150" s="5"/>
      <c r="HP150" s="5"/>
      <c r="HQ150" s="5"/>
      <c r="HR150" s="5"/>
      <c r="HS150" s="5"/>
      <c r="HT150" s="5"/>
      <c r="HU150" s="5"/>
      <c r="HV150" s="5"/>
      <c r="HW150" s="5"/>
      <c r="HX150" s="5"/>
      <c r="HY150" s="5"/>
      <c r="HZ150" s="5"/>
      <c r="IA150" s="5"/>
      <c r="IB150" s="5"/>
      <c r="IC150" s="5"/>
      <c r="ID150" s="5"/>
      <c r="IE150" s="5"/>
      <c r="IF150" s="5"/>
      <c r="IG150" s="5"/>
      <c r="IH150" s="5"/>
      <c r="II150" s="5"/>
      <c r="IJ150" s="5"/>
      <c r="IK150" s="5"/>
      <c r="IL150" s="5"/>
      <c r="IM150" s="5"/>
      <c r="IN150" s="5"/>
      <c r="IO150" s="5"/>
      <c r="IP150" s="5"/>
      <c r="IQ150" s="5"/>
      <c r="IR150" s="5"/>
      <c r="IS150" s="5"/>
      <c r="IT150" s="5"/>
      <c r="IU150" s="5"/>
      <c r="IV150" s="5"/>
      <c r="IW150" s="5"/>
      <c r="IX150" s="5"/>
      <c r="IY150" s="5"/>
      <c r="IZ150" s="5"/>
      <c r="JA150" s="5"/>
      <c r="JB150" s="5"/>
      <c r="JC150" s="5"/>
      <c r="JD150" s="5"/>
      <c r="JE150" s="5"/>
      <c r="JF150" s="5"/>
      <c r="JG150" s="5"/>
      <c r="JH150" s="5"/>
      <c r="JI150" s="5"/>
      <c r="JJ150" s="5"/>
      <c r="JK150" s="5"/>
      <c r="JL150" s="5"/>
      <c r="JM150" s="5"/>
      <c r="JN150" s="5"/>
      <c r="JO150" s="5"/>
      <c r="JP150" s="5"/>
      <c r="JQ150" s="5"/>
      <c r="JR150" s="5"/>
      <c r="JS150" s="5"/>
      <c r="JT150" s="5"/>
      <c r="JU150" s="5"/>
      <c r="JV150" s="5"/>
      <c r="JW150" s="5"/>
      <c r="JX150" s="5"/>
      <c r="JY150" s="5"/>
      <c r="JZ150" s="5"/>
      <c r="KA150" s="5"/>
      <c r="KB150" s="5"/>
      <c r="KC150" s="5"/>
      <c r="KD150" s="5"/>
      <c r="KE150" s="5"/>
      <c r="KF150" s="5"/>
      <c r="KG150" s="5"/>
      <c r="KH150" s="5"/>
      <c r="KI150" s="5"/>
      <c r="KJ150" s="5"/>
      <c r="KK150" s="5"/>
      <c r="KL150" s="5"/>
      <c r="KM150" s="5"/>
      <c r="KN150" s="5"/>
      <c r="KO150" s="5"/>
      <c r="KP150" s="5"/>
      <c r="KQ150" s="5"/>
      <c r="KR150" s="5"/>
      <c r="KS150" s="5"/>
      <c r="KT150" s="5"/>
      <c r="KU150" s="5"/>
      <c r="KV150" s="5"/>
      <c r="KW150" s="5"/>
      <c r="KX150" s="5"/>
      <c r="KY150" s="5"/>
      <c r="KZ150" s="5"/>
      <c r="LA150" s="5"/>
      <c r="LB150" s="5"/>
      <c r="LC150" s="5"/>
      <c r="LD150" s="5"/>
      <c r="LE150" s="5"/>
      <c r="LF150" s="5"/>
      <c r="LG150" s="5"/>
      <c r="LH150" s="5"/>
      <c r="LI150" s="5"/>
      <c r="LJ150" s="5"/>
      <c r="LK150" s="5"/>
      <c r="LL150" s="5"/>
      <c r="LM150" s="5"/>
      <c r="LN150" s="5"/>
      <c r="LO150" s="5"/>
      <c r="LP150" s="5"/>
      <c r="LQ150" s="5"/>
      <c r="LR150" s="5"/>
      <c r="LS150" s="5"/>
      <c r="LT150" s="5"/>
      <c r="LU150" s="5"/>
      <c r="LV150" s="5"/>
      <c r="LW150" s="5"/>
      <c r="LX150" s="5"/>
      <c r="LY150" s="5"/>
      <c r="LZ150" s="5"/>
      <c r="MA150" s="5"/>
      <c r="MB150" s="5"/>
      <c r="MC150" s="5"/>
      <c r="MD150" s="5"/>
      <c r="ME150" s="5"/>
      <c r="MF150" s="5"/>
      <c r="MG150" s="5"/>
      <c r="MH150" s="5"/>
      <c r="MI150" s="5"/>
      <c r="MJ150" s="5"/>
      <c r="MK150" s="5"/>
      <c r="ML150" s="5"/>
      <c r="MM150" s="5"/>
      <c r="MN150" s="5"/>
      <c r="MO150" s="5"/>
      <c r="MP150" s="5"/>
      <c r="MQ150" s="5"/>
      <c r="MR150" s="5"/>
      <c r="MS150" s="5"/>
      <c r="MT150" s="5"/>
      <c r="MU150" s="5"/>
      <c r="MV150" s="5"/>
      <c r="MW150" s="5"/>
      <c r="MX150" s="5"/>
      <c r="MY150" s="5"/>
      <c r="MZ150" s="5"/>
      <c r="NA150" s="5"/>
      <c r="NB150" s="5"/>
      <c r="NC150" s="5"/>
      <c r="ND150" s="5"/>
      <c r="NE150" s="5"/>
      <c r="NF150" s="5"/>
      <c r="NG150" s="5"/>
      <c r="NH150" s="5"/>
      <c r="NI150" s="5"/>
      <c r="NJ150" s="5"/>
      <c r="NK150" s="5"/>
      <c r="NL150" s="5"/>
      <c r="NM150" s="5"/>
      <c r="NN150" s="5"/>
      <c r="NO150" s="5"/>
      <c r="NP150" s="5"/>
      <c r="NQ150" s="5"/>
      <c r="NR150" s="5"/>
      <c r="NS150" s="5"/>
      <c r="NT150" s="5"/>
      <c r="NU150" s="5"/>
      <c r="NV150" s="5"/>
      <c r="NW150" s="5"/>
      <c r="NX150" s="5"/>
      <c r="NY150" s="5"/>
      <c r="NZ150" s="5"/>
      <c r="OA150" s="5"/>
      <c r="OB150" s="5"/>
      <c r="OC150" s="5"/>
      <c r="OD150" s="5"/>
      <c r="OE150" s="5"/>
      <c r="OF150" s="5"/>
      <c r="OG150" s="5"/>
      <c r="OH150" s="5"/>
      <c r="OI150" s="5"/>
      <c r="OJ150" s="5"/>
      <c r="OK150" s="5"/>
      <c r="OL150" s="5"/>
      <c r="OM150" s="5"/>
      <c r="ON150" s="5"/>
      <c r="OO150" s="5"/>
      <c r="OP150" s="5"/>
      <c r="OQ150" s="5"/>
      <c r="OR150" s="5"/>
      <c r="OS150" s="5"/>
      <c r="OT150" s="5"/>
      <c r="OU150" s="5"/>
      <c r="OV150" s="5"/>
      <c r="OW150" s="5"/>
      <c r="OX150" s="5"/>
      <c r="OY150" s="5"/>
      <c r="OZ150" s="5"/>
      <c r="PA150" s="5"/>
      <c r="PB150" s="5"/>
      <c r="PC150" s="5"/>
      <c r="PD150" s="5"/>
      <c r="PE150" s="5"/>
      <c r="PF150" s="5"/>
      <c r="PG150" s="5"/>
      <c r="PH150" s="5"/>
      <c r="PI150" s="5"/>
      <c r="PJ150" s="5"/>
      <c r="PK150" s="5"/>
      <c r="PL150" s="5"/>
      <c r="PM150" s="5"/>
      <c r="PN150" s="5"/>
      <c r="PO150" s="5"/>
      <c r="PP150" s="5"/>
      <c r="PQ150" s="5"/>
      <c r="PR150" s="5"/>
      <c r="PS150" s="5"/>
      <c r="PT150" s="5"/>
      <c r="PU150" s="5"/>
      <c r="PV150" s="5"/>
      <c r="PW150" s="5"/>
      <c r="PX150" s="5"/>
      <c r="PY150" s="5"/>
      <c r="PZ150" s="5"/>
      <c r="QA150" s="5"/>
      <c r="QB150" s="5"/>
      <c r="QC150" s="5"/>
      <c r="QD150" s="5"/>
      <c r="QE150" s="5"/>
      <c r="QF150" s="5"/>
      <c r="QG150" s="5"/>
      <c r="QH150" s="5"/>
      <c r="QI150" s="5"/>
      <c r="QJ150" s="5"/>
      <c r="QK150" s="5"/>
      <c r="QL150" s="5"/>
      <c r="QM150" s="5"/>
      <c r="QN150" s="5"/>
      <c r="QO150" s="5"/>
      <c r="QP150" s="5"/>
      <c r="QQ150" s="5"/>
      <c r="QR150" s="5"/>
      <c r="QS150" s="5"/>
      <c r="QT150" s="5"/>
      <c r="QU150" s="5"/>
      <c r="QV150" s="5"/>
      <c r="QW150" s="5"/>
      <c r="QX150" s="5"/>
      <c r="QY150" s="5"/>
      <c r="QZ150" s="5"/>
      <c r="RA150" s="5"/>
      <c r="RB150" s="5"/>
      <c r="RC150" s="5"/>
      <c r="RD150" s="5"/>
      <c r="RE150" s="5"/>
      <c r="RF150" s="5"/>
      <c r="RG150" s="5"/>
      <c r="RH150" s="5"/>
      <c r="RI150" s="5"/>
      <c r="RJ150" s="5"/>
      <c r="RK150" s="5"/>
      <c r="RL150" s="5"/>
      <c r="RM150" s="5"/>
      <c r="RN150" s="5"/>
      <c r="RO150" s="5"/>
      <c r="RP150" s="5"/>
      <c r="RQ150" s="5"/>
      <c r="RR150" s="5"/>
      <c r="RS150" s="5"/>
      <c r="RT150" s="5"/>
      <c r="RU150" s="5"/>
      <c r="RV150" s="5"/>
      <c r="RW150" s="5"/>
      <c r="RX150" s="5"/>
      <c r="RY150" s="5"/>
      <c r="RZ150" s="5"/>
      <c r="SA150" s="5"/>
      <c r="SB150" s="5"/>
      <c r="SC150" s="5"/>
      <c r="SD150" s="5"/>
      <c r="SE150" s="5"/>
      <c r="SF150" s="5"/>
      <c r="SG150" s="5"/>
      <c r="SH150" s="5"/>
      <c r="SI150" s="5"/>
      <c r="SJ150" s="5"/>
      <c r="SK150" s="5"/>
      <c r="SL150" s="5"/>
      <c r="SM150" s="5"/>
      <c r="SN150" s="5"/>
      <c r="SO150" s="5"/>
      <c r="SP150" s="5"/>
      <c r="SQ150" s="5"/>
      <c r="SR150" s="5"/>
      <c r="SS150" s="5"/>
      <c r="ST150" s="5"/>
      <c r="SU150" s="5"/>
      <c r="SV150" s="5"/>
      <c r="SW150" s="5"/>
      <c r="SX150" s="5"/>
      <c r="SY150" s="5"/>
      <c r="SZ150" s="5"/>
      <c r="TA150" s="5"/>
      <c r="TB150" s="5"/>
      <c r="TC150" s="5"/>
      <c r="TD150" s="5"/>
      <c r="TE150" s="5"/>
      <c r="TF150" s="5"/>
      <c r="TG150" s="5"/>
      <c r="TH150" s="5"/>
      <c r="TI150" s="5"/>
      <c r="TJ150" s="5"/>
      <c r="TK150" s="5"/>
      <c r="TL150" s="5"/>
      <c r="TM150" s="5"/>
      <c r="TN150" s="5"/>
      <c r="TO150" s="5"/>
      <c r="TP150" s="5"/>
      <c r="TQ150" s="5"/>
      <c r="TR150" s="5"/>
      <c r="TS150" s="5"/>
      <c r="TT150" s="5"/>
      <c r="TU150" s="5"/>
      <c r="TV150" s="5"/>
      <c r="TW150" s="5"/>
      <c r="TX150" s="5"/>
      <c r="TY150" s="5"/>
      <c r="TZ150" s="5"/>
      <c r="UA150" s="5"/>
      <c r="UB150" s="5"/>
      <c r="UC150" s="5"/>
      <c r="UD150" s="5"/>
      <c r="UE150" s="5"/>
      <c r="UF150" s="5"/>
      <c r="UG150" s="5"/>
      <c r="UH150" s="5"/>
      <c r="UI150" s="5"/>
      <c r="UJ150" s="5"/>
      <c r="UK150" s="5"/>
      <c r="UL150" s="5"/>
      <c r="UM150" s="5"/>
      <c r="UN150" s="5"/>
      <c r="UO150" s="5"/>
      <c r="UP150" s="5"/>
      <c r="UQ150" s="5"/>
      <c r="UR150" s="5"/>
      <c r="US150" s="5"/>
      <c r="UT150" s="5"/>
      <c r="UU150" s="5"/>
      <c r="UV150" s="5"/>
      <c r="UW150" s="5"/>
      <c r="UX150" s="5"/>
      <c r="UY150" s="5"/>
      <c r="UZ150" s="5"/>
      <c r="VA150" s="5"/>
      <c r="VB150" s="5"/>
      <c r="VC150" s="5"/>
      <c r="VD150" s="5"/>
      <c r="VE150" s="5"/>
      <c r="VF150" s="5"/>
      <c r="VG150" s="5"/>
      <c r="VH150" s="5"/>
      <c r="VI150" s="5"/>
      <c r="VJ150" s="5"/>
      <c r="VK150" s="5"/>
      <c r="VL150" s="5"/>
      <c r="VM150" s="5"/>
      <c r="VN150" s="5"/>
      <c r="VO150" s="5"/>
      <c r="VP150" s="5"/>
      <c r="VQ150" s="5"/>
      <c r="VR150" s="5"/>
      <c r="VS150" s="5"/>
      <c r="VT150" s="5"/>
      <c r="VU150" s="5"/>
      <c r="VV150" s="5"/>
      <c r="VW150" s="5"/>
      <c r="VX150" s="5"/>
      <c r="VY150" s="5"/>
      <c r="VZ150" s="5"/>
      <c r="WA150" s="5"/>
      <c r="WB150" s="5"/>
      <c r="WC150" s="5"/>
      <c r="WD150" s="5"/>
      <c r="WE150" s="5"/>
      <c r="WF150" s="5"/>
      <c r="WG150" s="5"/>
      <c r="WH150" s="5"/>
      <c r="WI150" s="5"/>
      <c r="WJ150" s="5"/>
      <c r="WK150" s="5"/>
      <c r="WL150" s="5"/>
      <c r="WM150" s="5"/>
      <c r="WN150" s="5"/>
      <c r="WO150" s="5"/>
      <c r="WP150" s="5"/>
      <c r="WQ150" s="5"/>
      <c r="WR150" s="5"/>
      <c r="WS150" s="5"/>
      <c r="WT150" s="5"/>
      <c r="WU150" s="5"/>
      <c r="WV150" s="5"/>
      <c r="WW150" s="5"/>
      <c r="WX150" s="5"/>
      <c r="WY150" s="5"/>
      <c r="WZ150" s="5"/>
      <c r="XA150" s="5"/>
      <c r="XB150" s="5"/>
      <c r="XC150" s="5"/>
      <c r="XD150" s="5"/>
      <c r="XE150" s="5"/>
      <c r="XF150" s="5"/>
      <c r="XG150" s="5"/>
      <c r="XH150" s="5"/>
      <c r="XI150" s="5"/>
      <c r="XJ150" s="5"/>
      <c r="XK150" s="5"/>
      <c r="XL150" s="5"/>
      <c r="XM150" s="5"/>
      <c r="XN150" s="5"/>
      <c r="XO150" s="5"/>
      <c r="XP150" s="5"/>
      <c r="XQ150" s="5"/>
      <c r="XR150" s="5"/>
      <c r="XS150" s="5"/>
      <c r="XT150" s="5"/>
      <c r="XU150" s="5"/>
      <c r="XV150" s="5"/>
      <c r="XW150" s="5"/>
      <c r="XX150" s="5"/>
      <c r="XY150" s="5"/>
      <c r="XZ150" s="5"/>
      <c r="YA150" s="5"/>
      <c r="YB150" s="5"/>
      <c r="YC150" s="5"/>
      <c r="YD150" s="5"/>
      <c r="YE150" s="5"/>
      <c r="YF150" s="5"/>
      <c r="YG150" s="5"/>
      <c r="YH150" s="5"/>
      <c r="YI150" s="5"/>
      <c r="YJ150" s="5"/>
      <c r="YK150" s="5"/>
      <c r="YL150" s="5"/>
      <c r="YM150" s="5"/>
      <c r="YN150" s="5"/>
      <c r="YO150" s="5"/>
      <c r="YP150" s="5"/>
      <c r="YQ150" s="5"/>
      <c r="YR150" s="5"/>
      <c r="YS150" s="5"/>
      <c r="YT150" s="5"/>
      <c r="YU150" s="5"/>
      <c r="YV150" s="5"/>
      <c r="YW150" s="5"/>
      <c r="YX150" s="5"/>
      <c r="YY150" s="5"/>
      <c r="YZ150" s="5"/>
    </row>
    <row r="151" spans="1:676">
      <c r="A151" s="7">
        <v>141</v>
      </c>
      <c r="B151" s="7" t="s">
        <v>362</v>
      </c>
      <c r="C151" s="10" t="s">
        <v>363</v>
      </c>
      <c r="D151" s="7" t="s">
        <v>82</v>
      </c>
      <c r="E151" s="7" t="s">
        <v>178</v>
      </c>
      <c r="F151" s="7" t="s">
        <v>344</v>
      </c>
      <c r="G151" s="7"/>
      <c r="H151" s="7"/>
      <c r="I151" s="11">
        <v>2</v>
      </c>
      <c r="J151" s="11">
        <v>3</v>
      </c>
      <c r="K151" s="11">
        <v>0</v>
      </c>
      <c r="L151" s="11">
        <v>1.72</v>
      </c>
      <c r="M151" s="11">
        <v>0.08</v>
      </c>
      <c r="N151" s="11">
        <v>0</v>
      </c>
      <c r="O151" s="11">
        <v>0.53</v>
      </c>
      <c r="P151" s="11">
        <v>1.6</v>
      </c>
      <c r="Q151" s="11">
        <v>3.93</v>
      </c>
      <c r="R151" s="11">
        <v>0</v>
      </c>
      <c r="S151" s="11">
        <v>3.93</v>
      </c>
      <c r="T151" s="11">
        <v>2</v>
      </c>
      <c r="U151" s="11">
        <v>1.93</v>
      </c>
      <c r="V151" s="11">
        <v>0</v>
      </c>
      <c r="W151" s="13">
        <v>2</v>
      </c>
      <c r="X151" s="13">
        <v>3</v>
      </c>
      <c r="Y151" s="13" t="str">
        <f>MIN(W151,S151)</f>
        <v>0</v>
      </c>
      <c r="Z151" s="13" t="str">
        <f>MIN(X151,(S151-Y151))</f>
        <v>0</v>
      </c>
      <c r="AA151" s="13" t="str">
        <f>S151-SUM(Y151,Z151)</f>
        <v>0</v>
      </c>
      <c r="AB151" s="15"/>
      <c r="AC151" s="15"/>
      <c r="AD151" s="1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  <c r="BS151" s="5"/>
      <c r="BT151" s="5"/>
      <c r="BU151" s="5"/>
      <c r="BV151" s="5"/>
      <c r="BW151" s="5"/>
      <c r="BX151" s="5"/>
      <c r="BY151" s="5"/>
      <c r="BZ151" s="5"/>
      <c r="CA151" s="5"/>
      <c r="CB151" s="5"/>
      <c r="CC151" s="5"/>
      <c r="CD151" s="5"/>
      <c r="CE151" s="5"/>
      <c r="CF151" s="5"/>
      <c r="CG151" s="5"/>
      <c r="CH151" s="5"/>
      <c r="CI151" s="5"/>
      <c r="CJ151" s="5"/>
      <c r="CK151" s="5"/>
      <c r="CL151" s="5"/>
      <c r="CM151" s="5"/>
      <c r="CN151" s="5"/>
      <c r="CO151" s="5"/>
      <c r="CP151" s="5"/>
      <c r="CQ151" s="5"/>
      <c r="CR151" s="5"/>
      <c r="CS151" s="5"/>
      <c r="CT151" s="5"/>
      <c r="CU151" s="5"/>
      <c r="CV151" s="5"/>
      <c r="CW151" s="5"/>
      <c r="CX151" s="5"/>
      <c r="CY151" s="5"/>
      <c r="CZ151" s="5"/>
      <c r="DA151" s="5"/>
      <c r="DB151" s="5"/>
      <c r="DC151" s="5"/>
      <c r="DD151" s="5"/>
      <c r="DE151" s="5"/>
      <c r="DF151" s="5"/>
      <c r="DG151" s="5"/>
      <c r="DH151" s="5"/>
      <c r="DI151" s="5"/>
      <c r="DJ151" s="5"/>
      <c r="DK151" s="5"/>
      <c r="DL151" s="5"/>
      <c r="DM151" s="5"/>
      <c r="DN151" s="5"/>
      <c r="DO151" s="5"/>
      <c r="DP151" s="5"/>
      <c r="DQ151" s="5"/>
      <c r="DR151" s="5"/>
      <c r="DS151" s="5"/>
      <c r="DT151" s="5"/>
      <c r="DU151" s="5"/>
      <c r="DV151" s="5"/>
      <c r="DW151" s="5"/>
      <c r="DX151" s="5"/>
      <c r="DY151" s="5"/>
      <c r="DZ151" s="5"/>
      <c r="EA151" s="5"/>
      <c r="EB151" s="5"/>
      <c r="EC151" s="5"/>
      <c r="ED151" s="5"/>
      <c r="EE151" s="5"/>
      <c r="EF151" s="5"/>
      <c r="EG151" s="5"/>
      <c r="EH151" s="5"/>
      <c r="EI151" s="5"/>
      <c r="EJ151" s="5"/>
      <c r="EK151" s="5"/>
      <c r="EL151" s="5"/>
      <c r="EM151" s="5"/>
      <c r="EN151" s="5"/>
      <c r="EO151" s="5"/>
      <c r="EP151" s="5"/>
      <c r="EQ151" s="5"/>
      <c r="ER151" s="5"/>
      <c r="ES151" s="5"/>
      <c r="ET151" s="5"/>
      <c r="EU151" s="5"/>
      <c r="EV151" s="5"/>
      <c r="EW151" s="5"/>
      <c r="EX151" s="5"/>
      <c r="EY151" s="5"/>
      <c r="EZ151" s="5"/>
      <c r="FA151" s="5"/>
      <c r="FB151" s="5"/>
      <c r="FC151" s="5"/>
      <c r="FD151" s="5"/>
      <c r="FE151" s="5"/>
      <c r="FF151" s="5"/>
      <c r="FG151" s="5"/>
      <c r="FH151" s="5"/>
      <c r="FI151" s="5"/>
      <c r="FJ151" s="5"/>
      <c r="FK151" s="5"/>
      <c r="FL151" s="5"/>
      <c r="FM151" s="5"/>
      <c r="FN151" s="5"/>
      <c r="FO151" s="5"/>
      <c r="FP151" s="5"/>
      <c r="FQ151" s="5"/>
      <c r="FR151" s="5"/>
      <c r="FS151" s="5"/>
      <c r="FT151" s="5"/>
      <c r="FU151" s="5"/>
      <c r="FV151" s="5"/>
      <c r="FW151" s="5"/>
      <c r="FX151" s="5"/>
      <c r="FY151" s="5"/>
      <c r="FZ151" s="5"/>
      <c r="GA151" s="5"/>
      <c r="GB151" s="5"/>
      <c r="GC151" s="5"/>
      <c r="GD151" s="5"/>
      <c r="GE151" s="5"/>
      <c r="GF151" s="5"/>
      <c r="GG151" s="5"/>
      <c r="GH151" s="5"/>
      <c r="GI151" s="5"/>
      <c r="GJ151" s="5"/>
      <c r="GK151" s="5"/>
      <c r="GL151" s="5"/>
      <c r="GM151" s="5"/>
      <c r="GN151" s="5"/>
      <c r="GO151" s="5"/>
      <c r="GP151" s="5"/>
      <c r="GQ151" s="5"/>
      <c r="GR151" s="5"/>
      <c r="GS151" s="5"/>
      <c r="GT151" s="5"/>
      <c r="GU151" s="5"/>
      <c r="GV151" s="5"/>
      <c r="GW151" s="5"/>
      <c r="GX151" s="5"/>
      <c r="GY151" s="5"/>
      <c r="GZ151" s="5"/>
      <c r="HA151" s="5"/>
      <c r="HB151" s="5"/>
      <c r="HC151" s="5"/>
      <c r="HD151" s="5"/>
      <c r="HE151" s="5"/>
      <c r="HF151" s="5"/>
      <c r="HG151" s="5"/>
      <c r="HH151" s="5"/>
      <c r="HI151" s="5"/>
      <c r="HJ151" s="5"/>
      <c r="HK151" s="5"/>
      <c r="HL151" s="5"/>
      <c r="HM151" s="5"/>
      <c r="HN151" s="5"/>
      <c r="HO151" s="5"/>
      <c r="HP151" s="5"/>
      <c r="HQ151" s="5"/>
      <c r="HR151" s="5"/>
      <c r="HS151" s="5"/>
      <c r="HT151" s="5"/>
      <c r="HU151" s="5"/>
      <c r="HV151" s="5"/>
      <c r="HW151" s="5"/>
      <c r="HX151" s="5"/>
      <c r="HY151" s="5"/>
      <c r="HZ151" s="5"/>
      <c r="IA151" s="5"/>
      <c r="IB151" s="5"/>
      <c r="IC151" s="5"/>
      <c r="ID151" s="5"/>
      <c r="IE151" s="5"/>
      <c r="IF151" s="5"/>
      <c r="IG151" s="5"/>
      <c r="IH151" s="5"/>
      <c r="II151" s="5"/>
      <c r="IJ151" s="5"/>
      <c r="IK151" s="5"/>
      <c r="IL151" s="5"/>
      <c r="IM151" s="5"/>
      <c r="IN151" s="5"/>
      <c r="IO151" s="5"/>
      <c r="IP151" s="5"/>
      <c r="IQ151" s="5"/>
      <c r="IR151" s="5"/>
      <c r="IS151" s="5"/>
      <c r="IT151" s="5"/>
      <c r="IU151" s="5"/>
      <c r="IV151" s="5"/>
      <c r="IW151" s="5"/>
      <c r="IX151" s="5"/>
      <c r="IY151" s="5"/>
      <c r="IZ151" s="5"/>
      <c r="JA151" s="5"/>
      <c r="JB151" s="5"/>
      <c r="JC151" s="5"/>
      <c r="JD151" s="5"/>
      <c r="JE151" s="5"/>
      <c r="JF151" s="5"/>
      <c r="JG151" s="5"/>
      <c r="JH151" s="5"/>
      <c r="JI151" s="5"/>
      <c r="JJ151" s="5"/>
      <c r="JK151" s="5"/>
      <c r="JL151" s="5"/>
      <c r="JM151" s="5"/>
      <c r="JN151" s="5"/>
      <c r="JO151" s="5"/>
      <c r="JP151" s="5"/>
      <c r="JQ151" s="5"/>
      <c r="JR151" s="5"/>
      <c r="JS151" s="5"/>
      <c r="JT151" s="5"/>
      <c r="JU151" s="5"/>
      <c r="JV151" s="5"/>
      <c r="JW151" s="5"/>
      <c r="JX151" s="5"/>
      <c r="JY151" s="5"/>
      <c r="JZ151" s="5"/>
      <c r="KA151" s="5"/>
      <c r="KB151" s="5"/>
      <c r="KC151" s="5"/>
      <c r="KD151" s="5"/>
      <c r="KE151" s="5"/>
      <c r="KF151" s="5"/>
      <c r="KG151" s="5"/>
      <c r="KH151" s="5"/>
      <c r="KI151" s="5"/>
      <c r="KJ151" s="5"/>
      <c r="KK151" s="5"/>
      <c r="KL151" s="5"/>
      <c r="KM151" s="5"/>
      <c r="KN151" s="5"/>
      <c r="KO151" s="5"/>
      <c r="KP151" s="5"/>
      <c r="KQ151" s="5"/>
      <c r="KR151" s="5"/>
      <c r="KS151" s="5"/>
      <c r="KT151" s="5"/>
      <c r="KU151" s="5"/>
      <c r="KV151" s="5"/>
      <c r="KW151" s="5"/>
      <c r="KX151" s="5"/>
      <c r="KY151" s="5"/>
      <c r="KZ151" s="5"/>
      <c r="LA151" s="5"/>
      <c r="LB151" s="5"/>
      <c r="LC151" s="5"/>
      <c r="LD151" s="5"/>
      <c r="LE151" s="5"/>
      <c r="LF151" s="5"/>
      <c r="LG151" s="5"/>
      <c r="LH151" s="5"/>
      <c r="LI151" s="5"/>
      <c r="LJ151" s="5"/>
      <c r="LK151" s="5"/>
      <c r="LL151" s="5"/>
      <c r="LM151" s="5"/>
      <c r="LN151" s="5"/>
      <c r="LO151" s="5"/>
      <c r="LP151" s="5"/>
      <c r="LQ151" s="5"/>
      <c r="LR151" s="5"/>
      <c r="LS151" s="5"/>
      <c r="LT151" s="5"/>
      <c r="LU151" s="5"/>
      <c r="LV151" s="5"/>
      <c r="LW151" s="5"/>
      <c r="LX151" s="5"/>
      <c r="LY151" s="5"/>
      <c r="LZ151" s="5"/>
      <c r="MA151" s="5"/>
      <c r="MB151" s="5"/>
      <c r="MC151" s="5"/>
      <c r="MD151" s="5"/>
      <c r="ME151" s="5"/>
      <c r="MF151" s="5"/>
      <c r="MG151" s="5"/>
      <c r="MH151" s="5"/>
      <c r="MI151" s="5"/>
      <c r="MJ151" s="5"/>
      <c r="MK151" s="5"/>
      <c r="ML151" s="5"/>
      <c r="MM151" s="5"/>
      <c r="MN151" s="5"/>
      <c r="MO151" s="5"/>
      <c r="MP151" s="5"/>
      <c r="MQ151" s="5"/>
      <c r="MR151" s="5"/>
      <c r="MS151" s="5"/>
      <c r="MT151" s="5"/>
      <c r="MU151" s="5"/>
      <c r="MV151" s="5"/>
      <c r="MW151" s="5"/>
      <c r="MX151" s="5"/>
      <c r="MY151" s="5"/>
      <c r="MZ151" s="5"/>
      <c r="NA151" s="5"/>
      <c r="NB151" s="5"/>
      <c r="NC151" s="5"/>
      <c r="ND151" s="5"/>
      <c r="NE151" s="5"/>
      <c r="NF151" s="5"/>
      <c r="NG151" s="5"/>
      <c r="NH151" s="5"/>
      <c r="NI151" s="5"/>
      <c r="NJ151" s="5"/>
      <c r="NK151" s="5"/>
      <c r="NL151" s="5"/>
      <c r="NM151" s="5"/>
      <c r="NN151" s="5"/>
      <c r="NO151" s="5"/>
      <c r="NP151" s="5"/>
      <c r="NQ151" s="5"/>
      <c r="NR151" s="5"/>
      <c r="NS151" s="5"/>
      <c r="NT151" s="5"/>
      <c r="NU151" s="5"/>
      <c r="NV151" s="5"/>
      <c r="NW151" s="5"/>
      <c r="NX151" s="5"/>
      <c r="NY151" s="5"/>
      <c r="NZ151" s="5"/>
      <c r="OA151" s="5"/>
      <c r="OB151" s="5"/>
      <c r="OC151" s="5"/>
      <c r="OD151" s="5"/>
      <c r="OE151" s="5"/>
      <c r="OF151" s="5"/>
      <c r="OG151" s="5"/>
      <c r="OH151" s="5"/>
      <c r="OI151" s="5"/>
      <c r="OJ151" s="5"/>
      <c r="OK151" s="5"/>
      <c r="OL151" s="5"/>
      <c r="OM151" s="5"/>
      <c r="ON151" s="5"/>
      <c r="OO151" s="5"/>
      <c r="OP151" s="5"/>
      <c r="OQ151" s="5"/>
      <c r="OR151" s="5"/>
      <c r="OS151" s="5"/>
      <c r="OT151" s="5"/>
      <c r="OU151" s="5"/>
      <c r="OV151" s="5"/>
      <c r="OW151" s="5"/>
      <c r="OX151" s="5"/>
      <c r="OY151" s="5"/>
      <c r="OZ151" s="5"/>
      <c r="PA151" s="5"/>
      <c r="PB151" s="5"/>
      <c r="PC151" s="5"/>
      <c r="PD151" s="5"/>
      <c r="PE151" s="5"/>
      <c r="PF151" s="5"/>
      <c r="PG151" s="5"/>
      <c r="PH151" s="5"/>
      <c r="PI151" s="5"/>
      <c r="PJ151" s="5"/>
      <c r="PK151" s="5"/>
      <c r="PL151" s="5"/>
      <c r="PM151" s="5"/>
      <c r="PN151" s="5"/>
      <c r="PO151" s="5"/>
      <c r="PP151" s="5"/>
      <c r="PQ151" s="5"/>
      <c r="PR151" s="5"/>
      <c r="PS151" s="5"/>
      <c r="PT151" s="5"/>
      <c r="PU151" s="5"/>
      <c r="PV151" s="5"/>
      <c r="PW151" s="5"/>
      <c r="PX151" s="5"/>
      <c r="PY151" s="5"/>
      <c r="PZ151" s="5"/>
      <c r="QA151" s="5"/>
      <c r="QB151" s="5"/>
      <c r="QC151" s="5"/>
      <c r="QD151" s="5"/>
      <c r="QE151" s="5"/>
      <c r="QF151" s="5"/>
      <c r="QG151" s="5"/>
      <c r="QH151" s="5"/>
      <c r="QI151" s="5"/>
      <c r="QJ151" s="5"/>
      <c r="QK151" s="5"/>
      <c r="QL151" s="5"/>
      <c r="QM151" s="5"/>
      <c r="QN151" s="5"/>
      <c r="QO151" s="5"/>
      <c r="QP151" s="5"/>
      <c r="QQ151" s="5"/>
      <c r="QR151" s="5"/>
      <c r="QS151" s="5"/>
      <c r="QT151" s="5"/>
      <c r="QU151" s="5"/>
      <c r="QV151" s="5"/>
      <c r="QW151" s="5"/>
      <c r="QX151" s="5"/>
      <c r="QY151" s="5"/>
      <c r="QZ151" s="5"/>
      <c r="RA151" s="5"/>
      <c r="RB151" s="5"/>
      <c r="RC151" s="5"/>
      <c r="RD151" s="5"/>
      <c r="RE151" s="5"/>
      <c r="RF151" s="5"/>
      <c r="RG151" s="5"/>
      <c r="RH151" s="5"/>
      <c r="RI151" s="5"/>
      <c r="RJ151" s="5"/>
      <c r="RK151" s="5"/>
      <c r="RL151" s="5"/>
      <c r="RM151" s="5"/>
      <c r="RN151" s="5"/>
      <c r="RO151" s="5"/>
      <c r="RP151" s="5"/>
      <c r="RQ151" s="5"/>
      <c r="RR151" s="5"/>
      <c r="RS151" s="5"/>
      <c r="RT151" s="5"/>
      <c r="RU151" s="5"/>
      <c r="RV151" s="5"/>
      <c r="RW151" s="5"/>
      <c r="RX151" s="5"/>
      <c r="RY151" s="5"/>
      <c r="RZ151" s="5"/>
      <c r="SA151" s="5"/>
      <c r="SB151" s="5"/>
      <c r="SC151" s="5"/>
      <c r="SD151" s="5"/>
      <c r="SE151" s="5"/>
      <c r="SF151" s="5"/>
      <c r="SG151" s="5"/>
      <c r="SH151" s="5"/>
      <c r="SI151" s="5"/>
      <c r="SJ151" s="5"/>
      <c r="SK151" s="5"/>
      <c r="SL151" s="5"/>
      <c r="SM151" s="5"/>
      <c r="SN151" s="5"/>
      <c r="SO151" s="5"/>
      <c r="SP151" s="5"/>
      <c r="SQ151" s="5"/>
      <c r="SR151" s="5"/>
      <c r="SS151" s="5"/>
      <c r="ST151" s="5"/>
      <c r="SU151" s="5"/>
      <c r="SV151" s="5"/>
      <c r="SW151" s="5"/>
      <c r="SX151" s="5"/>
      <c r="SY151" s="5"/>
      <c r="SZ151" s="5"/>
      <c r="TA151" s="5"/>
      <c r="TB151" s="5"/>
      <c r="TC151" s="5"/>
      <c r="TD151" s="5"/>
      <c r="TE151" s="5"/>
      <c r="TF151" s="5"/>
      <c r="TG151" s="5"/>
      <c r="TH151" s="5"/>
      <c r="TI151" s="5"/>
      <c r="TJ151" s="5"/>
      <c r="TK151" s="5"/>
      <c r="TL151" s="5"/>
      <c r="TM151" s="5"/>
      <c r="TN151" s="5"/>
      <c r="TO151" s="5"/>
      <c r="TP151" s="5"/>
      <c r="TQ151" s="5"/>
      <c r="TR151" s="5"/>
      <c r="TS151" s="5"/>
      <c r="TT151" s="5"/>
      <c r="TU151" s="5"/>
      <c r="TV151" s="5"/>
      <c r="TW151" s="5"/>
      <c r="TX151" s="5"/>
      <c r="TY151" s="5"/>
      <c r="TZ151" s="5"/>
      <c r="UA151" s="5"/>
      <c r="UB151" s="5"/>
      <c r="UC151" s="5"/>
      <c r="UD151" s="5"/>
      <c r="UE151" s="5"/>
      <c r="UF151" s="5"/>
      <c r="UG151" s="5"/>
      <c r="UH151" s="5"/>
      <c r="UI151" s="5"/>
      <c r="UJ151" s="5"/>
      <c r="UK151" s="5"/>
      <c r="UL151" s="5"/>
      <c r="UM151" s="5"/>
      <c r="UN151" s="5"/>
      <c r="UO151" s="5"/>
      <c r="UP151" s="5"/>
      <c r="UQ151" s="5"/>
      <c r="UR151" s="5"/>
      <c r="US151" s="5"/>
      <c r="UT151" s="5"/>
      <c r="UU151" s="5"/>
      <c r="UV151" s="5"/>
      <c r="UW151" s="5"/>
      <c r="UX151" s="5"/>
      <c r="UY151" s="5"/>
      <c r="UZ151" s="5"/>
      <c r="VA151" s="5"/>
      <c r="VB151" s="5"/>
      <c r="VC151" s="5"/>
      <c r="VD151" s="5"/>
      <c r="VE151" s="5"/>
      <c r="VF151" s="5"/>
      <c r="VG151" s="5"/>
      <c r="VH151" s="5"/>
      <c r="VI151" s="5"/>
      <c r="VJ151" s="5"/>
      <c r="VK151" s="5"/>
      <c r="VL151" s="5"/>
      <c r="VM151" s="5"/>
      <c r="VN151" s="5"/>
      <c r="VO151" s="5"/>
      <c r="VP151" s="5"/>
      <c r="VQ151" s="5"/>
      <c r="VR151" s="5"/>
      <c r="VS151" s="5"/>
      <c r="VT151" s="5"/>
      <c r="VU151" s="5"/>
      <c r="VV151" s="5"/>
      <c r="VW151" s="5"/>
      <c r="VX151" s="5"/>
      <c r="VY151" s="5"/>
      <c r="VZ151" s="5"/>
      <c r="WA151" s="5"/>
      <c r="WB151" s="5"/>
      <c r="WC151" s="5"/>
      <c r="WD151" s="5"/>
      <c r="WE151" s="5"/>
      <c r="WF151" s="5"/>
      <c r="WG151" s="5"/>
      <c r="WH151" s="5"/>
      <c r="WI151" s="5"/>
      <c r="WJ151" s="5"/>
      <c r="WK151" s="5"/>
      <c r="WL151" s="5"/>
      <c r="WM151" s="5"/>
      <c r="WN151" s="5"/>
      <c r="WO151" s="5"/>
      <c r="WP151" s="5"/>
      <c r="WQ151" s="5"/>
      <c r="WR151" s="5"/>
      <c r="WS151" s="5"/>
      <c r="WT151" s="5"/>
      <c r="WU151" s="5"/>
      <c r="WV151" s="5"/>
      <c r="WW151" s="5"/>
      <c r="WX151" s="5"/>
      <c r="WY151" s="5"/>
      <c r="WZ151" s="5"/>
      <c r="XA151" s="5"/>
      <c r="XB151" s="5"/>
      <c r="XC151" s="5"/>
      <c r="XD151" s="5"/>
      <c r="XE151" s="5"/>
      <c r="XF151" s="5"/>
      <c r="XG151" s="5"/>
      <c r="XH151" s="5"/>
      <c r="XI151" s="5"/>
      <c r="XJ151" s="5"/>
      <c r="XK151" s="5"/>
      <c r="XL151" s="5"/>
      <c r="XM151" s="5"/>
      <c r="XN151" s="5"/>
      <c r="XO151" s="5"/>
      <c r="XP151" s="5"/>
      <c r="XQ151" s="5"/>
      <c r="XR151" s="5"/>
      <c r="XS151" s="5"/>
      <c r="XT151" s="5"/>
      <c r="XU151" s="5"/>
      <c r="XV151" s="5"/>
      <c r="XW151" s="5"/>
      <c r="XX151" s="5"/>
      <c r="XY151" s="5"/>
      <c r="XZ151" s="5"/>
      <c r="YA151" s="5"/>
      <c r="YB151" s="5"/>
      <c r="YC151" s="5"/>
      <c r="YD151" s="5"/>
      <c r="YE151" s="5"/>
      <c r="YF151" s="5"/>
      <c r="YG151" s="5"/>
      <c r="YH151" s="5"/>
      <c r="YI151" s="5"/>
      <c r="YJ151" s="5"/>
      <c r="YK151" s="5"/>
      <c r="YL151" s="5"/>
      <c r="YM151" s="5"/>
      <c r="YN151" s="5"/>
      <c r="YO151" s="5"/>
      <c r="YP151" s="5"/>
      <c r="YQ151" s="5"/>
      <c r="YR151" s="5"/>
      <c r="YS151" s="5"/>
      <c r="YT151" s="5"/>
      <c r="YU151" s="5"/>
      <c r="YV151" s="5"/>
      <c r="YW151" s="5"/>
      <c r="YX151" s="5"/>
      <c r="YY151" s="5"/>
      <c r="YZ151" s="5"/>
    </row>
    <row r="152" spans="1:676">
      <c r="A152" s="7">
        <v>142</v>
      </c>
      <c r="B152" s="7" t="s">
        <v>364</v>
      </c>
      <c r="C152" s="10" t="s">
        <v>365</v>
      </c>
      <c r="D152" s="7" t="s">
        <v>50</v>
      </c>
      <c r="E152" s="7" t="s">
        <v>178</v>
      </c>
      <c r="F152" s="7" t="s">
        <v>344</v>
      </c>
      <c r="G152" s="7"/>
      <c r="H152" s="7" t="s">
        <v>43</v>
      </c>
      <c r="I152" s="11">
        <v>2</v>
      </c>
      <c r="J152" s="11">
        <v>3</v>
      </c>
      <c r="K152" s="11">
        <v>0</v>
      </c>
      <c r="L152" s="11">
        <v>0.35</v>
      </c>
      <c r="M152" s="11">
        <v>0.24</v>
      </c>
      <c r="N152" s="11">
        <v>0</v>
      </c>
      <c r="O152" s="11">
        <v>0</v>
      </c>
      <c r="P152" s="11">
        <v>1.6</v>
      </c>
      <c r="Q152" s="11">
        <v>2.19</v>
      </c>
      <c r="R152" s="11">
        <v>0</v>
      </c>
      <c r="S152" s="11">
        <v>2.19</v>
      </c>
      <c r="T152" s="11">
        <v>2</v>
      </c>
      <c r="U152" s="11">
        <v>0.1900000000000004</v>
      </c>
      <c r="V152" s="11">
        <v>0</v>
      </c>
      <c r="W152" s="13">
        <v>2</v>
      </c>
      <c r="X152" s="13">
        <v>3</v>
      </c>
      <c r="Y152" s="13" t="str">
        <f>MIN(W152,S152)</f>
        <v>0</v>
      </c>
      <c r="Z152" s="13" t="str">
        <f>MIN(X152,(S152-Y152))</f>
        <v>0</v>
      </c>
      <c r="AA152" s="13" t="str">
        <f>S152-SUM(Y152,Z152)</f>
        <v>0</v>
      </c>
      <c r="AB152" s="15"/>
      <c r="AC152" s="15"/>
      <c r="AD152" s="1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  <c r="BQ152" s="5"/>
      <c r="BR152" s="5"/>
      <c r="BS152" s="5"/>
      <c r="BT152" s="5"/>
      <c r="BU152" s="5"/>
      <c r="BV152" s="5"/>
      <c r="BW152" s="5"/>
      <c r="BX152" s="5"/>
      <c r="BY152" s="5"/>
      <c r="BZ152" s="5"/>
      <c r="CA152" s="5"/>
      <c r="CB152" s="5"/>
      <c r="CC152" s="5"/>
      <c r="CD152" s="5"/>
      <c r="CE152" s="5"/>
      <c r="CF152" s="5"/>
      <c r="CG152" s="5"/>
      <c r="CH152" s="5"/>
      <c r="CI152" s="5"/>
      <c r="CJ152" s="5"/>
      <c r="CK152" s="5"/>
      <c r="CL152" s="5"/>
      <c r="CM152" s="5"/>
      <c r="CN152" s="5"/>
      <c r="CO152" s="5"/>
      <c r="CP152" s="5"/>
      <c r="CQ152" s="5"/>
      <c r="CR152" s="5"/>
      <c r="CS152" s="5"/>
      <c r="CT152" s="5"/>
      <c r="CU152" s="5"/>
      <c r="CV152" s="5"/>
      <c r="CW152" s="5"/>
      <c r="CX152" s="5"/>
      <c r="CY152" s="5"/>
      <c r="CZ152" s="5"/>
      <c r="DA152" s="5"/>
      <c r="DB152" s="5"/>
      <c r="DC152" s="5"/>
      <c r="DD152" s="5"/>
      <c r="DE152" s="5"/>
      <c r="DF152" s="5"/>
      <c r="DG152" s="5"/>
      <c r="DH152" s="5"/>
      <c r="DI152" s="5"/>
      <c r="DJ152" s="5"/>
      <c r="DK152" s="5"/>
      <c r="DL152" s="5"/>
      <c r="DM152" s="5"/>
      <c r="DN152" s="5"/>
      <c r="DO152" s="5"/>
      <c r="DP152" s="5"/>
      <c r="DQ152" s="5"/>
      <c r="DR152" s="5"/>
      <c r="DS152" s="5"/>
      <c r="DT152" s="5"/>
      <c r="DU152" s="5"/>
      <c r="DV152" s="5"/>
      <c r="DW152" s="5"/>
      <c r="DX152" s="5"/>
      <c r="DY152" s="5"/>
      <c r="DZ152" s="5"/>
      <c r="EA152" s="5"/>
      <c r="EB152" s="5"/>
      <c r="EC152" s="5"/>
      <c r="ED152" s="5"/>
      <c r="EE152" s="5"/>
      <c r="EF152" s="5"/>
      <c r="EG152" s="5"/>
      <c r="EH152" s="5"/>
      <c r="EI152" s="5"/>
      <c r="EJ152" s="5"/>
      <c r="EK152" s="5"/>
      <c r="EL152" s="5"/>
      <c r="EM152" s="5"/>
      <c r="EN152" s="5"/>
      <c r="EO152" s="5"/>
      <c r="EP152" s="5"/>
      <c r="EQ152" s="5"/>
      <c r="ER152" s="5"/>
      <c r="ES152" s="5"/>
      <c r="ET152" s="5"/>
      <c r="EU152" s="5"/>
      <c r="EV152" s="5"/>
      <c r="EW152" s="5"/>
      <c r="EX152" s="5"/>
      <c r="EY152" s="5"/>
      <c r="EZ152" s="5"/>
      <c r="FA152" s="5"/>
      <c r="FB152" s="5"/>
      <c r="FC152" s="5"/>
      <c r="FD152" s="5"/>
      <c r="FE152" s="5"/>
      <c r="FF152" s="5"/>
      <c r="FG152" s="5"/>
      <c r="FH152" s="5"/>
      <c r="FI152" s="5"/>
      <c r="FJ152" s="5"/>
      <c r="FK152" s="5"/>
      <c r="FL152" s="5"/>
      <c r="FM152" s="5"/>
      <c r="FN152" s="5"/>
      <c r="FO152" s="5"/>
      <c r="FP152" s="5"/>
      <c r="FQ152" s="5"/>
      <c r="FR152" s="5"/>
      <c r="FS152" s="5"/>
      <c r="FT152" s="5"/>
      <c r="FU152" s="5"/>
      <c r="FV152" s="5"/>
      <c r="FW152" s="5"/>
      <c r="FX152" s="5"/>
      <c r="FY152" s="5"/>
      <c r="FZ152" s="5"/>
      <c r="GA152" s="5"/>
      <c r="GB152" s="5"/>
      <c r="GC152" s="5"/>
      <c r="GD152" s="5"/>
      <c r="GE152" s="5"/>
      <c r="GF152" s="5"/>
      <c r="GG152" s="5"/>
      <c r="GH152" s="5"/>
      <c r="GI152" s="5"/>
      <c r="GJ152" s="5"/>
      <c r="GK152" s="5"/>
      <c r="GL152" s="5"/>
      <c r="GM152" s="5"/>
      <c r="GN152" s="5"/>
      <c r="GO152" s="5"/>
      <c r="GP152" s="5"/>
      <c r="GQ152" s="5"/>
      <c r="GR152" s="5"/>
      <c r="GS152" s="5"/>
      <c r="GT152" s="5"/>
      <c r="GU152" s="5"/>
      <c r="GV152" s="5"/>
      <c r="GW152" s="5"/>
      <c r="GX152" s="5"/>
      <c r="GY152" s="5"/>
      <c r="GZ152" s="5"/>
      <c r="HA152" s="5"/>
      <c r="HB152" s="5"/>
      <c r="HC152" s="5"/>
      <c r="HD152" s="5"/>
      <c r="HE152" s="5"/>
      <c r="HF152" s="5"/>
      <c r="HG152" s="5"/>
      <c r="HH152" s="5"/>
      <c r="HI152" s="5"/>
      <c r="HJ152" s="5"/>
      <c r="HK152" s="5"/>
      <c r="HL152" s="5"/>
      <c r="HM152" s="5"/>
      <c r="HN152" s="5"/>
      <c r="HO152" s="5"/>
      <c r="HP152" s="5"/>
      <c r="HQ152" s="5"/>
      <c r="HR152" s="5"/>
      <c r="HS152" s="5"/>
      <c r="HT152" s="5"/>
      <c r="HU152" s="5"/>
      <c r="HV152" s="5"/>
      <c r="HW152" s="5"/>
      <c r="HX152" s="5"/>
      <c r="HY152" s="5"/>
      <c r="HZ152" s="5"/>
      <c r="IA152" s="5"/>
      <c r="IB152" s="5"/>
      <c r="IC152" s="5"/>
      <c r="ID152" s="5"/>
      <c r="IE152" s="5"/>
      <c r="IF152" s="5"/>
      <c r="IG152" s="5"/>
      <c r="IH152" s="5"/>
      <c r="II152" s="5"/>
      <c r="IJ152" s="5"/>
      <c r="IK152" s="5"/>
      <c r="IL152" s="5"/>
      <c r="IM152" s="5"/>
      <c r="IN152" s="5"/>
      <c r="IO152" s="5"/>
      <c r="IP152" s="5"/>
      <c r="IQ152" s="5"/>
      <c r="IR152" s="5"/>
      <c r="IS152" s="5"/>
      <c r="IT152" s="5"/>
      <c r="IU152" s="5"/>
      <c r="IV152" s="5"/>
      <c r="IW152" s="5"/>
      <c r="IX152" s="5"/>
      <c r="IY152" s="5"/>
      <c r="IZ152" s="5"/>
      <c r="JA152" s="5"/>
      <c r="JB152" s="5"/>
      <c r="JC152" s="5"/>
      <c r="JD152" s="5"/>
      <c r="JE152" s="5"/>
      <c r="JF152" s="5"/>
      <c r="JG152" s="5"/>
      <c r="JH152" s="5"/>
      <c r="JI152" s="5"/>
      <c r="JJ152" s="5"/>
      <c r="JK152" s="5"/>
      <c r="JL152" s="5"/>
      <c r="JM152" s="5"/>
      <c r="JN152" s="5"/>
      <c r="JO152" s="5"/>
      <c r="JP152" s="5"/>
      <c r="JQ152" s="5"/>
      <c r="JR152" s="5"/>
      <c r="JS152" s="5"/>
      <c r="JT152" s="5"/>
      <c r="JU152" s="5"/>
      <c r="JV152" s="5"/>
      <c r="JW152" s="5"/>
      <c r="JX152" s="5"/>
      <c r="JY152" s="5"/>
      <c r="JZ152" s="5"/>
      <c r="KA152" s="5"/>
      <c r="KB152" s="5"/>
      <c r="KC152" s="5"/>
      <c r="KD152" s="5"/>
      <c r="KE152" s="5"/>
      <c r="KF152" s="5"/>
      <c r="KG152" s="5"/>
      <c r="KH152" s="5"/>
      <c r="KI152" s="5"/>
      <c r="KJ152" s="5"/>
      <c r="KK152" s="5"/>
      <c r="KL152" s="5"/>
      <c r="KM152" s="5"/>
      <c r="KN152" s="5"/>
      <c r="KO152" s="5"/>
      <c r="KP152" s="5"/>
      <c r="KQ152" s="5"/>
      <c r="KR152" s="5"/>
      <c r="KS152" s="5"/>
      <c r="KT152" s="5"/>
      <c r="KU152" s="5"/>
      <c r="KV152" s="5"/>
      <c r="KW152" s="5"/>
      <c r="KX152" s="5"/>
      <c r="KY152" s="5"/>
      <c r="KZ152" s="5"/>
      <c r="LA152" s="5"/>
      <c r="LB152" s="5"/>
      <c r="LC152" s="5"/>
      <c r="LD152" s="5"/>
      <c r="LE152" s="5"/>
      <c r="LF152" s="5"/>
      <c r="LG152" s="5"/>
      <c r="LH152" s="5"/>
      <c r="LI152" s="5"/>
      <c r="LJ152" s="5"/>
      <c r="LK152" s="5"/>
      <c r="LL152" s="5"/>
      <c r="LM152" s="5"/>
      <c r="LN152" s="5"/>
      <c r="LO152" s="5"/>
      <c r="LP152" s="5"/>
      <c r="LQ152" s="5"/>
      <c r="LR152" s="5"/>
      <c r="LS152" s="5"/>
      <c r="LT152" s="5"/>
      <c r="LU152" s="5"/>
      <c r="LV152" s="5"/>
      <c r="LW152" s="5"/>
      <c r="LX152" s="5"/>
      <c r="LY152" s="5"/>
      <c r="LZ152" s="5"/>
      <c r="MA152" s="5"/>
      <c r="MB152" s="5"/>
      <c r="MC152" s="5"/>
      <c r="MD152" s="5"/>
      <c r="ME152" s="5"/>
      <c r="MF152" s="5"/>
      <c r="MG152" s="5"/>
      <c r="MH152" s="5"/>
      <c r="MI152" s="5"/>
      <c r="MJ152" s="5"/>
      <c r="MK152" s="5"/>
      <c r="ML152" s="5"/>
      <c r="MM152" s="5"/>
      <c r="MN152" s="5"/>
      <c r="MO152" s="5"/>
      <c r="MP152" s="5"/>
      <c r="MQ152" s="5"/>
      <c r="MR152" s="5"/>
      <c r="MS152" s="5"/>
      <c r="MT152" s="5"/>
      <c r="MU152" s="5"/>
      <c r="MV152" s="5"/>
      <c r="MW152" s="5"/>
      <c r="MX152" s="5"/>
      <c r="MY152" s="5"/>
      <c r="MZ152" s="5"/>
      <c r="NA152" s="5"/>
      <c r="NB152" s="5"/>
      <c r="NC152" s="5"/>
      <c r="ND152" s="5"/>
      <c r="NE152" s="5"/>
      <c r="NF152" s="5"/>
      <c r="NG152" s="5"/>
      <c r="NH152" s="5"/>
      <c r="NI152" s="5"/>
      <c r="NJ152" s="5"/>
      <c r="NK152" s="5"/>
      <c r="NL152" s="5"/>
      <c r="NM152" s="5"/>
      <c r="NN152" s="5"/>
      <c r="NO152" s="5"/>
      <c r="NP152" s="5"/>
      <c r="NQ152" s="5"/>
      <c r="NR152" s="5"/>
      <c r="NS152" s="5"/>
      <c r="NT152" s="5"/>
      <c r="NU152" s="5"/>
      <c r="NV152" s="5"/>
      <c r="NW152" s="5"/>
      <c r="NX152" s="5"/>
      <c r="NY152" s="5"/>
      <c r="NZ152" s="5"/>
      <c r="OA152" s="5"/>
      <c r="OB152" s="5"/>
      <c r="OC152" s="5"/>
      <c r="OD152" s="5"/>
      <c r="OE152" s="5"/>
      <c r="OF152" s="5"/>
      <c r="OG152" s="5"/>
      <c r="OH152" s="5"/>
      <c r="OI152" s="5"/>
      <c r="OJ152" s="5"/>
      <c r="OK152" s="5"/>
      <c r="OL152" s="5"/>
      <c r="OM152" s="5"/>
      <c r="ON152" s="5"/>
      <c r="OO152" s="5"/>
      <c r="OP152" s="5"/>
      <c r="OQ152" s="5"/>
      <c r="OR152" s="5"/>
      <c r="OS152" s="5"/>
      <c r="OT152" s="5"/>
      <c r="OU152" s="5"/>
      <c r="OV152" s="5"/>
      <c r="OW152" s="5"/>
      <c r="OX152" s="5"/>
      <c r="OY152" s="5"/>
      <c r="OZ152" s="5"/>
      <c r="PA152" s="5"/>
      <c r="PB152" s="5"/>
      <c r="PC152" s="5"/>
      <c r="PD152" s="5"/>
      <c r="PE152" s="5"/>
      <c r="PF152" s="5"/>
      <c r="PG152" s="5"/>
      <c r="PH152" s="5"/>
      <c r="PI152" s="5"/>
      <c r="PJ152" s="5"/>
      <c r="PK152" s="5"/>
      <c r="PL152" s="5"/>
      <c r="PM152" s="5"/>
      <c r="PN152" s="5"/>
      <c r="PO152" s="5"/>
      <c r="PP152" s="5"/>
      <c r="PQ152" s="5"/>
      <c r="PR152" s="5"/>
      <c r="PS152" s="5"/>
      <c r="PT152" s="5"/>
      <c r="PU152" s="5"/>
      <c r="PV152" s="5"/>
      <c r="PW152" s="5"/>
      <c r="PX152" s="5"/>
      <c r="PY152" s="5"/>
      <c r="PZ152" s="5"/>
      <c r="QA152" s="5"/>
      <c r="QB152" s="5"/>
      <c r="QC152" s="5"/>
      <c r="QD152" s="5"/>
      <c r="QE152" s="5"/>
      <c r="QF152" s="5"/>
      <c r="QG152" s="5"/>
      <c r="QH152" s="5"/>
      <c r="QI152" s="5"/>
      <c r="QJ152" s="5"/>
      <c r="QK152" s="5"/>
      <c r="QL152" s="5"/>
      <c r="QM152" s="5"/>
      <c r="QN152" s="5"/>
      <c r="QO152" s="5"/>
      <c r="QP152" s="5"/>
      <c r="QQ152" s="5"/>
      <c r="QR152" s="5"/>
      <c r="QS152" s="5"/>
      <c r="QT152" s="5"/>
      <c r="QU152" s="5"/>
      <c r="QV152" s="5"/>
      <c r="QW152" s="5"/>
      <c r="QX152" s="5"/>
      <c r="QY152" s="5"/>
      <c r="QZ152" s="5"/>
      <c r="RA152" s="5"/>
      <c r="RB152" s="5"/>
      <c r="RC152" s="5"/>
      <c r="RD152" s="5"/>
      <c r="RE152" s="5"/>
      <c r="RF152" s="5"/>
      <c r="RG152" s="5"/>
      <c r="RH152" s="5"/>
      <c r="RI152" s="5"/>
      <c r="RJ152" s="5"/>
      <c r="RK152" s="5"/>
      <c r="RL152" s="5"/>
      <c r="RM152" s="5"/>
      <c r="RN152" s="5"/>
      <c r="RO152" s="5"/>
      <c r="RP152" s="5"/>
      <c r="RQ152" s="5"/>
      <c r="RR152" s="5"/>
      <c r="RS152" s="5"/>
      <c r="RT152" s="5"/>
      <c r="RU152" s="5"/>
      <c r="RV152" s="5"/>
      <c r="RW152" s="5"/>
      <c r="RX152" s="5"/>
      <c r="RY152" s="5"/>
      <c r="RZ152" s="5"/>
      <c r="SA152" s="5"/>
      <c r="SB152" s="5"/>
      <c r="SC152" s="5"/>
      <c r="SD152" s="5"/>
      <c r="SE152" s="5"/>
      <c r="SF152" s="5"/>
      <c r="SG152" s="5"/>
      <c r="SH152" s="5"/>
      <c r="SI152" s="5"/>
      <c r="SJ152" s="5"/>
      <c r="SK152" s="5"/>
      <c r="SL152" s="5"/>
      <c r="SM152" s="5"/>
      <c r="SN152" s="5"/>
      <c r="SO152" s="5"/>
      <c r="SP152" s="5"/>
      <c r="SQ152" s="5"/>
      <c r="SR152" s="5"/>
      <c r="SS152" s="5"/>
      <c r="ST152" s="5"/>
      <c r="SU152" s="5"/>
      <c r="SV152" s="5"/>
      <c r="SW152" s="5"/>
      <c r="SX152" s="5"/>
      <c r="SY152" s="5"/>
      <c r="SZ152" s="5"/>
      <c r="TA152" s="5"/>
      <c r="TB152" s="5"/>
      <c r="TC152" s="5"/>
      <c r="TD152" s="5"/>
      <c r="TE152" s="5"/>
      <c r="TF152" s="5"/>
      <c r="TG152" s="5"/>
      <c r="TH152" s="5"/>
      <c r="TI152" s="5"/>
      <c r="TJ152" s="5"/>
      <c r="TK152" s="5"/>
      <c r="TL152" s="5"/>
      <c r="TM152" s="5"/>
      <c r="TN152" s="5"/>
      <c r="TO152" s="5"/>
      <c r="TP152" s="5"/>
      <c r="TQ152" s="5"/>
      <c r="TR152" s="5"/>
      <c r="TS152" s="5"/>
      <c r="TT152" s="5"/>
      <c r="TU152" s="5"/>
      <c r="TV152" s="5"/>
      <c r="TW152" s="5"/>
      <c r="TX152" s="5"/>
      <c r="TY152" s="5"/>
      <c r="TZ152" s="5"/>
      <c r="UA152" s="5"/>
      <c r="UB152" s="5"/>
      <c r="UC152" s="5"/>
      <c r="UD152" s="5"/>
      <c r="UE152" s="5"/>
      <c r="UF152" s="5"/>
      <c r="UG152" s="5"/>
      <c r="UH152" s="5"/>
      <c r="UI152" s="5"/>
      <c r="UJ152" s="5"/>
      <c r="UK152" s="5"/>
      <c r="UL152" s="5"/>
      <c r="UM152" s="5"/>
      <c r="UN152" s="5"/>
      <c r="UO152" s="5"/>
      <c r="UP152" s="5"/>
      <c r="UQ152" s="5"/>
      <c r="UR152" s="5"/>
      <c r="US152" s="5"/>
      <c r="UT152" s="5"/>
      <c r="UU152" s="5"/>
      <c r="UV152" s="5"/>
      <c r="UW152" s="5"/>
      <c r="UX152" s="5"/>
      <c r="UY152" s="5"/>
      <c r="UZ152" s="5"/>
      <c r="VA152" s="5"/>
      <c r="VB152" s="5"/>
      <c r="VC152" s="5"/>
      <c r="VD152" s="5"/>
      <c r="VE152" s="5"/>
      <c r="VF152" s="5"/>
      <c r="VG152" s="5"/>
      <c r="VH152" s="5"/>
      <c r="VI152" s="5"/>
      <c r="VJ152" s="5"/>
      <c r="VK152" s="5"/>
      <c r="VL152" s="5"/>
      <c r="VM152" s="5"/>
      <c r="VN152" s="5"/>
      <c r="VO152" s="5"/>
      <c r="VP152" s="5"/>
      <c r="VQ152" s="5"/>
      <c r="VR152" s="5"/>
      <c r="VS152" s="5"/>
      <c r="VT152" s="5"/>
      <c r="VU152" s="5"/>
      <c r="VV152" s="5"/>
      <c r="VW152" s="5"/>
      <c r="VX152" s="5"/>
      <c r="VY152" s="5"/>
      <c r="VZ152" s="5"/>
      <c r="WA152" s="5"/>
      <c r="WB152" s="5"/>
      <c r="WC152" s="5"/>
      <c r="WD152" s="5"/>
      <c r="WE152" s="5"/>
      <c r="WF152" s="5"/>
      <c r="WG152" s="5"/>
      <c r="WH152" s="5"/>
      <c r="WI152" s="5"/>
      <c r="WJ152" s="5"/>
      <c r="WK152" s="5"/>
      <c r="WL152" s="5"/>
      <c r="WM152" s="5"/>
      <c r="WN152" s="5"/>
      <c r="WO152" s="5"/>
      <c r="WP152" s="5"/>
      <c r="WQ152" s="5"/>
      <c r="WR152" s="5"/>
      <c r="WS152" s="5"/>
      <c r="WT152" s="5"/>
      <c r="WU152" s="5"/>
      <c r="WV152" s="5"/>
      <c r="WW152" s="5"/>
      <c r="WX152" s="5"/>
      <c r="WY152" s="5"/>
      <c r="WZ152" s="5"/>
      <c r="XA152" s="5"/>
      <c r="XB152" s="5"/>
      <c r="XC152" s="5"/>
      <c r="XD152" s="5"/>
      <c r="XE152" s="5"/>
      <c r="XF152" s="5"/>
      <c r="XG152" s="5"/>
      <c r="XH152" s="5"/>
      <c r="XI152" s="5"/>
      <c r="XJ152" s="5"/>
      <c r="XK152" s="5"/>
      <c r="XL152" s="5"/>
      <c r="XM152" s="5"/>
      <c r="XN152" s="5"/>
      <c r="XO152" s="5"/>
      <c r="XP152" s="5"/>
      <c r="XQ152" s="5"/>
      <c r="XR152" s="5"/>
      <c r="XS152" s="5"/>
      <c r="XT152" s="5"/>
      <c r="XU152" s="5"/>
      <c r="XV152" s="5"/>
      <c r="XW152" s="5"/>
      <c r="XX152" s="5"/>
      <c r="XY152" s="5"/>
      <c r="XZ152" s="5"/>
      <c r="YA152" s="5"/>
      <c r="YB152" s="5"/>
      <c r="YC152" s="5"/>
      <c r="YD152" s="5"/>
      <c r="YE152" s="5"/>
      <c r="YF152" s="5"/>
      <c r="YG152" s="5"/>
      <c r="YH152" s="5"/>
      <c r="YI152" s="5"/>
      <c r="YJ152" s="5"/>
      <c r="YK152" s="5"/>
      <c r="YL152" s="5"/>
      <c r="YM152" s="5"/>
      <c r="YN152" s="5"/>
      <c r="YO152" s="5"/>
      <c r="YP152" s="5"/>
      <c r="YQ152" s="5"/>
      <c r="YR152" s="5"/>
      <c r="YS152" s="5"/>
      <c r="YT152" s="5"/>
      <c r="YU152" s="5"/>
      <c r="YV152" s="5"/>
      <c r="YW152" s="5"/>
      <c r="YX152" s="5"/>
      <c r="YY152" s="5"/>
      <c r="YZ152" s="5"/>
    </row>
    <row r="153" spans="1:676">
      <c r="A153" s="7">
        <v>143</v>
      </c>
      <c r="B153" s="7" t="s">
        <v>366</v>
      </c>
      <c r="C153" s="10" t="s">
        <v>367</v>
      </c>
      <c r="D153" s="7" t="s">
        <v>60</v>
      </c>
      <c r="E153" s="7" t="s">
        <v>343</v>
      </c>
      <c r="F153" s="7" t="s">
        <v>344</v>
      </c>
      <c r="G153" s="7"/>
      <c r="H153" s="7" t="s">
        <v>43</v>
      </c>
      <c r="I153" s="11">
        <v>2</v>
      </c>
      <c r="J153" s="11">
        <v>3</v>
      </c>
      <c r="K153" s="11">
        <v>0</v>
      </c>
      <c r="L153" s="11">
        <v>1.06</v>
      </c>
      <c r="M153" s="11">
        <v>0</v>
      </c>
      <c r="N153" s="11">
        <v>0</v>
      </c>
      <c r="O153" s="11">
        <v>0</v>
      </c>
      <c r="P153" s="11">
        <v>0</v>
      </c>
      <c r="Q153" s="11">
        <v>1.06</v>
      </c>
      <c r="R153" s="11">
        <v>0</v>
      </c>
      <c r="S153" s="11">
        <v>1.06</v>
      </c>
      <c r="T153" s="11">
        <v>1.06</v>
      </c>
      <c r="U153" s="11">
        <v>0</v>
      </c>
      <c r="V153" s="11">
        <v>0</v>
      </c>
      <c r="W153" s="13">
        <v>2</v>
      </c>
      <c r="X153" s="13">
        <v>3</v>
      </c>
      <c r="Y153" s="13" t="str">
        <f>MIN(W153,S153)</f>
        <v>0</v>
      </c>
      <c r="Z153" s="13" t="str">
        <f>MIN(X153,(S153-Y153))</f>
        <v>0</v>
      </c>
      <c r="AA153" s="13" t="str">
        <f>S153-SUM(Y153,Z153)</f>
        <v>0</v>
      </c>
      <c r="AB153" s="15"/>
      <c r="AC153" s="15"/>
      <c r="AD153" s="1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  <c r="BS153" s="5"/>
      <c r="BT153" s="5"/>
      <c r="BU153" s="5"/>
      <c r="BV153" s="5"/>
      <c r="BW153" s="5"/>
      <c r="BX153" s="5"/>
      <c r="BY153" s="5"/>
      <c r="BZ153" s="5"/>
      <c r="CA153" s="5"/>
      <c r="CB153" s="5"/>
      <c r="CC153" s="5"/>
      <c r="CD153" s="5"/>
      <c r="CE153" s="5"/>
      <c r="CF153" s="5"/>
      <c r="CG153" s="5"/>
      <c r="CH153" s="5"/>
      <c r="CI153" s="5"/>
      <c r="CJ153" s="5"/>
      <c r="CK153" s="5"/>
      <c r="CL153" s="5"/>
      <c r="CM153" s="5"/>
      <c r="CN153" s="5"/>
      <c r="CO153" s="5"/>
      <c r="CP153" s="5"/>
      <c r="CQ153" s="5"/>
      <c r="CR153" s="5"/>
      <c r="CS153" s="5"/>
      <c r="CT153" s="5"/>
      <c r="CU153" s="5"/>
      <c r="CV153" s="5"/>
      <c r="CW153" s="5"/>
      <c r="CX153" s="5"/>
      <c r="CY153" s="5"/>
      <c r="CZ153" s="5"/>
      <c r="DA153" s="5"/>
      <c r="DB153" s="5"/>
      <c r="DC153" s="5"/>
      <c r="DD153" s="5"/>
      <c r="DE153" s="5"/>
      <c r="DF153" s="5"/>
      <c r="DG153" s="5"/>
      <c r="DH153" s="5"/>
      <c r="DI153" s="5"/>
      <c r="DJ153" s="5"/>
      <c r="DK153" s="5"/>
      <c r="DL153" s="5"/>
      <c r="DM153" s="5"/>
      <c r="DN153" s="5"/>
      <c r="DO153" s="5"/>
      <c r="DP153" s="5"/>
      <c r="DQ153" s="5"/>
      <c r="DR153" s="5"/>
      <c r="DS153" s="5"/>
      <c r="DT153" s="5"/>
      <c r="DU153" s="5"/>
      <c r="DV153" s="5"/>
      <c r="DW153" s="5"/>
      <c r="DX153" s="5"/>
      <c r="DY153" s="5"/>
      <c r="DZ153" s="5"/>
      <c r="EA153" s="5"/>
      <c r="EB153" s="5"/>
      <c r="EC153" s="5"/>
      <c r="ED153" s="5"/>
      <c r="EE153" s="5"/>
      <c r="EF153" s="5"/>
      <c r="EG153" s="5"/>
      <c r="EH153" s="5"/>
      <c r="EI153" s="5"/>
      <c r="EJ153" s="5"/>
      <c r="EK153" s="5"/>
      <c r="EL153" s="5"/>
      <c r="EM153" s="5"/>
      <c r="EN153" s="5"/>
      <c r="EO153" s="5"/>
      <c r="EP153" s="5"/>
      <c r="EQ153" s="5"/>
      <c r="ER153" s="5"/>
      <c r="ES153" s="5"/>
      <c r="ET153" s="5"/>
      <c r="EU153" s="5"/>
      <c r="EV153" s="5"/>
      <c r="EW153" s="5"/>
      <c r="EX153" s="5"/>
      <c r="EY153" s="5"/>
      <c r="EZ153" s="5"/>
      <c r="FA153" s="5"/>
      <c r="FB153" s="5"/>
      <c r="FC153" s="5"/>
      <c r="FD153" s="5"/>
      <c r="FE153" s="5"/>
      <c r="FF153" s="5"/>
      <c r="FG153" s="5"/>
      <c r="FH153" s="5"/>
      <c r="FI153" s="5"/>
      <c r="FJ153" s="5"/>
      <c r="FK153" s="5"/>
      <c r="FL153" s="5"/>
      <c r="FM153" s="5"/>
      <c r="FN153" s="5"/>
      <c r="FO153" s="5"/>
      <c r="FP153" s="5"/>
      <c r="FQ153" s="5"/>
      <c r="FR153" s="5"/>
      <c r="FS153" s="5"/>
      <c r="FT153" s="5"/>
      <c r="FU153" s="5"/>
      <c r="FV153" s="5"/>
      <c r="FW153" s="5"/>
      <c r="FX153" s="5"/>
      <c r="FY153" s="5"/>
      <c r="FZ153" s="5"/>
      <c r="GA153" s="5"/>
      <c r="GB153" s="5"/>
      <c r="GC153" s="5"/>
      <c r="GD153" s="5"/>
      <c r="GE153" s="5"/>
      <c r="GF153" s="5"/>
      <c r="GG153" s="5"/>
      <c r="GH153" s="5"/>
      <c r="GI153" s="5"/>
      <c r="GJ153" s="5"/>
      <c r="GK153" s="5"/>
      <c r="GL153" s="5"/>
      <c r="GM153" s="5"/>
      <c r="GN153" s="5"/>
      <c r="GO153" s="5"/>
      <c r="GP153" s="5"/>
      <c r="GQ153" s="5"/>
      <c r="GR153" s="5"/>
      <c r="GS153" s="5"/>
      <c r="GT153" s="5"/>
      <c r="GU153" s="5"/>
      <c r="GV153" s="5"/>
      <c r="GW153" s="5"/>
      <c r="GX153" s="5"/>
      <c r="GY153" s="5"/>
      <c r="GZ153" s="5"/>
      <c r="HA153" s="5"/>
      <c r="HB153" s="5"/>
      <c r="HC153" s="5"/>
      <c r="HD153" s="5"/>
      <c r="HE153" s="5"/>
      <c r="HF153" s="5"/>
      <c r="HG153" s="5"/>
      <c r="HH153" s="5"/>
      <c r="HI153" s="5"/>
      <c r="HJ153" s="5"/>
      <c r="HK153" s="5"/>
      <c r="HL153" s="5"/>
      <c r="HM153" s="5"/>
      <c r="HN153" s="5"/>
      <c r="HO153" s="5"/>
      <c r="HP153" s="5"/>
      <c r="HQ153" s="5"/>
      <c r="HR153" s="5"/>
      <c r="HS153" s="5"/>
      <c r="HT153" s="5"/>
      <c r="HU153" s="5"/>
      <c r="HV153" s="5"/>
      <c r="HW153" s="5"/>
      <c r="HX153" s="5"/>
      <c r="HY153" s="5"/>
      <c r="HZ153" s="5"/>
      <c r="IA153" s="5"/>
      <c r="IB153" s="5"/>
      <c r="IC153" s="5"/>
      <c r="ID153" s="5"/>
      <c r="IE153" s="5"/>
      <c r="IF153" s="5"/>
      <c r="IG153" s="5"/>
      <c r="IH153" s="5"/>
      <c r="II153" s="5"/>
      <c r="IJ153" s="5"/>
      <c r="IK153" s="5"/>
      <c r="IL153" s="5"/>
      <c r="IM153" s="5"/>
      <c r="IN153" s="5"/>
      <c r="IO153" s="5"/>
      <c r="IP153" s="5"/>
      <c r="IQ153" s="5"/>
      <c r="IR153" s="5"/>
      <c r="IS153" s="5"/>
      <c r="IT153" s="5"/>
      <c r="IU153" s="5"/>
      <c r="IV153" s="5"/>
      <c r="IW153" s="5"/>
      <c r="IX153" s="5"/>
      <c r="IY153" s="5"/>
      <c r="IZ153" s="5"/>
      <c r="JA153" s="5"/>
      <c r="JB153" s="5"/>
      <c r="JC153" s="5"/>
      <c r="JD153" s="5"/>
      <c r="JE153" s="5"/>
      <c r="JF153" s="5"/>
      <c r="JG153" s="5"/>
      <c r="JH153" s="5"/>
      <c r="JI153" s="5"/>
      <c r="JJ153" s="5"/>
      <c r="JK153" s="5"/>
      <c r="JL153" s="5"/>
      <c r="JM153" s="5"/>
      <c r="JN153" s="5"/>
      <c r="JO153" s="5"/>
      <c r="JP153" s="5"/>
      <c r="JQ153" s="5"/>
      <c r="JR153" s="5"/>
      <c r="JS153" s="5"/>
      <c r="JT153" s="5"/>
      <c r="JU153" s="5"/>
      <c r="JV153" s="5"/>
      <c r="JW153" s="5"/>
      <c r="JX153" s="5"/>
      <c r="JY153" s="5"/>
      <c r="JZ153" s="5"/>
      <c r="KA153" s="5"/>
      <c r="KB153" s="5"/>
      <c r="KC153" s="5"/>
      <c r="KD153" s="5"/>
      <c r="KE153" s="5"/>
      <c r="KF153" s="5"/>
      <c r="KG153" s="5"/>
      <c r="KH153" s="5"/>
      <c r="KI153" s="5"/>
      <c r="KJ153" s="5"/>
      <c r="KK153" s="5"/>
      <c r="KL153" s="5"/>
      <c r="KM153" s="5"/>
      <c r="KN153" s="5"/>
      <c r="KO153" s="5"/>
      <c r="KP153" s="5"/>
      <c r="KQ153" s="5"/>
      <c r="KR153" s="5"/>
      <c r="KS153" s="5"/>
      <c r="KT153" s="5"/>
      <c r="KU153" s="5"/>
      <c r="KV153" s="5"/>
      <c r="KW153" s="5"/>
      <c r="KX153" s="5"/>
      <c r="KY153" s="5"/>
      <c r="KZ153" s="5"/>
      <c r="LA153" s="5"/>
      <c r="LB153" s="5"/>
      <c r="LC153" s="5"/>
      <c r="LD153" s="5"/>
      <c r="LE153" s="5"/>
      <c r="LF153" s="5"/>
      <c r="LG153" s="5"/>
      <c r="LH153" s="5"/>
      <c r="LI153" s="5"/>
      <c r="LJ153" s="5"/>
      <c r="LK153" s="5"/>
      <c r="LL153" s="5"/>
      <c r="LM153" s="5"/>
      <c r="LN153" s="5"/>
      <c r="LO153" s="5"/>
      <c r="LP153" s="5"/>
      <c r="LQ153" s="5"/>
      <c r="LR153" s="5"/>
      <c r="LS153" s="5"/>
      <c r="LT153" s="5"/>
      <c r="LU153" s="5"/>
      <c r="LV153" s="5"/>
      <c r="LW153" s="5"/>
      <c r="LX153" s="5"/>
      <c r="LY153" s="5"/>
      <c r="LZ153" s="5"/>
      <c r="MA153" s="5"/>
      <c r="MB153" s="5"/>
      <c r="MC153" s="5"/>
      <c r="MD153" s="5"/>
      <c r="ME153" s="5"/>
      <c r="MF153" s="5"/>
      <c r="MG153" s="5"/>
      <c r="MH153" s="5"/>
      <c r="MI153" s="5"/>
      <c r="MJ153" s="5"/>
      <c r="MK153" s="5"/>
      <c r="ML153" s="5"/>
      <c r="MM153" s="5"/>
      <c r="MN153" s="5"/>
      <c r="MO153" s="5"/>
      <c r="MP153" s="5"/>
      <c r="MQ153" s="5"/>
      <c r="MR153" s="5"/>
      <c r="MS153" s="5"/>
      <c r="MT153" s="5"/>
      <c r="MU153" s="5"/>
      <c r="MV153" s="5"/>
      <c r="MW153" s="5"/>
      <c r="MX153" s="5"/>
      <c r="MY153" s="5"/>
      <c r="MZ153" s="5"/>
      <c r="NA153" s="5"/>
      <c r="NB153" s="5"/>
      <c r="NC153" s="5"/>
      <c r="ND153" s="5"/>
      <c r="NE153" s="5"/>
      <c r="NF153" s="5"/>
      <c r="NG153" s="5"/>
      <c r="NH153" s="5"/>
      <c r="NI153" s="5"/>
      <c r="NJ153" s="5"/>
      <c r="NK153" s="5"/>
      <c r="NL153" s="5"/>
      <c r="NM153" s="5"/>
      <c r="NN153" s="5"/>
      <c r="NO153" s="5"/>
      <c r="NP153" s="5"/>
      <c r="NQ153" s="5"/>
      <c r="NR153" s="5"/>
      <c r="NS153" s="5"/>
      <c r="NT153" s="5"/>
      <c r="NU153" s="5"/>
      <c r="NV153" s="5"/>
      <c r="NW153" s="5"/>
      <c r="NX153" s="5"/>
      <c r="NY153" s="5"/>
      <c r="NZ153" s="5"/>
      <c r="OA153" s="5"/>
      <c r="OB153" s="5"/>
      <c r="OC153" s="5"/>
      <c r="OD153" s="5"/>
      <c r="OE153" s="5"/>
      <c r="OF153" s="5"/>
      <c r="OG153" s="5"/>
      <c r="OH153" s="5"/>
      <c r="OI153" s="5"/>
      <c r="OJ153" s="5"/>
      <c r="OK153" s="5"/>
      <c r="OL153" s="5"/>
      <c r="OM153" s="5"/>
      <c r="ON153" s="5"/>
      <c r="OO153" s="5"/>
      <c r="OP153" s="5"/>
      <c r="OQ153" s="5"/>
      <c r="OR153" s="5"/>
      <c r="OS153" s="5"/>
      <c r="OT153" s="5"/>
      <c r="OU153" s="5"/>
      <c r="OV153" s="5"/>
      <c r="OW153" s="5"/>
      <c r="OX153" s="5"/>
      <c r="OY153" s="5"/>
      <c r="OZ153" s="5"/>
      <c r="PA153" s="5"/>
      <c r="PB153" s="5"/>
      <c r="PC153" s="5"/>
      <c r="PD153" s="5"/>
      <c r="PE153" s="5"/>
      <c r="PF153" s="5"/>
      <c r="PG153" s="5"/>
      <c r="PH153" s="5"/>
      <c r="PI153" s="5"/>
      <c r="PJ153" s="5"/>
      <c r="PK153" s="5"/>
      <c r="PL153" s="5"/>
      <c r="PM153" s="5"/>
      <c r="PN153" s="5"/>
      <c r="PO153" s="5"/>
      <c r="PP153" s="5"/>
      <c r="PQ153" s="5"/>
      <c r="PR153" s="5"/>
      <c r="PS153" s="5"/>
      <c r="PT153" s="5"/>
      <c r="PU153" s="5"/>
      <c r="PV153" s="5"/>
      <c r="PW153" s="5"/>
      <c r="PX153" s="5"/>
      <c r="PY153" s="5"/>
      <c r="PZ153" s="5"/>
      <c r="QA153" s="5"/>
      <c r="QB153" s="5"/>
      <c r="QC153" s="5"/>
      <c r="QD153" s="5"/>
      <c r="QE153" s="5"/>
      <c r="QF153" s="5"/>
      <c r="QG153" s="5"/>
      <c r="QH153" s="5"/>
      <c r="QI153" s="5"/>
      <c r="QJ153" s="5"/>
      <c r="QK153" s="5"/>
      <c r="QL153" s="5"/>
      <c r="QM153" s="5"/>
      <c r="QN153" s="5"/>
      <c r="QO153" s="5"/>
      <c r="QP153" s="5"/>
      <c r="QQ153" s="5"/>
      <c r="QR153" s="5"/>
      <c r="QS153" s="5"/>
      <c r="QT153" s="5"/>
      <c r="QU153" s="5"/>
      <c r="QV153" s="5"/>
      <c r="QW153" s="5"/>
      <c r="QX153" s="5"/>
      <c r="QY153" s="5"/>
      <c r="QZ153" s="5"/>
      <c r="RA153" s="5"/>
      <c r="RB153" s="5"/>
      <c r="RC153" s="5"/>
      <c r="RD153" s="5"/>
      <c r="RE153" s="5"/>
      <c r="RF153" s="5"/>
      <c r="RG153" s="5"/>
      <c r="RH153" s="5"/>
      <c r="RI153" s="5"/>
      <c r="RJ153" s="5"/>
      <c r="RK153" s="5"/>
      <c r="RL153" s="5"/>
      <c r="RM153" s="5"/>
      <c r="RN153" s="5"/>
      <c r="RO153" s="5"/>
      <c r="RP153" s="5"/>
      <c r="RQ153" s="5"/>
      <c r="RR153" s="5"/>
      <c r="RS153" s="5"/>
      <c r="RT153" s="5"/>
      <c r="RU153" s="5"/>
      <c r="RV153" s="5"/>
      <c r="RW153" s="5"/>
      <c r="RX153" s="5"/>
      <c r="RY153" s="5"/>
      <c r="RZ153" s="5"/>
      <c r="SA153" s="5"/>
      <c r="SB153" s="5"/>
      <c r="SC153" s="5"/>
      <c r="SD153" s="5"/>
      <c r="SE153" s="5"/>
      <c r="SF153" s="5"/>
      <c r="SG153" s="5"/>
      <c r="SH153" s="5"/>
      <c r="SI153" s="5"/>
      <c r="SJ153" s="5"/>
      <c r="SK153" s="5"/>
      <c r="SL153" s="5"/>
      <c r="SM153" s="5"/>
      <c r="SN153" s="5"/>
      <c r="SO153" s="5"/>
      <c r="SP153" s="5"/>
      <c r="SQ153" s="5"/>
      <c r="SR153" s="5"/>
      <c r="SS153" s="5"/>
      <c r="ST153" s="5"/>
      <c r="SU153" s="5"/>
      <c r="SV153" s="5"/>
      <c r="SW153" s="5"/>
      <c r="SX153" s="5"/>
      <c r="SY153" s="5"/>
      <c r="SZ153" s="5"/>
      <c r="TA153" s="5"/>
      <c r="TB153" s="5"/>
      <c r="TC153" s="5"/>
      <c r="TD153" s="5"/>
      <c r="TE153" s="5"/>
      <c r="TF153" s="5"/>
      <c r="TG153" s="5"/>
      <c r="TH153" s="5"/>
      <c r="TI153" s="5"/>
      <c r="TJ153" s="5"/>
      <c r="TK153" s="5"/>
      <c r="TL153" s="5"/>
      <c r="TM153" s="5"/>
      <c r="TN153" s="5"/>
      <c r="TO153" s="5"/>
      <c r="TP153" s="5"/>
      <c r="TQ153" s="5"/>
      <c r="TR153" s="5"/>
      <c r="TS153" s="5"/>
      <c r="TT153" s="5"/>
      <c r="TU153" s="5"/>
      <c r="TV153" s="5"/>
      <c r="TW153" s="5"/>
      <c r="TX153" s="5"/>
      <c r="TY153" s="5"/>
      <c r="TZ153" s="5"/>
      <c r="UA153" s="5"/>
      <c r="UB153" s="5"/>
      <c r="UC153" s="5"/>
      <c r="UD153" s="5"/>
      <c r="UE153" s="5"/>
      <c r="UF153" s="5"/>
      <c r="UG153" s="5"/>
      <c r="UH153" s="5"/>
      <c r="UI153" s="5"/>
      <c r="UJ153" s="5"/>
      <c r="UK153" s="5"/>
      <c r="UL153" s="5"/>
      <c r="UM153" s="5"/>
      <c r="UN153" s="5"/>
      <c r="UO153" s="5"/>
      <c r="UP153" s="5"/>
      <c r="UQ153" s="5"/>
      <c r="UR153" s="5"/>
      <c r="US153" s="5"/>
      <c r="UT153" s="5"/>
      <c r="UU153" s="5"/>
      <c r="UV153" s="5"/>
      <c r="UW153" s="5"/>
      <c r="UX153" s="5"/>
      <c r="UY153" s="5"/>
      <c r="UZ153" s="5"/>
      <c r="VA153" s="5"/>
      <c r="VB153" s="5"/>
      <c r="VC153" s="5"/>
      <c r="VD153" s="5"/>
      <c r="VE153" s="5"/>
      <c r="VF153" s="5"/>
      <c r="VG153" s="5"/>
      <c r="VH153" s="5"/>
      <c r="VI153" s="5"/>
      <c r="VJ153" s="5"/>
      <c r="VK153" s="5"/>
      <c r="VL153" s="5"/>
      <c r="VM153" s="5"/>
      <c r="VN153" s="5"/>
      <c r="VO153" s="5"/>
      <c r="VP153" s="5"/>
      <c r="VQ153" s="5"/>
      <c r="VR153" s="5"/>
      <c r="VS153" s="5"/>
      <c r="VT153" s="5"/>
      <c r="VU153" s="5"/>
      <c r="VV153" s="5"/>
      <c r="VW153" s="5"/>
      <c r="VX153" s="5"/>
      <c r="VY153" s="5"/>
      <c r="VZ153" s="5"/>
      <c r="WA153" s="5"/>
      <c r="WB153" s="5"/>
      <c r="WC153" s="5"/>
      <c r="WD153" s="5"/>
      <c r="WE153" s="5"/>
      <c r="WF153" s="5"/>
      <c r="WG153" s="5"/>
      <c r="WH153" s="5"/>
      <c r="WI153" s="5"/>
      <c r="WJ153" s="5"/>
      <c r="WK153" s="5"/>
      <c r="WL153" s="5"/>
      <c r="WM153" s="5"/>
      <c r="WN153" s="5"/>
      <c r="WO153" s="5"/>
      <c r="WP153" s="5"/>
      <c r="WQ153" s="5"/>
      <c r="WR153" s="5"/>
      <c r="WS153" s="5"/>
      <c r="WT153" s="5"/>
      <c r="WU153" s="5"/>
      <c r="WV153" s="5"/>
      <c r="WW153" s="5"/>
      <c r="WX153" s="5"/>
      <c r="WY153" s="5"/>
      <c r="WZ153" s="5"/>
      <c r="XA153" s="5"/>
      <c r="XB153" s="5"/>
      <c r="XC153" s="5"/>
      <c r="XD153" s="5"/>
      <c r="XE153" s="5"/>
      <c r="XF153" s="5"/>
      <c r="XG153" s="5"/>
      <c r="XH153" s="5"/>
      <c r="XI153" s="5"/>
      <c r="XJ153" s="5"/>
      <c r="XK153" s="5"/>
      <c r="XL153" s="5"/>
      <c r="XM153" s="5"/>
      <c r="XN153" s="5"/>
      <c r="XO153" s="5"/>
      <c r="XP153" s="5"/>
      <c r="XQ153" s="5"/>
      <c r="XR153" s="5"/>
      <c r="XS153" s="5"/>
      <c r="XT153" s="5"/>
      <c r="XU153" s="5"/>
      <c r="XV153" s="5"/>
      <c r="XW153" s="5"/>
      <c r="XX153" s="5"/>
      <c r="XY153" s="5"/>
      <c r="XZ153" s="5"/>
      <c r="YA153" s="5"/>
      <c r="YB153" s="5"/>
      <c r="YC153" s="5"/>
      <c r="YD153" s="5"/>
      <c r="YE153" s="5"/>
      <c r="YF153" s="5"/>
      <c r="YG153" s="5"/>
      <c r="YH153" s="5"/>
      <c r="YI153" s="5"/>
      <c r="YJ153" s="5"/>
      <c r="YK153" s="5"/>
      <c r="YL153" s="5"/>
      <c r="YM153" s="5"/>
      <c r="YN153" s="5"/>
      <c r="YO153" s="5"/>
      <c r="YP153" s="5"/>
      <c r="YQ153" s="5"/>
      <c r="YR153" s="5"/>
      <c r="YS153" s="5"/>
      <c r="YT153" s="5"/>
      <c r="YU153" s="5"/>
      <c r="YV153" s="5"/>
      <c r="YW153" s="5"/>
      <c r="YX153" s="5"/>
      <c r="YY153" s="5"/>
      <c r="YZ153" s="5"/>
    </row>
    <row r="154" spans="1:676">
      <c r="A154" s="7">
        <v>144</v>
      </c>
      <c r="B154" s="7" t="s">
        <v>368</v>
      </c>
      <c r="C154" s="10" t="s">
        <v>369</v>
      </c>
      <c r="D154" s="7" t="s">
        <v>54</v>
      </c>
      <c r="E154" s="7" t="s">
        <v>178</v>
      </c>
      <c r="F154" s="7" t="s">
        <v>352</v>
      </c>
      <c r="G154" s="7"/>
      <c r="H154" s="7"/>
      <c r="I154" s="11">
        <v>2</v>
      </c>
      <c r="J154" s="11">
        <v>0</v>
      </c>
      <c r="K154" s="11">
        <v>0</v>
      </c>
      <c r="L154" s="11">
        <v>0.34</v>
      </c>
      <c r="M154" s="11">
        <v>0</v>
      </c>
      <c r="N154" s="11">
        <v>0</v>
      </c>
      <c r="O154" s="11">
        <v>0.17</v>
      </c>
      <c r="P154" s="11">
        <v>0.83</v>
      </c>
      <c r="Q154" s="11">
        <v>1.34</v>
      </c>
      <c r="R154" s="11">
        <v>0</v>
      </c>
      <c r="S154" s="11">
        <v>1.34</v>
      </c>
      <c r="T154" s="11">
        <v>1.34</v>
      </c>
      <c r="U154" s="11">
        <v>0</v>
      </c>
      <c r="V154" s="11">
        <v>0</v>
      </c>
      <c r="W154" s="13">
        <v>2</v>
      </c>
      <c r="X154" s="13">
        <v>0</v>
      </c>
      <c r="Y154" s="13" t="str">
        <f>MIN(W154,S154)</f>
        <v>0</v>
      </c>
      <c r="Z154" s="13" t="str">
        <f>MIN(X154,(S154-Y154))</f>
        <v>0</v>
      </c>
      <c r="AA154" s="13" t="str">
        <f>S154-SUM(Y154,Z154)</f>
        <v>0</v>
      </c>
      <c r="AB154" s="15"/>
      <c r="AC154" s="15"/>
      <c r="AD154" s="1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5"/>
      <c r="BS154" s="5"/>
      <c r="BT154" s="5"/>
      <c r="BU154" s="5"/>
      <c r="BV154" s="5"/>
      <c r="BW154" s="5"/>
      <c r="BX154" s="5"/>
      <c r="BY154" s="5"/>
      <c r="BZ154" s="5"/>
      <c r="CA154" s="5"/>
      <c r="CB154" s="5"/>
      <c r="CC154" s="5"/>
      <c r="CD154" s="5"/>
      <c r="CE154" s="5"/>
      <c r="CF154" s="5"/>
      <c r="CG154" s="5"/>
      <c r="CH154" s="5"/>
      <c r="CI154" s="5"/>
      <c r="CJ154" s="5"/>
      <c r="CK154" s="5"/>
      <c r="CL154" s="5"/>
      <c r="CM154" s="5"/>
      <c r="CN154" s="5"/>
      <c r="CO154" s="5"/>
      <c r="CP154" s="5"/>
      <c r="CQ154" s="5"/>
      <c r="CR154" s="5"/>
      <c r="CS154" s="5"/>
      <c r="CT154" s="5"/>
      <c r="CU154" s="5"/>
      <c r="CV154" s="5"/>
      <c r="CW154" s="5"/>
      <c r="CX154" s="5"/>
      <c r="CY154" s="5"/>
      <c r="CZ154" s="5"/>
      <c r="DA154" s="5"/>
      <c r="DB154" s="5"/>
      <c r="DC154" s="5"/>
      <c r="DD154" s="5"/>
      <c r="DE154" s="5"/>
      <c r="DF154" s="5"/>
      <c r="DG154" s="5"/>
      <c r="DH154" s="5"/>
      <c r="DI154" s="5"/>
      <c r="DJ154" s="5"/>
      <c r="DK154" s="5"/>
      <c r="DL154" s="5"/>
      <c r="DM154" s="5"/>
      <c r="DN154" s="5"/>
      <c r="DO154" s="5"/>
      <c r="DP154" s="5"/>
      <c r="DQ154" s="5"/>
      <c r="DR154" s="5"/>
      <c r="DS154" s="5"/>
      <c r="DT154" s="5"/>
      <c r="DU154" s="5"/>
      <c r="DV154" s="5"/>
      <c r="DW154" s="5"/>
      <c r="DX154" s="5"/>
      <c r="DY154" s="5"/>
      <c r="DZ154" s="5"/>
      <c r="EA154" s="5"/>
      <c r="EB154" s="5"/>
      <c r="EC154" s="5"/>
      <c r="ED154" s="5"/>
      <c r="EE154" s="5"/>
      <c r="EF154" s="5"/>
      <c r="EG154" s="5"/>
      <c r="EH154" s="5"/>
      <c r="EI154" s="5"/>
      <c r="EJ154" s="5"/>
      <c r="EK154" s="5"/>
      <c r="EL154" s="5"/>
      <c r="EM154" s="5"/>
      <c r="EN154" s="5"/>
      <c r="EO154" s="5"/>
      <c r="EP154" s="5"/>
      <c r="EQ154" s="5"/>
      <c r="ER154" s="5"/>
      <c r="ES154" s="5"/>
      <c r="ET154" s="5"/>
      <c r="EU154" s="5"/>
      <c r="EV154" s="5"/>
      <c r="EW154" s="5"/>
      <c r="EX154" s="5"/>
      <c r="EY154" s="5"/>
      <c r="EZ154" s="5"/>
      <c r="FA154" s="5"/>
      <c r="FB154" s="5"/>
      <c r="FC154" s="5"/>
      <c r="FD154" s="5"/>
      <c r="FE154" s="5"/>
      <c r="FF154" s="5"/>
      <c r="FG154" s="5"/>
      <c r="FH154" s="5"/>
      <c r="FI154" s="5"/>
      <c r="FJ154" s="5"/>
      <c r="FK154" s="5"/>
      <c r="FL154" s="5"/>
      <c r="FM154" s="5"/>
      <c r="FN154" s="5"/>
      <c r="FO154" s="5"/>
      <c r="FP154" s="5"/>
      <c r="FQ154" s="5"/>
      <c r="FR154" s="5"/>
      <c r="FS154" s="5"/>
      <c r="FT154" s="5"/>
      <c r="FU154" s="5"/>
      <c r="FV154" s="5"/>
      <c r="FW154" s="5"/>
      <c r="FX154" s="5"/>
      <c r="FY154" s="5"/>
      <c r="FZ154" s="5"/>
      <c r="GA154" s="5"/>
      <c r="GB154" s="5"/>
      <c r="GC154" s="5"/>
      <c r="GD154" s="5"/>
      <c r="GE154" s="5"/>
      <c r="GF154" s="5"/>
      <c r="GG154" s="5"/>
      <c r="GH154" s="5"/>
      <c r="GI154" s="5"/>
      <c r="GJ154" s="5"/>
      <c r="GK154" s="5"/>
      <c r="GL154" s="5"/>
      <c r="GM154" s="5"/>
      <c r="GN154" s="5"/>
      <c r="GO154" s="5"/>
      <c r="GP154" s="5"/>
      <c r="GQ154" s="5"/>
      <c r="GR154" s="5"/>
      <c r="GS154" s="5"/>
      <c r="GT154" s="5"/>
      <c r="GU154" s="5"/>
      <c r="GV154" s="5"/>
      <c r="GW154" s="5"/>
      <c r="GX154" s="5"/>
      <c r="GY154" s="5"/>
      <c r="GZ154" s="5"/>
      <c r="HA154" s="5"/>
      <c r="HB154" s="5"/>
      <c r="HC154" s="5"/>
      <c r="HD154" s="5"/>
      <c r="HE154" s="5"/>
      <c r="HF154" s="5"/>
      <c r="HG154" s="5"/>
      <c r="HH154" s="5"/>
      <c r="HI154" s="5"/>
      <c r="HJ154" s="5"/>
      <c r="HK154" s="5"/>
      <c r="HL154" s="5"/>
      <c r="HM154" s="5"/>
      <c r="HN154" s="5"/>
      <c r="HO154" s="5"/>
      <c r="HP154" s="5"/>
      <c r="HQ154" s="5"/>
      <c r="HR154" s="5"/>
      <c r="HS154" s="5"/>
      <c r="HT154" s="5"/>
      <c r="HU154" s="5"/>
      <c r="HV154" s="5"/>
      <c r="HW154" s="5"/>
      <c r="HX154" s="5"/>
      <c r="HY154" s="5"/>
      <c r="HZ154" s="5"/>
      <c r="IA154" s="5"/>
      <c r="IB154" s="5"/>
      <c r="IC154" s="5"/>
      <c r="ID154" s="5"/>
      <c r="IE154" s="5"/>
      <c r="IF154" s="5"/>
      <c r="IG154" s="5"/>
      <c r="IH154" s="5"/>
      <c r="II154" s="5"/>
      <c r="IJ154" s="5"/>
      <c r="IK154" s="5"/>
      <c r="IL154" s="5"/>
      <c r="IM154" s="5"/>
      <c r="IN154" s="5"/>
      <c r="IO154" s="5"/>
      <c r="IP154" s="5"/>
      <c r="IQ154" s="5"/>
      <c r="IR154" s="5"/>
      <c r="IS154" s="5"/>
      <c r="IT154" s="5"/>
      <c r="IU154" s="5"/>
      <c r="IV154" s="5"/>
      <c r="IW154" s="5"/>
      <c r="IX154" s="5"/>
      <c r="IY154" s="5"/>
      <c r="IZ154" s="5"/>
      <c r="JA154" s="5"/>
      <c r="JB154" s="5"/>
      <c r="JC154" s="5"/>
      <c r="JD154" s="5"/>
      <c r="JE154" s="5"/>
      <c r="JF154" s="5"/>
      <c r="JG154" s="5"/>
      <c r="JH154" s="5"/>
      <c r="JI154" s="5"/>
      <c r="JJ154" s="5"/>
      <c r="JK154" s="5"/>
      <c r="JL154" s="5"/>
      <c r="JM154" s="5"/>
      <c r="JN154" s="5"/>
      <c r="JO154" s="5"/>
      <c r="JP154" s="5"/>
      <c r="JQ154" s="5"/>
      <c r="JR154" s="5"/>
      <c r="JS154" s="5"/>
      <c r="JT154" s="5"/>
      <c r="JU154" s="5"/>
      <c r="JV154" s="5"/>
      <c r="JW154" s="5"/>
      <c r="JX154" s="5"/>
      <c r="JY154" s="5"/>
      <c r="JZ154" s="5"/>
      <c r="KA154" s="5"/>
      <c r="KB154" s="5"/>
      <c r="KC154" s="5"/>
      <c r="KD154" s="5"/>
      <c r="KE154" s="5"/>
      <c r="KF154" s="5"/>
      <c r="KG154" s="5"/>
      <c r="KH154" s="5"/>
      <c r="KI154" s="5"/>
      <c r="KJ154" s="5"/>
      <c r="KK154" s="5"/>
      <c r="KL154" s="5"/>
      <c r="KM154" s="5"/>
      <c r="KN154" s="5"/>
      <c r="KO154" s="5"/>
      <c r="KP154" s="5"/>
      <c r="KQ154" s="5"/>
      <c r="KR154" s="5"/>
      <c r="KS154" s="5"/>
      <c r="KT154" s="5"/>
      <c r="KU154" s="5"/>
      <c r="KV154" s="5"/>
      <c r="KW154" s="5"/>
      <c r="KX154" s="5"/>
      <c r="KY154" s="5"/>
      <c r="KZ154" s="5"/>
      <c r="LA154" s="5"/>
      <c r="LB154" s="5"/>
      <c r="LC154" s="5"/>
      <c r="LD154" s="5"/>
      <c r="LE154" s="5"/>
      <c r="LF154" s="5"/>
      <c r="LG154" s="5"/>
      <c r="LH154" s="5"/>
      <c r="LI154" s="5"/>
      <c r="LJ154" s="5"/>
      <c r="LK154" s="5"/>
      <c r="LL154" s="5"/>
      <c r="LM154" s="5"/>
      <c r="LN154" s="5"/>
      <c r="LO154" s="5"/>
      <c r="LP154" s="5"/>
      <c r="LQ154" s="5"/>
      <c r="LR154" s="5"/>
      <c r="LS154" s="5"/>
      <c r="LT154" s="5"/>
      <c r="LU154" s="5"/>
      <c r="LV154" s="5"/>
      <c r="LW154" s="5"/>
      <c r="LX154" s="5"/>
      <c r="LY154" s="5"/>
      <c r="LZ154" s="5"/>
      <c r="MA154" s="5"/>
      <c r="MB154" s="5"/>
      <c r="MC154" s="5"/>
      <c r="MD154" s="5"/>
      <c r="ME154" s="5"/>
      <c r="MF154" s="5"/>
      <c r="MG154" s="5"/>
      <c r="MH154" s="5"/>
      <c r="MI154" s="5"/>
      <c r="MJ154" s="5"/>
      <c r="MK154" s="5"/>
      <c r="ML154" s="5"/>
      <c r="MM154" s="5"/>
      <c r="MN154" s="5"/>
      <c r="MO154" s="5"/>
      <c r="MP154" s="5"/>
      <c r="MQ154" s="5"/>
      <c r="MR154" s="5"/>
      <c r="MS154" s="5"/>
      <c r="MT154" s="5"/>
      <c r="MU154" s="5"/>
      <c r="MV154" s="5"/>
      <c r="MW154" s="5"/>
      <c r="MX154" s="5"/>
      <c r="MY154" s="5"/>
      <c r="MZ154" s="5"/>
      <c r="NA154" s="5"/>
      <c r="NB154" s="5"/>
      <c r="NC154" s="5"/>
      <c r="ND154" s="5"/>
      <c r="NE154" s="5"/>
      <c r="NF154" s="5"/>
      <c r="NG154" s="5"/>
      <c r="NH154" s="5"/>
      <c r="NI154" s="5"/>
      <c r="NJ154" s="5"/>
      <c r="NK154" s="5"/>
      <c r="NL154" s="5"/>
      <c r="NM154" s="5"/>
      <c r="NN154" s="5"/>
      <c r="NO154" s="5"/>
      <c r="NP154" s="5"/>
      <c r="NQ154" s="5"/>
      <c r="NR154" s="5"/>
      <c r="NS154" s="5"/>
      <c r="NT154" s="5"/>
      <c r="NU154" s="5"/>
      <c r="NV154" s="5"/>
      <c r="NW154" s="5"/>
      <c r="NX154" s="5"/>
      <c r="NY154" s="5"/>
      <c r="NZ154" s="5"/>
      <c r="OA154" s="5"/>
      <c r="OB154" s="5"/>
      <c r="OC154" s="5"/>
      <c r="OD154" s="5"/>
      <c r="OE154" s="5"/>
      <c r="OF154" s="5"/>
      <c r="OG154" s="5"/>
      <c r="OH154" s="5"/>
      <c r="OI154" s="5"/>
      <c r="OJ154" s="5"/>
      <c r="OK154" s="5"/>
      <c r="OL154" s="5"/>
      <c r="OM154" s="5"/>
      <c r="ON154" s="5"/>
      <c r="OO154" s="5"/>
      <c r="OP154" s="5"/>
      <c r="OQ154" s="5"/>
      <c r="OR154" s="5"/>
      <c r="OS154" s="5"/>
      <c r="OT154" s="5"/>
      <c r="OU154" s="5"/>
      <c r="OV154" s="5"/>
      <c r="OW154" s="5"/>
      <c r="OX154" s="5"/>
      <c r="OY154" s="5"/>
      <c r="OZ154" s="5"/>
      <c r="PA154" s="5"/>
      <c r="PB154" s="5"/>
      <c r="PC154" s="5"/>
      <c r="PD154" s="5"/>
      <c r="PE154" s="5"/>
      <c r="PF154" s="5"/>
      <c r="PG154" s="5"/>
      <c r="PH154" s="5"/>
      <c r="PI154" s="5"/>
      <c r="PJ154" s="5"/>
      <c r="PK154" s="5"/>
      <c r="PL154" s="5"/>
      <c r="PM154" s="5"/>
      <c r="PN154" s="5"/>
      <c r="PO154" s="5"/>
      <c r="PP154" s="5"/>
      <c r="PQ154" s="5"/>
      <c r="PR154" s="5"/>
      <c r="PS154" s="5"/>
      <c r="PT154" s="5"/>
      <c r="PU154" s="5"/>
      <c r="PV154" s="5"/>
      <c r="PW154" s="5"/>
      <c r="PX154" s="5"/>
      <c r="PY154" s="5"/>
      <c r="PZ154" s="5"/>
      <c r="QA154" s="5"/>
      <c r="QB154" s="5"/>
      <c r="QC154" s="5"/>
      <c r="QD154" s="5"/>
      <c r="QE154" s="5"/>
      <c r="QF154" s="5"/>
      <c r="QG154" s="5"/>
      <c r="QH154" s="5"/>
      <c r="QI154" s="5"/>
      <c r="QJ154" s="5"/>
      <c r="QK154" s="5"/>
      <c r="QL154" s="5"/>
      <c r="QM154" s="5"/>
      <c r="QN154" s="5"/>
      <c r="QO154" s="5"/>
      <c r="QP154" s="5"/>
      <c r="QQ154" s="5"/>
      <c r="QR154" s="5"/>
      <c r="QS154" s="5"/>
      <c r="QT154" s="5"/>
      <c r="QU154" s="5"/>
      <c r="QV154" s="5"/>
      <c r="QW154" s="5"/>
      <c r="QX154" s="5"/>
      <c r="QY154" s="5"/>
      <c r="QZ154" s="5"/>
      <c r="RA154" s="5"/>
      <c r="RB154" s="5"/>
      <c r="RC154" s="5"/>
      <c r="RD154" s="5"/>
      <c r="RE154" s="5"/>
      <c r="RF154" s="5"/>
      <c r="RG154" s="5"/>
      <c r="RH154" s="5"/>
      <c r="RI154" s="5"/>
      <c r="RJ154" s="5"/>
      <c r="RK154" s="5"/>
      <c r="RL154" s="5"/>
      <c r="RM154" s="5"/>
      <c r="RN154" s="5"/>
      <c r="RO154" s="5"/>
      <c r="RP154" s="5"/>
      <c r="RQ154" s="5"/>
      <c r="RR154" s="5"/>
      <c r="RS154" s="5"/>
      <c r="RT154" s="5"/>
      <c r="RU154" s="5"/>
      <c r="RV154" s="5"/>
      <c r="RW154" s="5"/>
      <c r="RX154" s="5"/>
      <c r="RY154" s="5"/>
      <c r="RZ154" s="5"/>
      <c r="SA154" s="5"/>
      <c r="SB154" s="5"/>
      <c r="SC154" s="5"/>
      <c r="SD154" s="5"/>
      <c r="SE154" s="5"/>
      <c r="SF154" s="5"/>
      <c r="SG154" s="5"/>
      <c r="SH154" s="5"/>
      <c r="SI154" s="5"/>
      <c r="SJ154" s="5"/>
      <c r="SK154" s="5"/>
      <c r="SL154" s="5"/>
      <c r="SM154" s="5"/>
      <c r="SN154" s="5"/>
      <c r="SO154" s="5"/>
      <c r="SP154" s="5"/>
      <c r="SQ154" s="5"/>
      <c r="SR154" s="5"/>
      <c r="SS154" s="5"/>
      <c r="ST154" s="5"/>
      <c r="SU154" s="5"/>
      <c r="SV154" s="5"/>
      <c r="SW154" s="5"/>
      <c r="SX154" s="5"/>
      <c r="SY154" s="5"/>
      <c r="SZ154" s="5"/>
      <c r="TA154" s="5"/>
      <c r="TB154" s="5"/>
      <c r="TC154" s="5"/>
      <c r="TD154" s="5"/>
      <c r="TE154" s="5"/>
      <c r="TF154" s="5"/>
      <c r="TG154" s="5"/>
      <c r="TH154" s="5"/>
      <c r="TI154" s="5"/>
      <c r="TJ154" s="5"/>
      <c r="TK154" s="5"/>
      <c r="TL154" s="5"/>
      <c r="TM154" s="5"/>
      <c r="TN154" s="5"/>
      <c r="TO154" s="5"/>
      <c r="TP154" s="5"/>
      <c r="TQ154" s="5"/>
      <c r="TR154" s="5"/>
      <c r="TS154" s="5"/>
      <c r="TT154" s="5"/>
      <c r="TU154" s="5"/>
      <c r="TV154" s="5"/>
      <c r="TW154" s="5"/>
      <c r="TX154" s="5"/>
      <c r="TY154" s="5"/>
      <c r="TZ154" s="5"/>
      <c r="UA154" s="5"/>
      <c r="UB154" s="5"/>
      <c r="UC154" s="5"/>
      <c r="UD154" s="5"/>
      <c r="UE154" s="5"/>
      <c r="UF154" s="5"/>
      <c r="UG154" s="5"/>
      <c r="UH154" s="5"/>
      <c r="UI154" s="5"/>
      <c r="UJ154" s="5"/>
      <c r="UK154" s="5"/>
      <c r="UL154" s="5"/>
      <c r="UM154" s="5"/>
      <c r="UN154" s="5"/>
      <c r="UO154" s="5"/>
      <c r="UP154" s="5"/>
      <c r="UQ154" s="5"/>
      <c r="UR154" s="5"/>
      <c r="US154" s="5"/>
      <c r="UT154" s="5"/>
      <c r="UU154" s="5"/>
      <c r="UV154" s="5"/>
      <c r="UW154" s="5"/>
      <c r="UX154" s="5"/>
      <c r="UY154" s="5"/>
      <c r="UZ154" s="5"/>
      <c r="VA154" s="5"/>
      <c r="VB154" s="5"/>
      <c r="VC154" s="5"/>
      <c r="VD154" s="5"/>
      <c r="VE154" s="5"/>
      <c r="VF154" s="5"/>
      <c r="VG154" s="5"/>
      <c r="VH154" s="5"/>
      <c r="VI154" s="5"/>
      <c r="VJ154" s="5"/>
      <c r="VK154" s="5"/>
      <c r="VL154" s="5"/>
      <c r="VM154" s="5"/>
      <c r="VN154" s="5"/>
      <c r="VO154" s="5"/>
      <c r="VP154" s="5"/>
      <c r="VQ154" s="5"/>
      <c r="VR154" s="5"/>
      <c r="VS154" s="5"/>
      <c r="VT154" s="5"/>
      <c r="VU154" s="5"/>
      <c r="VV154" s="5"/>
      <c r="VW154" s="5"/>
      <c r="VX154" s="5"/>
      <c r="VY154" s="5"/>
      <c r="VZ154" s="5"/>
      <c r="WA154" s="5"/>
      <c r="WB154" s="5"/>
      <c r="WC154" s="5"/>
      <c r="WD154" s="5"/>
      <c r="WE154" s="5"/>
      <c r="WF154" s="5"/>
      <c r="WG154" s="5"/>
      <c r="WH154" s="5"/>
      <c r="WI154" s="5"/>
      <c r="WJ154" s="5"/>
      <c r="WK154" s="5"/>
      <c r="WL154" s="5"/>
      <c r="WM154" s="5"/>
      <c r="WN154" s="5"/>
      <c r="WO154" s="5"/>
      <c r="WP154" s="5"/>
      <c r="WQ154" s="5"/>
      <c r="WR154" s="5"/>
      <c r="WS154" s="5"/>
      <c r="WT154" s="5"/>
      <c r="WU154" s="5"/>
      <c r="WV154" s="5"/>
      <c r="WW154" s="5"/>
      <c r="WX154" s="5"/>
      <c r="WY154" s="5"/>
      <c r="WZ154" s="5"/>
      <c r="XA154" s="5"/>
      <c r="XB154" s="5"/>
      <c r="XC154" s="5"/>
      <c r="XD154" s="5"/>
      <c r="XE154" s="5"/>
      <c r="XF154" s="5"/>
      <c r="XG154" s="5"/>
      <c r="XH154" s="5"/>
      <c r="XI154" s="5"/>
      <c r="XJ154" s="5"/>
      <c r="XK154" s="5"/>
      <c r="XL154" s="5"/>
      <c r="XM154" s="5"/>
      <c r="XN154" s="5"/>
      <c r="XO154" s="5"/>
      <c r="XP154" s="5"/>
      <c r="XQ154" s="5"/>
      <c r="XR154" s="5"/>
      <c r="XS154" s="5"/>
      <c r="XT154" s="5"/>
      <c r="XU154" s="5"/>
      <c r="XV154" s="5"/>
      <c r="XW154" s="5"/>
      <c r="XX154" s="5"/>
      <c r="XY154" s="5"/>
      <c r="XZ154" s="5"/>
      <c r="YA154" s="5"/>
      <c r="YB154" s="5"/>
      <c r="YC154" s="5"/>
      <c r="YD154" s="5"/>
      <c r="YE154" s="5"/>
      <c r="YF154" s="5"/>
      <c r="YG154" s="5"/>
      <c r="YH154" s="5"/>
      <c r="YI154" s="5"/>
      <c r="YJ154" s="5"/>
      <c r="YK154" s="5"/>
      <c r="YL154" s="5"/>
      <c r="YM154" s="5"/>
      <c r="YN154" s="5"/>
      <c r="YO154" s="5"/>
      <c r="YP154" s="5"/>
      <c r="YQ154" s="5"/>
      <c r="YR154" s="5"/>
      <c r="YS154" s="5"/>
      <c r="YT154" s="5"/>
      <c r="YU154" s="5"/>
      <c r="YV154" s="5"/>
      <c r="YW154" s="5"/>
      <c r="YX154" s="5"/>
      <c r="YY154" s="5"/>
      <c r="YZ154" s="5"/>
    </row>
    <row r="155" spans="1:676">
      <c r="A155" s="7">
        <v>145</v>
      </c>
      <c r="B155" s="7" t="s">
        <v>370</v>
      </c>
      <c r="C155" s="10" t="s">
        <v>371</v>
      </c>
      <c r="D155" s="7" t="s">
        <v>78</v>
      </c>
      <c r="E155" s="7" t="s">
        <v>178</v>
      </c>
      <c r="F155" s="7" t="s">
        <v>344</v>
      </c>
      <c r="G155" s="7"/>
      <c r="H155" s="7" t="s">
        <v>43</v>
      </c>
      <c r="I155" s="11">
        <v>2</v>
      </c>
      <c r="J155" s="11">
        <v>3</v>
      </c>
      <c r="K155" s="11">
        <v>0</v>
      </c>
      <c r="L155" s="11">
        <v>3.02</v>
      </c>
      <c r="M155" s="11">
        <v>0.16</v>
      </c>
      <c r="N155" s="11">
        <v>0</v>
      </c>
      <c r="O155" s="11">
        <v>0.36</v>
      </c>
      <c r="P155" s="11">
        <v>0.83</v>
      </c>
      <c r="Q155" s="11">
        <v>4.37</v>
      </c>
      <c r="R155" s="11">
        <v>0</v>
      </c>
      <c r="S155" s="11">
        <v>4.37</v>
      </c>
      <c r="T155" s="11">
        <v>2</v>
      </c>
      <c r="U155" s="11">
        <v>2.37</v>
      </c>
      <c r="V155" s="11">
        <v>0</v>
      </c>
      <c r="W155" s="13">
        <v>2</v>
      </c>
      <c r="X155" s="13">
        <v>3</v>
      </c>
      <c r="Y155" s="13" t="str">
        <f>MIN(W155,S155)</f>
        <v>0</v>
      </c>
      <c r="Z155" s="13" t="str">
        <f>MIN(X155,(S155-Y155))</f>
        <v>0</v>
      </c>
      <c r="AA155" s="13" t="str">
        <f>S155-SUM(Y155,Z155)</f>
        <v>0</v>
      </c>
      <c r="AB155" s="15"/>
      <c r="AC155" s="15"/>
      <c r="AD155" s="1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  <c r="BR155" s="5"/>
      <c r="BS155" s="5"/>
      <c r="BT155" s="5"/>
      <c r="BU155" s="5"/>
      <c r="BV155" s="5"/>
      <c r="BW155" s="5"/>
      <c r="BX155" s="5"/>
      <c r="BY155" s="5"/>
      <c r="BZ155" s="5"/>
      <c r="CA155" s="5"/>
      <c r="CB155" s="5"/>
      <c r="CC155" s="5"/>
      <c r="CD155" s="5"/>
      <c r="CE155" s="5"/>
      <c r="CF155" s="5"/>
      <c r="CG155" s="5"/>
      <c r="CH155" s="5"/>
      <c r="CI155" s="5"/>
      <c r="CJ155" s="5"/>
      <c r="CK155" s="5"/>
      <c r="CL155" s="5"/>
      <c r="CM155" s="5"/>
      <c r="CN155" s="5"/>
      <c r="CO155" s="5"/>
      <c r="CP155" s="5"/>
      <c r="CQ155" s="5"/>
      <c r="CR155" s="5"/>
      <c r="CS155" s="5"/>
      <c r="CT155" s="5"/>
      <c r="CU155" s="5"/>
      <c r="CV155" s="5"/>
      <c r="CW155" s="5"/>
      <c r="CX155" s="5"/>
      <c r="CY155" s="5"/>
      <c r="CZ155" s="5"/>
      <c r="DA155" s="5"/>
      <c r="DB155" s="5"/>
      <c r="DC155" s="5"/>
      <c r="DD155" s="5"/>
      <c r="DE155" s="5"/>
      <c r="DF155" s="5"/>
      <c r="DG155" s="5"/>
      <c r="DH155" s="5"/>
      <c r="DI155" s="5"/>
      <c r="DJ155" s="5"/>
      <c r="DK155" s="5"/>
      <c r="DL155" s="5"/>
      <c r="DM155" s="5"/>
      <c r="DN155" s="5"/>
      <c r="DO155" s="5"/>
      <c r="DP155" s="5"/>
      <c r="DQ155" s="5"/>
      <c r="DR155" s="5"/>
      <c r="DS155" s="5"/>
      <c r="DT155" s="5"/>
      <c r="DU155" s="5"/>
      <c r="DV155" s="5"/>
      <c r="DW155" s="5"/>
      <c r="DX155" s="5"/>
      <c r="DY155" s="5"/>
      <c r="DZ155" s="5"/>
      <c r="EA155" s="5"/>
      <c r="EB155" s="5"/>
      <c r="EC155" s="5"/>
      <c r="ED155" s="5"/>
      <c r="EE155" s="5"/>
      <c r="EF155" s="5"/>
      <c r="EG155" s="5"/>
      <c r="EH155" s="5"/>
      <c r="EI155" s="5"/>
      <c r="EJ155" s="5"/>
      <c r="EK155" s="5"/>
      <c r="EL155" s="5"/>
      <c r="EM155" s="5"/>
      <c r="EN155" s="5"/>
      <c r="EO155" s="5"/>
      <c r="EP155" s="5"/>
      <c r="EQ155" s="5"/>
      <c r="ER155" s="5"/>
      <c r="ES155" s="5"/>
      <c r="ET155" s="5"/>
      <c r="EU155" s="5"/>
      <c r="EV155" s="5"/>
      <c r="EW155" s="5"/>
      <c r="EX155" s="5"/>
      <c r="EY155" s="5"/>
      <c r="EZ155" s="5"/>
      <c r="FA155" s="5"/>
      <c r="FB155" s="5"/>
      <c r="FC155" s="5"/>
      <c r="FD155" s="5"/>
      <c r="FE155" s="5"/>
      <c r="FF155" s="5"/>
      <c r="FG155" s="5"/>
      <c r="FH155" s="5"/>
      <c r="FI155" s="5"/>
      <c r="FJ155" s="5"/>
      <c r="FK155" s="5"/>
      <c r="FL155" s="5"/>
      <c r="FM155" s="5"/>
      <c r="FN155" s="5"/>
      <c r="FO155" s="5"/>
      <c r="FP155" s="5"/>
      <c r="FQ155" s="5"/>
      <c r="FR155" s="5"/>
      <c r="FS155" s="5"/>
      <c r="FT155" s="5"/>
      <c r="FU155" s="5"/>
      <c r="FV155" s="5"/>
      <c r="FW155" s="5"/>
      <c r="FX155" s="5"/>
      <c r="FY155" s="5"/>
      <c r="FZ155" s="5"/>
      <c r="GA155" s="5"/>
      <c r="GB155" s="5"/>
      <c r="GC155" s="5"/>
      <c r="GD155" s="5"/>
      <c r="GE155" s="5"/>
      <c r="GF155" s="5"/>
      <c r="GG155" s="5"/>
      <c r="GH155" s="5"/>
      <c r="GI155" s="5"/>
      <c r="GJ155" s="5"/>
      <c r="GK155" s="5"/>
      <c r="GL155" s="5"/>
      <c r="GM155" s="5"/>
      <c r="GN155" s="5"/>
      <c r="GO155" s="5"/>
      <c r="GP155" s="5"/>
      <c r="GQ155" s="5"/>
      <c r="GR155" s="5"/>
      <c r="GS155" s="5"/>
      <c r="GT155" s="5"/>
      <c r="GU155" s="5"/>
      <c r="GV155" s="5"/>
      <c r="GW155" s="5"/>
      <c r="GX155" s="5"/>
      <c r="GY155" s="5"/>
      <c r="GZ155" s="5"/>
      <c r="HA155" s="5"/>
      <c r="HB155" s="5"/>
      <c r="HC155" s="5"/>
      <c r="HD155" s="5"/>
      <c r="HE155" s="5"/>
      <c r="HF155" s="5"/>
      <c r="HG155" s="5"/>
      <c r="HH155" s="5"/>
      <c r="HI155" s="5"/>
      <c r="HJ155" s="5"/>
      <c r="HK155" s="5"/>
      <c r="HL155" s="5"/>
      <c r="HM155" s="5"/>
      <c r="HN155" s="5"/>
      <c r="HO155" s="5"/>
      <c r="HP155" s="5"/>
      <c r="HQ155" s="5"/>
      <c r="HR155" s="5"/>
      <c r="HS155" s="5"/>
      <c r="HT155" s="5"/>
      <c r="HU155" s="5"/>
      <c r="HV155" s="5"/>
      <c r="HW155" s="5"/>
      <c r="HX155" s="5"/>
      <c r="HY155" s="5"/>
      <c r="HZ155" s="5"/>
      <c r="IA155" s="5"/>
      <c r="IB155" s="5"/>
      <c r="IC155" s="5"/>
      <c r="ID155" s="5"/>
      <c r="IE155" s="5"/>
      <c r="IF155" s="5"/>
      <c r="IG155" s="5"/>
      <c r="IH155" s="5"/>
      <c r="II155" s="5"/>
      <c r="IJ155" s="5"/>
      <c r="IK155" s="5"/>
      <c r="IL155" s="5"/>
      <c r="IM155" s="5"/>
      <c r="IN155" s="5"/>
      <c r="IO155" s="5"/>
      <c r="IP155" s="5"/>
      <c r="IQ155" s="5"/>
      <c r="IR155" s="5"/>
      <c r="IS155" s="5"/>
      <c r="IT155" s="5"/>
      <c r="IU155" s="5"/>
      <c r="IV155" s="5"/>
      <c r="IW155" s="5"/>
      <c r="IX155" s="5"/>
      <c r="IY155" s="5"/>
      <c r="IZ155" s="5"/>
      <c r="JA155" s="5"/>
      <c r="JB155" s="5"/>
      <c r="JC155" s="5"/>
      <c r="JD155" s="5"/>
      <c r="JE155" s="5"/>
      <c r="JF155" s="5"/>
      <c r="JG155" s="5"/>
      <c r="JH155" s="5"/>
      <c r="JI155" s="5"/>
      <c r="JJ155" s="5"/>
      <c r="JK155" s="5"/>
      <c r="JL155" s="5"/>
      <c r="JM155" s="5"/>
      <c r="JN155" s="5"/>
      <c r="JO155" s="5"/>
      <c r="JP155" s="5"/>
      <c r="JQ155" s="5"/>
      <c r="JR155" s="5"/>
      <c r="JS155" s="5"/>
      <c r="JT155" s="5"/>
      <c r="JU155" s="5"/>
      <c r="JV155" s="5"/>
      <c r="JW155" s="5"/>
      <c r="JX155" s="5"/>
      <c r="JY155" s="5"/>
      <c r="JZ155" s="5"/>
      <c r="KA155" s="5"/>
      <c r="KB155" s="5"/>
      <c r="KC155" s="5"/>
      <c r="KD155" s="5"/>
      <c r="KE155" s="5"/>
      <c r="KF155" s="5"/>
      <c r="KG155" s="5"/>
      <c r="KH155" s="5"/>
      <c r="KI155" s="5"/>
      <c r="KJ155" s="5"/>
      <c r="KK155" s="5"/>
      <c r="KL155" s="5"/>
      <c r="KM155" s="5"/>
      <c r="KN155" s="5"/>
      <c r="KO155" s="5"/>
      <c r="KP155" s="5"/>
      <c r="KQ155" s="5"/>
      <c r="KR155" s="5"/>
      <c r="KS155" s="5"/>
      <c r="KT155" s="5"/>
      <c r="KU155" s="5"/>
      <c r="KV155" s="5"/>
      <c r="KW155" s="5"/>
      <c r="KX155" s="5"/>
      <c r="KY155" s="5"/>
      <c r="KZ155" s="5"/>
      <c r="LA155" s="5"/>
      <c r="LB155" s="5"/>
      <c r="LC155" s="5"/>
      <c r="LD155" s="5"/>
      <c r="LE155" s="5"/>
      <c r="LF155" s="5"/>
      <c r="LG155" s="5"/>
      <c r="LH155" s="5"/>
      <c r="LI155" s="5"/>
      <c r="LJ155" s="5"/>
      <c r="LK155" s="5"/>
      <c r="LL155" s="5"/>
      <c r="LM155" s="5"/>
      <c r="LN155" s="5"/>
      <c r="LO155" s="5"/>
      <c r="LP155" s="5"/>
      <c r="LQ155" s="5"/>
      <c r="LR155" s="5"/>
      <c r="LS155" s="5"/>
      <c r="LT155" s="5"/>
      <c r="LU155" s="5"/>
      <c r="LV155" s="5"/>
      <c r="LW155" s="5"/>
      <c r="LX155" s="5"/>
      <c r="LY155" s="5"/>
      <c r="LZ155" s="5"/>
      <c r="MA155" s="5"/>
      <c r="MB155" s="5"/>
      <c r="MC155" s="5"/>
      <c r="MD155" s="5"/>
      <c r="ME155" s="5"/>
      <c r="MF155" s="5"/>
      <c r="MG155" s="5"/>
      <c r="MH155" s="5"/>
      <c r="MI155" s="5"/>
      <c r="MJ155" s="5"/>
      <c r="MK155" s="5"/>
      <c r="ML155" s="5"/>
      <c r="MM155" s="5"/>
      <c r="MN155" s="5"/>
      <c r="MO155" s="5"/>
      <c r="MP155" s="5"/>
      <c r="MQ155" s="5"/>
      <c r="MR155" s="5"/>
      <c r="MS155" s="5"/>
      <c r="MT155" s="5"/>
      <c r="MU155" s="5"/>
      <c r="MV155" s="5"/>
      <c r="MW155" s="5"/>
      <c r="MX155" s="5"/>
      <c r="MY155" s="5"/>
      <c r="MZ155" s="5"/>
      <c r="NA155" s="5"/>
      <c r="NB155" s="5"/>
      <c r="NC155" s="5"/>
      <c r="ND155" s="5"/>
      <c r="NE155" s="5"/>
      <c r="NF155" s="5"/>
      <c r="NG155" s="5"/>
      <c r="NH155" s="5"/>
      <c r="NI155" s="5"/>
      <c r="NJ155" s="5"/>
      <c r="NK155" s="5"/>
      <c r="NL155" s="5"/>
      <c r="NM155" s="5"/>
      <c r="NN155" s="5"/>
      <c r="NO155" s="5"/>
      <c r="NP155" s="5"/>
      <c r="NQ155" s="5"/>
      <c r="NR155" s="5"/>
      <c r="NS155" s="5"/>
      <c r="NT155" s="5"/>
      <c r="NU155" s="5"/>
      <c r="NV155" s="5"/>
      <c r="NW155" s="5"/>
      <c r="NX155" s="5"/>
      <c r="NY155" s="5"/>
      <c r="NZ155" s="5"/>
      <c r="OA155" s="5"/>
      <c r="OB155" s="5"/>
      <c r="OC155" s="5"/>
      <c r="OD155" s="5"/>
      <c r="OE155" s="5"/>
      <c r="OF155" s="5"/>
      <c r="OG155" s="5"/>
      <c r="OH155" s="5"/>
      <c r="OI155" s="5"/>
      <c r="OJ155" s="5"/>
      <c r="OK155" s="5"/>
      <c r="OL155" s="5"/>
      <c r="OM155" s="5"/>
      <c r="ON155" s="5"/>
      <c r="OO155" s="5"/>
      <c r="OP155" s="5"/>
      <c r="OQ155" s="5"/>
      <c r="OR155" s="5"/>
      <c r="OS155" s="5"/>
      <c r="OT155" s="5"/>
      <c r="OU155" s="5"/>
      <c r="OV155" s="5"/>
      <c r="OW155" s="5"/>
      <c r="OX155" s="5"/>
      <c r="OY155" s="5"/>
      <c r="OZ155" s="5"/>
      <c r="PA155" s="5"/>
      <c r="PB155" s="5"/>
      <c r="PC155" s="5"/>
      <c r="PD155" s="5"/>
      <c r="PE155" s="5"/>
      <c r="PF155" s="5"/>
      <c r="PG155" s="5"/>
      <c r="PH155" s="5"/>
      <c r="PI155" s="5"/>
      <c r="PJ155" s="5"/>
      <c r="PK155" s="5"/>
      <c r="PL155" s="5"/>
      <c r="PM155" s="5"/>
      <c r="PN155" s="5"/>
      <c r="PO155" s="5"/>
      <c r="PP155" s="5"/>
      <c r="PQ155" s="5"/>
      <c r="PR155" s="5"/>
      <c r="PS155" s="5"/>
      <c r="PT155" s="5"/>
      <c r="PU155" s="5"/>
      <c r="PV155" s="5"/>
      <c r="PW155" s="5"/>
      <c r="PX155" s="5"/>
      <c r="PY155" s="5"/>
      <c r="PZ155" s="5"/>
      <c r="QA155" s="5"/>
      <c r="QB155" s="5"/>
      <c r="QC155" s="5"/>
      <c r="QD155" s="5"/>
      <c r="QE155" s="5"/>
      <c r="QF155" s="5"/>
      <c r="QG155" s="5"/>
      <c r="QH155" s="5"/>
      <c r="QI155" s="5"/>
      <c r="QJ155" s="5"/>
      <c r="QK155" s="5"/>
      <c r="QL155" s="5"/>
      <c r="QM155" s="5"/>
      <c r="QN155" s="5"/>
      <c r="QO155" s="5"/>
      <c r="QP155" s="5"/>
      <c r="QQ155" s="5"/>
      <c r="QR155" s="5"/>
      <c r="QS155" s="5"/>
      <c r="QT155" s="5"/>
      <c r="QU155" s="5"/>
      <c r="QV155" s="5"/>
      <c r="QW155" s="5"/>
      <c r="QX155" s="5"/>
      <c r="QY155" s="5"/>
      <c r="QZ155" s="5"/>
      <c r="RA155" s="5"/>
      <c r="RB155" s="5"/>
      <c r="RC155" s="5"/>
      <c r="RD155" s="5"/>
      <c r="RE155" s="5"/>
      <c r="RF155" s="5"/>
      <c r="RG155" s="5"/>
      <c r="RH155" s="5"/>
      <c r="RI155" s="5"/>
      <c r="RJ155" s="5"/>
      <c r="RK155" s="5"/>
      <c r="RL155" s="5"/>
      <c r="RM155" s="5"/>
      <c r="RN155" s="5"/>
      <c r="RO155" s="5"/>
      <c r="RP155" s="5"/>
      <c r="RQ155" s="5"/>
      <c r="RR155" s="5"/>
      <c r="RS155" s="5"/>
      <c r="RT155" s="5"/>
      <c r="RU155" s="5"/>
      <c r="RV155" s="5"/>
      <c r="RW155" s="5"/>
      <c r="RX155" s="5"/>
      <c r="RY155" s="5"/>
      <c r="RZ155" s="5"/>
      <c r="SA155" s="5"/>
      <c r="SB155" s="5"/>
      <c r="SC155" s="5"/>
      <c r="SD155" s="5"/>
      <c r="SE155" s="5"/>
      <c r="SF155" s="5"/>
      <c r="SG155" s="5"/>
      <c r="SH155" s="5"/>
      <c r="SI155" s="5"/>
      <c r="SJ155" s="5"/>
      <c r="SK155" s="5"/>
      <c r="SL155" s="5"/>
      <c r="SM155" s="5"/>
      <c r="SN155" s="5"/>
      <c r="SO155" s="5"/>
      <c r="SP155" s="5"/>
      <c r="SQ155" s="5"/>
      <c r="SR155" s="5"/>
      <c r="SS155" s="5"/>
      <c r="ST155" s="5"/>
      <c r="SU155" s="5"/>
      <c r="SV155" s="5"/>
      <c r="SW155" s="5"/>
      <c r="SX155" s="5"/>
      <c r="SY155" s="5"/>
      <c r="SZ155" s="5"/>
      <c r="TA155" s="5"/>
      <c r="TB155" s="5"/>
      <c r="TC155" s="5"/>
      <c r="TD155" s="5"/>
      <c r="TE155" s="5"/>
      <c r="TF155" s="5"/>
      <c r="TG155" s="5"/>
      <c r="TH155" s="5"/>
      <c r="TI155" s="5"/>
      <c r="TJ155" s="5"/>
      <c r="TK155" s="5"/>
      <c r="TL155" s="5"/>
      <c r="TM155" s="5"/>
      <c r="TN155" s="5"/>
      <c r="TO155" s="5"/>
      <c r="TP155" s="5"/>
      <c r="TQ155" s="5"/>
      <c r="TR155" s="5"/>
      <c r="TS155" s="5"/>
      <c r="TT155" s="5"/>
      <c r="TU155" s="5"/>
      <c r="TV155" s="5"/>
      <c r="TW155" s="5"/>
      <c r="TX155" s="5"/>
      <c r="TY155" s="5"/>
      <c r="TZ155" s="5"/>
      <c r="UA155" s="5"/>
      <c r="UB155" s="5"/>
      <c r="UC155" s="5"/>
      <c r="UD155" s="5"/>
      <c r="UE155" s="5"/>
      <c r="UF155" s="5"/>
      <c r="UG155" s="5"/>
      <c r="UH155" s="5"/>
      <c r="UI155" s="5"/>
      <c r="UJ155" s="5"/>
      <c r="UK155" s="5"/>
      <c r="UL155" s="5"/>
      <c r="UM155" s="5"/>
      <c r="UN155" s="5"/>
      <c r="UO155" s="5"/>
      <c r="UP155" s="5"/>
      <c r="UQ155" s="5"/>
      <c r="UR155" s="5"/>
      <c r="US155" s="5"/>
      <c r="UT155" s="5"/>
      <c r="UU155" s="5"/>
      <c r="UV155" s="5"/>
      <c r="UW155" s="5"/>
      <c r="UX155" s="5"/>
      <c r="UY155" s="5"/>
      <c r="UZ155" s="5"/>
      <c r="VA155" s="5"/>
      <c r="VB155" s="5"/>
      <c r="VC155" s="5"/>
      <c r="VD155" s="5"/>
      <c r="VE155" s="5"/>
      <c r="VF155" s="5"/>
      <c r="VG155" s="5"/>
      <c r="VH155" s="5"/>
      <c r="VI155" s="5"/>
      <c r="VJ155" s="5"/>
      <c r="VK155" s="5"/>
      <c r="VL155" s="5"/>
      <c r="VM155" s="5"/>
      <c r="VN155" s="5"/>
      <c r="VO155" s="5"/>
      <c r="VP155" s="5"/>
      <c r="VQ155" s="5"/>
      <c r="VR155" s="5"/>
      <c r="VS155" s="5"/>
      <c r="VT155" s="5"/>
      <c r="VU155" s="5"/>
      <c r="VV155" s="5"/>
      <c r="VW155" s="5"/>
      <c r="VX155" s="5"/>
      <c r="VY155" s="5"/>
      <c r="VZ155" s="5"/>
      <c r="WA155" s="5"/>
      <c r="WB155" s="5"/>
      <c r="WC155" s="5"/>
      <c r="WD155" s="5"/>
      <c r="WE155" s="5"/>
      <c r="WF155" s="5"/>
      <c r="WG155" s="5"/>
      <c r="WH155" s="5"/>
      <c r="WI155" s="5"/>
      <c r="WJ155" s="5"/>
      <c r="WK155" s="5"/>
      <c r="WL155" s="5"/>
      <c r="WM155" s="5"/>
      <c r="WN155" s="5"/>
      <c r="WO155" s="5"/>
      <c r="WP155" s="5"/>
      <c r="WQ155" s="5"/>
      <c r="WR155" s="5"/>
      <c r="WS155" s="5"/>
      <c r="WT155" s="5"/>
      <c r="WU155" s="5"/>
      <c r="WV155" s="5"/>
      <c r="WW155" s="5"/>
      <c r="WX155" s="5"/>
      <c r="WY155" s="5"/>
      <c r="WZ155" s="5"/>
      <c r="XA155" s="5"/>
      <c r="XB155" s="5"/>
      <c r="XC155" s="5"/>
      <c r="XD155" s="5"/>
      <c r="XE155" s="5"/>
      <c r="XF155" s="5"/>
      <c r="XG155" s="5"/>
      <c r="XH155" s="5"/>
      <c r="XI155" s="5"/>
      <c r="XJ155" s="5"/>
      <c r="XK155" s="5"/>
      <c r="XL155" s="5"/>
      <c r="XM155" s="5"/>
      <c r="XN155" s="5"/>
      <c r="XO155" s="5"/>
      <c r="XP155" s="5"/>
      <c r="XQ155" s="5"/>
      <c r="XR155" s="5"/>
      <c r="XS155" s="5"/>
      <c r="XT155" s="5"/>
      <c r="XU155" s="5"/>
      <c r="XV155" s="5"/>
      <c r="XW155" s="5"/>
      <c r="XX155" s="5"/>
      <c r="XY155" s="5"/>
      <c r="XZ155" s="5"/>
      <c r="YA155" s="5"/>
      <c r="YB155" s="5"/>
      <c r="YC155" s="5"/>
      <c r="YD155" s="5"/>
      <c r="YE155" s="5"/>
      <c r="YF155" s="5"/>
      <c r="YG155" s="5"/>
      <c r="YH155" s="5"/>
      <c r="YI155" s="5"/>
      <c r="YJ155" s="5"/>
      <c r="YK155" s="5"/>
      <c r="YL155" s="5"/>
      <c r="YM155" s="5"/>
      <c r="YN155" s="5"/>
      <c r="YO155" s="5"/>
      <c r="YP155" s="5"/>
      <c r="YQ155" s="5"/>
      <c r="YR155" s="5"/>
      <c r="YS155" s="5"/>
      <c r="YT155" s="5"/>
      <c r="YU155" s="5"/>
      <c r="YV155" s="5"/>
      <c r="YW155" s="5"/>
      <c r="YX155" s="5"/>
      <c r="YY155" s="5"/>
      <c r="YZ155" s="5"/>
    </row>
    <row r="156" spans="1:676">
      <c r="A156" s="7">
        <v>146</v>
      </c>
      <c r="B156" s="7" t="s">
        <v>372</v>
      </c>
      <c r="C156" s="10" t="s">
        <v>373</v>
      </c>
      <c r="D156" s="7" t="s">
        <v>214</v>
      </c>
      <c r="E156" s="7" t="s">
        <v>71</v>
      </c>
      <c r="F156" s="7" t="s">
        <v>352</v>
      </c>
      <c r="G156" s="7"/>
      <c r="H156" s="7" t="s">
        <v>43</v>
      </c>
      <c r="I156" s="11">
        <v>2</v>
      </c>
      <c r="J156" s="11">
        <v>0</v>
      </c>
      <c r="K156" s="11">
        <v>0</v>
      </c>
      <c r="L156" s="11">
        <v>0</v>
      </c>
      <c r="M156" s="11">
        <v>0</v>
      </c>
      <c r="N156" s="11">
        <v>0</v>
      </c>
      <c r="O156" s="11">
        <v>0</v>
      </c>
      <c r="P156" s="11">
        <v>0</v>
      </c>
      <c r="Q156" s="11">
        <v>0</v>
      </c>
      <c r="R156" s="11">
        <v>0</v>
      </c>
      <c r="S156" s="11">
        <v>0</v>
      </c>
      <c r="T156" s="11">
        <v>0</v>
      </c>
      <c r="U156" s="11">
        <v>0</v>
      </c>
      <c r="V156" s="11">
        <v>0</v>
      </c>
      <c r="W156" s="13">
        <v>2</v>
      </c>
      <c r="X156" s="13">
        <v>0</v>
      </c>
      <c r="Y156" s="13" t="str">
        <f>MIN(W156,S156)</f>
        <v>0</v>
      </c>
      <c r="Z156" s="13" t="str">
        <f>MIN(X156,(S156-Y156))</f>
        <v>0</v>
      </c>
      <c r="AA156" s="13" t="str">
        <f>S156-SUM(Y156,Z156)</f>
        <v>0</v>
      </c>
      <c r="AB156" s="15"/>
      <c r="AC156" s="15"/>
      <c r="AD156" s="1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T156" s="5"/>
      <c r="BU156" s="5"/>
      <c r="BV156" s="5"/>
      <c r="BW156" s="5"/>
      <c r="BX156" s="5"/>
      <c r="BY156" s="5"/>
      <c r="BZ156" s="5"/>
      <c r="CA156" s="5"/>
      <c r="CB156" s="5"/>
      <c r="CC156" s="5"/>
      <c r="CD156" s="5"/>
      <c r="CE156" s="5"/>
      <c r="CF156" s="5"/>
      <c r="CG156" s="5"/>
      <c r="CH156" s="5"/>
      <c r="CI156" s="5"/>
      <c r="CJ156" s="5"/>
      <c r="CK156" s="5"/>
      <c r="CL156" s="5"/>
      <c r="CM156" s="5"/>
      <c r="CN156" s="5"/>
      <c r="CO156" s="5"/>
      <c r="CP156" s="5"/>
      <c r="CQ156" s="5"/>
      <c r="CR156" s="5"/>
      <c r="CS156" s="5"/>
      <c r="CT156" s="5"/>
      <c r="CU156" s="5"/>
      <c r="CV156" s="5"/>
      <c r="CW156" s="5"/>
      <c r="CX156" s="5"/>
      <c r="CY156" s="5"/>
      <c r="CZ156" s="5"/>
      <c r="DA156" s="5"/>
      <c r="DB156" s="5"/>
      <c r="DC156" s="5"/>
      <c r="DD156" s="5"/>
      <c r="DE156" s="5"/>
      <c r="DF156" s="5"/>
      <c r="DG156" s="5"/>
      <c r="DH156" s="5"/>
      <c r="DI156" s="5"/>
      <c r="DJ156" s="5"/>
      <c r="DK156" s="5"/>
      <c r="DL156" s="5"/>
      <c r="DM156" s="5"/>
      <c r="DN156" s="5"/>
      <c r="DO156" s="5"/>
      <c r="DP156" s="5"/>
      <c r="DQ156" s="5"/>
      <c r="DR156" s="5"/>
      <c r="DS156" s="5"/>
      <c r="DT156" s="5"/>
      <c r="DU156" s="5"/>
      <c r="DV156" s="5"/>
      <c r="DW156" s="5"/>
      <c r="DX156" s="5"/>
      <c r="DY156" s="5"/>
      <c r="DZ156" s="5"/>
      <c r="EA156" s="5"/>
      <c r="EB156" s="5"/>
      <c r="EC156" s="5"/>
      <c r="ED156" s="5"/>
      <c r="EE156" s="5"/>
      <c r="EF156" s="5"/>
      <c r="EG156" s="5"/>
      <c r="EH156" s="5"/>
      <c r="EI156" s="5"/>
      <c r="EJ156" s="5"/>
      <c r="EK156" s="5"/>
      <c r="EL156" s="5"/>
      <c r="EM156" s="5"/>
      <c r="EN156" s="5"/>
      <c r="EO156" s="5"/>
      <c r="EP156" s="5"/>
      <c r="EQ156" s="5"/>
      <c r="ER156" s="5"/>
      <c r="ES156" s="5"/>
      <c r="ET156" s="5"/>
      <c r="EU156" s="5"/>
      <c r="EV156" s="5"/>
      <c r="EW156" s="5"/>
      <c r="EX156" s="5"/>
      <c r="EY156" s="5"/>
      <c r="EZ156" s="5"/>
      <c r="FA156" s="5"/>
      <c r="FB156" s="5"/>
      <c r="FC156" s="5"/>
      <c r="FD156" s="5"/>
      <c r="FE156" s="5"/>
      <c r="FF156" s="5"/>
      <c r="FG156" s="5"/>
      <c r="FH156" s="5"/>
      <c r="FI156" s="5"/>
      <c r="FJ156" s="5"/>
      <c r="FK156" s="5"/>
      <c r="FL156" s="5"/>
      <c r="FM156" s="5"/>
      <c r="FN156" s="5"/>
      <c r="FO156" s="5"/>
      <c r="FP156" s="5"/>
      <c r="FQ156" s="5"/>
      <c r="FR156" s="5"/>
      <c r="FS156" s="5"/>
      <c r="FT156" s="5"/>
      <c r="FU156" s="5"/>
      <c r="FV156" s="5"/>
      <c r="FW156" s="5"/>
      <c r="FX156" s="5"/>
      <c r="FY156" s="5"/>
      <c r="FZ156" s="5"/>
      <c r="GA156" s="5"/>
      <c r="GB156" s="5"/>
      <c r="GC156" s="5"/>
      <c r="GD156" s="5"/>
      <c r="GE156" s="5"/>
      <c r="GF156" s="5"/>
      <c r="GG156" s="5"/>
      <c r="GH156" s="5"/>
      <c r="GI156" s="5"/>
      <c r="GJ156" s="5"/>
      <c r="GK156" s="5"/>
      <c r="GL156" s="5"/>
      <c r="GM156" s="5"/>
      <c r="GN156" s="5"/>
      <c r="GO156" s="5"/>
      <c r="GP156" s="5"/>
      <c r="GQ156" s="5"/>
      <c r="GR156" s="5"/>
      <c r="GS156" s="5"/>
      <c r="GT156" s="5"/>
      <c r="GU156" s="5"/>
      <c r="GV156" s="5"/>
      <c r="GW156" s="5"/>
      <c r="GX156" s="5"/>
      <c r="GY156" s="5"/>
      <c r="GZ156" s="5"/>
      <c r="HA156" s="5"/>
      <c r="HB156" s="5"/>
      <c r="HC156" s="5"/>
      <c r="HD156" s="5"/>
      <c r="HE156" s="5"/>
      <c r="HF156" s="5"/>
      <c r="HG156" s="5"/>
      <c r="HH156" s="5"/>
      <c r="HI156" s="5"/>
      <c r="HJ156" s="5"/>
      <c r="HK156" s="5"/>
      <c r="HL156" s="5"/>
      <c r="HM156" s="5"/>
      <c r="HN156" s="5"/>
      <c r="HO156" s="5"/>
      <c r="HP156" s="5"/>
      <c r="HQ156" s="5"/>
      <c r="HR156" s="5"/>
      <c r="HS156" s="5"/>
      <c r="HT156" s="5"/>
      <c r="HU156" s="5"/>
      <c r="HV156" s="5"/>
      <c r="HW156" s="5"/>
      <c r="HX156" s="5"/>
      <c r="HY156" s="5"/>
      <c r="HZ156" s="5"/>
      <c r="IA156" s="5"/>
      <c r="IB156" s="5"/>
      <c r="IC156" s="5"/>
      <c r="ID156" s="5"/>
      <c r="IE156" s="5"/>
      <c r="IF156" s="5"/>
      <c r="IG156" s="5"/>
      <c r="IH156" s="5"/>
      <c r="II156" s="5"/>
      <c r="IJ156" s="5"/>
      <c r="IK156" s="5"/>
      <c r="IL156" s="5"/>
      <c r="IM156" s="5"/>
      <c r="IN156" s="5"/>
      <c r="IO156" s="5"/>
      <c r="IP156" s="5"/>
      <c r="IQ156" s="5"/>
      <c r="IR156" s="5"/>
      <c r="IS156" s="5"/>
      <c r="IT156" s="5"/>
      <c r="IU156" s="5"/>
      <c r="IV156" s="5"/>
      <c r="IW156" s="5"/>
      <c r="IX156" s="5"/>
      <c r="IY156" s="5"/>
      <c r="IZ156" s="5"/>
      <c r="JA156" s="5"/>
      <c r="JB156" s="5"/>
      <c r="JC156" s="5"/>
      <c r="JD156" s="5"/>
      <c r="JE156" s="5"/>
      <c r="JF156" s="5"/>
      <c r="JG156" s="5"/>
      <c r="JH156" s="5"/>
      <c r="JI156" s="5"/>
      <c r="JJ156" s="5"/>
      <c r="JK156" s="5"/>
      <c r="JL156" s="5"/>
      <c r="JM156" s="5"/>
      <c r="JN156" s="5"/>
      <c r="JO156" s="5"/>
      <c r="JP156" s="5"/>
      <c r="JQ156" s="5"/>
      <c r="JR156" s="5"/>
      <c r="JS156" s="5"/>
      <c r="JT156" s="5"/>
      <c r="JU156" s="5"/>
      <c r="JV156" s="5"/>
      <c r="JW156" s="5"/>
      <c r="JX156" s="5"/>
      <c r="JY156" s="5"/>
      <c r="JZ156" s="5"/>
      <c r="KA156" s="5"/>
      <c r="KB156" s="5"/>
      <c r="KC156" s="5"/>
      <c r="KD156" s="5"/>
      <c r="KE156" s="5"/>
      <c r="KF156" s="5"/>
      <c r="KG156" s="5"/>
      <c r="KH156" s="5"/>
      <c r="KI156" s="5"/>
      <c r="KJ156" s="5"/>
      <c r="KK156" s="5"/>
      <c r="KL156" s="5"/>
      <c r="KM156" s="5"/>
      <c r="KN156" s="5"/>
      <c r="KO156" s="5"/>
      <c r="KP156" s="5"/>
      <c r="KQ156" s="5"/>
      <c r="KR156" s="5"/>
      <c r="KS156" s="5"/>
      <c r="KT156" s="5"/>
      <c r="KU156" s="5"/>
      <c r="KV156" s="5"/>
      <c r="KW156" s="5"/>
      <c r="KX156" s="5"/>
      <c r="KY156" s="5"/>
      <c r="KZ156" s="5"/>
      <c r="LA156" s="5"/>
      <c r="LB156" s="5"/>
      <c r="LC156" s="5"/>
      <c r="LD156" s="5"/>
      <c r="LE156" s="5"/>
      <c r="LF156" s="5"/>
      <c r="LG156" s="5"/>
      <c r="LH156" s="5"/>
      <c r="LI156" s="5"/>
      <c r="LJ156" s="5"/>
      <c r="LK156" s="5"/>
      <c r="LL156" s="5"/>
      <c r="LM156" s="5"/>
      <c r="LN156" s="5"/>
      <c r="LO156" s="5"/>
      <c r="LP156" s="5"/>
      <c r="LQ156" s="5"/>
      <c r="LR156" s="5"/>
      <c r="LS156" s="5"/>
      <c r="LT156" s="5"/>
      <c r="LU156" s="5"/>
      <c r="LV156" s="5"/>
      <c r="LW156" s="5"/>
      <c r="LX156" s="5"/>
      <c r="LY156" s="5"/>
      <c r="LZ156" s="5"/>
      <c r="MA156" s="5"/>
      <c r="MB156" s="5"/>
      <c r="MC156" s="5"/>
      <c r="MD156" s="5"/>
      <c r="ME156" s="5"/>
      <c r="MF156" s="5"/>
      <c r="MG156" s="5"/>
      <c r="MH156" s="5"/>
      <c r="MI156" s="5"/>
      <c r="MJ156" s="5"/>
      <c r="MK156" s="5"/>
      <c r="ML156" s="5"/>
      <c r="MM156" s="5"/>
      <c r="MN156" s="5"/>
      <c r="MO156" s="5"/>
      <c r="MP156" s="5"/>
      <c r="MQ156" s="5"/>
      <c r="MR156" s="5"/>
      <c r="MS156" s="5"/>
      <c r="MT156" s="5"/>
      <c r="MU156" s="5"/>
      <c r="MV156" s="5"/>
      <c r="MW156" s="5"/>
      <c r="MX156" s="5"/>
      <c r="MY156" s="5"/>
      <c r="MZ156" s="5"/>
      <c r="NA156" s="5"/>
      <c r="NB156" s="5"/>
      <c r="NC156" s="5"/>
      <c r="ND156" s="5"/>
      <c r="NE156" s="5"/>
      <c r="NF156" s="5"/>
      <c r="NG156" s="5"/>
      <c r="NH156" s="5"/>
      <c r="NI156" s="5"/>
      <c r="NJ156" s="5"/>
      <c r="NK156" s="5"/>
      <c r="NL156" s="5"/>
      <c r="NM156" s="5"/>
      <c r="NN156" s="5"/>
      <c r="NO156" s="5"/>
      <c r="NP156" s="5"/>
      <c r="NQ156" s="5"/>
      <c r="NR156" s="5"/>
      <c r="NS156" s="5"/>
      <c r="NT156" s="5"/>
      <c r="NU156" s="5"/>
      <c r="NV156" s="5"/>
      <c r="NW156" s="5"/>
      <c r="NX156" s="5"/>
      <c r="NY156" s="5"/>
      <c r="NZ156" s="5"/>
      <c r="OA156" s="5"/>
      <c r="OB156" s="5"/>
      <c r="OC156" s="5"/>
      <c r="OD156" s="5"/>
      <c r="OE156" s="5"/>
      <c r="OF156" s="5"/>
      <c r="OG156" s="5"/>
      <c r="OH156" s="5"/>
      <c r="OI156" s="5"/>
      <c r="OJ156" s="5"/>
      <c r="OK156" s="5"/>
      <c r="OL156" s="5"/>
      <c r="OM156" s="5"/>
      <c r="ON156" s="5"/>
      <c r="OO156" s="5"/>
      <c r="OP156" s="5"/>
      <c r="OQ156" s="5"/>
      <c r="OR156" s="5"/>
      <c r="OS156" s="5"/>
      <c r="OT156" s="5"/>
      <c r="OU156" s="5"/>
      <c r="OV156" s="5"/>
      <c r="OW156" s="5"/>
      <c r="OX156" s="5"/>
      <c r="OY156" s="5"/>
      <c r="OZ156" s="5"/>
      <c r="PA156" s="5"/>
      <c r="PB156" s="5"/>
      <c r="PC156" s="5"/>
      <c r="PD156" s="5"/>
      <c r="PE156" s="5"/>
      <c r="PF156" s="5"/>
      <c r="PG156" s="5"/>
      <c r="PH156" s="5"/>
      <c r="PI156" s="5"/>
      <c r="PJ156" s="5"/>
      <c r="PK156" s="5"/>
      <c r="PL156" s="5"/>
      <c r="PM156" s="5"/>
      <c r="PN156" s="5"/>
      <c r="PO156" s="5"/>
      <c r="PP156" s="5"/>
      <c r="PQ156" s="5"/>
      <c r="PR156" s="5"/>
      <c r="PS156" s="5"/>
      <c r="PT156" s="5"/>
      <c r="PU156" s="5"/>
      <c r="PV156" s="5"/>
      <c r="PW156" s="5"/>
      <c r="PX156" s="5"/>
      <c r="PY156" s="5"/>
      <c r="PZ156" s="5"/>
      <c r="QA156" s="5"/>
      <c r="QB156" s="5"/>
      <c r="QC156" s="5"/>
      <c r="QD156" s="5"/>
      <c r="QE156" s="5"/>
      <c r="QF156" s="5"/>
      <c r="QG156" s="5"/>
      <c r="QH156" s="5"/>
      <c r="QI156" s="5"/>
      <c r="QJ156" s="5"/>
      <c r="QK156" s="5"/>
      <c r="QL156" s="5"/>
      <c r="QM156" s="5"/>
      <c r="QN156" s="5"/>
      <c r="QO156" s="5"/>
      <c r="QP156" s="5"/>
      <c r="QQ156" s="5"/>
      <c r="QR156" s="5"/>
      <c r="QS156" s="5"/>
      <c r="QT156" s="5"/>
      <c r="QU156" s="5"/>
      <c r="QV156" s="5"/>
      <c r="QW156" s="5"/>
      <c r="QX156" s="5"/>
      <c r="QY156" s="5"/>
      <c r="QZ156" s="5"/>
      <c r="RA156" s="5"/>
      <c r="RB156" s="5"/>
      <c r="RC156" s="5"/>
      <c r="RD156" s="5"/>
      <c r="RE156" s="5"/>
      <c r="RF156" s="5"/>
      <c r="RG156" s="5"/>
      <c r="RH156" s="5"/>
      <c r="RI156" s="5"/>
      <c r="RJ156" s="5"/>
      <c r="RK156" s="5"/>
      <c r="RL156" s="5"/>
      <c r="RM156" s="5"/>
      <c r="RN156" s="5"/>
      <c r="RO156" s="5"/>
      <c r="RP156" s="5"/>
      <c r="RQ156" s="5"/>
      <c r="RR156" s="5"/>
      <c r="RS156" s="5"/>
      <c r="RT156" s="5"/>
      <c r="RU156" s="5"/>
      <c r="RV156" s="5"/>
      <c r="RW156" s="5"/>
      <c r="RX156" s="5"/>
      <c r="RY156" s="5"/>
      <c r="RZ156" s="5"/>
      <c r="SA156" s="5"/>
      <c r="SB156" s="5"/>
      <c r="SC156" s="5"/>
      <c r="SD156" s="5"/>
      <c r="SE156" s="5"/>
      <c r="SF156" s="5"/>
      <c r="SG156" s="5"/>
      <c r="SH156" s="5"/>
      <c r="SI156" s="5"/>
      <c r="SJ156" s="5"/>
      <c r="SK156" s="5"/>
      <c r="SL156" s="5"/>
      <c r="SM156" s="5"/>
      <c r="SN156" s="5"/>
      <c r="SO156" s="5"/>
      <c r="SP156" s="5"/>
      <c r="SQ156" s="5"/>
      <c r="SR156" s="5"/>
      <c r="SS156" s="5"/>
      <c r="ST156" s="5"/>
      <c r="SU156" s="5"/>
      <c r="SV156" s="5"/>
      <c r="SW156" s="5"/>
      <c r="SX156" s="5"/>
      <c r="SY156" s="5"/>
      <c r="SZ156" s="5"/>
      <c r="TA156" s="5"/>
      <c r="TB156" s="5"/>
      <c r="TC156" s="5"/>
      <c r="TD156" s="5"/>
      <c r="TE156" s="5"/>
      <c r="TF156" s="5"/>
      <c r="TG156" s="5"/>
      <c r="TH156" s="5"/>
      <c r="TI156" s="5"/>
      <c r="TJ156" s="5"/>
      <c r="TK156" s="5"/>
      <c r="TL156" s="5"/>
      <c r="TM156" s="5"/>
      <c r="TN156" s="5"/>
      <c r="TO156" s="5"/>
      <c r="TP156" s="5"/>
      <c r="TQ156" s="5"/>
      <c r="TR156" s="5"/>
      <c r="TS156" s="5"/>
      <c r="TT156" s="5"/>
      <c r="TU156" s="5"/>
      <c r="TV156" s="5"/>
      <c r="TW156" s="5"/>
      <c r="TX156" s="5"/>
      <c r="TY156" s="5"/>
      <c r="TZ156" s="5"/>
      <c r="UA156" s="5"/>
      <c r="UB156" s="5"/>
      <c r="UC156" s="5"/>
      <c r="UD156" s="5"/>
      <c r="UE156" s="5"/>
      <c r="UF156" s="5"/>
      <c r="UG156" s="5"/>
      <c r="UH156" s="5"/>
      <c r="UI156" s="5"/>
      <c r="UJ156" s="5"/>
      <c r="UK156" s="5"/>
      <c r="UL156" s="5"/>
      <c r="UM156" s="5"/>
      <c r="UN156" s="5"/>
      <c r="UO156" s="5"/>
      <c r="UP156" s="5"/>
      <c r="UQ156" s="5"/>
      <c r="UR156" s="5"/>
      <c r="US156" s="5"/>
      <c r="UT156" s="5"/>
      <c r="UU156" s="5"/>
      <c r="UV156" s="5"/>
      <c r="UW156" s="5"/>
      <c r="UX156" s="5"/>
      <c r="UY156" s="5"/>
      <c r="UZ156" s="5"/>
      <c r="VA156" s="5"/>
      <c r="VB156" s="5"/>
      <c r="VC156" s="5"/>
      <c r="VD156" s="5"/>
      <c r="VE156" s="5"/>
      <c r="VF156" s="5"/>
      <c r="VG156" s="5"/>
      <c r="VH156" s="5"/>
      <c r="VI156" s="5"/>
      <c r="VJ156" s="5"/>
      <c r="VK156" s="5"/>
      <c r="VL156" s="5"/>
      <c r="VM156" s="5"/>
      <c r="VN156" s="5"/>
      <c r="VO156" s="5"/>
      <c r="VP156" s="5"/>
      <c r="VQ156" s="5"/>
      <c r="VR156" s="5"/>
      <c r="VS156" s="5"/>
      <c r="VT156" s="5"/>
      <c r="VU156" s="5"/>
      <c r="VV156" s="5"/>
      <c r="VW156" s="5"/>
      <c r="VX156" s="5"/>
      <c r="VY156" s="5"/>
      <c r="VZ156" s="5"/>
      <c r="WA156" s="5"/>
      <c r="WB156" s="5"/>
      <c r="WC156" s="5"/>
      <c r="WD156" s="5"/>
      <c r="WE156" s="5"/>
      <c r="WF156" s="5"/>
      <c r="WG156" s="5"/>
      <c r="WH156" s="5"/>
      <c r="WI156" s="5"/>
      <c r="WJ156" s="5"/>
      <c r="WK156" s="5"/>
      <c r="WL156" s="5"/>
      <c r="WM156" s="5"/>
      <c r="WN156" s="5"/>
      <c r="WO156" s="5"/>
      <c r="WP156" s="5"/>
      <c r="WQ156" s="5"/>
      <c r="WR156" s="5"/>
      <c r="WS156" s="5"/>
      <c r="WT156" s="5"/>
      <c r="WU156" s="5"/>
      <c r="WV156" s="5"/>
      <c r="WW156" s="5"/>
      <c r="WX156" s="5"/>
      <c r="WY156" s="5"/>
      <c r="WZ156" s="5"/>
      <c r="XA156" s="5"/>
      <c r="XB156" s="5"/>
      <c r="XC156" s="5"/>
      <c r="XD156" s="5"/>
      <c r="XE156" s="5"/>
      <c r="XF156" s="5"/>
      <c r="XG156" s="5"/>
      <c r="XH156" s="5"/>
      <c r="XI156" s="5"/>
      <c r="XJ156" s="5"/>
      <c r="XK156" s="5"/>
      <c r="XL156" s="5"/>
      <c r="XM156" s="5"/>
      <c r="XN156" s="5"/>
      <c r="XO156" s="5"/>
      <c r="XP156" s="5"/>
      <c r="XQ156" s="5"/>
      <c r="XR156" s="5"/>
      <c r="XS156" s="5"/>
      <c r="XT156" s="5"/>
      <c r="XU156" s="5"/>
      <c r="XV156" s="5"/>
      <c r="XW156" s="5"/>
      <c r="XX156" s="5"/>
      <c r="XY156" s="5"/>
      <c r="XZ156" s="5"/>
      <c r="YA156" s="5"/>
      <c r="YB156" s="5"/>
      <c r="YC156" s="5"/>
      <c r="YD156" s="5"/>
      <c r="YE156" s="5"/>
      <c r="YF156" s="5"/>
      <c r="YG156" s="5"/>
      <c r="YH156" s="5"/>
      <c r="YI156" s="5"/>
      <c r="YJ156" s="5"/>
      <c r="YK156" s="5"/>
      <c r="YL156" s="5"/>
      <c r="YM156" s="5"/>
      <c r="YN156" s="5"/>
      <c r="YO156" s="5"/>
      <c r="YP156" s="5"/>
      <c r="YQ156" s="5"/>
      <c r="YR156" s="5"/>
      <c r="YS156" s="5"/>
      <c r="YT156" s="5"/>
      <c r="YU156" s="5"/>
      <c r="YV156" s="5"/>
      <c r="YW156" s="5"/>
      <c r="YX156" s="5"/>
      <c r="YY156" s="5"/>
      <c r="YZ156" s="5"/>
    </row>
    <row r="157" spans="1:676">
      <c r="A157" s="7">
        <v>147</v>
      </c>
      <c r="B157" s="7" t="s">
        <v>374</v>
      </c>
      <c r="C157" s="10" t="s">
        <v>375</v>
      </c>
      <c r="D157" s="7" t="s">
        <v>171</v>
      </c>
      <c r="E157" s="7" t="s">
        <v>178</v>
      </c>
      <c r="F157" s="7" t="s">
        <v>355</v>
      </c>
      <c r="G157" s="7"/>
      <c r="H157" s="7"/>
      <c r="I157" s="11">
        <v>2</v>
      </c>
      <c r="J157" s="11">
        <v>3</v>
      </c>
      <c r="K157" s="11">
        <v>0</v>
      </c>
      <c r="L157" s="11">
        <v>0.29</v>
      </c>
      <c r="M157" s="11">
        <v>0.16</v>
      </c>
      <c r="N157" s="11">
        <v>0</v>
      </c>
      <c r="O157" s="11">
        <v>0.96</v>
      </c>
      <c r="P157" s="11">
        <v>0.9700000000000001</v>
      </c>
      <c r="Q157" s="11">
        <v>2.38</v>
      </c>
      <c r="R157" s="11">
        <v>0</v>
      </c>
      <c r="S157" s="11">
        <v>2.38</v>
      </c>
      <c r="T157" s="11">
        <v>2</v>
      </c>
      <c r="U157" s="11">
        <v>0.3799999999999999</v>
      </c>
      <c r="V157" s="11">
        <v>0</v>
      </c>
      <c r="W157" s="13">
        <v>2</v>
      </c>
      <c r="X157" s="13">
        <v>3</v>
      </c>
      <c r="Y157" s="13" t="str">
        <f>MIN(W157,S157)</f>
        <v>0</v>
      </c>
      <c r="Z157" s="13" t="str">
        <f>MIN(X157,(S157-Y157))</f>
        <v>0</v>
      </c>
      <c r="AA157" s="13" t="str">
        <f>S157-SUM(Y157,Z157)</f>
        <v>0</v>
      </c>
      <c r="AB157" s="15"/>
      <c r="AC157" s="15"/>
      <c r="AD157" s="1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T157" s="5"/>
      <c r="BU157" s="5"/>
      <c r="BV157" s="5"/>
      <c r="BW157" s="5"/>
      <c r="BX157" s="5"/>
      <c r="BY157" s="5"/>
      <c r="BZ157" s="5"/>
      <c r="CA157" s="5"/>
      <c r="CB157" s="5"/>
      <c r="CC157" s="5"/>
      <c r="CD157" s="5"/>
      <c r="CE157" s="5"/>
      <c r="CF157" s="5"/>
      <c r="CG157" s="5"/>
      <c r="CH157" s="5"/>
      <c r="CI157" s="5"/>
      <c r="CJ157" s="5"/>
      <c r="CK157" s="5"/>
      <c r="CL157" s="5"/>
      <c r="CM157" s="5"/>
      <c r="CN157" s="5"/>
      <c r="CO157" s="5"/>
      <c r="CP157" s="5"/>
      <c r="CQ157" s="5"/>
      <c r="CR157" s="5"/>
      <c r="CS157" s="5"/>
      <c r="CT157" s="5"/>
      <c r="CU157" s="5"/>
      <c r="CV157" s="5"/>
      <c r="CW157" s="5"/>
      <c r="CX157" s="5"/>
      <c r="CY157" s="5"/>
      <c r="CZ157" s="5"/>
      <c r="DA157" s="5"/>
      <c r="DB157" s="5"/>
      <c r="DC157" s="5"/>
      <c r="DD157" s="5"/>
      <c r="DE157" s="5"/>
      <c r="DF157" s="5"/>
      <c r="DG157" s="5"/>
      <c r="DH157" s="5"/>
      <c r="DI157" s="5"/>
      <c r="DJ157" s="5"/>
      <c r="DK157" s="5"/>
      <c r="DL157" s="5"/>
      <c r="DM157" s="5"/>
      <c r="DN157" s="5"/>
      <c r="DO157" s="5"/>
      <c r="DP157" s="5"/>
      <c r="DQ157" s="5"/>
      <c r="DR157" s="5"/>
      <c r="DS157" s="5"/>
      <c r="DT157" s="5"/>
      <c r="DU157" s="5"/>
      <c r="DV157" s="5"/>
      <c r="DW157" s="5"/>
      <c r="DX157" s="5"/>
      <c r="DY157" s="5"/>
      <c r="DZ157" s="5"/>
      <c r="EA157" s="5"/>
      <c r="EB157" s="5"/>
      <c r="EC157" s="5"/>
      <c r="ED157" s="5"/>
      <c r="EE157" s="5"/>
      <c r="EF157" s="5"/>
      <c r="EG157" s="5"/>
      <c r="EH157" s="5"/>
      <c r="EI157" s="5"/>
      <c r="EJ157" s="5"/>
      <c r="EK157" s="5"/>
      <c r="EL157" s="5"/>
      <c r="EM157" s="5"/>
      <c r="EN157" s="5"/>
      <c r="EO157" s="5"/>
      <c r="EP157" s="5"/>
      <c r="EQ157" s="5"/>
      <c r="ER157" s="5"/>
      <c r="ES157" s="5"/>
      <c r="ET157" s="5"/>
      <c r="EU157" s="5"/>
      <c r="EV157" s="5"/>
      <c r="EW157" s="5"/>
      <c r="EX157" s="5"/>
      <c r="EY157" s="5"/>
      <c r="EZ157" s="5"/>
      <c r="FA157" s="5"/>
      <c r="FB157" s="5"/>
      <c r="FC157" s="5"/>
      <c r="FD157" s="5"/>
      <c r="FE157" s="5"/>
      <c r="FF157" s="5"/>
      <c r="FG157" s="5"/>
      <c r="FH157" s="5"/>
      <c r="FI157" s="5"/>
      <c r="FJ157" s="5"/>
      <c r="FK157" s="5"/>
      <c r="FL157" s="5"/>
      <c r="FM157" s="5"/>
      <c r="FN157" s="5"/>
      <c r="FO157" s="5"/>
      <c r="FP157" s="5"/>
      <c r="FQ157" s="5"/>
      <c r="FR157" s="5"/>
      <c r="FS157" s="5"/>
      <c r="FT157" s="5"/>
      <c r="FU157" s="5"/>
      <c r="FV157" s="5"/>
      <c r="FW157" s="5"/>
      <c r="FX157" s="5"/>
      <c r="FY157" s="5"/>
      <c r="FZ157" s="5"/>
      <c r="GA157" s="5"/>
      <c r="GB157" s="5"/>
      <c r="GC157" s="5"/>
      <c r="GD157" s="5"/>
      <c r="GE157" s="5"/>
      <c r="GF157" s="5"/>
      <c r="GG157" s="5"/>
      <c r="GH157" s="5"/>
      <c r="GI157" s="5"/>
      <c r="GJ157" s="5"/>
      <c r="GK157" s="5"/>
      <c r="GL157" s="5"/>
      <c r="GM157" s="5"/>
      <c r="GN157" s="5"/>
      <c r="GO157" s="5"/>
      <c r="GP157" s="5"/>
      <c r="GQ157" s="5"/>
      <c r="GR157" s="5"/>
      <c r="GS157" s="5"/>
      <c r="GT157" s="5"/>
      <c r="GU157" s="5"/>
      <c r="GV157" s="5"/>
      <c r="GW157" s="5"/>
      <c r="GX157" s="5"/>
      <c r="GY157" s="5"/>
      <c r="GZ157" s="5"/>
      <c r="HA157" s="5"/>
      <c r="HB157" s="5"/>
      <c r="HC157" s="5"/>
      <c r="HD157" s="5"/>
      <c r="HE157" s="5"/>
      <c r="HF157" s="5"/>
      <c r="HG157" s="5"/>
      <c r="HH157" s="5"/>
      <c r="HI157" s="5"/>
      <c r="HJ157" s="5"/>
      <c r="HK157" s="5"/>
      <c r="HL157" s="5"/>
      <c r="HM157" s="5"/>
      <c r="HN157" s="5"/>
      <c r="HO157" s="5"/>
      <c r="HP157" s="5"/>
      <c r="HQ157" s="5"/>
      <c r="HR157" s="5"/>
      <c r="HS157" s="5"/>
      <c r="HT157" s="5"/>
      <c r="HU157" s="5"/>
      <c r="HV157" s="5"/>
      <c r="HW157" s="5"/>
      <c r="HX157" s="5"/>
      <c r="HY157" s="5"/>
      <c r="HZ157" s="5"/>
      <c r="IA157" s="5"/>
      <c r="IB157" s="5"/>
      <c r="IC157" s="5"/>
      <c r="ID157" s="5"/>
      <c r="IE157" s="5"/>
      <c r="IF157" s="5"/>
      <c r="IG157" s="5"/>
      <c r="IH157" s="5"/>
      <c r="II157" s="5"/>
      <c r="IJ157" s="5"/>
      <c r="IK157" s="5"/>
      <c r="IL157" s="5"/>
      <c r="IM157" s="5"/>
      <c r="IN157" s="5"/>
      <c r="IO157" s="5"/>
      <c r="IP157" s="5"/>
      <c r="IQ157" s="5"/>
      <c r="IR157" s="5"/>
      <c r="IS157" s="5"/>
      <c r="IT157" s="5"/>
      <c r="IU157" s="5"/>
      <c r="IV157" s="5"/>
      <c r="IW157" s="5"/>
      <c r="IX157" s="5"/>
      <c r="IY157" s="5"/>
      <c r="IZ157" s="5"/>
      <c r="JA157" s="5"/>
      <c r="JB157" s="5"/>
      <c r="JC157" s="5"/>
      <c r="JD157" s="5"/>
      <c r="JE157" s="5"/>
      <c r="JF157" s="5"/>
      <c r="JG157" s="5"/>
      <c r="JH157" s="5"/>
      <c r="JI157" s="5"/>
      <c r="JJ157" s="5"/>
      <c r="JK157" s="5"/>
      <c r="JL157" s="5"/>
      <c r="JM157" s="5"/>
      <c r="JN157" s="5"/>
      <c r="JO157" s="5"/>
      <c r="JP157" s="5"/>
      <c r="JQ157" s="5"/>
      <c r="JR157" s="5"/>
      <c r="JS157" s="5"/>
      <c r="JT157" s="5"/>
      <c r="JU157" s="5"/>
      <c r="JV157" s="5"/>
      <c r="JW157" s="5"/>
      <c r="JX157" s="5"/>
      <c r="JY157" s="5"/>
      <c r="JZ157" s="5"/>
      <c r="KA157" s="5"/>
      <c r="KB157" s="5"/>
      <c r="KC157" s="5"/>
      <c r="KD157" s="5"/>
      <c r="KE157" s="5"/>
      <c r="KF157" s="5"/>
      <c r="KG157" s="5"/>
      <c r="KH157" s="5"/>
      <c r="KI157" s="5"/>
      <c r="KJ157" s="5"/>
      <c r="KK157" s="5"/>
      <c r="KL157" s="5"/>
      <c r="KM157" s="5"/>
      <c r="KN157" s="5"/>
      <c r="KO157" s="5"/>
      <c r="KP157" s="5"/>
      <c r="KQ157" s="5"/>
      <c r="KR157" s="5"/>
      <c r="KS157" s="5"/>
      <c r="KT157" s="5"/>
      <c r="KU157" s="5"/>
      <c r="KV157" s="5"/>
      <c r="KW157" s="5"/>
      <c r="KX157" s="5"/>
      <c r="KY157" s="5"/>
      <c r="KZ157" s="5"/>
      <c r="LA157" s="5"/>
      <c r="LB157" s="5"/>
      <c r="LC157" s="5"/>
      <c r="LD157" s="5"/>
      <c r="LE157" s="5"/>
      <c r="LF157" s="5"/>
      <c r="LG157" s="5"/>
      <c r="LH157" s="5"/>
      <c r="LI157" s="5"/>
      <c r="LJ157" s="5"/>
      <c r="LK157" s="5"/>
      <c r="LL157" s="5"/>
      <c r="LM157" s="5"/>
      <c r="LN157" s="5"/>
      <c r="LO157" s="5"/>
      <c r="LP157" s="5"/>
      <c r="LQ157" s="5"/>
      <c r="LR157" s="5"/>
      <c r="LS157" s="5"/>
      <c r="LT157" s="5"/>
      <c r="LU157" s="5"/>
      <c r="LV157" s="5"/>
      <c r="LW157" s="5"/>
      <c r="LX157" s="5"/>
      <c r="LY157" s="5"/>
      <c r="LZ157" s="5"/>
      <c r="MA157" s="5"/>
      <c r="MB157" s="5"/>
      <c r="MC157" s="5"/>
      <c r="MD157" s="5"/>
      <c r="ME157" s="5"/>
      <c r="MF157" s="5"/>
      <c r="MG157" s="5"/>
      <c r="MH157" s="5"/>
      <c r="MI157" s="5"/>
      <c r="MJ157" s="5"/>
      <c r="MK157" s="5"/>
      <c r="ML157" s="5"/>
      <c r="MM157" s="5"/>
      <c r="MN157" s="5"/>
      <c r="MO157" s="5"/>
      <c r="MP157" s="5"/>
      <c r="MQ157" s="5"/>
      <c r="MR157" s="5"/>
      <c r="MS157" s="5"/>
      <c r="MT157" s="5"/>
      <c r="MU157" s="5"/>
      <c r="MV157" s="5"/>
      <c r="MW157" s="5"/>
      <c r="MX157" s="5"/>
      <c r="MY157" s="5"/>
      <c r="MZ157" s="5"/>
      <c r="NA157" s="5"/>
      <c r="NB157" s="5"/>
      <c r="NC157" s="5"/>
      <c r="ND157" s="5"/>
      <c r="NE157" s="5"/>
      <c r="NF157" s="5"/>
      <c r="NG157" s="5"/>
      <c r="NH157" s="5"/>
      <c r="NI157" s="5"/>
      <c r="NJ157" s="5"/>
      <c r="NK157" s="5"/>
      <c r="NL157" s="5"/>
      <c r="NM157" s="5"/>
      <c r="NN157" s="5"/>
      <c r="NO157" s="5"/>
      <c r="NP157" s="5"/>
      <c r="NQ157" s="5"/>
      <c r="NR157" s="5"/>
      <c r="NS157" s="5"/>
      <c r="NT157" s="5"/>
      <c r="NU157" s="5"/>
      <c r="NV157" s="5"/>
      <c r="NW157" s="5"/>
      <c r="NX157" s="5"/>
      <c r="NY157" s="5"/>
      <c r="NZ157" s="5"/>
      <c r="OA157" s="5"/>
      <c r="OB157" s="5"/>
      <c r="OC157" s="5"/>
      <c r="OD157" s="5"/>
      <c r="OE157" s="5"/>
      <c r="OF157" s="5"/>
      <c r="OG157" s="5"/>
      <c r="OH157" s="5"/>
      <c r="OI157" s="5"/>
      <c r="OJ157" s="5"/>
      <c r="OK157" s="5"/>
      <c r="OL157" s="5"/>
      <c r="OM157" s="5"/>
      <c r="ON157" s="5"/>
      <c r="OO157" s="5"/>
      <c r="OP157" s="5"/>
      <c r="OQ157" s="5"/>
      <c r="OR157" s="5"/>
      <c r="OS157" s="5"/>
      <c r="OT157" s="5"/>
      <c r="OU157" s="5"/>
      <c r="OV157" s="5"/>
      <c r="OW157" s="5"/>
      <c r="OX157" s="5"/>
      <c r="OY157" s="5"/>
      <c r="OZ157" s="5"/>
      <c r="PA157" s="5"/>
      <c r="PB157" s="5"/>
      <c r="PC157" s="5"/>
      <c r="PD157" s="5"/>
      <c r="PE157" s="5"/>
      <c r="PF157" s="5"/>
      <c r="PG157" s="5"/>
      <c r="PH157" s="5"/>
      <c r="PI157" s="5"/>
      <c r="PJ157" s="5"/>
      <c r="PK157" s="5"/>
      <c r="PL157" s="5"/>
      <c r="PM157" s="5"/>
      <c r="PN157" s="5"/>
      <c r="PO157" s="5"/>
      <c r="PP157" s="5"/>
      <c r="PQ157" s="5"/>
      <c r="PR157" s="5"/>
      <c r="PS157" s="5"/>
      <c r="PT157" s="5"/>
      <c r="PU157" s="5"/>
      <c r="PV157" s="5"/>
      <c r="PW157" s="5"/>
      <c r="PX157" s="5"/>
      <c r="PY157" s="5"/>
      <c r="PZ157" s="5"/>
      <c r="QA157" s="5"/>
      <c r="QB157" s="5"/>
      <c r="QC157" s="5"/>
      <c r="QD157" s="5"/>
      <c r="QE157" s="5"/>
      <c r="QF157" s="5"/>
      <c r="QG157" s="5"/>
      <c r="QH157" s="5"/>
      <c r="QI157" s="5"/>
      <c r="QJ157" s="5"/>
      <c r="QK157" s="5"/>
      <c r="QL157" s="5"/>
      <c r="QM157" s="5"/>
      <c r="QN157" s="5"/>
      <c r="QO157" s="5"/>
      <c r="QP157" s="5"/>
      <c r="QQ157" s="5"/>
      <c r="QR157" s="5"/>
      <c r="QS157" s="5"/>
      <c r="QT157" s="5"/>
      <c r="QU157" s="5"/>
      <c r="QV157" s="5"/>
      <c r="QW157" s="5"/>
      <c r="QX157" s="5"/>
      <c r="QY157" s="5"/>
      <c r="QZ157" s="5"/>
      <c r="RA157" s="5"/>
      <c r="RB157" s="5"/>
      <c r="RC157" s="5"/>
      <c r="RD157" s="5"/>
      <c r="RE157" s="5"/>
      <c r="RF157" s="5"/>
      <c r="RG157" s="5"/>
      <c r="RH157" s="5"/>
      <c r="RI157" s="5"/>
      <c r="RJ157" s="5"/>
      <c r="RK157" s="5"/>
      <c r="RL157" s="5"/>
      <c r="RM157" s="5"/>
      <c r="RN157" s="5"/>
      <c r="RO157" s="5"/>
      <c r="RP157" s="5"/>
      <c r="RQ157" s="5"/>
      <c r="RR157" s="5"/>
      <c r="RS157" s="5"/>
      <c r="RT157" s="5"/>
      <c r="RU157" s="5"/>
      <c r="RV157" s="5"/>
      <c r="RW157" s="5"/>
      <c r="RX157" s="5"/>
      <c r="RY157" s="5"/>
      <c r="RZ157" s="5"/>
      <c r="SA157" s="5"/>
      <c r="SB157" s="5"/>
      <c r="SC157" s="5"/>
      <c r="SD157" s="5"/>
      <c r="SE157" s="5"/>
      <c r="SF157" s="5"/>
      <c r="SG157" s="5"/>
      <c r="SH157" s="5"/>
      <c r="SI157" s="5"/>
      <c r="SJ157" s="5"/>
      <c r="SK157" s="5"/>
      <c r="SL157" s="5"/>
      <c r="SM157" s="5"/>
      <c r="SN157" s="5"/>
      <c r="SO157" s="5"/>
      <c r="SP157" s="5"/>
      <c r="SQ157" s="5"/>
      <c r="SR157" s="5"/>
      <c r="SS157" s="5"/>
      <c r="ST157" s="5"/>
      <c r="SU157" s="5"/>
      <c r="SV157" s="5"/>
      <c r="SW157" s="5"/>
      <c r="SX157" s="5"/>
      <c r="SY157" s="5"/>
      <c r="SZ157" s="5"/>
      <c r="TA157" s="5"/>
      <c r="TB157" s="5"/>
      <c r="TC157" s="5"/>
      <c r="TD157" s="5"/>
      <c r="TE157" s="5"/>
      <c r="TF157" s="5"/>
      <c r="TG157" s="5"/>
      <c r="TH157" s="5"/>
      <c r="TI157" s="5"/>
      <c r="TJ157" s="5"/>
      <c r="TK157" s="5"/>
      <c r="TL157" s="5"/>
      <c r="TM157" s="5"/>
      <c r="TN157" s="5"/>
      <c r="TO157" s="5"/>
      <c r="TP157" s="5"/>
      <c r="TQ157" s="5"/>
      <c r="TR157" s="5"/>
      <c r="TS157" s="5"/>
      <c r="TT157" s="5"/>
      <c r="TU157" s="5"/>
      <c r="TV157" s="5"/>
      <c r="TW157" s="5"/>
      <c r="TX157" s="5"/>
      <c r="TY157" s="5"/>
      <c r="TZ157" s="5"/>
      <c r="UA157" s="5"/>
      <c r="UB157" s="5"/>
      <c r="UC157" s="5"/>
      <c r="UD157" s="5"/>
      <c r="UE157" s="5"/>
      <c r="UF157" s="5"/>
      <c r="UG157" s="5"/>
      <c r="UH157" s="5"/>
      <c r="UI157" s="5"/>
      <c r="UJ157" s="5"/>
      <c r="UK157" s="5"/>
      <c r="UL157" s="5"/>
      <c r="UM157" s="5"/>
      <c r="UN157" s="5"/>
      <c r="UO157" s="5"/>
      <c r="UP157" s="5"/>
      <c r="UQ157" s="5"/>
      <c r="UR157" s="5"/>
      <c r="US157" s="5"/>
      <c r="UT157" s="5"/>
      <c r="UU157" s="5"/>
      <c r="UV157" s="5"/>
      <c r="UW157" s="5"/>
      <c r="UX157" s="5"/>
      <c r="UY157" s="5"/>
      <c r="UZ157" s="5"/>
      <c r="VA157" s="5"/>
      <c r="VB157" s="5"/>
      <c r="VC157" s="5"/>
      <c r="VD157" s="5"/>
      <c r="VE157" s="5"/>
      <c r="VF157" s="5"/>
      <c r="VG157" s="5"/>
      <c r="VH157" s="5"/>
      <c r="VI157" s="5"/>
      <c r="VJ157" s="5"/>
      <c r="VK157" s="5"/>
      <c r="VL157" s="5"/>
      <c r="VM157" s="5"/>
      <c r="VN157" s="5"/>
      <c r="VO157" s="5"/>
      <c r="VP157" s="5"/>
      <c r="VQ157" s="5"/>
      <c r="VR157" s="5"/>
      <c r="VS157" s="5"/>
      <c r="VT157" s="5"/>
      <c r="VU157" s="5"/>
      <c r="VV157" s="5"/>
      <c r="VW157" s="5"/>
      <c r="VX157" s="5"/>
      <c r="VY157" s="5"/>
      <c r="VZ157" s="5"/>
      <c r="WA157" s="5"/>
      <c r="WB157" s="5"/>
      <c r="WC157" s="5"/>
      <c r="WD157" s="5"/>
      <c r="WE157" s="5"/>
      <c r="WF157" s="5"/>
      <c r="WG157" s="5"/>
      <c r="WH157" s="5"/>
      <c r="WI157" s="5"/>
      <c r="WJ157" s="5"/>
      <c r="WK157" s="5"/>
      <c r="WL157" s="5"/>
      <c r="WM157" s="5"/>
      <c r="WN157" s="5"/>
      <c r="WO157" s="5"/>
      <c r="WP157" s="5"/>
      <c r="WQ157" s="5"/>
      <c r="WR157" s="5"/>
      <c r="WS157" s="5"/>
      <c r="WT157" s="5"/>
      <c r="WU157" s="5"/>
      <c r="WV157" s="5"/>
      <c r="WW157" s="5"/>
      <c r="WX157" s="5"/>
      <c r="WY157" s="5"/>
      <c r="WZ157" s="5"/>
      <c r="XA157" s="5"/>
      <c r="XB157" s="5"/>
      <c r="XC157" s="5"/>
      <c r="XD157" s="5"/>
      <c r="XE157" s="5"/>
      <c r="XF157" s="5"/>
      <c r="XG157" s="5"/>
      <c r="XH157" s="5"/>
      <c r="XI157" s="5"/>
      <c r="XJ157" s="5"/>
      <c r="XK157" s="5"/>
      <c r="XL157" s="5"/>
      <c r="XM157" s="5"/>
      <c r="XN157" s="5"/>
      <c r="XO157" s="5"/>
      <c r="XP157" s="5"/>
      <c r="XQ157" s="5"/>
      <c r="XR157" s="5"/>
      <c r="XS157" s="5"/>
      <c r="XT157" s="5"/>
      <c r="XU157" s="5"/>
      <c r="XV157" s="5"/>
      <c r="XW157" s="5"/>
      <c r="XX157" s="5"/>
      <c r="XY157" s="5"/>
      <c r="XZ157" s="5"/>
      <c r="YA157" s="5"/>
      <c r="YB157" s="5"/>
      <c r="YC157" s="5"/>
      <c r="YD157" s="5"/>
      <c r="YE157" s="5"/>
      <c r="YF157" s="5"/>
      <c r="YG157" s="5"/>
      <c r="YH157" s="5"/>
      <c r="YI157" s="5"/>
      <c r="YJ157" s="5"/>
      <c r="YK157" s="5"/>
      <c r="YL157" s="5"/>
      <c r="YM157" s="5"/>
      <c r="YN157" s="5"/>
      <c r="YO157" s="5"/>
      <c r="YP157" s="5"/>
      <c r="YQ157" s="5"/>
      <c r="YR157" s="5"/>
      <c r="YS157" s="5"/>
      <c r="YT157" s="5"/>
      <c r="YU157" s="5"/>
      <c r="YV157" s="5"/>
      <c r="YW157" s="5"/>
      <c r="YX157" s="5"/>
      <c r="YY157" s="5"/>
      <c r="YZ157" s="5"/>
    </row>
    <row r="158" spans="1:676">
      <c r="A158" s="7">
        <v>148</v>
      </c>
      <c r="B158" s="7" t="s">
        <v>376</v>
      </c>
      <c r="C158" s="10" t="s">
        <v>377</v>
      </c>
      <c r="D158" s="7" t="s">
        <v>50</v>
      </c>
      <c r="E158" s="7" t="s">
        <v>178</v>
      </c>
      <c r="F158" s="7" t="s">
        <v>344</v>
      </c>
      <c r="G158" s="7"/>
      <c r="H158" s="7" t="s">
        <v>43</v>
      </c>
      <c r="I158" s="11">
        <v>2</v>
      </c>
      <c r="J158" s="11">
        <v>3</v>
      </c>
      <c r="K158" s="11">
        <v>0</v>
      </c>
      <c r="L158" s="11">
        <v>1.21</v>
      </c>
      <c r="M158" s="11">
        <v>0.16</v>
      </c>
      <c r="N158" s="11">
        <v>0</v>
      </c>
      <c r="O158" s="11">
        <v>0</v>
      </c>
      <c r="P158" s="11">
        <v>1.75</v>
      </c>
      <c r="Q158" s="11">
        <v>3.12</v>
      </c>
      <c r="R158" s="11">
        <v>0</v>
      </c>
      <c r="S158" s="11">
        <v>3.12</v>
      </c>
      <c r="T158" s="11">
        <v>2</v>
      </c>
      <c r="U158" s="11">
        <v>1.12</v>
      </c>
      <c r="V158" s="11">
        <v>0</v>
      </c>
      <c r="W158" s="13">
        <v>2</v>
      </c>
      <c r="X158" s="13">
        <v>3</v>
      </c>
      <c r="Y158" s="13" t="str">
        <f>MIN(W158,S158)</f>
        <v>0</v>
      </c>
      <c r="Z158" s="13" t="str">
        <f>MIN(X158,(S158-Y158))</f>
        <v>0</v>
      </c>
      <c r="AA158" s="13" t="str">
        <f>S158-SUM(Y158,Z158)</f>
        <v>0</v>
      </c>
      <c r="AB158" s="15"/>
      <c r="AC158" s="15"/>
      <c r="AD158" s="1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T158" s="5"/>
      <c r="BU158" s="5"/>
      <c r="BV158" s="5"/>
      <c r="BW158" s="5"/>
      <c r="BX158" s="5"/>
      <c r="BY158" s="5"/>
      <c r="BZ158" s="5"/>
      <c r="CA158" s="5"/>
      <c r="CB158" s="5"/>
      <c r="CC158" s="5"/>
      <c r="CD158" s="5"/>
      <c r="CE158" s="5"/>
      <c r="CF158" s="5"/>
      <c r="CG158" s="5"/>
      <c r="CH158" s="5"/>
      <c r="CI158" s="5"/>
      <c r="CJ158" s="5"/>
      <c r="CK158" s="5"/>
      <c r="CL158" s="5"/>
      <c r="CM158" s="5"/>
      <c r="CN158" s="5"/>
      <c r="CO158" s="5"/>
      <c r="CP158" s="5"/>
      <c r="CQ158" s="5"/>
      <c r="CR158" s="5"/>
      <c r="CS158" s="5"/>
      <c r="CT158" s="5"/>
      <c r="CU158" s="5"/>
      <c r="CV158" s="5"/>
      <c r="CW158" s="5"/>
      <c r="CX158" s="5"/>
      <c r="CY158" s="5"/>
      <c r="CZ158" s="5"/>
      <c r="DA158" s="5"/>
      <c r="DB158" s="5"/>
      <c r="DC158" s="5"/>
      <c r="DD158" s="5"/>
      <c r="DE158" s="5"/>
      <c r="DF158" s="5"/>
      <c r="DG158" s="5"/>
      <c r="DH158" s="5"/>
      <c r="DI158" s="5"/>
      <c r="DJ158" s="5"/>
      <c r="DK158" s="5"/>
      <c r="DL158" s="5"/>
      <c r="DM158" s="5"/>
      <c r="DN158" s="5"/>
      <c r="DO158" s="5"/>
      <c r="DP158" s="5"/>
      <c r="DQ158" s="5"/>
      <c r="DR158" s="5"/>
      <c r="DS158" s="5"/>
      <c r="DT158" s="5"/>
      <c r="DU158" s="5"/>
      <c r="DV158" s="5"/>
      <c r="DW158" s="5"/>
      <c r="DX158" s="5"/>
      <c r="DY158" s="5"/>
      <c r="DZ158" s="5"/>
      <c r="EA158" s="5"/>
      <c r="EB158" s="5"/>
      <c r="EC158" s="5"/>
      <c r="ED158" s="5"/>
      <c r="EE158" s="5"/>
      <c r="EF158" s="5"/>
      <c r="EG158" s="5"/>
      <c r="EH158" s="5"/>
      <c r="EI158" s="5"/>
      <c r="EJ158" s="5"/>
      <c r="EK158" s="5"/>
      <c r="EL158" s="5"/>
      <c r="EM158" s="5"/>
      <c r="EN158" s="5"/>
      <c r="EO158" s="5"/>
      <c r="EP158" s="5"/>
      <c r="EQ158" s="5"/>
      <c r="ER158" s="5"/>
      <c r="ES158" s="5"/>
      <c r="ET158" s="5"/>
      <c r="EU158" s="5"/>
      <c r="EV158" s="5"/>
      <c r="EW158" s="5"/>
      <c r="EX158" s="5"/>
      <c r="EY158" s="5"/>
      <c r="EZ158" s="5"/>
      <c r="FA158" s="5"/>
      <c r="FB158" s="5"/>
      <c r="FC158" s="5"/>
      <c r="FD158" s="5"/>
      <c r="FE158" s="5"/>
      <c r="FF158" s="5"/>
      <c r="FG158" s="5"/>
      <c r="FH158" s="5"/>
      <c r="FI158" s="5"/>
      <c r="FJ158" s="5"/>
      <c r="FK158" s="5"/>
      <c r="FL158" s="5"/>
      <c r="FM158" s="5"/>
      <c r="FN158" s="5"/>
      <c r="FO158" s="5"/>
      <c r="FP158" s="5"/>
      <c r="FQ158" s="5"/>
      <c r="FR158" s="5"/>
      <c r="FS158" s="5"/>
      <c r="FT158" s="5"/>
      <c r="FU158" s="5"/>
      <c r="FV158" s="5"/>
      <c r="FW158" s="5"/>
      <c r="FX158" s="5"/>
      <c r="FY158" s="5"/>
      <c r="FZ158" s="5"/>
      <c r="GA158" s="5"/>
      <c r="GB158" s="5"/>
      <c r="GC158" s="5"/>
      <c r="GD158" s="5"/>
      <c r="GE158" s="5"/>
      <c r="GF158" s="5"/>
      <c r="GG158" s="5"/>
      <c r="GH158" s="5"/>
      <c r="GI158" s="5"/>
      <c r="GJ158" s="5"/>
      <c r="GK158" s="5"/>
      <c r="GL158" s="5"/>
      <c r="GM158" s="5"/>
      <c r="GN158" s="5"/>
      <c r="GO158" s="5"/>
      <c r="GP158" s="5"/>
      <c r="GQ158" s="5"/>
      <c r="GR158" s="5"/>
      <c r="GS158" s="5"/>
      <c r="GT158" s="5"/>
      <c r="GU158" s="5"/>
      <c r="GV158" s="5"/>
      <c r="GW158" s="5"/>
      <c r="GX158" s="5"/>
      <c r="GY158" s="5"/>
      <c r="GZ158" s="5"/>
      <c r="HA158" s="5"/>
      <c r="HB158" s="5"/>
      <c r="HC158" s="5"/>
      <c r="HD158" s="5"/>
      <c r="HE158" s="5"/>
      <c r="HF158" s="5"/>
      <c r="HG158" s="5"/>
      <c r="HH158" s="5"/>
      <c r="HI158" s="5"/>
      <c r="HJ158" s="5"/>
      <c r="HK158" s="5"/>
      <c r="HL158" s="5"/>
      <c r="HM158" s="5"/>
      <c r="HN158" s="5"/>
      <c r="HO158" s="5"/>
      <c r="HP158" s="5"/>
      <c r="HQ158" s="5"/>
      <c r="HR158" s="5"/>
      <c r="HS158" s="5"/>
      <c r="HT158" s="5"/>
      <c r="HU158" s="5"/>
      <c r="HV158" s="5"/>
      <c r="HW158" s="5"/>
      <c r="HX158" s="5"/>
      <c r="HY158" s="5"/>
      <c r="HZ158" s="5"/>
      <c r="IA158" s="5"/>
      <c r="IB158" s="5"/>
      <c r="IC158" s="5"/>
      <c r="ID158" s="5"/>
      <c r="IE158" s="5"/>
      <c r="IF158" s="5"/>
      <c r="IG158" s="5"/>
      <c r="IH158" s="5"/>
      <c r="II158" s="5"/>
      <c r="IJ158" s="5"/>
      <c r="IK158" s="5"/>
      <c r="IL158" s="5"/>
      <c r="IM158" s="5"/>
      <c r="IN158" s="5"/>
      <c r="IO158" s="5"/>
      <c r="IP158" s="5"/>
      <c r="IQ158" s="5"/>
      <c r="IR158" s="5"/>
      <c r="IS158" s="5"/>
      <c r="IT158" s="5"/>
      <c r="IU158" s="5"/>
      <c r="IV158" s="5"/>
      <c r="IW158" s="5"/>
      <c r="IX158" s="5"/>
      <c r="IY158" s="5"/>
      <c r="IZ158" s="5"/>
      <c r="JA158" s="5"/>
      <c r="JB158" s="5"/>
      <c r="JC158" s="5"/>
      <c r="JD158" s="5"/>
      <c r="JE158" s="5"/>
      <c r="JF158" s="5"/>
      <c r="JG158" s="5"/>
      <c r="JH158" s="5"/>
      <c r="JI158" s="5"/>
      <c r="JJ158" s="5"/>
      <c r="JK158" s="5"/>
      <c r="JL158" s="5"/>
      <c r="JM158" s="5"/>
      <c r="JN158" s="5"/>
      <c r="JO158" s="5"/>
      <c r="JP158" s="5"/>
      <c r="JQ158" s="5"/>
      <c r="JR158" s="5"/>
      <c r="JS158" s="5"/>
      <c r="JT158" s="5"/>
      <c r="JU158" s="5"/>
      <c r="JV158" s="5"/>
      <c r="JW158" s="5"/>
      <c r="JX158" s="5"/>
      <c r="JY158" s="5"/>
      <c r="JZ158" s="5"/>
      <c r="KA158" s="5"/>
      <c r="KB158" s="5"/>
      <c r="KC158" s="5"/>
      <c r="KD158" s="5"/>
      <c r="KE158" s="5"/>
      <c r="KF158" s="5"/>
      <c r="KG158" s="5"/>
      <c r="KH158" s="5"/>
      <c r="KI158" s="5"/>
      <c r="KJ158" s="5"/>
      <c r="KK158" s="5"/>
      <c r="KL158" s="5"/>
      <c r="KM158" s="5"/>
      <c r="KN158" s="5"/>
      <c r="KO158" s="5"/>
      <c r="KP158" s="5"/>
      <c r="KQ158" s="5"/>
      <c r="KR158" s="5"/>
      <c r="KS158" s="5"/>
      <c r="KT158" s="5"/>
      <c r="KU158" s="5"/>
      <c r="KV158" s="5"/>
      <c r="KW158" s="5"/>
      <c r="KX158" s="5"/>
      <c r="KY158" s="5"/>
      <c r="KZ158" s="5"/>
      <c r="LA158" s="5"/>
      <c r="LB158" s="5"/>
      <c r="LC158" s="5"/>
      <c r="LD158" s="5"/>
      <c r="LE158" s="5"/>
      <c r="LF158" s="5"/>
      <c r="LG158" s="5"/>
      <c r="LH158" s="5"/>
      <c r="LI158" s="5"/>
      <c r="LJ158" s="5"/>
      <c r="LK158" s="5"/>
      <c r="LL158" s="5"/>
      <c r="LM158" s="5"/>
      <c r="LN158" s="5"/>
      <c r="LO158" s="5"/>
      <c r="LP158" s="5"/>
      <c r="LQ158" s="5"/>
      <c r="LR158" s="5"/>
      <c r="LS158" s="5"/>
      <c r="LT158" s="5"/>
      <c r="LU158" s="5"/>
      <c r="LV158" s="5"/>
      <c r="LW158" s="5"/>
      <c r="LX158" s="5"/>
      <c r="LY158" s="5"/>
      <c r="LZ158" s="5"/>
      <c r="MA158" s="5"/>
      <c r="MB158" s="5"/>
      <c r="MC158" s="5"/>
      <c r="MD158" s="5"/>
      <c r="ME158" s="5"/>
      <c r="MF158" s="5"/>
      <c r="MG158" s="5"/>
      <c r="MH158" s="5"/>
      <c r="MI158" s="5"/>
      <c r="MJ158" s="5"/>
      <c r="MK158" s="5"/>
      <c r="ML158" s="5"/>
      <c r="MM158" s="5"/>
      <c r="MN158" s="5"/>
      <c r="MO158" s="5"/>
      <c r="MP158" s="5"/>
      <c r="MQ158" s="5"/>
      <c r="MR158" s="5"/>
      <c r="MS158" s="5"/>
      <c r="MT158" s="5"/>
      <c r="MU158" s="5"/>
      <c r="MV158" s="5"/>
      <c r="MW158" s="5"/>
      <c r="MX158" s="5"/>
      <c r="MY158" s="5"/>
      <c r="MZ158" s="5"/>
      <c r="NA158" s="5"/>
      <c r="NB158" s="5"/>
      <c r="NC158" s="5"/>
      <c r="ND158" s="5"/>
      <c r="NE158" s="5"/>
      <c r="NF158" s="5"/>
      <c r="NG158" s="5"/>
      <c r="NH158" s="5"/>
      <c r="NI158" s="5"/>
      <c r="NJ158" s="5"/>
      <c r="NK158" s="5"/>
      <c r="NL158" s="5"/>
      <c r="NM158" s="5"/>
      <c r="NN158" s="5"/>
      <c r="NO158" s="5"/>
      <c r="NP158" s="5"/>
      <c r="NQ158" s="5"/>
      <c r="NR158" s="5"/>
      <c r="NS158" s="5"/>
      <c r="NT158" s="5"/>
      <c r="NU158" s="5"/>
      <c r="NV158" s="5"/>
      <c r="NW158" s="5"/>
      <c r="NX158" s="5"/>
      <c r="NY158" s="5"/>
      <c r="NZ158" s="5"/>
      <c r="OA158" s="5"/>
      <c r="OB158" s="5"/>
      <c r="OC158" s="5"/>
      <c r="OD158" s="5"/>
      <c r="OE158" s="5"/>
      <c r="OF158" s="5"/>
      <c r="OG158" s="5"/>
      <c r="OH158" s="5"/>
      <c r="OI158" s="5"/>
      <c r="OJ158" s="5"/>
      <c r="OK158" s="5"/>
      <c r="OL158" s="5"/>
      <c r="OM158" s="5"/>
      <c r="ON158" s="5"/>
      <c r="OO158" s="5"/>
      <c r="OP158" s="5"/>
      <c r="OQ158" s="5"/>
      <c r="OR158" s="5"/>
      <c r="OS158" s="5"/>
      <c r="OT158" s="5"/>
      <c r="OU158" s="5"/>
      <c r="OV158" s="5"/>
      <c r="OW158" s="5"/>
      <c r="OX158" s="5"/>
      <c r="OY158" s="5"/>
      <c r="OZ158" s="5"/>
      <c r="PA158" s="5"/>
      <c r="PB158" s="5"/>
      <c r="PC158" s="5"/>
      <c r="PD158" s="5"/>
      <c r="PE158" s="5"/>
      <c r="PF158" s="5"/>
      <c r="PG158" s="5"/>
      <c r="PH158" s="5"/>
      <c r="PI158" s="5"/>
      <c r="PJ158" s="5"/>
      <c r="PK158" s="5"/>
      <c r="PL158" s="5"/>
      <c r="PM158" s="5"/>
      <c r="PN158" s="5"/>
      <c r="PO158" s="5"/>
      <c r="PP158" s="5"/>
      <c r="PQ158" s="5"/>
      <c r="PR158" s="5"/>
      <c r="PS158" s="5"/>
      <c r="PT158" s="5"/>
      <c r="PU158" s="5"/>
      <c r="PV158" s="5"/>
      <c r="PW158" s="5"/>
      <c r="PX158" s="5"/>
      <c r="PY158" s="5"/>
      <c r="PZ158" s="5"/>
      <c r="QA158" s="5"/>
      <c r="QB158" s="5"/>
      <c r="QC158" s="5"/>
      <c r="QD158" s="5"/>
      <c r="QE158" s="5"/>
      <c r="QF158" s="5"/>
      <c r="QG158" s="5"/>
      <c r="QH158" s="5"/>
      <c r="QI158" s="5"/>
      <c r="QJ158" s="5"/>
      <c r="QK158" s="5"/>
      <c r="QL158" s="5"/>
      <c r="QM158" s="5"/>
      <c r="QN158" s="5"/>
      <c r="QO158" s="5"/>
      <c r="QP158" s="5"/>
      <c r="QQ158" s="5"/>
      <c r="QR158" s="5"/>
      <c r="QS158" s="5"/>
      <c r="QT158" s="5"/>
      <c r="QU158" s="5"/>
      <c r="QV158" s="5"/>
      <c r="QW158" s="5"/>
      <c r="QX158" s="5"/>
      <c r="QY158" s="5"/>
      <c r="QZ158" s="5"/>
      <c r="RA158" s="5"/>
      <c r="RB158" s="5"/>
      <c r="RC158" s="5"/>
      <c r="RD158" s="5"/>
      <c r="RE158" s="5"/>
      <c r="RF158" s="5"/>
      <c r="RG158" s="5"/>
      <c r="RH158" s="5"/>
      <c r="RI158" s="5"/>
      <c r="RJ158" s="5"/>
      <c r="RK158" s="5"/>
      <c r="RL158" s="5"/>
      <c r="RM158" s="5"/>
      <c r="RN158" s="5"/>
      <c r="RO158" s="5"/>
      <c r="RP158" s="5"/>
      <c r="RQ158" s="5"/>
      <c r="RR158" s="5"/>
      <c r="RS158" s="5"/>
      <c r="RT158" s="5"/>
      <c r="RU158" s="5"/>
      <c r="RV158" s="5"/>
      <c r="RW158" s="5"/>
      <c r="RX158" s="5"/>
      <c r="RY158" s="5"/>
      <c r="RZ158" s="5"/>
      <c r="SA158" s="5"/>
      <c r="SB158" s="5"/>
      <c r="SC158" s="5"/>
      <c r="SD158" s="5"/>
      <c r="SE158" s="5"/>
      <c r="SF158" s="5"/>
      <c r="SG158" s="5"/>
      <c r="SH158" s="5"/>
      <c r="SI158" s="5"/>
      <c r="SJ158" s="5"/>
      <c r="SK158" s="5"/>
      <c r="SL158" s="5"/>
      <c r="SM158" s="5"/>
      <c r="SN158" s="5"/>
      <c r="SO158" s="5"/>
      <c r="SP158" s="5"/>
      <c r="SQ158" s="5"/>
      <c r="SR158" s="5"/>
      <c r="SS158" s="5"/>
      <c r="ST158" s="5"/>
      <c r="SU158" s="5"/>
      <c r="SV158" s="5"/>
      <c r="SW158" s="5"/>
      <c r="SX158" s="5"/>
      <c r="SY158" s="5"/>
      <c r="SZ158" s="5"/>
      <c r="TA158" s="5"/>
      <c r="TB158" s="5"/>
      <c r="TC158" s="5"/>
      <c r="TD158" s="5"/>
      <c r="TE158" s="5"/>
      <c r="TF158" s="5"/>
      <c r="TG158" s="5"/>
      <c r="TH158" s="5"/>
      <c r="TI158" s="5"/>
      <c r="TJ158" s="5"/>
      <c r="TK158" s="5"/>
      <c r="TL158" s="5"/>
      <c r="TM158" s="5"/>
      <c r="TN158" s="5"/>
      <c r="TO158" s="5"/>
      <c r="TP158" s="5"/>
      <c r="TQ158" s="5"/>
      <c r="TR158" s="5"/>
      <c r="TS158" s="5"/>
      <c r="TT158" s="5"/>
      <c r="TU158" s="5"/>
      <c r="TV158" s="5"/>
      <c r="TW158" s="5"/>
      <c r="TX158" s="5"/>
      <c r="TY158" s="5"/>
      <c r="TZ158" s="5"/>
      <c r="UA158" s="5"/>
      <c r="UB158" s="5"/>
      <c r="UC158" s="5"/>
      <c r="UD158" s="5"/>
      <c r="UE158" s="5"/>
      <c r="UF158" s="5"/>
      <c r="UG158" s="5"/>
      <c r="UH158" s="5"/>
      <c r="UI158" s="5"/>
      <c r="UJ158" s="5"/>
      <c r="UK158" s="5"/>
      <c r="UL158" s="5"/>
      <c r="UM158" s="5"/>
      <c r="UN158" s="5"/>
      <c r="UO158" s="5"/>
      <c r="UP158" s="5"/>
      <c r="UQ158" s="5"/>
      <c r="UR158" s="5"/>
      <c r="US158" s="5"/>
      <c r="UT158" s="5"/>
      <c r="UU158" s="5"/>
      <c r="UV158" s="5"/>
      <c r="UW158" s="5"/>
      <c r="UX158" s="5"/>
      <c r="UY158" s="5"/>
      <c r="UZ158" s="5"/>
      <c r="VA158" s="5"/>
      <c r="VB158" s="5"/>
      <c r="VC158" s="5"/>
      <c r="VD158" s="5"/>
      <c r="VE158" s="5"/>
      <c r="VF158" s="5"/>
      <c r="VG158" s="5"/>
      <c r="VH158" s="5"/>
      <c r="VI158" s="5"/>
      <c r="VJ158" s="5"/>
      <c r="VK158" s="5"/>
      <c r="VL158" s="5"/>
      <c r="VM158" s="5"/>
      <c r="VN158" s="5"/>
      <c r="VO158" s="5"/>
      <c r="VP158" s="5"/>
      <c r="VQ158" s="5"/>
      <c r="VR158" s="5"/>
      <c r="VS158" s="5"/>
      <c r="VT158" s="5"/>
      <c r="VU158" s="5"/>
      <c r="VV158" s="5"/>
      <c r="VW158" s="5"/>
      <c r="VX158" s="5"/>
      <c r="VY158" s="5"/>
      <c r="VZ158" s="5"/>
      <c r="WA158" s="5"/>
      <c r="WB158" s="5"/>
      <c r="WC158" s="5"/>
      <c r="WD158" s="5"/>
      <c r="WE158" s="5"/>
      <c r="WF158" s="5"/>
      <c r="WG158" s="5"/>
      <c r="WH158" s="5"/>
      <c r="WI158" s="5"/>
      <c r="WJ158" s="5"/>
      <c r="WK158" s="5"/>
      <c r="WL158" s="5"/>
      <c r="WM158" s="5"/>
      <c r="WN158" s="5"/>
      <c r="WO158" s="5"/>
      <c r="WP158" s="5"/>
      <c r="WQ158" s="5"/>
      <c r="WR158" s="5"/>
      <c r="WS158" s="5"/>
      <c r="WT158" s="5"/>
      <c r="WU158" s="5"/>
      <c r="WV158" s="5"/>
      <c r="WW158" s="5"/>
      <c r="WX158" s="5"/>
      <c r="WY158" s="5"/>
      <c r="WZ158" s="5"/>
      <c r="XA158" s="5"/>
      <c r="XB158" s="5"/>
      <c r="XC158" s="5"/>
      <c r="XD158" s="5"/>
      <c r="XE158" s="5"/>
      <c r="XF158" s="5"/>
      <c r="XG158" s="5"/>
      <c r="XH158" s="5"/>
      <c r="XI158" s="5"/>
      <c r="XJ158" s="5"/>
      <c r="XK158" s="5"/>
      <c r="XL158" s="5"/>
      <c r="XM158" s="5"/>
      <c r="XN158" s="5"/>
      <c r="XO158" s="5"/>
      <c r="XP158" s="5"/>
      <c r="XQ158" s="5"/>
      <c r="XR158" s="5"/>
      <c r="XS158" s="5"/>
      <c r="XT158" s="5"/>
      <c r="XU158" s="5"/>
      <c r="XV158" s="5"/>
      <c r="XW158" s="5"/>
      <c r="XX158" s="5"/>
      <c r="XY158" s="5"/>
      <c r="XZ158" s="5"/>
      <c r="YA158" s="5"/>
      <c r="YB158" s="5"/>
      <c r="YC158" s="5"/>
      <c r="YD158" s="5"/>
      <c r="YE158" s="5"/>
      <c r="YF158" s="5"/>
      <c r="YG158" s="5"/>
      <c r="YH158" s="5"/>
      <c r="YI158" s="5"/>
      <c r="YJ158" s="5"/>
      <c r="YK158" s="5"/>
      <c r="YL158" s="5"/>
      <c r="YM158" s="5"/>
      <c r="YN158" s="5"/>
      <c r="YO158" s="5"/>
      <c r="YP158" s="5"/>
      <c r="YQ158" s="5"/>
      <c r="YR158" s="5"/>
      <c r="YS158" s="5"/>
      <c r="YT158" s="5"/>
      <c r="YU158" s="5"/>
      <c r="YV158" s="5"/>
      <c r="YW158" s="5"/>
      <c r="YX158" s="5"/>
      <c r="YY158" s="5"/>
      <c r="YZ158" s="5"/>
    </row>
    <row r="159" spans="1:676">
      <c r="A159" s="7">
        <v>149</v>
      </c>
      <c r="B159" s="7" t="s">
        <v>378</v>
      </c>
      <c r="C159" s="10" t="s">
        <v>379</v>
      </c>
      <c r="D159" s="7" t="s">
        <v>171</v>
      </c>
      <c r="E159" s="7" t="s">
        <v>71</v>
      </c>
      <c r="F159" s="7" t="s">
        <v>355</v>
      </c>
      <c r="G159" s="7"/>
      <c r="H159" s="7"/>
      <c r="I159" s="11">
        <v>2</v>
      </c>
      <c r="J159" s="11">
        <v>3</v>
      </c>
      <c r="K159" s="11">
        <v>0</v>
      </c>
      <c r="L159" s="11">
        <v>0.52</v>
      </c>
      <c r="M159" s="11">
        <v>0.08</v>
      </c>
      <c r="N159" s="11">
        <v>0</v>
      </c>
      <c r="O159" s="11">
        <v>0.36</v>
      </c>
      <c r="P159" s="11">
        <v>0</v>
      </c>
      <c r="Q159" s="11">
        <v>0.96</v>
      </c>
      <c r="R159" s="11">
        <v>0</v>
      </c>
      <c r="S159" s="11">
        <v>0.96</v>
      </c>
      <c r="T159" s="11">
        <v>0.96</v>
      </c>
      <c r="U159" s="11">
        <v>0</v>
      </c>
      <c r="V159" s="11">
        <v>0</v>
      </c>
      <c r="W159" s="13">
        <v>2</v>
      </c>
      <c r="X159" s="13">
        <v>3</v>
      </c>
      <c r="Y159" s="13" t="str">
        <f>MIN(W159,S159)</f>
        <v>0</v>
      </c>
      <c r="Z159" s="13" t="str">
        <f>MIN(X159,(S159-Y159))</f>
        <v>0</v>
      </c>
      <c r="AA159" s="13" t="str">
        <f>S159-SUM(Y159,Z159)</f>
        <v>0</v>
      </c>
      <c r="AB159" s="15"/>
      <c r="AC159" s="15"/>
      <c r="AD159" s="1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  <c r="BT159" s="5"/>
      <c r="BU159" s="5"/>
      <c r="BV159" s="5"/>
      <c r="BW159" s="5"/>
      <c r="BX159" s="5"/>
      <c r="BY159" s="5"/>
      <c r="BZ159" s="5"/>
      <c r="CA159" s="5"/>
      <c r="CB159" s="5"/>
      <c r="CC159" s="5"/>
      <c r="CD159" s="5"/>
      <c r="CE159" s="5"/>
      <c r="CF159" s="5"/>
      <c r="CG159" s="5"/>
      <c r="CH159" s="5"/>
      <c r="CI159" s="5"/>
      <c r="CJ159" s="5"/>
      <c r="CK159" s="5"/>
      <c r="CL159" s="5"/>
      <c r="CM159" s="5"/>
      <c r="CN159" s="5"/>
      <c r="CO159" s="5"/>
      <c r="CP159" s="5"/>
      <c r="CQ159" s="5"/>
      <c r="CR159" s="5"/>
      <c r="CS159" s="5"/>
      <c r="CT159" s="5"/>
      <c r="CU159" s="5"/>
      <c r="CV159" s="5"/>
      <c r="CW159" s="5"/>
      <c r="CX159" s="5"/>
      <c r="CY159" s="5"/>
      <c r="CZ159" s="5"/>
      <c r="DA159" s="5"/>
      <c r="DB159" s="5"/>
      <c r="DC159" s="5"/>
      <c r="DD159" s="5"/>
      <c r="DE159" s="5"/>
      <c r="DF159" s="5"/>
      <c r="DG159" s="5"/>
      <c r="DH159" s="5"/>
      <c r="DI159" s="5"/>
      <c r="DJ159" s="5"/>
      <c r="DK159" s="5"/>
      <c r="DL159" s="5"/>
      <c r="DM159" s="5"/>
      <c r="DN159" s="5"/>
      <c r="DO159" s="5"/>
      <c r="DP159" s="5"/>
      <c r="DQ159" s="5"/>
      <c r="DR159" s="5"/>
      <c r="DS159" s="5"/>
      <c r="DT159" s="5"/>
      <c r="DU159" s="5"/>
      <c r="DV159" s="5"/>
      <c r="DW159" s="5"/>
      <c r="DX159" s="5"/>
      <c r="DY159" s="5"/>
      <c r="DZ159" s="5"/>
      <c r="EA159" s="5"/>
      <c r="EB159" s="5"/>
      <c r="EC159" s="5"/>
      <c r="ED159" s="5"/>
      <c r="EE159" s="5"/>
      <c r="EF159" s="5"/>
      <c r="EG159" s="5"/>
      <c r="EH159" s="5"/>
      <c r="EI159" s="5"/>
      <c r="EJ159" s="5"/>
      <c r="EK159" s="5"/>
      <c r="EL159" s="5"/>
      <c r="EM159" s="5"/>
      <c r="EN159" s="5"/>
      <c r="EO159" s="5"/>
      <c r="EP159" s="5"/>
      <c r="EQ159" s="5"/>
      <c r="ER159" s="5"/>
      <c r="ES159" s="5"/>
      <c r="ET159" s="5"/>
      <c r="EU159" s="5"/>
      <c r="EV159" s="5"/>
      <c r="EW159" s="5"/>
      <c r="EX159" s="5"/>
      <c r="EY159" s="5"/>
      <c r="EZ159" s="5"/>
      <c r="FA159" s="5"/>
      <c r="FB159" s="5"/>
      <c r="FC159" s="5"/>
      <c r="FD159" s="5"/>
      <c r="FE159" s="5"/>
      <c r="FF159" s="5"/>
      <c r="FG159" s="5"/>
      <c r="FH159" s="5"/>
      <c r="FI159" s="5"/>
      <c r="FJ159" s="5"/>
      <c r="FK159" s="5"/>
      <c r="FL159" s="5"/>
      <c r="FM159" s="5"/>
      <c r="FN159" s="5"/>
      <c r="FO159" s="5"/>
      <c r="FP159" s="5"/>
      <c r="FQ159" s="5"/>
      <c r="FR159" s="5"/>
      <c r="FS159" s="5"/>
      <c r="FT159" s="5"/>
      <c r="FU159" s="5"/>
      <c r="FV159" s="5"/>
      <c r="FW159" s="5"/>
      <c r="FX159" s="5"/>
      <c r="FY159" s="5"/>
      <c r="FZ159" s="5"/>
      <c r="GA159" s="5"/>
      <c r="GB159" s="5"/>
      <c r="GC159" s="5"/>
      <c r="GD159" s="5"/>
      <c r="GE159" s="5"/>
      <c r="GF159" s="5"/>
      <c r="GG159" s="5"/>
      <c r="GH159" s="5"/>
      <c r="GI159" s="5"/>
      <c r="GJ159" s="5"/>
      <c r="GK159" s="5"/>
      <c r="GL159" s="5"/>
      <c r="GM159" s="5"/>
      <c r="GN159" s="5"/>
      <c r="GO159" s="5"/>
      <c r="GP159" s="5"/>
      <c r="GQ159" s="5"/>
      <c r="GR159" s="5"/>
      <c r="GS159" s="5"/>
      <c r="GT159" s="5"/>
      <c r="GU159" s="5"/>
      <c r="GV159" s="5"/>
      <c r="GW159" s="5"/>
      <c r="GX159" s="5"/>
      <c r="GY159" s="5"/>
      <c r="GZ159" s="5"/>
      <c r="HA159" s="5"/>
      <c r="HB159" s="5"/>
      <c r="HC159" s="5"/>
      <c r="HD159" s="5"/>
      <c r="HE159" s="5"/>
      <c r="HF159" s="5"/>
      <c r="HG159" s="5"/>
      <c r="HH159" s="5"/>
      <c r="HI159" s="5"/>
      <c r="HJ159" s="5"/>
      <c r="HK159" s="5"/>
      <c r="HL159" s="5"/>
      <c r="HM159" s="5"/>
      <c r="HN159" s="5"/>
      <c r="HO159" s="5"/>
      <c r="HP159" s="5"/>
      <c r="HQ159" s="5"/>
      <c r="HR159" s="5"/>
      <c r="HS159" s="5"/>
      <c r="HT159" s="5"/>
      <c r="HU159" s="5"/>
      <c r="HV159" s="5"/>
      <c r="HW159" s="5"/>
      <c r="HX159" s="5"/>
      <c r="HY159" s="5"/>
      <c r="HZ159" s="5"/>
      <c r="IA159" s="5"/>
      <c r="IB159" s="5"/>
      <c r="IC159" s="5"/>
      <c r="ID159" s="5"/>
      <c r="IE159" s="5"/>
      <c r="IF159" s="5"/>
      <c r="IG159" s="5"/>
      <c r="IH159" s="5"/>
      <c r="II159" s="5"/>
      <c r="IJ159" s="5"/>
      <c r="IK159" s="5"/>
      <c r="IL159" s="5"/>
      <c r="IM159" s="5"/>
      <c r="IN159" s="5"/>
      <c r="IO159" s="5"/>
      <c r="IP159" s="5"/>
      <c r="IQ159" s="5"/>
      <c r="IR159" s="5"/>
      <c r="IS159" s="5"/>
      <c r="IT159" s="5"/>
      <c r="IU159" s="5"/>
      <c r="IV159" s="5"/>
      <c r="IW159" s="5"/>
      <c r="IX159" s="5"/>
      <c r="IY159" s="5"/>
      <c r="IZ159" s="5"/>
      <c r="JA159" s="5"/>
      <c r="JB159" s="5"/>
      <c r="JC159" s="5"/>
      <c r="JD159" s="5"/>
      <c r="JE159" s="5"/>
      <c r="JF159" s="5"/>
      <c r="JG159" s="5"/>
      <c r="JH159" s="5"/>
      <c r="JI159" s="5"/>
      <c r="JJ159" s="5"/>
      <c r="JK159" s="5"/>
      <c r="JL159" s="5"/>
      <c r="JM159" s="5"/>
      <c r="JN159" s="5"/>
      <c r="JO159" s="5"/>
      <c r="JP159" s="5"/>
      <c r="JQ159" s="5"/>
      <c r="JR159" s="5"/>
      <c r="JS159" s="5"/>
      <c r="JT159" s="5"/>
      <c r="JU159" s="5"/>
      <c r="JV159" s="5"/>
      <c r="JW159" s="5"/>
      <c r="JX159" s="5"/>
      <c r="JY159" s="5"/>
      <c r="JZ159" s="5"/>
      <c r="KA159" s="5"/>
      <c r="KB159" s="5"/>
      <c r="KC159" s="5"/>
      <c r="KD159" s="5"/>
      <c r="KE159" s="5"/>
      <c r="KF159" s="5"/>
      <c r="KG159" s="5"/>
      <c r="KH159" s="5"/>
      <c r="KI159" s="5"/>
      <c r="KJ159" s="5"/>
      <c r="KK159" s="5"/>
      <c r="KL159" s="5"/>
      <c r="KM159" s="5"/>
      <c r="KN159" s="5"/>
      <c r="KO159" s="5"/>
      <c r="KP159" s="5"/>
      <c r="KQ159" s="5"/>
      <c r="KR159" s="5"/>
      <c r="KS159" s="5"/>
      <c r="KT159" s="5"/>
      <c r="KU159" s="5"/>
      <c r="KV159" s="5"/>
      <c r="KW159" s="5"/>
      <c r="KX159" s="5"/>
      <c r="KY159" s="5"/>
      <c r="KZ159" s="5"/>
      <c r="LA159" s="5"/>
      <c r="LB159" s="5"/>
      <c r="LC159" s="5"/>
      <c r="LD159" s="5"/>
      <c r="LE159" s="5"/>
      <c r="LF159" s="5"/>
      <c r="LG159" s="5"/>
      <c r="LH159" s="5"/>
      <c r="LI159" s="5"/>
      <c r="LJ159" s="5"/>
      <c r="LK159" s="5"/>
      <c r="LL159" s="5"/>
      <c r="LM159" s="5"/>
      <c r="LN159" s="5"/>
      <c r="LO159" s="5"/>
      <c r="LP159" s="5"/>
      <c r="LQ159" s="5"/>
      <c r="LR159" s="5"/>
      <c r="LS159" s="5"/>
      <c r="LT159" s="5"/>
      <c r="LU159" s="5"/>
      <c r="LV159" s="5"/>
      <c r="LW159" s="5"/>
      <c r="LX159" s="5"/>
      <c r="LY159" s="5"/>
      <c r="LZ159" s="5"/>
      <c r="MA159" s="5"/>
      <c r="MB159" s="5"/>
      <c r="MC159" s="5"/>
      <c r="MD159" s="5"/>
      <c r="ME159" s="5"/>
      <c r="MF159" s="5"/>
      <c r="MG159" s="5"/>
      <c r="MH159" s="5"/>
      <c r="MI159" s="5"/>
      <c r="MJ159" s="5"/>
      <c r="MK159" s="5"/>
      <c r="ML159" s="5"/>
      <c r="MM159" s="5"/>
      <c r="MN159" s="5"/>
      <c r="MO159" s="5"/>
      <c r="MP159" s="5"/>
      <c r="MQ159" s="5"/>
      <c r="MR159" s="5"/>
      <c r="MS159" s="5"/>
      <c r="MT159" s="5"/>
      <c r="MU159" s="5"/>
      <c r="MV159" s="5"/>
      <c r="MW159" s="5"/>
      <c r="MX159" s="5"/>
      <c r="MY159" s="5"/>
      <c r="MZ159" s="5"/>
      <c r="NA159" s="5"/>
      <c r="NB159" s="5"/>
      <c r="NC159" s="5"/>
      <c r="ND159" s="5"/>
      <c r="NE159" s="5"/>
      <c r="NF159" s="5"/>
      <c r="NG159" s="5"/>
      <c r="NH159" s="5"/>
      <c r="NI159" s="5"/>
      <c r="NJ159" s="5"/>
      <c r="NK159" s="5"/>
      <c r="NL159" s="5"/>
      <c r="NM159" s="5"/>
      <c r="NN159" s="5"/>
      <c r="NO159" s="5"/>
      <c r="NP159" s="5"/>
      <c r="NQ159" s="5"/>
      <c r="NR159" s="5"/>
      <c r="NS159" s="5"/>
      <c r="NT159" s="5"/>
      <c r="NU159" s="5"/>
      <c r="NV159" s="5"/>
      <c r="NW159" s="5"/>
      <c r="NX159" s="5"/>
      <c r="NY159" s="5"/>
      <c r="NZ159" s="5"/>
      <c r="OA159" s="5"/>
      <c r="OB159" s="5"/>
      <c r="OC159" s="5"/>
      <c r="OD159" s="5"/>
      <c r="OE159" s="5"/>
      <c r="OF159" s="5"/>
      <c r="OG159" s="5"/>
      <c r="OH159" s="5"/>
      <c r="OI159" s="5"/>
      <c r="OJ159" s="5"/>
      <c r="OK159" s="5"/>
      <c r="OL159" s="5"/>
      <c r="OM159" s="5"/>
      <c r="ON159" s="5"/>
      <c r="OO159" s="5"/>
      <c r="OP159" s="5"/>
      <c r="OQ159" s="5"/>
      <c r="OR159" s="5"/>
      <c r="OS159" s="5"/>
      <c r="OT159" s="5"/>
      <c r="OU159" s="5"/>
      <c r="OV159" s="5"/>
      <c r="OW159" s="5"/>
      <c r="OX159" s="5"/>
      <c r="OY159" s="5"/>
      <c r="OZ159" s="5"/>
      <c r="PA159" s="5"/>
      <c r="PB159" s="5"/>
      <c r="PC159" s="5"/>
      <c r="PD159" s="5"/>
      <c r="PE159" s="5"/>
      <c r="PF159" s="5"/>
      <c r="PG159" s="5"/>
      <c r="PH159" s="5"/>
      <c r="PI159" s="5"/>
      <c r="PJ159" s="5"/>
      <c r="PK159" s="5"/>
      <c r="PL159" s="5"/>
      <c r="PM159" s="5"/>
      <c r="PN159" s="5"/>
      <c r="PO159" s="5"/>
      <c r="PP159" s="5"/>
      <c r="PQ159" s="5"/>
      <c r="PR159" s="5"/>
      <c r="PS159" s="5"/>
      <c r="PT159" s="5"/>
      <c r="PU159" s="5"/>
      <c r="PV159" s="5"/>
      <c r="PW159" s="5"/>
      <c r="PX159" s="5"/>
      <c r="PY159" s="5"/>
      <c r="PZ159" s="5"/>
      <c r="QA159" s="5"/>
      <c r="QB159" s="5"/>
      <c r="QC159" s="5"/>
      <c r="QD159" s="5"/>
      <c r="QE159" s="5"/>
      <c r="QF159" s="5"/>
      <c r="QG159" s="5"/>
      <c r="QH159" s="5"/>
      <c r="QI159" s="5"/>
      <c r="QJ159" s="5"/>
      <c r="QK159" s="5"/>
      <c r="QL159" s="5"/>
      <c r="QM159" s="5"/>
      <c r="QN159" s="5"/>
      <c r="QO159" s="5"/>
      <c r="QP159" s="5"/>
      <c r="QQ159" s="5"/>
      <c r="QR159" s="5"/>
      <c r="QS159" s="5"/>
      <c r="QT159" s="5"/>
      <c r="QU159" s="5"/>
      <c r="QV159" s="5"/>
      <c r="QW159" s="5"/>
      <c r="QX159" s="5"/>
      <c r="QY159" s="5"/>
      <c r="QZ159" s="5"/>
      <c r="RA159" s="5"/>
      <c r="RB159" s="5"/>
      <c r="RC159" s="5"/>
      <c r="RD159" s="5"/>
      <c r="RE159" s="5"/>
      <c r="RF159" s="5"/>
      <c r="RG159" s="5"/>
      <c r="RH159" s="5"/>
      <c r="RI159" s="5"/>
      <c r="RJ159" s="5"/>
      <c r="RK159" s="5"/>
      <c r="RL159" s="5"/>
      <c r="RM159" s="5"/>
      <c r="RN159" s="5"/>
      <c r="RO159" s="5"/>
      <c r="RP159" s="5"/>
      <c r="RQ159" s="5"/>
      <c r="RR159" s="5"/>
      <c r="RS159" s="5"/>
      <c r="RT159" s="5"/>
      <c r="RU159" s="5"/>
      <c r="RV159" s="5"/>
      <c r="RW159" s="5"/>
      <c r="RX159" s="5"/>
      <c r="RY159" s="5"/>
      <c r="RZ159" s="5"/>
      <c r="SA159" s="5"/>
      <c r="SB159" s="5"/>
      <c r="SC159" s="5"/>
      <c r="SD159" s="5"/>
      <c r="SE159" s="5"/>
      <c r="SF159" s="5"/>
      <c r="SG159" s="5"/>
      <c r="SH159" s="5"/>
      <c r="SI159" s="5"/>
      <c r="SJ159" s="5"/>
      <c r="SK159" s="5"/>
      <c r="SL159" s="5"/>
      <c r="SM159" s="5"/>
      <c r="SN159" s="5"/>
      <c r="SO159" s="5"/>
      <c r="SP159" s="5"/>
      <c r="SQ159" s="5"/>
      <c r="SR159" s="5"/>
      <c r="SS159" s="5"/>
      <c r="ST159" s="5"/>
      <c r="SU159" s="5"/>
      <c r="SV159" s="5"/>
      <c r="SW159" s="5"/>
      <c r="SX159" s="5"/>
      <c r="SY159" s="5"/>
      <c r="SZ159" s="5"/>
      <c r="TA159" s="5"/>
      <c r="TB159" s="5"/>
      <c r="TC159" s="5"/>
      <c r="TD159" s="5"/>
      <c r="TE159" s="5"/>
      <c r="TF159" s="5"/>
      <c r="TG159" s="5"/>
      <c r="TH159" s="5"/>
      <c r="TI159" s="5"/>
      <c r="TJ159" s="5"/>
      <c r="TK159" s="5"/>
      <c r="TL159" s="5"/>
      <c r="TM159" s="5"/>
      <c r="TN159" s="5"/>
      <c r="TO159" s="5"/>
      <c r="TP159" s="5"/>
      <c r="TQ159" s="5"/>
      <c r="TR159" s="5"/>
      <c r="TS159" s="5"/>
      <c r="TT159" s="5"/>
      <c r="TU159" s="5"/>
      <c r="TV159" s="5"/>
      <c r="TW159" s="5"/>
      <c r="TX159" s="5"/>
      <c r="TY159" s="5"/>
      <c r="TZ159" s="5"/>
      <c r="UA159" s="5"/>
      <c r="UB159" s="5"/>
      <c r="UC159" s="5"/>
      <c r="UD159" s="5"/>
      <c r="UE159" s="5"/>
      <c r="UF159" s="5"/>
      <c r="UG159" s="5"/>
      <c r="UH159" s="5"/>
      <c r="UI159" s="5"/>
      <c r="UJ159" s="5"/>
      <c r="UK159" s="5"/>
      <c r="UL159" s="5"/>
      <c r="UM159" s="5"/>
      <c r="UN159" s="5"/>
      <c r="UO159" s="5"/>
      <c r="UP159" s="5"/>
      <c r="UQ159" s="5"/>
      <c r="UR159" s="5"/>
      <c r="US159" s="5"/>
      <c r="UT159" s="5"/>
      <c r="UU159" s="5"/>
      <c r="UV159" s="5"/>
      <c r="UW159" s="5"/>
      <c r="UX159" s="5"/>
      <c r="UY159" s="5"/>
      <c r="UZ159" s="5"/>
      <c r="VA159" s="5"/>
      <c r="VB159" s="5"/>
      <c r="VC159" s="5"/>
      <c r="VD159" s="5"/>
      <c r="VE159" s="5"/>
      <c r="VF159" s="5"/>
      <c r="VG159" s="5"/>
      <c r="VH159" s="5"/>
      <c r="VI159" s="5"/>
      <c r="VJ159" s="5"/>
      <c r="VK159" s="5"/>
      <c r="VL159" s="5"/>
      <c r="VM159" s="5"/>
      <c r="VN159" s="5"/>
      <c r="VO159" s="5"/>
      <c r="VP159" s="5"/>
      <c r="VQ159" s="5"/>
      <c r="VR159" s="5"/>
      <c r="VS159" s="5"/>
      <c r="VT159" s="5"/>
      <c r="VU159" s="5"/>
      <c r="VV159" s="5"/>
      <c r="VW159" s="5"/>
      <c r="VX159" s="5"/>
      <c r="VY159" s="5"/>
      <c r="VZ159" s="5"/>
      <c r="WA159" s="5"/>
      <c r="WB159" s="5"/>
      <c r="WC159" s="5"/>
      <c r="WD159" s="5"/>
      <c r="WE159" s="5"/>
      <c r="WF159" s="5"/>
      <c r="WG159" s="5"/>
      <c r="WH159" s="5"/>
      <c r="WI159" s="5"/>
      <c r="WJ159" s="5"/>
      <c r="WK159" s="5"/>
      <c r="WL159" s="5"/>
      <c r="WM159" s="5"/>
      <c r="WN159" s="5"/>
      <c r="WO159" s="5"/>
      <c r="WP159" s="5"/>
      <c r="WQ159" s="5"/>
      <c r="WR159" s="5"/>
      <c r="WS159" s="5"/>
      <c r="WT159" s="5"/>
      <c r="WU159" s="5"/>
      <c r="WV159" s="5"/>
      <c r="WW159" s="5"/>
      <c r="WX159" s="5"/>
      <c r="WY159" s="5"/>
      <c r="WZ159" s="5"/>
      <c r="XA159" s="5"/>
      <c r="XB159" s="5"/>
      <c r="XC159" s="5"/>
      <c r="XD159" s="5"/>
      <c r="XE159" s="5"/>
      <c r="XF159" s="5"/>
      <c r="XG159" s="5"/>
      <c r="XH159" s="5"/>
      <c r="XI159" s="5"/>
      <c r="XJ159" s="5"/>
      <c r="XK159" s="5"/>
      <c r="XL159" s="5"/>
      <c r="XM159" s="5"/>
      <c r="XN159" s="5"/>
      <c r="XO159" s="5"/>
      <c r="XP159" s="5"/>
      <c r="XQ159" s="5"/>
      <c r="XR159" s="5"/>
      <c r="XS159" s="5"/>
      <c r="XT159" s="5"/>
      <c r="XU159" s="5"/>
      <c r="XV159" s="5"/>
      <c r="XW159" s="5"/>
      <c r="XX159" s="5"/>
      <c r="XY159" s="5"/>
      <c r="XZ159" s="5"/>
      <c r="YA159" s="5"/>
      <c r="YB159" s="5"/>
      <c r="YC159" s="5"/>
      <c r="YD159" s="5"/>
      <c r="YE159" s="5"/>
      <c r="YF159" s="5"/>
      <c r="YG159" s="5"/>
      <c r="YH159" s="5"/>
      <c r="YI159" s="5"/>
      <c r="YJ159" s="5"/>
      <c r="YK159" s="5"/>
      <c r="YL159" s="5"/>
      <c r="YM159" s="5"/>
      <c r="YN159" s="5"/>
      <c r="YO159" s="5"/>
      <c r="YP159" s="5"/>
      <c r="YQ159" s="5"/>
      <c r="YR159" s="5"/>
      <c r="YS159" s="5"/>
      <c r="YT159" s="5"/>
      <c r="YU159" s="5"/>
      <c r="YV159" s="5"/>
      <c r="YW159" s="5"/>
      <c r="YX159" s="5"/>
      <c r="YY159" s="5"/>
      <c r="YZ159" s="5"/>
    </row>
    <row r="160" spans="1:676">
      <c r="A160" s="7">
        <v>150</v>
      </c>
      <c r="B160" s="7" t="s">
        <v>380</v>
      </c>
      <c r="C160" s="10" t="s">
        <v>381</v>
      </c>
      <c r="D160" s="7" t="s">
        <v>50</v>
      </c>
      <c r="E160" s="7" t="s">
        <v>343</v>
      </c>
      <c r="F160" s="7" t="s">
        <v>344</v>
      </c>
      <c r="G160" s="7"/>
      <c r="H160" s="7" t="s">
        <v>43</v>
      </c>
      <c r="I160" s="11">
        <v>2</v>
      </c>
      <c r="J160" s="11">
        <v>3</v>
      </c>
      <c r="K160" s="11">
        <v>0</v>
      </c>
      <c r="L160" s="11">
        <v>0.6000000000000001</v>
      </c>
      <c r="M160" s="11">
        <v>0</v>
      </c>
      <c r="N160" s="11">
        <v>0</v>
      </c>
      <c r="O160" s="11">
        <v>0</v>
      </c>
      <c r="P160" s="11">
        <v>0</v>
      </c>
      <c r="Q160" s="11">
        <v>0.6000000000000001</v>
      </c>
      <c r="R160" s="11">
        <v>0</v>
      </c>
      <c r="S160" s="11">
        <v>0.6000000000000001</v>
      </c>
      <c r="T160" s="11">
        <v>0.6000000000000001</v>
      </c>
      <c r="U160" s="11">
        <v>0</v>
      </c>
      <c r="V160" s="11">
        <v>0</v>
      </c>
      <c r="W160" s="13">
        <v>2</v>
      </c>
      <c r="X160" s="13">
        <v>3</v>
      </c>
      <c r="Y160" s="13" t="str">
        <f>MIN(W160,S160)</f>
        <v>0</v>
      </c>
      <c r="Z160" s="13" t="str">
        <f>MIN(X160,(S160-Y160))</f>
        <v>0</v>
      </c>
      <c r="AA160" s="13" t="str">
        <f>S160-SUM(Y160,Z160)</f>
        <v>0</v>
      </c>
      <c r="AB160" s="15"/>
      <c r="AC160" s="15"/>
      <c r="AD160" s="1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  <c r="BP160" s="5"/>
      <c r="BQ160" s="5"/>
      <c r="BR160" s="5"/>
      <c r="BS160" s="5"/>
      <c r="BT160" s="5"/>
      <c r="BU160" s="5"/>
      <c r="BV160" s="5"/>
      <c r="BW160" s="5"/>
      <c r="BX160" s="5"/>
      <c r="BY160" s="5"/>
      <c r="BZ160" s="5"/>
      <c r="CA160" s="5"/>
      <c r="CB160" s="5"/>
      <c r="CC160" s="5"/>
      <c r="CD160" s="5"/>
      <c r="CE160" s="5"/>
      <c r="CF160" s="5"/>
      <c r="CG160" s="5"/>
      <c r="CH160" s="5"/>
      <c r="CI160" s="5"/>
      <c r="CJ160" s="5"/>
      <c r="CK160" s="5"/>
      <c r="CL160" s="5"/>
      <c r="CM160" s="5"/>
      <c r="CN160" s="5"/>
      <c r="CO160" s="5"/>
      <c r="CP160" s="5"/>
      <c r="CQ160" s="5"/>
      <c r="CR160" s="5"/>
      <c r="CS160" s="5"/>
      <c r="CT160" s="5"/>
      <c r="CU160" s="5"/>
      <c r="CV160" s="5"/>
      <c r="CW160" s="5"/>
      <c r="CX160" s="5"/>
      <c r="CY160" s="5"/>
      <c r="CZ160" s="5"/>
      <c r="DA160" s="5"/>
      <c r="DB160" s="5"/>
      <c r="DC160" s="5"/>
      <c r="DD160" s="5"/>
      <c r="DE160" s="5"/>
      <c r="DF160" s="5"/>
      <c r="DG160" s="5"/>
      <c r="DH160" s="5"/>
      <c r="DI160" s="5"/>
      <c r="DJ160" s="5"/>
      <c r="DK160" s="5"/>
      <c r="DL160" s="5"/>
      <c r="DM160" s="5"/>
      <c r="DN160" s="5"/>
      <c r="DO160" s="5"/>
      <c r="DP160" s="5"/>
      <c r="DQ160" s="5"/>
      <c r="DR160" s="5"/>
      <c r="DS160" s="5"/>
      <c r="DT160" s="5"/>
      <c r="DU160" s="5"/>
      <c r="DV160" s="5"/>
      <c r="DW160" s="5"/>
      <c r="DX160" s="5"/>
      <c r="DY160" s="5"/>
      <c r="DZ160" s="5"/>
      <c r="EA160" s="5"/>
      <c r="EB160" s="5"/>
      <c r="EC160" s="5"/>
      <c r="ED160" s="5"/>
      <c r="EE160" s="5"/>
      <c r="EF160" s="5"/>
      <c r="EG160" s="5"/>
      <c r="EH160" s="5"/>
      <c r="EI160" s="5"/>
      <c r="EJ160" s="5"/>
      <c r="EK160" s="5"/>
      <c r="EL160" s="5"/>
      <c r="EM160" s="5"/>
      <c r="EN160" s="5"/>
      <c r="EO160" s="5"/>
      <c r="EP160" s="5"/>
      <c r="EQ160" s="5"/>
      <c r="ER160" s="5"/>
      <c r="ES160" s="5"/>
      <c r="ET160" s="5"/>
      <c r="EU160" s="5"/>
      <c r="EV160" s="5"/>
      <c r="EW160" s="5"/>
      <c r="EX160" s="5"/>
      <c r="EY160" s="5"/>
      <c r="EZ160" s="5"/>
      <c r="FA160" s="5"/>
      <c r="FB160" s="5"/>
      <c r="FC160" s="5"/>
      <c r="FD160" s="5"/>
      <c r="FE160" s="5"/>
      <c r="FF160" s="5"/>
      <c r="FG160" s="5"/>
      <c r="FH160" s="5"/>
      <c r="FI160" s="5"/>
      <c r="FJ160" s="5"/>
      <c r="FK160" s="5"/>
      <c r="FL160" s="5"/>
      <c r="FM160" s="5"/>
      <c r="FN160" s="5"/>
      <c r="FO160" s="5"/>
      <c r="FP160" s="5"/>
      <c r="FQ160" s="5"/>
      <c r="FR160" s="5"/>
      <c r="FS160" s="5"/>
      <c r="FT160" s="5"/>
      <c r="FU160" s="5"/>
      <c r="FV160" s="5"/>
      <c r="FW160" s="5"/>
      <c r="FX160" s="5"/>
      <c r="FY160" s="5"/>
      <c r="FZ160" s="5"/>
      <c r="GA160" s="5"/>
      <c r="GB160" s="5"/>
      <c r="GC160" s="5"/>
      <c r="GD160" s="5"/>
      <c r="GE160" s="5"/>
      <c r="GF160" s="5"/>
      <c r="GG160" s="5"/>
      <c r="GH160" s="5"/>
      <c r="GI160" s="5"/>
      <c r="GJ160" s="5"/>
      <c r="GK160" s="5"/>
      <c r="GL160" s="5"/>
      <c r="GM160" s="5"/>
      <c r="GN160" s="5"/>
      <c r="GO160" s="5"/>
      <c r="GP160" s="5"/>
      <c r="GQ160" s="5"/>
      <c r="GR160" s="5"/>
      <c r="GS160" s="5"/>
      <c r="GT160" s="5"/>
      <c r="GU160" s="5"/>
      <c r="GV160" s="5"/>
      <c r="GW160" s="5"/>
      <c r="GX160" s="5"/>
      <c r="GY160" s="5"/>
      <c r="GZ160" s="5"/>
      <c r="HA160" s="5"/>
      <c r="HB160" s="5"/>
      <c r="HC160" s="5"/>
      <c r="HD160" s="5"/>
      <c r="HE160" s="5"/>
      <c r="HF160" s="5"/>
      <c r="HG160" s="5"/>
      <c r="HH160" s="5"/>
      <c r="HI160" s="5"/>
      <c r="HJ160" s="5"/>
      <c r="HK160" s="5"/>
      <c r="HL160" s="5"/>
      <c r="HM160" s="5"/>
      <c r="HN160" s="5"/>
      <c r="HO160" s="5"/>
      <c r="HP160" s="5"/>
      <c r="HQ160" s="5"/>
      <c r="HR160" s="5"/>
      <c r="HS160" s="5"/>
      <c r="HT160" s="5"/>
      <c r="HU160" s="5"/>
      <c r="HV160" s="5"/>
      <c r="HW160" s="5"/>
      <c r="HX160" s="5"/>
      <c r="HY160" s="5"/>
      <c r="HZ160" s="5"/>
      <c r="IA160" s="5"/>
      <c r="IB160" s="5"/>
      <c r="IC160" s="5"/>
      <c r="ID160" s="5"/>
      <c r="IE160" s="5"/>
      <c r="IF160" s="5"/>
      <c r="IG160" s="5"/>
      <c r="IH160" s="5"/>
      <c r="II160" s="5"/>
      <c r="IJ160" s="5"/>
      <c r="IK160" s="5"/>
      <c r="IL160" s="5"/>
      <c r="IM160" s="5"/>
      <c r="IN160" s="5"/>
      <c r="IO160" s="5"/>
      <c r="IP160" s="5"/>
      <c r="IQ160" s="5"/>
      <c r="IR160" s="5"/>
      <c r="IS160" s="5"/>
      <c r="IT160" s="5"/>
      <c r="IU160" s="5"/>
      <c r="IV160" s="5"/>
      <c r="IW160" s="5"/>
      <c r="IX160" s="5"/>
      <c r="IY160" s="5"/>
      <c r="IZ160" s="5"/>
      <c r="JA160" s="5"/>
      <c r="JB160" s="5"/>
      <c r="JC160" s="5"/>
      <c r="JD160" s="5"/>
      <c r="JE160" s="5"/>
      <c r="JF160" s="5"/>
      <c r="JG160" s="5"/>
      <c r="JH160" s="5"/>
      <c r="JI160" s="5"/>
      <c r="JJ160" s="5"/>
      <c r="JK160" s="5"/>
      <c r="JL160" s="5"/>
      <c r="JM160" s="5"/>
      <c r="JN160" s="5"/>
      <c r="JO160" s="5"/>
      <c r="JP160" s="5"/>
      <c r="JQ160" s="5"/>
      <c r="JR160" s="5"/>
      <c r="JS160" s="5"/>
      <c r="JT160" s="5"/>
      <c r="JU160" s="5"/>
      <c r="JV160" s="5"/>
      <c r="JW160" s="5"/>
      <c r="JX160" s="5"/>
      <c r="JY160" s="5"/>
      <c r="JZ160" s="5"/>
      <c r="KA160" s="5"/>
      <c r="KB160" s="5"/>
      <c r="KC160" s="5"/>
      <c r="KD160" s="5"/>
      <c r="KE160" s="5"/>
      <c r="KF160" s="5"/>
      <c r="KG160" s="5"/>
      <c r="KH160" s="5"/>
      <c r="KI160" s="5"/>
      <c r="KJ160" s="5"/>
      <c r="KK160" s="5"/>
      <c r="KL160" s="5"/>
      <c r="KM160" s="5"/>
      <c r="KN160" s="5"/>
      <c r="KO160" s="5"/>
      <c r="KP160" s="5"/>
      <c r="KQ160" s="5"/>
      <c r="KR160" s="5"/>
      <c r="KS160" s="5"/>
      <c r="KT160" s="5"/>
      <c r="KU160" s="5"/>
      <c r="KV160" s="5"/>
      <c r="KW160" s="5"/>
      <c r="KX160" s="5"/>
      <c r="KY160" s="5"/>
      <c r="KZ160" s="5"/>
      <c r="LA160" s="5"/>
      <c r="LB160" s="5"/>
      <c r="LC160" s="5"/>
      <c r="LD160" s="5"/>
      <c r="LE160" s="5"/>
      <c r="LF160" s="5"/>
      <c r="LG160" s="5"/>
      <c r="LH160" s="5"/>
      <c r="LI160" s="5"/>
      <c r="LJ160" s="5"/>
      <c r="LK160" s="5"/>
      <c r="LL160" s="5"/>
      <c r="LM160" s="5"/>
      <c r="LN160" s="5"/>
      <c r="LO160" s="5"/>
      <c r="LP160" s="5"/>
      <c r="LQ160" s="5"/>
      <c r="LR160" s="5"/>
      <c r="LS160" s="5"/>
      <c r="LT160" s="5"/>
      <c r="LU160" s="5"/>
      <c r="LV160" s="5"/>
      <c r="LW160" s="5"/>
      <c r="LX160" s="5"/>
      <c r="LY160" s="5"/>
      <c r="LZ160" s="5"/>
      <c r="MA160" s="5"/>
      <c r="MB160" s="5"/>
      <c r="MC160" s="5"/>
      <c r="MD160" s="5"/>
      <c r="ME160" s="5"/>
      <c r="MF160" s="5"/>
      <c r="MG160" s="5"/>
      <c r="MH160" s="5"/>
      <c r="MI160" s="5"/>
      <c r="MJ160" s="5"/>
      <c r="MK160" s="5"/>
      <c r="ML160" s="5"/>
      <c r="MM160" s="5"/>
      <c r="MN160" s="5"/>
      <c r="MO160" s="5"/>
      <c r="MP160" s="5"/>
      <c r="MQ160" s="5"/>
      <c r="MR160" s="5"/>
      <c r="MS160" s="5"/>
      <c r="MT160" s="5"/>
      <c r="MU160" s="5"/>
      <c r="MV160" s="5"/>
      <c r="MW160" s="5"/>
      <c r="MX160" s="5"/>
      <c r="MY160" s="5"/>
      <c r="MZ160" s="5"/>
      <c r="NA160" s="5"/>
      <c r="NB160" s="5"/>
      <c r="NC160" s="5"/>
      <c r="ND160" s="5"/>
      <c r="NE160" s="5"/>
      <c r="NF160" s="5"/>
      <c r="NG160" s="5"/>
      <c r="NH160" s="5"/>
      <c r="NI160" s="5"/>
      <c r="NJ160" s="5"/>
      <c r="NK160" s="5"/>
      <c r="NL160" s="5"/>
      <c r="NM160" s="5"/>
      <c r="NN160" s="5"/>
      <c r="NO160" s="5"/>
      <c r="NP160" s="5"/>
      <c r="NQ160" s="5"/>
      <c r="NR160" s="5"/>
      <c r="NS160" s="5"/>
      <c r="NT160" s="5"/>
      <c r="NU160" s="5"/>
      <c r="NV160" s="5"/>
      <c r="NW160" s="5"/>
      <c r="NX160" s="5"/>
      <c r="NY160" s="5"/>
      <c r="NZ160" s="5"/>
      <c r="OA160" s="5"/>
      <c r="OB160" s="5"/>
      <c r="OC160" s="5"/>
      <c r="OD160" s="5"/>
      <c r="OE160" s="5"/>
      <c r="OF160" s="5"/>
      <c r="OG160" s="5"/>
      <c r="OH160" s="5"/>
      <c r="OI160" s="5"/>
      <c r="OJ160" s="5"/>
      <c r="OK160" s="5"/>
      <c r="OL160" s="5"/>
      <c r="OM160" s="5"/>
      <c r="ON160" s="5"/>
      <c r="OO160" s="5"/>
      <c r="OP160" s="5"/>
      <c r="OQ160" s="5"/>
      <c r="OR160" s="5"/>
      <c r="OS160" s="5"/>
      <c r="OT160" s="5"/>
      <c r="OU160" s="5"/>
      <c r="OV160" s="5"/>
      <c r="OW160" s="5"/>
      <c r="OX160" s="5"/>
      <c r="OY160" s="5"/>
      <c r="OZ160" s="5"/>
      <c r="PA160" s="5"/>
      <c r="PB160" s="5"/>
      <c r="PC160" s="5"/>
      <c r="PD160" s="5"/>
      <c r="PE160" s="5"/>
      <c r="PF160" s="5"/>
      <c r="PG160" s="5"/>
      <c r="PH160" s="5"/>
      <c r="PI160" s="5"/>
      <c r="PJ160" s="5"/>
      <c r="PK160" s="5"/>
      <c r="PL160" s="5"/>
      <c r="PM160" s="5"/>
      <c r="PN160" s="5"/>
      <c r="PO160" s="5"/>
      <c r="PP160" s="5"/>
      <c r="PQ160" s="5"/>
      <c r="PR160" s="5"/>
      <c r="PS160" s="5"/>
      <c r="PT160" s="5"/>
      <c r="PU160" s="5"/>
      <c r="PV160" s="5"/>
      <c r="PW160" s="5"/>
      <c r="PX160" s="5"/>
      <c r="PY160" s="5"/>
      <c r="PZ160" s="5"/>
      <c r="QA160" s="5"/>
      <c r="QB160" s="5"/>
      <c r="QC160" s="5"/>
      <c r="QD160" s="5"/>
      <c r="QE160" s="5"/>
      <c r="QF160" s="5"/>
      <c r="QG160" s="5"/>
      <c r="QH160" s="5"/>
      <c r="QI160" s="5"/>
      <c r="QJ160" s="5"/>
      <c r="QK160" s="5"/>
      <c r="QL160" s="5"/>
      <c r="QM160" s="5"/>
      <c r="QN160" s="5"/>
      <c r="QO160" s="5"/>
      <c r="QP160" s="5"/>
      <c r="QQ160" s="5"/>
      <c r="QR160" s="5"/>
      <c r="QS160" s="5"/>
      <c r="QT160" s="5"/>
      <c r="QU160" s="5"/>
      <c r="QV160" s="5"/>
      <c r="QW160" s="5"/>
      <c r="QX160" s="5"/>
      <c r="QY160" s="5"/>
      <c r="QZ160" s="5"/>
      <c r="RA160" s="5"/>
      <c r="RB160" s="5"/>
      <c r="RC160" s="5"/>
      <c r="RD160" s="5"/>
      <c r="RE160" s="5"/>
      <c r="RF160" s="5"/>
      <c r="RG160" s="5"/>
      <c r="RH160" s="5"/>
      <c r="RI160" s="5"/>
      <c r="RJ160" s="5"/>
      <c r="RK160" s="5"/>
      <c r="RL160" s="5"/>
      <c r="RM160" s="5"/>
      <c r="RN160" s="5"/>
      <c r="RO160" s="5"/>
      <c r="RP160" s="5"/>
      <c r="RQ160" s="5"/>
      <c r="RR160" s="5"/>
      <c r="RS160" s="5"/>
      <c r="RT160" s="5"/>
      <c r="RU160" s="5"/>
      <c r="RV160" s="5"/>
      <c r="RW160" s="5"/>
      <c r="RX160" s="5"/>
      <c r="RY160" s="5"/>
      <c r="RZ160" s="5"/>
      <c r="SA160" s="5"/>
      <c r="SB160" s="5"/>
      <c r="SC160" s="5"/>
      <c r="SD160" s="5"/>
      <c r="SE160" s="5"/>
      <c r="SF160" s="5"/>
      <c r="SG160" s="5"/>
      <c r="SH160" s="5"/>
      <c r="SI160" s="5"/>
      <c r="SJ160" s="5"/>
      <c r="SK160" s="5"/>
      <c r="SL160" s="5"/>
      <c r="SM160" s="5"/>
      <c r="SN160" s="5"/>
      <c r="SO160" s="5"/>
      <c r="SP160" s="5"/>
      <c r="SQ160" s="5"/>
      <c r="SR160" s="5"/>
      <c r="SS160" s="5"/>
      <c r="ST160" s="5"/>
      <c r="SU160" s="5"/>
      <c r="SV160" s="5"/>
      <c r="SW160" s="5"/>
      <c r="SX160" s="5"/>
      <c r="SY160" s="5"/>
      <c r="SZ160" s="5"/>
      <c r="TA160" s="5"/>
      <c r="TB160" s="5"/>
      <c r="TC160" s="5"/>
      <c r="TD160" s="5"/>
      <c r="TE160" s="5"/>
      <c r="TF160" s="5"/>
      <c r="TG160" s="5"/>
      <c r="TH160" s="5"/>
      <c r="TI160" s="5"/>
      <c r="TJ160" s="5"/>
      <c r="TK160" s="5"/>
      <c r="TL160" s="5"/>
      <c r="TM160" s="5"/>
      <c r="TN160" s="5"/>
      <c r="TO160" s="5"/>
      <c r="TP160" s="5"/>
      <c r="TQ160" s="5"/>
      <c r="TR160" s="5"/>
      <c r="TS160" s="5"/>
      <c r="TT160" s="5"/>
      <c r="TU160" s="5"/>
      <c r="TV160" s="5"/>
      <c r="TW160" s="5"/>
      <c r="TX160" s="5"/>
      <c r="TY160" s="5"/>
      <c r="TZ160" s="5"/>
      <c r="UA160" s="5"/>
      <c r="UB160" s="5"/>
      <c r="UC160" s="5"/>
      <c r="UD160" s="5"/>
      <c r="UE160" s="5"/>
      <c r="UF160" s="5"/>
      <c r="UG160" s="5"/>
      <c r="UH160" s="5"/>
      <c r="UI160" s="5"/>
      <c r="UJ160" s="5"/>
      <c r="UK160" s="5"/>
      <c r="UL160" s="5"/>
      <c r="UM160" s="5"/>
      <c r="UN160" s="5"/>
      <c r="UO160" s="5"/>
      <c r="UP160" s="5"/>
      <c r="UQ160" s="5"/>
      <c r="UR160" s="5"/>
      <c r="US160" s="5"/>
      <c r="UT160" s="5"/>
      <c r="UU160" s="5"/>
      <c r="UV160" s="5"/>
      <c r="UW160" s="5"/>
      <c r="UX160" s="5"/>
      <c r="UY160" s="5"/>
      <c r="UZ160" s="5"/>
      <c r="VA160" s="5"/>
      <c r="VB160" s="5"/>
      <c r="VC160" s="5"/>
      <c r="VD160" s="5"/>
      <c r="VE160" s="5"/>
      <c r="VF160" s="5"/>
      <c r="VG160" s="5"/>
      <c r="VH160" s="5"/>
      <c r="VI160" s="5"/>
      <c r="VJ160" s="5"/>
      <c r="VK160" s="5"/>
      <c r="VL160" s="5"/>
      <c r="VM160" s="5"/>
      <c r="VN160" s="5"/>
      <c r="VO160" s="5"/>
      <c r="VP160" s="5"/>
      <c r="VQ160" s="5"/>
      <c r="VR160" s="5"/>
      <c r="VS160" s="5"/>
      <c r="VT160" s="5"/>
      <c r="VU160" s="5"/>
      <c r="VV160" s="5"/>
      <c r="VW160" s="5"/>
      <c r="VX160" s="5"/>
      <c r="VY160" s="5"/>
      <c r="VZ160" s="5"/>
      <c r="WA160" s="5"/>
      <c r="WB160" s="5"/>
      <c r="WC160" s="5"/>
      <c r="WD160" s="5"/>
      <c r="WE160" s="5"/>
      <c r="WF160" s="5"/>
      <c r="WG160" s="5"/>
      <c r="WH160" s="5"/>
      <c r="WI160" s="5"/>
      <c r="WJ160" s="5"/>
      <c r="WK160" s="5"/>
      <c r="WL160" s="5"/>
      <c r="WM160" s="5"/>
      <c r="WN160" s="5"/>
      <c r="WO160" s="5"/>
      <c r="WP160" s="5"/>
      <c r="WQ160" s="5"/>
      <c r="WR160" s="5"/>
      <c r="WS160" s="5"/>
      <c r="WT160" s="5"/>
      <c r="WU160" s="5"/>
      <c r="WV160" s="5"/>
      <c r="WW160" s="5"/>
      <c r="WX160" s="5"/>
      <c r="WY160" s="5"/>
      <c r="WZ160" s="5"/>
      <c r="XA160" s="5"/>
      <c r="XB160" s="5"/>
      <c r="XC160" s="5"/>
      <c r="XD160" s="5"/>
      <c r="XE160" s="5"/>
      <c r="XF160" s="5"/>
      <c r="XG160" s="5"/>
      <c r="XH160" s="5"/>
      <c r="XI160" s="5"/>
      <c r="XJ160" s="5"/>
      <c r="XK160" s="5"/>
      <c r="XL160" s="5"/>
      <c r="XM160" s="5"/>
      <c r="XN160" s="5"/>
      <c r="XO160" s="5"/>
      <c r="XP160" s="5"/>
      <c r="XQ160" s="5"/>
      <c r="XR160" s="5"/>
      <c r="XS160" s="5"/>
      <c r="XT160" s="5"/>
      <c r="XU160" s="5"/>
      <c r="XV160" s="5"/>
      <c r="XW160" s="5"/>
      <c r="XX160" s="5"/>
      <c r="XY160" s="5"/>
      <c r="XZ160" s="5"/>
      <c r="YA160" s="5"/>
      <c r="YB160" s="5"/>
      <c r="YC160" s="5"/>
      <c r="YD160" s="5"/>
      <c r="YE160" s="5"/>
      <c r="YF160" s="5"/>
      <c r="YG160" s="5"/>
      <c r="YH160" s="5"/>
      <c r="YI160" s="5"/>
      <c r="YJ160" s="5"/>
      <c r="YK160" s="5"/>
      <c r="YL160" s="5"/>
      <c r="YM160" s="5"/>
      <c r="YN160" s="5"/>
      <c r="YO160" s="5"/>
      <c r="YP160" s="5"/>
      <c r="YQ160" s="5"/>
      <c r="YR160" s="5"/>
      <c r="YS160" s="5"/>
      <c r="YT160" s="5"/>
      <c r="YU160" s="5"/>
      <c r="YV160" s="5"/>
      <c r="YW160" s="5"/>
      <c r="YX160" s="5"/>
      <c r="YY160" s="5"/>
      <c r="YZ160" s="5"/>
    </row>
    <row r="161" spans="1:676">
      <c r="A161" s="7">
        <v>151</v>
      </c>
      <c r="B161" s="7" t="s">
        <v>382</v>
      </c>
      <c r="C161" s="10" t="s">
        <v>383</v>
      </c>
      <c r="D161" s="7" t="s">
        <v>171</v>
      </c>
      <c r="E161" s="7" t="s">
        <v>71</v>
      </c>
      <c r="F161" s="7" t="s">
        <v>352</v>
      </c>
      <c r="G161" s="7"/>
      <c r="H161" s="7" t="s">
        <v>43</v>
      </c>
      <c r="I161" s="11">
        <v>2</v>
      </c>
      <c r="J161" s="11">
        <v>0</v>
      </c>
      <c r="K161" s="11">
        <v>0</v>
      </c>
      <c r="L161" s="11">
        <v>0</v>
      </c>
      <c r="M161" s="11">
        <v>0</v>
      </c>
      <c r="N161" s="11">
        <v>0</v>
      </c>
      <c r="O161" s="11">
        <v>0</v>
      </c>
      <c r="P161" s="11">
        <v>0</v>
      </c>
      <c r="Q161" s="11">
        <v>0</v>
      </c>
      <c r="R161" s="11">
        <v>0</v>
      </c>
      <c r="S161" s="11">
        <v>0</v>
      </c>
      <c r="T161" s="11">
        <v>0</v>
      </c>
      <c r="U161" s="11">
        <v>0</v>
      </c>
      <c r="V161" s="11">
        <v>0</v>
      </c>
      <c r="W161" s="13">
        <v>2</v>
      </c>
      <c r="X161" s="13">
        <v>0</v>
      </c>
      <c r="Y161" s="13" t="str">
        <f>MIN(W161,S161)</f>
        <v>0</v>
      </c>
      <c r="Z161" s="13" t="str">
        <f>MIN(X161,(S161-Y161))</f>
        <v>0</v>
      </c>
      <c r="AA161" s="13" t="str">
        <f>S161-SUM(Y161,Z161)</f>
        <v>0</v>
      </c>
      <c r="AB161" s="15"/>
      <c r="AC161" s="15"/>
      <c r="AD161" s="1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  <c r="BQ161" s="5"/>
      <c r="BR161" s="5"/>
      <c r="BS161" s="5"/>
      <c r="BT161" s="5"/>
      <c r="BU161" s="5"/>
      <c r="BV161" s="5"/>
      <c r="BW161" s="5"/>
      <c r="BX161" s="5"/>
      <c r="BY161" s="5"/>
      <c r="BZ161" s="5"/>
      <c r="CA161" s="5"/>
      <c r="CB161" s="5"/>
      <c r="CC161" s="5"/>
      <c r="CD161" s="5"/>
      <c r="CE161" s="5"/>
      <c r="CF161" s="5"/>
      <c r="CG161" s="5"/>
      <c r="CH161" s="5"/>
      <c r="CI161" s="5"/>
      <c r="CJ161" s="5"/>
      <c r="CK161" s="5"/>
      <c r="CL161" s="5"/>
      <c r="CM161" s="5"/>
      <c r="CN161" s="5"/>
      <c r="CO161" s="5"/>
      <c r="CP161" s="5"/>
      <c r="CQ161" s="5"/>
      <c r="CR161" s="5"/>
      <c r="CS161" s="5"/>
      <c r="CT161" s="5"/>
      <c r="CU161" s="5"/>
      <c r="CV161" s="5"/>
      <c r="CW161" s="5"/>
      <c r="CX161" s="5"/>
      <c r="CY161" s="5"/>
      <c r="CZ161" s="5"/>
      <c r="DA161" s="5"/>
      <c r="DB161" s="5"/>
      <c r="DC161" s="5"/>
      <c r="DD161" s="5"/>
      <c r="DE161" s="5"/>
      <c r="DF161" s="5"/>
      <c r="DG161" s="5"/>
      <c r="DH161" s="5"/>
      <c r="DI161" s="5"/>
      <c r="DJ161" s="5"/>
      <c r="DK161" s="5"/>
      <c r="DL161" s="5"/>
      <c r="DM161" s="5"/>
      <c r="DN161" s="5"/>
      <c r="DO161" s="5"/>
      <c r="DP161" s="5"/>
      <c r="DQ161" s="5"/>
      <c r="DR161" s="5"/>
      <c r="DS161" s="5"/>
      <c r="DT161" s="5"/>
      <c r="DU161" s="5"/>
      <c r="DV161" s="5"/>
      <c r="DW161" s="5"/>
      <c r="DX161" s="5"/>
      <c r="DY161" s="5"/>
      <c r="DZ161" s="5"/>
      <c r="EA161" s="5"/>
      <c r="EB161" s="5"/>
      <c r="EC161" s="5"/>
      <c r="ED161" s="5"/>
      <c r="EE161" s="5"/>
      <c r="EF161" s="5"/>
      <c r="EG161" s="5"/>
      <c r="EH161" s="5"/>
      <c r="EI161" s="5"/>
      <c r="EJ161" s="5"/>
      <c r="EK161" s="5"/>
      <c r="EL161" s="5"/>
      <c r="EM161" s="5"/>
      <c r="EN161" s="5"/>
      <c r="EO161" s="5"/>
      <c r="EP161" s="5"/>
      <c r="EQ161" s="5"/>
      <c r="ER161" s="5"/>
      <c r="ES161" s="5"/>
      <c r="ET161" s="5"/>
      <c r="EU161" s="5"/>
      <c r="EV161" s="5"/>
      <c r="EW161" s="5"/>
      <c r="EX161" s="5"/>
      <c r="EY161" s="5"/>
      <c r="EZ161" s="5"/>
      <c r="FA161" s="5"/>
      <c r="FB161" s="5"/>
      <c r="FC161" s="5"/>
      <c r="FD161" s="5"/>
      <c r="FE161" s="5"/>
      <c r="FF161" s="5"/>
      <c r="FG161" s="5"/>
      <c r="FH161" s="5"/>
      <c r="FI161" s="5"/>
      <c r="FJ161" s="5"/>
      <c r="FK161" s="5"/>
      <c r="FL161" s="5"/>
      <c r="FM161" s="5"/>
      <c r="FN161" s="5"/>
      <c r="FO161" s="5"/>
      <c r="FP161" s="5"/>
      <c r="FQ161" s="5"/>
      <c r="FR161" s="5"/>
      <c r="FS161" s="5"/>
      <c r="FT161" s="5"/>
      <c r="FU161" s="5"/>
      <c r="FV161" s="5"/>
      <c r="FW161" s="5"/>
      <c r="FX161" s="5"/>
      <c r="FY161" s="5"/>
      <c r="FZ161" s="5"/>
      <c r="GA161" s="5"/>
      <c r="GB161" s="5"/>
      <c r="GC161" s="5"/>
      <c r="GD161" s="5"/>
      <c r="GE161" s="5"/>
      <c r="GF161" s="5"/>
      <c r="GG161" s="5"/>
      <c r="GH161" s="5"/>
      <c r="GI161" s="5"/>
      <c r="GJ161" s="5"/>
      <c r="GK161" s="5"/>
      <c r="GL161" s="5"/>
      <c r="GM161" s="5"/>
      <c r="GN161" s="5"/>
      <c r="GO161" s="5"/>
      <c r="GP161" s="5"/>
      <c r="GQ161" s="5"/>
      <c r="GR161" s="5"/>
      <c r="GS161" s="5"/>
      <c r="GT161" s="5"/>
      <c r="GU161" s="5"/>
      <c r="GV161" s="5"/>
      <c r="GW161" s="5"/>
      <c r="GX161" s="5"/>
      <c r="GY161" s="5"/>
      <c r="GZ161" s="5"/>
      <c r="HA161" s="5"/>
      <c r="HB161" s="5"/>
      <c r="HC161" s="5"/>
      <c r="HD161" s="5"/>
      <c r="HE161" s="5"/>
      <c r="HF161" s="5"/>
      <c r="HG161" s="5"/>
      <c r="HH161" s="5"/>
      <c r="HI161" s="5"/>
      <c r="HJ161" s="5"/>
      <c r="HK161" s="5"/>
      <c r="HL161" s="5"/>
      <c r="HM161" s="5"/>
      <c r="HN161" s="5"/>
      <c r="HO161" s="5"/>
      <c r="HP161" s="5"/>
      <c r="HQ161" s="5"/>
      <c r="HR161" s="5"/>
      <c r="HS161" s="5"/>
      <c r="HT161" s="5"/>
      <c r="HU161" s="5"/>
      <c r="HV161" s="5"/>
      <c r="HW161" s="5"/>
      <c r="HX161" s="5"/>
      <c r="HY161" s="5"/>
      <c r="HZ161" s="5"/>
      <c r="IA161" s="5"/>
      <c r="IB161" s="5"/>
      <c r="IC161" s="5"/>
      <c r="ID161" s="5"/>
      <c r="IE161" s="5"/>
      <c r="IF161" s="5"/>
      <c r="IG161" s="5"/>
      <c r="IH161" s="5"/>
      <c r="II161" s="5"/>
      <c r="IJ161" s="5"/>
      <c r="IK161" s="5"/>
      <c r="IL161" s="5"/>
      <c r="IM161" s="5"/>
      <c r="IN161" s="5"/>
      <c r="IO161" s="5"/>
      <c r="IP161" s="5"/>
      <c r="IQ161" s="5"/>
      <c r="IR161" s="5"/>
      <c r="IS161" s="5"/>
      <c r="IT161" s="5"/>
      <c r="IU161" s="5"/>
      <c r="IV161" s="5"/>
      <c r="IW161" s="5"/>
      <c r="IX161" s="5"/>
      <c r="IY161" s="5"/>
      <c r="IZ161" s="5"/>
      <c r="JA161" s="5"/>
      <c r="JB161" s="5"/>
      <c r="JC161" s="5"/>
      <c r="JD161" s="5"/>
      <c r="JE161" s="5"/>
      <c r="JF161" s="5"/>
      <c r="JG161" s="5"/>
      <c r="JH161" s="5"/>
      <c r="JI161" s="5"/>
      <c r="JJ161" s="5"/>
      <c r="JK161" s="5"/>
      <c r="JL161" s="5"/>
      <c r="JM161" s="5"/>
      <c r="JN161" s="5"/>
      <c r="JO161" s="5"/>
      <c r="JP161" s="5"/>
      <c r="JQ161" s="5"/>
      <c r="JR161" s="5"/>
      <c r="JS161" s="5"/>
      <c r="JT161" s="5"/>
      <c r="JU161" s="5"/>
      <c r="JV161" s="5"/>
      <c r="JW161" s="5"/>
      <c r="JX161" s="5"/>
      <c r="JY161" s="5"/>
      <c r="JZ161" s="5"/>
      <c r="KA161" s="5"/>
      <c r="KB161" s="5"/>
      <c r="KC161" s="5"/>
      <c r="KD161" s="5"/>
      <c r="KE161" s="5"/>
      <c r="KF161" s="5"/>
      <c r="KG161" s="5"/>
      <c r="KH161" s="5"/>
      <c r="KI161" s="5"/>
      <c r="KJ161" s="5"/>
      <c r="KK161" s="5"/>
      <c r="KL161" s="5"/>
      <c r="KM161" s="5"/>
      <c r="KN161" s="5"/>
      <c r="KO161" s="5"/>
      <c r="KP161" s="5"/>
      <c r="KQ161" s="5"/>
      <c r="KR161" s="5"/>
      <c r="KS161" s="5"/>
      <c r="KT161" s="5"/>
      <c r="KU161" s="5"/>
      <c r="KV161" s="5"/>
      <c r="KW161" s="5"/>
      <c r="KX161" s="5"/>
      <c r="KY161" s="5"/>
      <c r="KZ161" s="5"/>
      <c r="LA161" s="5"/>
      <c r="LB161" s="5"/>
      <c r="LC161" s="5"/>
      <c r="LD161" s="5"/>
      <c r="LE161" s="5"/>
      <c r="LF161" s="5"/>
      <c r="LG161" s="5"/>
      <c r="LH161" s="5"/>
      <c r="LI161" s="5"/>
      <c r="LJ161" s="5"/>
      <c r="LK161" s="5"/>
      <c r="LL161" s="5"/>
      <c r="LM161" s="5"/>
      <c r="LN161" s="5"/>
      <c r="LO161" s="5"/>
      <c r="LP161" s="5"/>
      <c r="LQ161" s="5"/>
      <c r="LR161" s="5"/>
      <c r="LS161" s="5"/>
      <c r="LT161" s="5"/>
      <c r="LU161" s="5"/>
      <c r="LV161" s="5"/>
      <c r="LW161" s="5"/>
      <c r="LX161" s="5"/>
      <c r="LY161" s="5"/>
      <c r="LZ161" s="5"/>
      <c r="MA161" s="5"/>
      <c r="MB161" s="5"/>
      <c r="MC161" s="5"/>
      <c r="MD161" s="5"/>
      <c r="ME161" s="5"/>
      <c r="MF161" s="5"/>
      <c r="MG161" s="5"/>
      <c r="MH161" s="5"/>
      <c r="MI161" s="5"/>
      <c r="MJ161" s="5"/>
      <c r="MK161" s="5"/>
      <c r="ML161" s="5"/>
      <c r="MM161" s="5"/>
      <c r="MN161" s="5"/>
      <c r="MO161" s="5"/>
      <c r="MP161" s="5"/>
      <c r="MQ161" s="5"/>
      <c r="MR161" s="5"/>
      <c r="MS161" s="5"/>
      <c r="MT161" s="5"/>
      <c r="MU161" s="5"/>
      <c r="MV161" s="5"/>
      <c r="MW161" s="5"/>
      <c r="MX161" s="5"/>
      <c r="MY161" s="5"/>
      <c r="MZ161" s="5"/>
      <c r="NA161" s="5"/>
      <c r="NB161" s="5"/>
      <c r="NC161" s="5"/>
      <c r="ND161" s="5"/>
      <c r="NE161" s="5"/>
      <c r="NF161" s="5"/>
      <c r="NG161" s="5"/>
      <c r="NH161" s="5"/>
      <c r="NI161" s="5"/>
      <c r="NJ161" s="5"/>
      <c r="NK161" s="5"/>
      <c r="NL161" s="5"/>
      <c r="NM161" s="5"/>
      <c r="NN161" s="5"/>
      <c r="NO161" s="5"/>
      <c r="NP161" s="5"/>
      <c r="NQ161" s="5"/>
      <c r="NR161" s="5"/>
      <c r="NS161" s="5"/>
      <c r="NT161" s="5"/>
      <c r="NU161" s="5"/>
      <c r="NV161" s="5"/>
      <c r="NW161" s="5"/>
      <c r="NX161" s="5"/>
      <c r="NY161" s="5"/>
      <c r="NZ161" s="5"/>
      <c r="OA161" s="5"/>
      <c r="OB161" s="5"/>
      <c r="OC161" s="5"/>
      <c r="OD161" s="5"/>
      <c r="OE161" s="5"/>
      <c r="OF161" s="5"/>
      <c r="OG161" s="5"/>
      <c r="OH161" s="5"/>
      <c r="OI161" s="5"/>
      <c r="OJ161" s="5"/>
      <c r="OK161" s="5"/>
      <c r="OL161" s="5"/>
      <c r="OM161" s="5"/>
      <c r="ON161" s="5"/>
      <c r="OO161" s="5"/>
      <c r="OP161" s="5"/>
      <c r="OQ161" s="5"/>
      <c r="OR161" s="5"/>
      <c r="OS161" s="5"/>
      <c r="OT161" s="5"/>
      <c r="OU161" s="5"/>
      <c r="OV161" s="5"/>
      <c r="OW161" s="5"/>
      <c r="OX161" s="5"/>
      <c r="OY161" s="5"/>
      <c r="OZ161" s="5"/>
      <c r="PA161" s="5"/>
      <c r="PB161" s="5"/>
      <c r="PC161" s="5"/>
      <c r="PD161" s="5"/>
      <c r="PE161" s="5"/>
      <c r="PF161" s="5"/>
      <c r="PG161" s="5"/>
      <c r="PH161" s="5"/>
      <c r="PI161" s="5"/>
      <c r="PJ161" s="5"/>
      <c r="PK161" s="5"/>
      <c r="PL161" s="5"/>
      <c r="PM161" s="5"/>
      <c r="PN161" s="5"/>
      <c r="PO161" s="5"/>
      <c r="PP161" s="5"/>
      <c r="PQ161" s="5"/>
      <c r="PR161" s="5"/>
      <c r="PS161" s="5"/>
      <c r="PT161" s="5"/>
      <c r="PU161" s="5"/>
      <c r="PV161" s="5"/>
      <c r="PW161" s="5"/>
      <c r="PX161" s="5"/>
      <c r="PY161" s="5"/>
      <c r="PZ161" s="5"/>
      <c r="QA161" s="5"/>
      <c r="QB161" s="5"/>
      <c r="QC161" s="5"/>
      <c r="QD161" s="5"/>
      <c r="QE161" s="5"/>
      <c r="QF161" s="5"/>
      <c r="QG161" s="5"/>
      <c r="QH161" s="5"/>
      <c r="QI161" s="5"/>
      <c r="QJ161" s="5"/>
      <c r="QK161" s="5"/>
      <c r="QL161" s="5"/>
      <c r="QM161" s="5"/>
      <c r="QN161" s="5"/>
      <c r="QO161" s="5"/>
      <c r="QP161" s="5"/>
      <c r="QQ161" s="5"/>
      <c r="QR161" s="5"/>
      <c r="QS161" s="5"/>
      <c r="QT161" s="5"/>
      <c r="QU161" s="5"/>
      <c r="QV161" s="5"/>
      <c r="QW161" s="5"/>
      <c r="QX161" s="5"/>
      <c r="QY161" s="5"/>
      <c r="QZ161" s="5"/>
      <c r="RA161" s="5"/>
      <c r="RB161" s="5"/>
      <c r="RC161" s="5"/>
      <c r="RD161" s="5"/>
      <c r="RE161" s="5"/>
      <c r="RF161" s="5"/>
      <c r="RG161" s="5"/>
      <c r="RH161" s="5"/>
      <c r="RI161" s="5"/>
      <c r="RJ161" s="5"/>
      <c r="RK161" s="5"/>
      <c r="RL161" s="5"/>
      <c r="RM161" s="5"/>
      <c r="RN161" s="5"/>
      <c r="RO161" s="5"/>
      <c r="RP161" s="5"/>
      <c r="RQ161" s="5"/>
      <c r="RR161" s="5"/>
      <c r="RS161" s="5"/>
      <c r="RT161" s="5"/>
      <c r="RU161" s="5"/>
      <c r="RV161" s="5"/>
      <c r="RW161" s="5"/>
      <c r="RX161" s="5"/>
      <c r="RY161" s="5"/>
      <c r="RZ161" s="5"/>
      <c r="SA161" s="5"/>
      <c r="SB161" s="5"/>
      <c r="SC161" s="5"/>
      <c r="SD161" s="5"/>
      <c r="SE161" s="5"/>
      <c r="SF161" s="5"/>
      <c r="SG161" s="5"/>
      <c r="SH161" s="5"/>
      <c r="SI161" s="5"/>
      <c r="SJ161" s="5"/>
      <c r="SK161" s="5"/>
      <c r="SL161" s="5"/>
      <c r="SM161" s="5"/>
      <c r="SN161" s="5"/>
      <c r="SO161" s="5"/>
      <c r="SP161" s="5"/>
      <c r="SQ161" s="5"/>
      <c r="SR161" s="5"/>
      <c r="SS161" s="5"/>
      <c r="ST161" s="5"/>
      <c r="SU161" s="5"/>
      <c r="SV161" s="5"/>
      <c r="SW161" s="5"/>
      <c r="SX161" s="5"/>
      <c r="SY161" s="5"/>
      <c r="SZ161" s="5"/>
      <c r="TA161" s="5"/>
      <c r="TB161" s="5"/>
      <c r="TC161" s="5"/>
      <c r="TD161" s="5"/>
      <c r="TE161" s="5"/>
      <c r="TF161" s="5"/>
      <c r="TG161" s="5"/>
      <c r="TH161" s="5"/>
      <c r="TI161" s="5"/>
      <c r="TJ161" s="5"/>
      <c r="TK161" s="5"/>
      <c r="TL161" s="5"/>
      <c r="TM161" s="5"/>
      <c r="TN161" s="5"/>
      <c r="TO161" s="5"/>
      <c r="TP161" s="5"/>
      <c r="TQ161" s="5"/>
      <c r="TR161" s="5"/>
      <c r="TS161" s="5"/>
      <c r="TT161" s="5"/>
      <c r="TU161" s="5"/>
      <c r="TV161" s="5"/>
      <c r="TW161" s="5"/>
      <c r="TX161" s="5"/>
      <c r="TY161" s="5"/>
      <c r="TZ161" s="5"/>
      <c r="UA161" s="5"/>
      <c r="UB161" s="5"/>
      <c r="UC161" s="5"/>
      <c r="UD161" s="5"/>
      <c r="UE161" s="5"/>
      <c r="UF161" s="5"/>
      <c r="UG161" s="5"/>
      <c r="UH161" s="5"/>
      <c r="UI161" s="5"/>
      <c r="UJ161" s="5"/>
      <c r="UK161" s="5"/>
      <c r="UL161" s="5"/>
      <c r="UM161" s="5"/>
      <c r="UN161" s="5"/>
      <c r="UO161" s="5"/>
      <c r="UP161" s="5"/>
      <c r="UQ161" s="5"/>
      <c r="UR161" s="5"/>
      <c r="US161" s="5"/>
      <c r="UT161" s="5"/>
      <c r="UU161" s="5"/>
      <c r="UV161" s="5"/>
      <c r="UW161" s="5"/>
      <c r="UX161" s="5"/>
      <c r="UY161" s="5"/>
      <c r="UZ161" s="5"/>
      <c r="VA161" s="5"/>
      <c r="VB161" s="5"/>
      <c r="VC161" s="5"/>
      <c r="VD161" s="5"/>
      <c r="VE161" s="5"/>
      <c r="VF161" s="5"/>
      <c r="VG161" s="5"/>
      <c r="VH161" s="5"/>
      <c r="VI161" s="5"/>
      <c r="VJ161" s="5"/>
      <c r="VK161" s="5"/>
      <c r="VL161" s="5"/>
      <c r="VM161" s="5"/>
      <c r="VN161" s="5"/>
      <c r="VO161" s="5"/>
      <c r="VP161" s="5"/>
      <c r="VQ161" s="5"/>
      <c r="VR161" s="5"/>
      <c r="VS161" s="5"/>
      <c r="VT161" s="5"/>
      <c r="VU161" s="5"/>
      <c r="VV161" s="5"/>
      <c r="VW161" s="5"/>
      <c r="VX161" s="5"/>
      <c r="VY161" s="5"/>
      <c r="VZ161" s="5"/>
      <c r="WA161" s="5"/>
      <c r="WB161" s="5"/>
      <c r="WC161" s="5"/>
      <c r="WD161" s="5"/>
      <c r="WE161" s="5"/>
      <c r="WF161" s="5"/>
      <c r="WG161" s="5"/>
      <c r="WH161" s="5"/>
      <c r="WI161" s="5"/>
      <c r="WJ161" s="5"/>
      <c r="WK161" s="5"/>
      <c r="WL161" s="5"/>
      <c r="WM161" s="5"/>
      <c r="WN161" s="5"/>
      <c r="WO161" s="5"/>
      <c r="WP161" s="5"/>
      <c r="WQ161" s="5"/>
      <c r="WR161" s="5"/>
      <c r="WS161" s="5"/>
      <c r="WT161" s="5"/>
      <c r="WU161" s="5"/>
      <c r="WV161" s="5"/>
      <c r="WW161" s="5"/>
      <c r="WX161" s="5"/>
      <c r="WY161" s="5"/>
      <c r="WZ161" s="5"/>
      <c r="XA161" s="5"/>
      <c r="XB161" s="5"/>
      <c r="XC161" s="5"/>
      <c r="XD161" s="5"/>
      <c r="XE161" s="5"/>
      <c r="XF161" s="5"/>
      <c r="XG161" s="5"/>
      <c r="XH161" s="5"/>
      <c r="XI161" s="5"/>
      <c r="XJ161" s="5"/>
      <c r="XK161" s="5"/>
      <c r="XL161" s="5"/>
      <c r="XM161" s="5"/>
      <c r="XN161" s="5"/>
      <c r="XO161" s="5"/>
      <c r="XP161" s="5"/>
      <c r="XQ161" s="5"/>
      <c r="XR161" s="5"/>
      <c r="XS161" s="5"/>
      <c r="XT161" s="5"/>
      <c r="XU161" s="5"/>
      <c r="XV161" s="5"/>
      <c r="XW161" s="5"/>
      <c r="XX161" s="5"/>
      <c r="XY161" s="5"/>
      <c r="XZ161" s="5"/>
      <c r="YA161" s="5"/>
      <c r="YB161" s="5"/>
      <c r="YC161" s="5"/>
      <c r="YD161" s="5"/>
      <c r="YE161" s="5"/>
      <c r="YF161" s="5"/>
      <c r="YG161" s="5"/>
      <c r="YH161" s="5"/>
      <c r="YI161" s="5"/>
      <c r="YJ161" s="5"/>
      <c r="YK161" s="5"/>
      <c r="YL161" s="5"/>
      <c r="YM161" s="5"/>
      <c r="YN161" s="5"/>
      <c r="YO161" s="5"/>
      <c r="YP161" s="5"/>
      <c r="YQ161" s="5"/>
      <c r="YR161" s="5"/>
      <c r="YS161" s="5"/>
      <c r="YT161" s="5"/>
      <c r="YU161" s="5"/>
      <c r="YV161" s="5"/>
      <c r="YW161" s="5"/>
      <c r="YX161" s="5"/>
      <c r="YY161" s="5"/>
      <c r="YZ161" s="5"/>
    </row>
    <row r="162" spans="1:676">
      <c r="A162" s="7">
        <v>152</v>
      </c>
      <c r="B162" s="7" t="s">
        <v>384</v>
      </c>
      <c r="C162" s="10" t="s">
        <v>385</v>
      </c>
      <c r="D162" s="7" t="s">
        <v>60</v>
      </c>
      <c r="E162" s="7" t="s">
        <v>343</v>
      </c>
      <c r="F162" s="7" t="s">
        <v>344</v>
      </c>
      <c r="G162" s="7"/>
      <c r="H162" s="7" t="s">
        <v>43</v>
      </c>
      <c r="I162" s="11">
        <v>2</v>
      </c>
      <c r="J162" s="11">
        <v>3</v>
      </c>
      <c r="K162" s="11">
        <v>0</v>
      </c>
      <c r="L162" s="11">
        <v>1.18</v>
      </c>
      <c r="M162" s="11">
        <v>0</v>
      </c>
      <c r="N162" s="11">
        <v>0</v>
      </c>
      <c r="O162" s="11">
        <v>0</v>
      </c>
      <c r="P162" s="11">
        <v>1.63</v>
      </c>
      <c r="Q162" s="11">
        <v>2.81</v>
      </c>
      <c r="R162" s="11">
        <v>0</v>
      </c>
      <c r="S162" s="11">
        <v>2.81</v>
      </c>
      <c r="T162" s="11">
        <v>2</v>
      </c>
      <c r="U162" s="11">
        <v>0.8100000000000001</v>
      </c>
      <c r="V162" s="11">
        <v>0</v>
      </c>
      <c r="W162" s="13">
        <v>2</v>
      </c>
      <c r="X162" s="13">
        <v>3</v>
      </c>
      <c r="Y162" s="13" t="str">
        <f>MIN(W162,S162)</f>
        <v>0</v>
      </c>
      <c r="Z162" s="13" t="str">
        <f>MIN(X162,(S162-Y162))</f>
        <v>0</v>
      </c>
      <c r="AA162" s="13" t="str">
        <f>S162-SUM(Y162,Z162)</f>
        <v>0</v>
      </c>
      <c r="AB162" s="15"/>
      <c r="AC162" s="15"/>
      <c r="AD162" s="1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5"/>
      <c r="BN162" s="5"/>
      <c r="BO162" s="5"/>
      <c r="BP162" s="5"/>
      <c r="BQ162" s="5"/>
      <c r="BR162" s="5"/>
      <c r="BS162" s="5"/>
      <c r="BT162" s="5"/>
      <c r="BU162" s="5"/>
      <c r="BV162" s="5"/>
      <c r="BW162" s="5"/>
      <c r="BX162" s="5"/>
      <c r="BY162" s="5"/>
      <c r="BZ162" s="5"/>
      <c r="CA162" s="5"/>
      <c r="CB162" s="5"/>
      <c r="CC162" s="5"/>
      <c r="CD162" s="5"/>
      <c r="CE162" s="5"/>
      <c r="CF162" s="5"/>
      <c r="CG162" s="5"/>
      <c r="CH162" s="5"/>
      <c r="CI162" s="5"/>
      <c r="CJ162" s="5"/>
      <c r="CK162" s="5"/>
      <c r="CL162" s="5"/>
      <c r="CM162" s="5"/>
      <c r="CN162" s="5"/>
      <c r="CO162" s="5"/>
      <c r="CP162" s="5"/>
      <c r="CQ162" s="5"/>
      <c r="CR162" s="5"/>
      <c r="CS162" s="5"/>
      <c r="CT162" s="5"/>
      <c r="CU162" s="5"/>
      <c r="CV162" s="5"/>
      <c r="CW162" s="5"/>
      <c r="CX162" s="5"/>
      <c r="CY162" s="5"/>
      <c r="CZ162" s="5"/>
      <c r="DA162" s="5"/>
      <c r="DB162" s="5"/>
      <c r="DC162" s="5"/>
      <c r="DD162" s="5"/>
      <c r="DE162" s="5"/>
      <c r="DF162" s="5"/>
      <c r="DG162" s="5"/>
      <c r="DH162" s="5"/>
      <c r="DI162" s="5"/>
      <c r="DJ162" s="5"/>
      <c r="DK162" s="5"/>
      <c r="DL162" s="5"/>
      <c r="DM162" s="5"/>
      <c r="DN162" s="5"/>
      <c r="DO162" s="5"/>
      <c r="DP162" s="5"/>
      <c r="DQ162" s="5"/>
      <c r="DR162" s="5"/>
      <c r="DS162" s="5"/>
      <c r="DT162" s="5"/>
      <c r="DU162" s="5"/>
      <c r="DV162" s="5"/>
      <c r="DW162" s="5"/>
      <c r="DX162" s="5"/>
      <c r="DY162" s="5"/>
      <c r="DZ162" s="5"/>
      <c r="EA162" s="5"/>
      <c r="EB162" s="5"/>
      <c r="EC162" s="5"/>
      <c r="ED162" s="5"/>
      <c r="EE162" s="5"/>
      <c r="EF162" s="5"/>
      <c r="EG162" s="5"/>
      <c r="EH162" s="5"/>
      <c r="EI162" s="5"/>
      <c r="EJ162" s="5"/>
      <c r="EK162" s="5"/>
      <c r="EL162" s="5"/>
      <c r="EM162" s="5"/>
      <c r="EN162" s="5"/>
      <c r="EO162" s="5"/>
      <c r="EP162" s="5"/>
      <c r="EQ162" s="5"/>
      <c r="ER162" s="5"/>
      <c r="ES162" s="5"/>
      <c r="ET162" s="5"/>
      <c r="EU162" s="5"/>
      <c r="EV162" s="5"/>
      <c r="EW162" s="5"/>
      <c r="EX162" s="5"/>
      <c r="EY162" s="5"/>
      <c r="EZ162" s="5"/>
      <c r="FA162" s="5"/>
      <c r="FB162" s="5"/>
      <c r="FC162" s="5"/>
      <c r="FD162" s="5"/>
      <c r="FE162" s="5"/>
      <c r="FF162" s="5"/>
      <c r="FG162" s="5"/>
      <c r="FH162" s="5"/>
      <c r="FI162" s="5"/>
      <c r="FJ162" s="5"/>
      <c r="FK162" s="5"/>
      <c r="FL162" s="5"/>
      <c r="FM162" s="5"/>
      <c r="FN162" s="5"/>
      <c r="FO162" s="5"/>
      <c r="FP162" s="5"/>
      <c r="FQ162" s="5"/>
      <c r="FR162" s="5"/>
      <c r="FS162" s="5"/>
      <c r="FT162" s="5"/>
      <c r="FU162" s="5"/>
      <c r="FV162" s="5"/>
      <c r="FW162" s="5"/>
      <c r="FX162" s="5"/>
      <c r="FY162" s="5"/>
      <c r="FZ162" s="5"/>
      <c r="GA162" s="5"/>
      <c r="GB162" s="5"/>
      <c r="GC162" s="5"/>
      <c r="GD162" s="5"/>
      <c r="GE162" s="5"/>
      <c r="GF162" s="5"/>
      <c r="GG162" s="5"/>
      <c r="GH162" s="5"/>
      <c r="GI162" s="5"/>
      <c r="GJ162" s="5"/>
      <c r="GK162" s="5"/>
      <c r="GL162" s="5"/>
      <c r="GM162" s="5"/>
      <c r="GN162" s="5"/>
      <c r="GO162" s="5"/>
      <c r="GP162" s="5"/>
      <c r="GQ162" s="5"/>
      <c r="GR162" s="5"/>
      <c r="GS162" s="5"/>
      <c r="GT162" s="5"/>
      <c r="GU162" s="5"/>
      <c r="GV162" s="5"/>
      <c r="GW162" s="5"/>
      <c r="GX162" s="5"/>
      <c r="GY162" s="5"/>
      <c r="GZ162" s="5"/>
      <c r="HA162" s="5"/>
      <c r="HB162" s="5"/>
      <c r="HC162" s="5"/>
      <c r="HD162" s="5"/>
      <c r="HE162" s="5"/>
      <c r="HF162" s="5"/>
      <c r="HG162" s="5"/>
      <c r="HH162" s="5"/>
      <c r="HI162" s="5"/>
      <c r="HJ162" s="5"/>
      <c r="HK162" s="5"/>
      <c r="HL162" s="5"/>
      <c r="HM162" s="5"/>
      <c r="HN162" s="5"/>
      <c r="HO162" s="5"/>
      <c r="HP162" s="5"/>
      <c r="HQ162" s="5"/>
      <c r="HR162" s="5"/>
      <c r="HS162" s="5"/>
      <c r="HT162" s="5"/>
      <c r="HU162" s="5"/>
      <c r="HV162" s="5"/>
      <c r="HW162" s="5"/>
      <c r="HX162" s="5"/>
      <c r="HY162" s="5"/>
      <c r="HZ162" s="5"/>
      <c r="IA162" s="5"/>
      <c r="IB162" s="5"/>
      <c r="IC162" s="5"/>
      <c r="ID162" s="5"/>
      <c r="IE162" s="5"/>
      <c r="IF162" s="5"/>
      <c r="IG162" s="5"/>
      <c r="IH162" s="5"/>
      <c r="II162" s="5"/>
      <c r="IJ162" s="5"/>
      <c r="IK162" s="5"/>
      <c r="IL162" s="5"/>
      <c r="IM162" s="5"/>
      <c r="IN162" s="5"/>
      <c r="IO162" s="5"/>
      <c r="IP162" s="5"/>
      <c r="IQ162" s="5"/>
      <c r="IR162" s="5"/>
      <c r="IS162" s="5"/>
      <c r="IT162" s="5"/>
      <c r="IU162" s="5"/>
      <c r="IV162" s="5"/>
      <c r="IW162" s="5"/>
      <c r="IX162" s="5"/>
      <c r="IY162" s="5"/>
      <c r="IZ162" s="5"/>
      <c r="JA162" s="5"/>
      <c r="JB162" s="5"/>
      <c r="JC162" s="5"/>
      <c r="JD162" s="5"/>
      <c r="JE162" s="5"/>
      <c r="JF162" s="5"/>
      <c r="JG162" s="5"/>
      <c r="JH162" s="5"/>
      <c r="JI162" s="5"/>
      <c r="JJ162" s="5"/>
      <c r="JK162" s="5"/>
      <c r="JL162" s="5"/>
      <c r="JM162" s="5"/>
      <c r="JN162" s="5"/>
      <c r="JO162" s="5"/>
      <c r="JP162" s="5"/>
      <c r="JQ162" s="5"/>
      <c r="JR162" s="5"/>
      <c r="JS162" s="5"/>
      <c r="JT162" s="5"/>
      <c r="JU162" s="5"/>
      <c r="JV162" s="5"/>
      <c r="JW162" s="5"/>
      <c r="JX162" s="5"/>
      <c r="JY162" s="5"/>
      <c r="JZ162" s="5"/>
      <c r="KA162" s="5"/>
      <c r="KB162" s="5"/>
      <c r="KC162" s="5"/>
      <c r="KD162" s="5"/>
      <c r="KE162" s="5"/>
      <c r="KF162" s="5"/>
      <c r="KG162" s="5"/>
      <c r="KH162" s="5"/>
      <c r="KI162" s="5"/>
      <c r="KJ162" s="5"/>
      <c r="KK162" s="5"/>
      <c r="KL162" s="5"/>
      <c r="KM162" s="5"/>
      <c r="KN162" s="5"/>
      <c r="KO162" s="5"/>
      <c r="KP162" s="5"/>
      <c r="KQ162" s="5"/>
      <c r="KR162" s="5"/>
      <c r="KS162" s="5"/>
      <c r="KT162" s="5"/>
      <c r="KU162" s="5"/>
      <c r="KV162" s="5"/>
      <c r="KW162" s="5"/>
      <c r="KX162" s="5"/>
      <c r="KY162" s="5"/>
      <c r="KZ162" s="5"/>
      <c r="LA162" s="5"/>
      <c r="LB162" s="5"/>
      <c r="LC162" s="5"/>
      <c r="LD162" s="5"/>
      <c r="LE162" s="5"/>
      <c r="LF162" s="5"/>
      <c r="LG162" s="5"/>
      <c r="LH162" s="5"/>
      <c r="LI162" s="5"/>
      <c r="LJ162" s="5"/>
      <c r="LK162" s="5"/>
      <c r="LL162" s="5"/>
      <c r="LM162" s="5"/>
      <c r="LN162" s="5"/>
      <c r="LO162" s="5"/>
      <c r="LP162" s="5"/>
      <c r="LQ162" s="5"/>
      <c r="LR162" s="5"/>
      <c r="LS162" s="5"/>
      <c r="LT162" s="5"/>
      <c r="LU162" s="5"/>
      <c r="LV162" s="5"/>
      <c r="LW162" s="5"/>
      <c r="LX162" s="5"/>
      <c r="LY162" s="5"/>
      <c r="LZ162" s="5"/>
      <c r="MA162" s="5"/>
      <c r="MB162" s="5"/>
      <c r="MC162" s="5"/>
      <c r="MD162" s="5"/>
      <c r="ME162" s="5"/>
      <c r="MF162" s="5"/>
      <c r="MG162" s="5"/>
      <c r="MH162" s="5"/>
      <c r="MI162" s="5"/>
      <c r="MJ162" s="5"/>
      <c r="MK162" s="5"/>
      <c r="ML162" s="5"/>
      <c r="MM162" s="5"/>
      <c r="MN162" s="5"/>
      <c r="MO162" s="5"/>
      <c r="MP162" s="5"/>
      <c r="MQ162" s="5"/>
      <c r="MR162" s="5"/>
      <c r="MS162" s="5"/>
      <c r="MT162" s="5"/>
      <c r="MU162" s="5"/>
      <c r="MV162" s="5"/>
      <c r="MW162" s="5"/>
      <c r="MX162" s="5"/>
      <c r="MY162" s="5"/>
      <c r="MZ162" s="5"/>
      <c r="NA162" s="5"/>
      <c r="NB162" s="5"/>
      <c r="NC162" s="5"/>
      <c r="ND162" s="5"/>
      <c r="NE162" s="5"/>
      <c r="NF162" s="5"/>
      <c r="NG162" s="5"/>
      <c r="NH162" s="5"/>
      <c r="NI162" s="5"/>
      <c r="NJ162" s="5"/>
      <c r="NK162" s="5"/>
      <c r="NL162" s="5"/>
      <c r="NM162" s="5"/>
      <c r="NN162" s="5"/>
      <c r="NO162" s="5"/>
      <c r="NP162" s="5"/>
      <c r="NQ162" s="5"/>
      <c r="NR162" s="5"/>
      <c r="NS162" s="5"/>
      <c r="NT162" s="5"/>
      <c r="NU162" s="5"/>
      <c r="NV162" s="5"/>
      <c r="NW162" s="5"/>
      <c r="NX162" s="5"/>
      <c r="NY162" s="5"/>
      <c r="NZ162" s="5"/>
      <c r="OA162" s="5"/>
      <c r="OB162" s="5"/>
      <c r="OC162" s="5"/>
      <c r="OD162" s="5"/>
      <c r="OE162" s="5"/>
      <c r="OF162" s="5"/>
      <c r="OG162" s="5"/>
      <c r="OH162" s="5"/>
      <c r="OI162" s="5"/>
      <c r="OJ162" s="5"/>
      <c r="OK162" s="5"/>
      <c r="OL162" s="5"/>
      <c r="OM162" s="5"/>
      <c r="ON162" s="5"/>
      <c r="OO162" s="5"/>
      <c r="OP162" s="5"/>
      <c r="OQ162" s="5"/>
      <c r="OR162" s="5"/>
      <c r="OS162" s="5"/>
      <c r="OT162" s="5"/>
      <c r="OU162" s="5"/>
      <c r="OV162" s="5"/>
      <c r="OW162" s="5"/>
      <c r="OX162" s="5"/>
      <c r="OY162" s="5"/>
      <c r="OZ162" s="5"/>
      <c r="PA162" s="5"/>
      <c r="PB162" s="5"/>
      <c r="PC162" s="5"/>
      <c r="PD162" s="5"/>
      <c r="PE162" s="5"/>
      <c r="PF162" s="5"/>
      <c r="PG162" s="5"/>
      <c r="PH162" s="5"/>
      <c r="PI162" s="5"/>
      <c r="PJ162" s="5"/>
      <c r="PK162" s="5"/>
      <c r="PL162" s="5"/>
      <c r="PM162" s="5"/>
      <c r="PN162" s="5"/>
      <c r="PO162" s="5"/>
      <c r="PP162" s="5"/>
      <c r="PQ162" s="5"/>
      <c r="PR162" s="5"/>
      <c r="PS162" s="5"/>
      <c r="PT162" s="5"/>
      <c r="PU162" s="5"/>
      <c r="PV162" s="5"/>
      <c r="PW162" s="5"/>
      <c r="PX162" s="5"/>
      <c r="PY162" s="5"/>
      <c r="PZ162" s="5"/>
      <c r="QA162" s="5"/>
      <c r="QB162" s="5"/>
      <c r="QC162" s="5"/>
      <c r="QD162" s="5"/>
      <c r="QE162" s="5"/>
      <c r="QF162" s="5"/>
      <c r="QG162" s="5"/>
      <c r="QH162" s="5"/>
      <c r="QI162" s="5"/>
      <c r="QJ162" s="5"/>
      <c r="QK162" s="5"/>
      <c r="QL162" s="5"/>
      <c r="QM162" s="5"/>
      <c r="QN162" s="5"/>
      <c r="QO162" s="5"/>
      <c r="QP162" s="5"/>
      <c r="QQ162" s="5"/>
      <c r="QR162" s="5"/>
      <c r="QS162" s="5"/>
      <c r="QT162" s="5"/>
      <c r="QU162" s="5"/>
      <c r="QV162" s="5"/>
      <c r="QW162" s="5"/>
      <c r="QX162" s="5"/>
      <c r="QY162" s="5"/>
      <c r="QZ162" s="5"/>
      <c r="RA162" s="5"/>
      <c r="RB162" s="5"/>
      <c r="RC162" s="5"/>
      <c r="RD162" s="5"/>
      <c r="RE162" s="5"/>
      <c r="RF162" s="5"/>
      <c r="RG162" s="5"/>
      <c r="RH162" s="5"/>
      <c r="RI162" s="5"/>
      <c r="RJ162" s="5"/>
      <c r="RK162" s="5"/>
      <c r="RL162" s="5"/>
      <c r="RM162" s="5"/>
      <c r="RN162" s="5"/>
      <c r="RO162" s="5"/>
      <c r="RP162" s="5"/>
      <c r="RQ162" s="5"/>
      <c r="RR162" s="5"/>
      <c r="RS162" s="5"/>
      <c r="RT162" s="5"/>
      <c r="RU162" s="5"/>
      <c r="RV162" s="5"/>
      <c r="RW162" s="5"/>
      <c r="RX162" s="5"/>
      <c r="RY162" s="5"/>
      <c r="RZ162" s="5"/>
      <c r="SA162" s="5"/>
      <c r="SB162" s="5"/>
      <c r="SC162" s="5"/>
      <c r="SD162" s="5"/>
      <c r="SE162" s="5"/>
      <c r="SF162" s="5"/>
      <c r="SG162" s="5"/>
      <c r="SH162" s="5"/>
      <c r="SI162" s="5"/>
      <c r="SJ162" s="5"/>
      <c r="SK162" s="5"/>
      <c r="SL162" s="5"/>
      <c r="SM162" s="5"/>
      <c r="SN162" s="5"/>
      <c r="SO162" s="5"/>
      <c r="SP162" s="5"/>
      <c r="SQ162" s="5"/>
      <c r="SR162" s="5"/>
      <c r="SS162" s="5"/>
      <c r="ST162" s="5"/>
      <c r="SU162" s="5"/>
      <c r="SV162" s="5"/>
      <c r="SW162" s="5"/>
      <c r="SX162" s="5"/>
      <c r="SY162" s="5"/>
      <c r="SZ162" s="5"/>
      <c r="TA162" s="5"/>
      <c r="TB162" s="5"/>
      <c r="TC162" s="5"/>
      <c r="TD162" s="5"/>
      <c r="TE162" s="5"/>
      <c r="TF162" s="5"/>
      <c r="TG162" s="5"/>
      <c r="TH162" s="5"/>
      <c r="TI162" s="5"/>
      <c r="TJ162" s="5"/>
      <c r="TK162" s="5"/>
      <c r="TL162" s="5"/>
      <c r="TM162" s="5"/>
      <c r="TN162" s="5"/>
      <c r="TO162" s="5"/>
      <c r="TP162" s="5"/>
      <c r="TQ162" s="5"/>
      <c r="TR162" s="5"/>
      <c r="TS162" s="5"/>
      <c r="TT162" s="5"/>
      <c r="TU162" s="5"/>
      <c r="TV162" s="5"/>
      <c r="TW162" s="5"/>
      <c r="TX162" s="5"/>
      <c r="TY162" s="5"/>
      <c r="TZ162" s="5"/>
      <c r="UA162" s="5"/>
      <c r="UB162" s="5"/>
      <c r="UC162" s="5"/>
      <c r="UD162" s="5"/>
      <c r="UE162" s="5"/>
      <c r="UF162" s="5"/>
      <c r="UG162" s="5"/>
      <c r="UH162" s="5"/>
      <c r="UI162" s="5"/>
      <c r="UJ162" s="5"/>
      <c r="UK162" s="5"/>
      <c r="UL162" s="5"/>
      <c r="UM162" s="5"/>
      <c r="UN162" s="5"/>
      <c r="UO162" s="5"/>
      <c r="UP162" s="5"/>
      <c r="UQ162" s="5"/>
      <c r="UR162" s="5"/>
      <c r="US162" s="5"/>
      <c r="UT162" s="5"/>
      <c r="UU162" s="5"/>
      <c r="UV162" s="5"/>
      <c r="UW162" s="5"/>
      <c r="UX162" s="5"/>
      <c r="UY162" s="5"/>
      <c r="UZ162" s="5"/>
      <c r="VA162" s="5"/>
      <c r="VB162" s="5"/>
      <c r="VC162" s="5"/>
      <c r="VD162" s="5"/>
      <c r="VE162" s="5"/>
      <c r="VF162" s="5"/>
      <c r="VG162" s="5"/>
      <c r="VH162" s="5"/>
      <c r="VI162" s="5"/>
      <c r="VJ162" s="5"/>
      <c r="VK162" s="5"/>
      <c r="VL162" s="5"/>
      <c r="VM162" s="5"/>
      <c r="VN162" s="5"/>
      <c r="VO162" s="5"/>
      <c r="VP162" s="5"/>
      <c r="VQ162" s="5"/>
      <c r="VR162" s="5"/>
      <c r="VS162" s="5"/>
      <c r="VT162" s="5"/>
      <c r="VU162" s="5"/>
      <c r="VV162" s="5"/>
      <c r="VW162" s="5"/>
      <c r="VX162" s="5"/>
      <c r="VY162" s="5"/>
      <c r="VZ162" s="5"/>
      <c r="WA162" s="5"/>
      <c r="WB162" s="5"/>
      <c r="WC162" s="5"/>
      <c r="WD162" s="5"/>
      <c r="WE162" s="5"/>
      <c r="WF162" s="5"/>
      <c r="WG162" s="5"/>
      <c r="WH162" s="5"/>
      <c r="WI162" s="5"/>
      <c r="WJ162" s="5"/>
      <c r="WK162" s="5"/>
      <c r="WL162" s="5"/>
      <c r="WM162" s="5"/>
      <c r="WN162" s="5"/>
      <c r="WO162" s="5"/>
      <c r="WP162" s="5"/>
      <c r="WQ162" s="5"/>
      <c r="WR162" s="5"/>
      <c r="WS162" s="5"/>
      <c r="WT162" s="5"/>
      <c r="WU162" s="5"/>
      <c r="WV162" s="5"/>
      <c r="WW162" s="5"/>
      <c r="WX162" s="5"/>
      <c r="WY162" s="5"/>
      <c r="WZ162" s="5"/>
      <c r="XA162" s="5"/>
      <c r="XB162" s="5"/>
      <c r="XC162" s="5"/>
      <c r="XD162" s="5"/>
      <c r="XE162" s="5"/>
      <c r="XF162" s="5"/>
      <c r="XG162" s="5"/>
      <c r="XH162" s="5"/>
      <c r="XI162" s="5"/>
      <c r="XJ162" s="5"/>
      <c r="XK162" s="5"/>
      <c r="XL162" s="5"/>
      <c r="XM162" s="5"/>
      <c r="XN162" s="5"/>
      <c r="XO162" s="5"/>
      <c r="XP162" s="5"/>
      <c r="XQ162" s="5"/>
      <c r="XR162" s="5"/>
      <c r="XS162" s="5"/>
      <c r="XT162" s="5"/>
      <c r="XU162" s="5"/>
      <c r="XV162" s="5"/>
      <c r="XW162" s="5"/>
      <c r="XX162" s="5"/>
      <c r="XY162" s="5"/>
      <c r="XZ162" s="5"/>
      <c r="YA162" s="5"/>
      <c r="YB162" s="5"/>
      <c r="YC162" s="5"/>
      <c r="YD162" s="5"/>
      <c r="YE162" s="5"/>
      <c r="YF162" s="5"/>
      <c r="YG162" s="5"/>
      <c r="YH162" s="5"/>
      <c r="YI162" s="5"/>
      <c r="YJ162" s="5"/>
      <c r="YK162" s="5"/>
      <c r="YL162" s="5"/>
      <c r="YM162" s="5"/>
      <c r="YN162" s="5"/>
      <c r="YO162" s="5"/>
      <c r="YP162" s="5"/>
      <c r="YQ162" s="5"/>
      <c r="YR162" s="5"/>
      <c r="YS162" s="5"/>
      <c r="YT162" s="5"/>
      <c r="YU162" s="5"/>
      <c r="YV162" s="5"/>
      <c r="YW162" s="5"/>
      <c r="YX162" s="5"/>
      <c r="YY162" s="5"/>
      <c r="YZ162" s="5"/>
    </row>
    <row r="163" spans="1:676">
      <c r="A163" s="7">
        <v>153</v>
      </c>
      <c r="B163" s="7" t="s">
        <v>386</v>
      </c>
      <c r="C163" s="10" t="s">
        <v>387</v>
      </c>
      <c r="D163" s="7" t="s">
        <v>214</v>
      </c>
      <c r="E163" s="7" t="s">
        <v>343</v>
      </c>
      <c r="F163" s="7" t="s">
        <v>344</v>
      </c>
      <c r="G163" s="7"/>
      <c r="H163" s="7" t="s">
        <v>43</v>
      </c>
      <c r="I163" s="11">
        <v>2</v>
      </c>
      <c r="J163" s="11">
        <v>3</v>
      </c>
      <c r="K163" s="11">
        <v>0</v>
      </c>
      <c r="L163" s="11">
        <v>0.42</v>
      </c>
      <c r="M163" s="11">
        <v>0</v>
      </c>
      <c r="N163" s="11">
        <v>0</v>
      </c>
      <c r="O163" s="11">
        <v>0.38</v>
      </c>
      <c r="P163" s="11">
        <v>0.83</v>
      </c>
      <c r="Q163" s="11">
        <v>1.63</v>
      </c>
      <c r="R163" s="11">
        <v>0</v>
      </c>
      <c r="S163" s="11">
        <v>1.63</v>
      </c>
      <c r="T163" s="11">
        <v>1.63</v>
      </c>
      <c r="U163" s="11">
        <v>0</v>
      </c>
      <c r="V163" s="11">
        <v>0</v>
      </c>
      <c r="W163" s="13">
        <v>2</v>
      </c>
      <c r="X163" s="13">
        <v>3</v>
      </c>
      <c r="Y163" s="13" t="str">
        <f>MIN(W163,S163)</f>
        <v>0</v>
      </c>
      <c r="Z163" s="13" t="str">
        <f>MIN(X163,(S163-Y163))</f>
        <v>0</v>
      </c>
      <c r="AA163" s="13" t="str">
        <f>S163-SUM(Y163,Z163)</f>
        <v>0</v>
      </c>
      <c r="AB163" s="15"/>
      <c r="AC163" s="15"/>
      <c r="AD163" s="1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T163" s="5"/>
      <c r="BU163" s="5"/>
      <c r="BV163" s="5"/>
      <c r="BW163" s="5"/>
      <c r="BX163" s="5"/>
      <c r="BY163" s="5"/>
      <c r="BZ163" s="5"/>
      <c r="CA163" s="5"/>
      <c r="CB163" s="5"/>
      <c r="CC163" s="5"/>
      <c r="CD163" s="5"/>
      <c r="CE163" s="5"/>
      <c r="CF163" s="5"/>
      <c r="CG163" s="5"/>
      <c r="CH163" s="5"/>
      <c r="CI163" s="5"/>
      <c r="CJ163" s="5"/>
      <c r="CK163" s="5"/>
      <c r="CL163" s="5"/>
      <c r="CM163" s="5"/>
      <c r="CN163" s="5"/>
      <c r="CO163" s="5"/>
      <c r="CP163" s="5"/>
      <c r="CQ163" s="5"/>
      <c r="CR163" s="5"/>
      <c r="CS163" s="5"/>
      <c r="CT163" s="5"/>
      <c r="CU163" s="5"/>
      <c r="CV163" s="5"/>
      <c r="CW163" s="5"/>
      <c r="CX163" s="5"/>
      <c r="CY163" s="5"/>
      <c r="CZ163" s="5"/>
      <c r="DA163" s="5"/>
      <c r="DB163" s="5"/>
      <c r="DC163" s="5"/>
      <c r="DD163" s="5"/>
      <c r="DE163" s="5"/>
      <c r="DF163" s="5"/>
      <c r="DG163" s="5"/>
      <c r="DH163" s="5"/>
      <c r="DI163" s="5"/>
      <c r="DJ163" s="5"/>
      <c r="DK163" s="5"/>
      <c r="DL163" s="5"/>
      <c r="DM163" s="5"/>
      <c r="DN163" s="5"/>
      <c r="DO163" s="5"/>
      <c r="DP163" s="5"/>
      <c r="DQ163" s="5"/>
      <c r="DR163" s="5"/>
      <c r="DS163" s="5"/>
      <c r="DT163" s="5"/>
      <c r="DU163" s="5"/>
      <c r="DV163" s="5"/>
      <c r="DW163" s="5"/>
      <c r="DX163" s="5"/>
      <c r="DY163" s="5"/>
      <c r="DZ163" s="5"/>
      <c r="EA163" s="5"/>
      <c r="EB163" s="5"/>
      <c r="EC163" s="5"/>
      <c r="ED163" s="5"/>
      <c r="EE163" s="5"/>
      <c r="EF163" s="5"/>
      <c r="EG163" s="5"/>
      <c r="EH163" s="5"/>
      <c r="EI163" s="5"/>
      <c r="EJ163" s="5"/>
      <c r="EK163" s="5"/>
      <c r="EL163" s="5"/>
      <c r="EM163" s="5"/>
      <c r="EN163" s="5"/>
      <c r="EO163" s="5"/>
      <c r="EP163" s="5"/>
      <c r="EQ163" s="5"/>
      <c r="ER163" s="5"/>
      <c r="ES163" s="5"/>
      <c r="ET163" s="5"/>
      <c r="EU163" s="5"/>
      <c r="EV163" s="5"/>
      <c r="EW163" s="5"/>
      <c r="EX163" s="5"/>
      <c r="EY163" s="5"/>
      <c r="EZ163" s="5"/>
      <c r="FA163" s="5"/>
      <c r="FB163" s="5"/>
      <c r="FC163" s="5"/>
      <c r="FD163" s="5"/>
      <c r="FE163" s="5"/>
      <c r="FF163" s="5"/>
      <c r="FG163" s="5"/>
      <c r="FH163" s="5"/>
      <c r="FI163" s="5"/>
      <c r="FJ163" s="5"/>
      <c r="FK163" s="5"/>
      <c r="FL163" s="5"/>
      <c r="FM163" s="5"/>
      <c r="FN163" s="5"/>
      <c r="FO163" s="5"/>
      <c r="FP163" s="5"/>
      <c r="FQ163" s="5"/>
      <c r="FR163" s="5"/>
      <c r="FS163" s="5"/>
      <c r="FT163" s="5"/>
      <c r="FU163" s="5"/>
      <c r="FV163" s="5"/>
      <c r="FW163" s="5"/>
      <c r="FX163" s="5"/>
      <c r="FY163" s="5"/>
      <c r="FZ163" s="5"/>
      <c r="GA163" s="5"/>
      <c r="GB163" s="5"/>
      <c r="GC163" s="5"/>
      <c r="GD163" s="5"/>
      <c r="GE163" s="5"/>
      <c r="GF163" s="5"/>
      <c r="GG163" s="5"/>
      <c r="GH163" s="5"/>
      <c r="GI163" s="5"/>
      <c r="GJ163" s="5"/>
      <c r="GK163" s="5"/>
      <c r="GL163" s="5"/>
      <c r="GM163" s="5"/>
      <c r="GN163" s="5"/>
      <c r="GO163" s="5"/>
      <c r="GP163" s="5"/>
      <c r="GQ163" s="5"/>
      <c r="GR163" s="5"/>
      <c r="GS163" s="5"/>
      <c r="GT163" s="5"/>
      <c r="GU163" s="5"/>
      <c r="GV163" s="5"/>
      <c r="GW163" s="5"/>
      <c r="GX163" s="5"/>
      <c r="GY163" s="5"/>
      <c r="GZ163" s="5"/>
      <c r="HA163" s="5"/>
      <c r="HB163" s="5"/>
      <c r="HC163" s="5"/>
      <c r="HD163" s="5"/>
      <c r="HE163" s="5"/>
      <c r="HF163" s="5"/>
      <c r="HG163" s="5"/>
      <c r="HH163" s="5"/>
      <c r="HI163" s="5"/>
      <c r="HJ163" s="5"/>
      <c r="HK163" s="5"/>
      <c r="HL163" s="5"/>
      <c r="HM163" s="5"/>
      <c r="HN163" s="5"/>
      <c r="HO163" s="5"/>
      <c r="HP163" s="5"/>
      <c r="HQ163" s="5"/>
      <c r="HR163" s="5"/>
      <c r="HS163" s="5"/>
      <c r="HT163" s="5"/>
      <c r="HU163" s="5"/>
      <c r="HV163" s="5"/>
      <c r="HW163" s="5"/>
      <c r="HX163" s="5"/>
      <c r="HY163" s="5"/>
      <c r="HZ163" s="5"/>
      <c r="IA163" s="5"/>
      <c r="IB163" s="5"/>
      <c r="IC163" s="5"/>
      <c r="ID163" s="5"/>
      <c r="IE163" s="5"/>
      <c r="IF163" s="5"/>
      <c r="IG163" s="5"/>
      <c r="IH163" s="5"/>
      <c r="II163" s="5"/>
      <c r="IJ163" s="5"/>
      <c r="IK163" s="5"/>
      <c r="IL163" s="5"/>
      <c r="IM163" s="5"/>
      <c r="IN163" s="5"/>
      <c r="IO163" s="5"/>
      <c r="IP163" s="5"/>
      <c r="IQ163" s="5"/>
      <c r="IR163" s="5"/>
      <c r="IS163" s="5"/>
      <c r="IT163" s="5"/>
      <c r="IU163" s="5"/>
      <c r="IV163" s="5"/>
      <c r="IW163" s="5"/>
      <c r="IX163" s="5"/>
      <c r="IY163" s="5"/>
      <c r="IZ163" s="5"/>
      <c r="JA163" s="5"/>
      <c r="JB163" s="5"/>
      <c r="JC163" s="5"/>
      <c r="JD163" s="5"/>
      <c r="JE163" s="5"/>
      <c r="JF163" s="5"/>
      <c r="JG163" s="5"/>
      <c r="JH163" s="5"/>
      <c r="JI163" s="5"/>
      <c r="JJ163" s="5"/>
      <c r="JK163" s="5"/>
      <c r="JL163" s="5"/>
      <c r="JM163" s="5"/>
      <c r="JN163" s="5"/>
      <c r="JO163" s="5"/>
      <c r="JP163" s="5"/>
      <c r="JQ163" s="5"/>
      <c r="JR163" s="5"/>
      <c r="JS163" s="5"/>
      <c r="JT163" s="5"/>
      <c r="JU163" s="5"/>
      <c r="JV163" s="5"/>
      <c r="JW163" s="5"/>
      <c r="JX163" s="5"/>
      <c r="JY163" s="5"/>
      <c r="JZ163" s="5"/>
      <c r="KA163" s="5"/>
      <c r="KB163" s="5"/>
      <c r="KC163" s="5"/>
      <c r="KD163" s="5"/>
      <c r="KE163" s="5"/>
      <c r="KF163" s="5"/>
      <c r="KG163" s="5"/>
      <c r="KH163" s="5"/>
      <c r="KI163" s="5"/>
      <c r="KJ163" s="5"/>
      <c r="KK163" s="5"/>
      <c r="KL163" s="5"/>
      <c r="KM163" s="5"/>
      <c r="KN163" s="5"/>
      <c r="KO163" s="5"/>
      <c r="KP163" s="5"/>
      <c r="KQ163" s="5"/>
      <c r="KR163" s="5"/>
      <c r="KS163" s="5"/>
      <c r="KT163" s="5"/>
      <c r="KU163" s="5"/>
      <c r="KV163" s="5"/>
      <c r="KW163" s="5"/>
      <c r="KX163" s="5"/>
      <c r="KY163" s="5"/>
      <c r="KZ163" s="5"/>
      <c r="LA163" s="5"/>
      <c r="LB163" s="5"/>
      <c r="LC163" s="5"/>
      <c r="LD163" s="5"/>
      <c r="LE163" s="5"/>
      <c r="LF163" s="5"/>
      <c r="LG163" s="5"/>
      <c r="LH163" s="5"/>
      <c r="LI163" s="5"/>
      <c r="LJ163" s="5"/>
      <c r="LK163" s="5"/>
      <c r="LL163" s="5"/>
      <c r="LM163" s="5"/>
      <c r="LN163" s="5"/>
      <c r="LO163" s="5"/>
      <c r="LP163" s="5"/>
      <c r="LQ163" s="5"/>
      <c r="LR163" s="5"/>
      <c r="LS163" s="5"/>
      <c r="LT163" s="5"/>
      <c r="LU163" s="5"/>
      <c r="LV163" s="5"/>
      <c r="LW163" s="5"/>
      <c r="LX163" s="5"/>
      <c r="LY163" s="5"/>
      <c r="LZ163" s="5"/>
      <c r="MA163" s="5"/>
      <c r="MB163" s="5"/>
      <c r="MC163" s="5"/>
      <c r="MD163" s="5"/>
      <c r="ME163" s="5"/>
      <c r="MF163" s="5"/>
      <c r="MG163" s="5"/>
      <c r="MH163" s="5"/>
      <c r="MI163" s="5"/>
      <c r="MJ163" s="5"/>
      <c r="MK163" s="5"/>
      <c r="ML163" s="5"/>
      <c r="MM163" s="5"/>
      <c r="MN163" s="5"/>
      <c r="MO163" s="5"/>
      <c r="MP163" s="5"/>
      <c r="MQ163" s="5"/>
      <c r="MR163" s="5"/>
      <c r="MS163" s="5"/>
      <c r="MT163" s="5"/>
      <c r="MU163" s="5"/>
      <c r="MV163" s="5"/>
      <c r="MW163" s="5"/>
      <c r="MX163" s="5"/>
      <c r="MY163" s="5"/>
      <c r="MZ163" s="5"/>
      <c r="NA163" s="5"/>
      <c r="NB163" s="5"/>
      <c r="NC163" s="5"/>
      <c r="ND163" s="5"/>
      <c r="NE163" s="5"/>
      <c r="NF163" s="5"/>
      <c r="NG163" s="5"/>
      <c r="NH163" s="5"/>
      <c r="NI163" s="5"/>
      <c r="NJ163" s="5"/>
      <c r="NK163" s="5"/>
      <c r="NL163" s="5"/>
      <c r="NM163" s="5"/>
      <c r="NN163" s="5"/>
      <c r="NO163" s="5"/>
      <c r="NP163" s="5"/>
      <c r="NQ163" s="5"/>
      <c r="NR163" s="5"/>
      <c r="NS163" s="5"/>
      <c r="NT163" s="5"/>
      <c r="NU163" s="5"/>
      <c r="NV163" s="5"/>
      <c r="NW163" s="5"/>
      <c r="NX163" s="5"/>
      <c r="NY163" s="5"/>
      <c r="NZ163" s="5"/>
      <c r="OA163" s="5"/>
      <c r="OB163" s="5"/>
      <c r="OC163" s="5"/>
      <c r="OD163" s="5"/>
      <c r="OE163" s="5"/>
      <c r="OF163" s="5"/>
      <c r="OG163" s="5"/>
      <c r="OH163" s="5"/>
      <c r="OI163" s="5"/>
      <c r="OJ163" s="5"/>
      <c r="OK163" s="5"/>
      <c r="OL163" s="5"/>
      <c r="OM163" s="5"/>
      <c r="ON163" s="5"/>
      <c r="OO163" s="5"/>
      <c r="OP163" s="5"/>
      <c r="OQ163" s="5"/>
      <c r="OR163" s="5"/>
      <c r="OS163" s="5"/>
      <c r="OT163" s="5"/>
      <c r="OU163" s="5"/>
      <c r="OV163" s="5"/>
      <c r="OW163" s="5"/>
      <c r="OX163" s="5"/>
      <c r="OY163" s="5"/>
      <c r="OZ163" s="5"/>
      <c r="PA163" s="5"/>
      <c r="PB163" s="5"/>
      <c r="PC163" s="5"/>
      <c r="PD163" s="5"/>
      <c r="PE163" s="5"/>
      <c r="PF163" s="5"/>
      <c r="PG163" s="5"/>
      <c r="PH163" s="5"/>
      <c r="PI163" s="5"/>
      <c r="PJ163" s="5"/>
      <c r="PK163" s="5"/>
      <c r="PL163" s="5"/>
      <c r="PM163" s="5"/>
      <c r="PN163" s="5"/>
      <c r="PO163" s="5"/>
      <c r="PP163" s="5"/>
      <c r="PQ163" s="5"/>
      <c r="PR163" s="5"/>
      <c r="PS163" s="5"/>
      <c r="PT163" s="5"/>
      <c r="PU163" s="5"/>
      <c r="PV163" s="5"/>
      <c r="PW163" s="5"/>
      <c r="PX163" s="5"/>
      <c r="PY163" s="5"/>
      <c r="PZ163" s="5"/>
      <c r="QA163" s="5"/>
      <c r="QB163" s="5"/>
      <c r="QC163" s="5"/>
      <c r="QD163" s="5"/>
      <c r="QE163" s="5"/>
      <c r="QF163" s="5"/>
      <c r="QG163" s="5"/>
      <c r="QH163" s="5"/>
      <c r="QI163" s="5"/>
      <c r="QJ163" s="5"/>
      <c r="QK163" s="5"/>
      <c r="QL163" s="5"/>
      <c r="QM163" s="5"/>
      <c r="QN163" s="5"/>
      <c r="QO163" s="5"/>
      <c r="QP163" s="5"/>
      <c r="QQ163" s="5"/>
      <c r="QR163" s="5"/>
      <c r="QS163" s="5"/>
      <c r="QT163" s="5"/>
      <c r="QU163" s="5"/>
      <c r="QV163" s="5"/>
      <c r="QW163" s="5"/>
      <c r="QX163" s="5"/>
      <c r="QY163" s="5"/>
      <c r="QZ163" s="5"/>
      <c r="RA163" s="5"/>
      <c r="RB163" s="5"/>
      <c r="RC163" s="5"/>
      <c r="RD163" s="5"/>
      <c r="RE163" s="5"/>
      <c r="RF163" s="5"/>
      <c r="RG163" s="5"/>
      <c r="RH163" s="5"/>
      <c r="RI163" s="5"/>
      <c r="RJ163" s="5"/>
      <c r="RK163" s="5"/>
      <c r="RL163" s="5"/>
      <c r="RM163" s="5"/>
      <c r="RN163" s="5"/>
      <c r="RO163" s="5"/>
      <c r="RP163" s="5"/>
      <c r="RQ163" s="5"/>
      <c r="RR163" s="5"/>
      <c r="RS163" s="5"/>
      <c r="RT163" s="5"/>
      <c r="RU163" s="5"/>
      <c r="RV163" s="5"/>
      <c r="RW163" s="5"/>
      <c r="RX163" s="5"/>
      <c r="RY163" s="5"/>
      <c r="RZ163" s="5"/>
      <c r="SA163" s="5"/>
      <c r="SB163" s="5"/>
      <c r="SC163" s="5"/>
      <c r="SD163" s="5"/>
      <c r="SE163" s="5"/>
      <c r="SF163" s="5"/>
      <c r="SG163" s="5"/>
      <c r="SH163" s="5"/>
      <c r="SI163" s="5"/>
      <c r="SJ163" s="5"/>
      <c r="SK163" s="5"/>
      <c r="SL163" s="5"/>
      <c r="SM163" s="5"/>
      <c r="SN163" s="5"/>
      <c r="SO163" s="5"/>
      <c r="SP163" s="5"/>
      <c r="SQ163" s="5"/>
      <c r="SR163" s="5"/>
      <c r="SS163" s="5"/>
      <c r="ST163" s="5"/>
      <c r="SU163" s="5"/>
      <c r="SV163" s="5"/>
      <c r="SW163" s="5"/>
      <c r="SX163" s="5"/>
      <c r="SY163" s="5"/>
      <c r="SZ163" s="5"/>
      <c r="TA163" s="5"/>
      <c r="TB163" s="5"/>
      <c r="TC163" s="5"/>
      <c r="TD163" s="5"/>
      <c r="TE163" s="5"/>
      <c r="TF163" s="5"/>
      <c r="TG163" s="5"/>
      <c r="TH163" s="5"/>
      <c r="TI163" s="5"/>
      <c r="TJ163" s="5"/>
      <c r="TK163" s="5"/>
      <c r="TL163" s="5"/>
      <c r="TM163" s="5"/>
      <c r="TN163" s="5"/>
      <c r="TO163" s="5"/>
      <c r="TP163" s="5"/>
      <c r="TQ163" s="5"/>
      <c r="TR163" s="5"/>
      <c r="TS163" s="5"/>
      <c r="TT163" s="5"/>
      <c r="TU163" s="5"/>
      <c r="TV163" s="5"/>
      <c r="TW163" s="5"/>
      <c r="TX163" s="5"/>
      <c r="TY163" s="5"/>
      <c r="TZ163" s="5"/>
      <c r="UA163" s="5"/>
      <c r="UB163" s="5"/>
      <c r="UC163" s="5"/>
      <c r="UD163" s="5"/>
      <c r="UE163" s="5"/>
      <c r="UF163" s="5"/>
      <c r="UG163" s="5"/>
      <c r="UH163" s="5"/>
      <c r="UI163" s="5"/>
      <c r="UJ163" s="5"/>
      <c r="UK163" s="5"/>
      <c r="UL163" s="5"/>
      <c r="UM163" s="5"/>
      <c r="UN163" s="5"/>
      <c r="UO163" s="5"/>
      <c r="UP163" s="5"/>
      <c r="UQ163" s="5"/>
      <c r="UR163" s="5"/>
      <c r="US163" s="5"/>
      <c r="UT163" s="5"/>
      <c r="UU163" s="5"/>
      <c r="UV163" s="5"/>
      <c r="UW163" s="5"/>
      <c r="UX163" s="5"/>
      <c r="UY163" s="5"/>
      <c r="UZ163" s="5"/>
      <c r="VA163" s="5"/>
      <c r="VB163" s="5"/>
      <c r="VC163" s="5"/>
      <c r="VD163" s="5"/>
      <c r="VE163" s="5"/>
      <c r="VF163" s="5"/>
      <c r="VG163" s="5"/>
      <c r="VH163" s="5"/>
      <c r="VI163" s="5"/>
      <c r="VJ163" s="5"/>
      <c r="VK163" s="5"/>
      <c r="VL163" s="5"/>
      <c r="VM163" s="5"/>
      <c r="VN163" s="5"/>
      <c r="VO163" s="5"/>
      <c r="VP163" s="5"/>
      <c r="VQ163" s="5"/>
      <c r="VR163" s="5"/>
      <c r="VS163" s="5"/>
      <c r="VT163" s="5"/>
      <c r="VU163" s="5"/>
      <c r="VV163" s="5"/>
      <c r="VW163" s="5"/>
      <c r="VX163" s="5"/>
      <c r="VY163" s="5"/>
      <c r="VZ163" s="5"/>
      <c r="WA163" s="5"/>
      <c r="WB163" s="5"/>
      <c r="WC163" s="5"/>
      <c r="WD163" s="5"/>
      <c r="WE163" s="5"/>
      <c r="WF163" s="5"/>
      <c r="WG163" s="5"/>
      <c r="WH163" s="5"/>
      <c r="WI163" s="5"/>
      <c r="WJ163" s="5"/>
      <c r="WK163" s="5"/>
      <c r="WL163" s="5"/>
      <c r="WM163" s="5"/>
      <c r="WN163" s="5"/>
      <c r="WO163" s="5"/>
      <c r="WP163" s="5"/>
      <c r="WQ163" s="5"/>
      <c r="WR163" s="5"/>
      <c r="WS163" s="5"/>
      <c r="WT163" s="5"/>
      <c r="WU163" s="5"/>
      <c r="WV163" s="5"/>
      <c r="WW163" s="5"/>
      <c r="WX163" s="5"/>
      <c r="WY163" s="5"/>
      <c r="WZ163" s="5"/>
      <c r="XA163" s="5"/>
      <c r="XB163" s="5"/>
      <c r="XC163" s="5"/>
      <c r="XD163" s="5"/>
      <c r="XE163" s="5"/>
      <c r="XF163" s="5"/>
      <c r="XG163" s="5"/>
      <c r="XH163" s="5"/>
      <c r="XI163" s="5"/>
      <c r="XJ163" s="5"/>
      <c r="XK163" s="5"/>
      <c r="XL163" s="5"/>
      <c r="XM163" s="5"/>
      <c r="XN163" s="5"/>
      <c r="XO163" s="5"/>
      <c r="XP163" s="5"/>
      <c r="XQ163" s="5"/>
      <c r="XR163" s="5"/>
      <c r="XS163" s="5"/>
      <c r="XT163" s="5"/>
      <c r="XU163" s="5"/>
      <c r="XV163" s="5"/>
      <c r="XW163" s="5"/>
      <c r="XX163" s="5"/>
      <c r="XY163" s="5"/>
      <c r="XZ163" s="5"/>
      <c r="YA163" s="5"/>
      <c r="YB163" s="5"/>
      <c r="YC163" s="5"/>
      <c r="YD163" s="5"/>
      <c r="YE163" s="5"/>
      <c r="YF163" s="5"/>
      <c r="YG163" s="5"/>
      <c r="YH163" s="5"/>
      <c r="YI163" s="5"/>
      <c r="YJ163" s="5"/>
      <c r="YK163" s="5"/>
      <c r="YL163" s="5"/>
      <c r="YM163" s="5"/>
      <c r="YN163" s="5"/>
      <c r="YO163" s="5"/>
      <c r="YP163" s="5"/>
      <c r="YQ163" s="5"/>
      <c r="YR163" s="5"/>
      <c r="YS163" s="5"/>
      <c r="YT163" s="5"/>
      <c r="YU163" s="5"/>
      <c r="YV163" s="5"/>
      <c r="YW163" s="5"/>
      <c r="YX163" s="5"/>
      <c r="YY163" s="5"/>
      <c r="YZ163" s="5"/>
    </row>
    <row r="164" spans="1:676">
      <c r="A164" s="7">
        <v>154</v>
      </c>
      <c r="B164" s="7" t="s">
        <v>388</v>
      </c>
      <c r="C164" s="10" t="s">
        <v>389</v>
      </c>
      <c r="D164" s="7" t="s">
        <v>214</v>
      </c>
      <c r="E164" s="7" t="s">
        <v>178</v>
      </c>
      <c r="F164" s="7" t="s">
        <v>347</v>
      </c>
      <c r="G164" s="7"/>
      <c r="H164" s="7"/>
      <c r="I164" s="11">
        <v>2</v>
      </c>
      <c r="J164" s="11">
        <v>3</v>
      </c>
      <c r="K164" s="11">
        <v>0</v>
      </c>
      <c r="L164" s="11">
        <v>0</v>
      </c>
      <c r="M164" s="11">
        <v>0</v>
      </c>
      <c r="N164" s="11">
        <v>0</v>
      </c>
      <c r="O164" s="11">
        <v>0.48</v>
      </c>
      <c r="P164" s="11">
        <v>0</v>
      </c>
      <c r="Q164" s="11">
        <v>0.48</v>
      </c>
      <c r="R164" s="11">
        <v>0</v>
      </c>
      <c r="S164" s="11">
        <v>0.48</v>
      </c>
      <c r="T164" s="11">
        <v>0.48</v>
      </c>
      <c r="U164" s="11">
        <v>0</v>
      </c>
      <c r="V164" s="11">
        <v>0</v>
      </c>
      <c r="W164" s="13">
        <v>2</v>
      </c>
      <c r="X164" s="13">
        <v>3</v>
      </c>
      <c r="Y164" s="13" t="str">
        <f>MIN(W164,S164)</f>
        <v>0</v>
      </c>
      <c r="Z164" s="13" t="str">
        <f>MIN(X164,(S164-Y164))</f>
        <v>0</v>
      </c>
      <c r="AA164" s="13" t="str">
        <f>S164-SUM(Y164,Z164)</f>
        <v>0</v>
      </c>
      <c r="AB164" s="15"/>
      <c r="AC164" s="15"/>
      <c r="AD164" s="1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  <c r="BA164" s="5"/>
      <c r="BB164" s="5"/>
      <c r="BC164" s="5"/>
      <c r="BD164" s="5"/>
      <c r="BE164" s="5"/>
      <c r="BF164" s="5"/>
      <c r="BG164" s="5"/>
      <c r="BH164" s="5"/>
      <c r="BI164" s="5"/>
      <c r="BJ164" s="5"/>
      <c r="BK164" s="5"/>
      <c r="BL164" s="5"/>
      <c r="BM164" s="5"/>
      <c r="BN164" s="5"/>
      <c r="BO164" s="5"/>
      <c r="BP164" s="5"/>
      <c r="BQ164" s="5"/>
      <c r="BR164" s="5"/>
      <c r="BS164" s="5"/>
      <c r="BT164" s="5"/>
      <c r="BU164" s="5"/>
      <c r="BV164" s="5"/>
      <c r="BW164" s="5"/>
      <c r="BX164" s="5"/>
      <c r="BY164" s="5"/>
      <c r="BZ164" s="5"/>
      <c r="CA164" s="5"/>
      <c r="CB164" s="5"/>
      <c r="CC164" s="5"/>
      <c r="CD164" s="5"/>
      <c r="CE164" s="5"/>
      <c r="CF164" s="5"/>
      <c r="CG164" s="5"/>
      <c r="CH164" s="5"/>
      <c r="CI164" s="5"/>
      <c r="CJ164" s="5"/>
      <c r="CK164" s="5"/>
      <c r="CL164" s="5"/>
      <c r="CM164" s="5"/>
      <c r="CN164" s="5"/>
      <c r="CO164" s="5"/>
      <c r="CP164" s="5"/>
      <c r="CQ164" s="5"/>
      <c r="CR164" s="5"/>
      <c r="CS164" s="5"/>
      <c r="CT164" s="5"/>
      <c r="CU164" s="5"/>
      <c r="CV164" s="5"/>
      <c r="CW164" s="5"/>
      <c r="CX164" s="5"/>
      <c r="CY164" s="5"/>
      <c r="CZ164" s="5"/>
      <c r="DA164" s="5"/>
      <c r="DB164" s="5"/>
      <c r="DC164" s="5"/>
      <c r="DD164" s="5"/>
      <c r="DE164" s="5"/>
      <c r="DF164" s="5"/>
      <c r="DG164" s="5"/>
      <c r="DH164" s="5"/>
      <c r="DI164" s="5"/>
      <c r="DJ164" s="5"/>
      <c r="DK164" s="5"/>
      <c r="DL164" s="5"/>
      <c r="DM164" s="5"/>
      <c r="DN164" s="5"/>
      <c r="DO164" s="5"/>
      <c r="DP164" s="5"/>
      <c r="DQ164" s="5"/>
      <c r="DR164" s="5"/>
      <c r="DS164" s="5"/>
      <c r="DT164" s="5"/>
      <c r="DU164" s="5"/>
      <c r="DV164" s="5"/>
      <c r="DW164" s="5"/>
      <c r="DX164" s="5"/>
      <c r="DY164" s="5"/>
      <c r="DZ164" s="5"/>
      <c r="EA164" s="5"/>
      <c r="EB164" s="5"/>
      <c r="EC164" s="5"/>
      <c r="ED164" s="5"/>
      <c r="EE164" s="5"/>
      <c r="EF164" s="5"/>
      <c r="EG164" s="5"/>
      <c r="EH164" s="5"/>
      <c r="EI164" s="5"/>
      <c r="EJ164" s="5"/>
      <c r="EK164" s="5"/>
      <c r="EL164" s="5"/>
      <c r="EM164" s="5"/>
      <c r="EN164" s="5"/>
      <c r="EO164" s="5"/>
      <c r="EP164" s="5"/>
      <c r="EQ164" s="5"/>
      <c r="ER164" s="5"/>
      <c r="ES164" s="5"/>
      <c r="ET164" s="5"/>
      <c r="EU164" s="5"/>
      <c r="EV164" s="5"/>
      <c r="EW164" s="5"/>
      <c r="EX164" s="5"/>
      <c r="EY164" s="5"/>
      <c r="EZ164" s="5"/>
      <c r="FA164" s="5"/>
      <c r="FB164" s="5"/>
      <c r="FC164" s="5"/>
      <c r="FD164" s="5"/>
      <c r="FE164" s="5"/>
      <c r="FF164" s="5"/>
      <c r="FG164" s="5"/>
      <c r="FH164" s="5"/>
      <c r="FI164" s="5"/>
      <c r="FJ164" s="5"/>
      <c r="FK164" s="5"/>
      <c r="FL164" s="5"/>
      <c r="FM164" s="5"/>
      <c r="FN164" s="5"/>
      <c r="FO164" s="5"/>
      <c r="FP164" s="5"/>
      <c r="FQ164" s="5"/>
      <c r="FR164" s="5"/>
      <c r="FS164" s="5"/>
      <c r="FT164" s="5"/>
      <c r="FU164" s="5"/>
      <c r="FV164" s="5"/>
      <c r="FW164" s="5"/>
      <c r="FX164" s="5"/>
      <c r="FY164" s="5"/>
      <c r="FZ164" s="5"/>
      <c r="GA164" s="5"/>
      <c r="GB164" s="5"/>
      <c r="GC164" s="5"/>
      <c r="GD164" s="5"/>
      <c r="GE164" s="5"/>
      <c r="GF164" s="5"/>
      <c r="GG164" s="5"/>
      <c r="GH164" s="5"/>
      <c r="GI164" s="5"/>
      <c r="GJ164" s="5"/>
      <c r="GK164" s="5"/>
      <c r="GL164" s="5"/>
      <c r="GM164" s="5"/>
      <c r="GN164" s="5"/>
      <c r="GO164" s="5"/>
      <c r="GP164" s="5"/>
      <c r="GQ164" s="5"/>
      <c r="GR164" s="5"/>
      <c r="GS164" s="5"/>
      <c r="GT164" s="5"/>
      <c r="GU164" s="5"/>
      <c r="GV164" s="5"/>
      <c r="GW164" s="5"/>
      <c r="GX164" s="5"/>
      <c r="GY164" s="5"/>
      <c r="GZ164" s="5"/>
      <c r="HA164" s="5"/>
      <c r="HB164" s="5"/>
      <c r="HC164" s="5"/>
      <c r="HD164" s="5"/>
      <c r="HE164" s="5"/>
      <c r="HF164" s="5"/>
      <c r="HG164" s="5"/>
      <c r="HH164" s="5"/>
      <c r="HI164" s="5"/>
      <c r="HJ164" s="5"/>
      <c r="HK164" s="5"/>
      <c r="HL164" s="5"/>
      <c r="HM164" s="5"/>
      <c r="HN164" s="5"/>
      <c r="HO164" s="5"/>
      <c r="HP164" s="5"/>
      <c r="HQ164" s="5"/>
      <c r="HR164" s="5"/>
      <c r="HS164" s="5"/>
      <c r="HT164" s="5"/>
      <c r="HU164" s="5"/>
      <c r="HV164" s="5"/>
      <c r="HW164" s="5"/>
      <c r="HX164" s="5"/>
      <c r="HY164" s="5"/>
      <c r="HZ164" s="5"/>
      <c r="IA164" s="5"/>
      <c r="IB164" s="5"/>
      <c r="IC164" s="5"/>
      <c r="ID164" s="5"/>
      <c r="IE164" s="5"/>
      <c r="IF164" s="5"/>
      <c r="IG164" s="5"/>
      <c r="IH164" s="5"/>
      <c r="II164" s="5"/>
      <c r="IJ164" s="5"/>
      <c r="IK164" s="5"/>
      <c r="IL164" s="5"/>
      <c r="IM164" s="5"/>
      <c r="IN164" s="5"/>
      <c r="IO164" s="5"/>
      <c r="IP164" s="5"/>
      <c r="IQ164" s="5"/>
      <c r="IR164" s="5"/>
      <c r="IS164" s="5"/>
      <c r="IT164" s="5"/>
      <c r="IU164" s="5"/>
      <c r="IV164" s="5"/>
      <c r="IW164" s="5"/>
      <c r="IX164" s="5"/>
      <c r="IY164" s="5"/>
      <c r="IZ164" s="5"/>
      <c r="JA164" s="5"/>
      <c r="JB164" s="5"/>
      <c r="JC164" s="5"/>
      <c r="JD164" s="5"/>
      <c r="JE164" s="5"/>
      <c r="JF164" s="5"/>
      <c r="JG164" s="5"/>
      <c r="JH164" s="5"/>
      <c r="JI164" s="5"/>
      <c r="JJ164" s="5"/>
      <c r="JK164" s="5"/>
      <c r="JL164" s="5"/>
      <c r="JM164" s="5"/>
      <c r="JN164" s="5"/>
      <c r="JO164" s="5"/>
      <c r="JP164" s="5"/>
      <c r="JQ164" s="5"/>
      <c r="JR164" s="5"/>
      <c r="JS164" s="5"/>
      <c r="JT164" s="5"/>
      <c r="JU164" s="5"/>
      <c r="JV164" s="5"/>
      <c r="JW164" s="5"/>
      <c r="JX164" s="5"/>
      <c r="JY164" s="5"/>
      <c r="JZ164" s="5"/>
      <c r="KA164" s="5"/>
      <c r="KB164" s="5"/>
      <c r="KC164" s="5"/>
      <c r="KD164" s="5"/>
      <c r="KE164" s="5"/>
      <c r="KF164" s="5"/>
      <c r="KG164" s="5"/>
      <c r="KH164" s="5"/>
      <c r="KI164" s="5"/>
      <c r="KJ164" s="5"/>
      <c r="KK164" s="5"/>
      <c r="KL164" s="5"/>
      <c r="KM164" s="5"/>
      <c r="KN164" s="5"/>
      <c r="KO164" s="5"/>
      <c r="KP164" s="5"/>
      <c r="KQ164" s="5"/>
      <c r="KR164" s="5"/>
      <c r="KS164" s="5"/>
      <c r="KT164" s="5"/>
      <c r="KU164" s="5"/>
      <c r="KV164" s="5"/>
      <c r="KW164" s="5"/>
      <c r="KX164" s="5"/>
      <c r="KY164" s="5"/>
      <c r="KZ164" s="5"/>
      <c r="LA164" s="5"/>
      <c r="LB164" s="5"/>
      <c r="LC164" s="5"/>
      <c r="LD164" s="5"/>
      <c r="LE164" s="5"/>
      <c r="LF164" s="5"/>
      <c r="LG164" s="5"/>
      <c r="LH164" s="5"/>
      <c r="LI164" s="5"/>
      <c r="LJ164" s="5"/>
      <c r="LK164" s="5"/>
      <c r="LL164" s="5"/>
      <c r="LM164" s="5"/>
      <c r="LN164" s="5"/>
      <c r="LO164" s="5"/>
      <c r="LP164" s="5"/>
      <c r="LQ164" s="5"/>
      <c r="LR164" s="5"/>
      <c r="LS164" s="5"/>
      <c r="LT164" s="5"/>
      <c r="LU164" s="5"/>
      <c r="LV164" s="5"/>
      <c r="LW164" s="5"/>
      <c r="LX164" s="5"/>
      <c r="LY164" s="5"/>
      <c r="LZ164" s="5"/>
      <c r="MA164" s="5"/>
      <c r="MB164" s="5"/>
      <c r="MC164" s="5"/>
      <c r="MD164" s="5"/>
      <c r="ME164" s="5"/>
      <c r="MF164" s="5"/>
      <c r="MG164" s="5"/>
      <c r="MH164" s="5"/>
      <c r="MI164" s="5"/>
      <c r="MJ164" s="5"/>
      <c r="MK164" s="5"/>
      <c r="ML164" s="5"/>
      <c r="MM164" s="5"/>
      <c r="MN164" s="5"/>
      <c r="MO164" s="5"/>
      <c r="MP164" s="5"/>
      <c r="MQ164" s="5"/>
      <c r="MR164" s="5"/>
      <c r="MS164" s="5"/>
      <c r="MT164" s="5"/>
      <c r="MU164" s="5"/>
      <c r="MV164" s="5"/>
      <c r="MW164" s="5"/>
      <c r="MX164" s="5"/>
      <c r="MY164" s="5"/>
      <c r="MZ164" s="5"/>
      <c r="NA164" s="5"/>
      <c r="NB164" s="5"/>
      <c r="NC164" s="5"/>
      <c r="ND164" s="5"/>
      <c r="NE164" s="5"/>
      <c r="NF164" s="5"/>
      <c r="NG164" s="5"/>
      <c r="NH164" s="5"/>
      <c r="NI164" s="5"/>
      <c r="NJ164" s="5"/>
      <c r="NK164" s="5"/>
      <c r="NL164" s="5"/>
      <c r="NM164" s="5"/>
      <c r="NN164" s="5"/>
      <c r="NO164" s="5"/>
      <c r="NP164" s="5"/>
      <c r="NQ164" s="5"/>
      <c r="NR164" s="5"/>
      <c r="NS164" s="5"/>
      <c r="NT164" s="5"/>
      <c r="NU164" s="5"/>
      <c r="NV164" s="5"/>
      <c r="NW164" s="5"/>
      <c r="NX164" s="5"/>
      <c r="NY164" s="5"/>
      <c r="NZ164" s="5"/>
      <c r="OA164" s="5"/>
      <c r="OB164" s="5"/>
      <c r="OC164" s="5"/>
      <c r="OD164" s="5"/>
      <c r="OE164" s="5"/>
      <c r="OF164" s="5"/>
      <c r="OG164" s="5"/>
      <c r="OH164" s="5"/>
      <c r="OI164" s="5"/>
      <c r="OJ164" s="5"/>
      <c r="OK164" s="5"/>
      <c r="OL164" s="5"/>
      <c r="OM164" s="5"/>
      <c r="ON164" s="5"/>
      <c r="OO164" s="5"/>
      <c r="OP164" s="5"/>
      <c r="OQ164" s="5"/>
      <c r="OR164" s="5"/>
      <c r="OS164" s="5"/>
      <c r="OT164" s="5"/>
      <c r="OU164" s="5"/>
      <c r="OV164" s="5"/>
      <c r="OW164" s="5"/>
      <c r="OX164" s="5"/>
      <c r="OY164" s="5"/>
      <c r="OZ164" s="5"/>
      <c r="PA164" s="5"/>
      <c r="PB164" s="5"/>
      <c r="PC164" s="5"/>
      <c r="PD164" s="5"/>
      <c r="PE164" s="5"/>
      <c r="PF164" s="5"/>
      <c r="PG164" s="5"/>
      <c r="PH164" s="5"/>
      <c r="PI164" s="5"/>
      <c r="PJ164" s="5"/>
      <c r="PK164" s="5"/>
      <c r="PL164" s="5"/>
      <c r="PM164" s="5"/>
      <c r="PN164" s="5"/>
      <c r="PO164" s="5"/>
      <c r="PP164" s="5"/>
      <c r="PQ164" s="5"/>
      <c r="PR164" s="5"/>
      <c r="PS164" s="5"/>
      <c r="PT164" s="5"/>
      <c r="PU164" s="5"/>
      <c r="PV164" s="5"/>
      <c r="PW164" s="5"/>
      <c r="PX164" s="5"/>
      <c r="PY164" s="5"/>
      <c r="PZ164" s="5"/>
      <c r="QA164" s="5"/>
      <c r="QB164" s="5"/>
      <c r="QC164" s="5"/>
      <c r="QD164" s="5"/>
      <c r="QE164" s="5"/>
      <c r="QF164" s="5"/>
      <c r="QG164" s="5"/>
      <c r="QH164" s="5"/>
      <c r="QI164" s="5"/>
      <c r="QJ164" s="5"/>
      <c r="QK164" s="5"/>
      <c r="QL164" s="5"/>
      <c r="QM164" s="5"/>
      <c r="QN164" s="5"/>
      <c r="QO164" s="5"/>
      <c r="QP164" s="5"/>
      <c r="QQ164" s="5"/>
      <c r="QR164" s="5"/>
      <c r="QS164" s="5"/>
      <c r="QT164" s="5"/>
      <c r="QU164" s="5"/>
      <c r="QV164" s="5"/>
      <c r="QW164" s="5"/>
      <c r="QX164" s="5"/>
      <c r="QY164" s="5"/>
      <c r="QZ164" s="5"/>
      <c r="RA164" s="5"/>
      <c r="RB164" s="5"/>
      <c r="RC164" s="5"/>
      <c r="RD164" s="5"/>
      <c r="RE164" s="5"/>
      <c r="RF164" s="5"/>
      <c r="RG164" s="5"/>
      <c r="RH164" s="5"/>
      <c r="RI164" s="5"/>
      <c r="RJ164" s="5"/>
      <c r="RK164" s="5"/>
      <c r="RL164" s="5"/>
      <c r="RM164" s="5"/>
      <c r="RN164" s="5"/>
      <c r="RO164" s="5"/>
      <c r="RP164" s="5"/>
      <c r="RQ164" s="5"/>
      <c r="RR164" s="5"/>
      <c r="RS164" s="5"/>
      <c r="RT164" s="5"/>
      <c r="RU164" s="5"/>
      <c r="RV164" s="5"/>
      <c r="RW164" s="5"/>
      <c r="RX164" s="5"/>
      <c r="RY164" s="5"/>
      <c r="RZ164" s="5"/>
      <c r="SA164" s="5"/>
      <c r="SB164" s="5"/>
      <c r="SC164" s="5"/>
      <c r="SD164" s="5"/>
      <c r="SE164" s="5"/>
      <c r="SF164" s="5"/>
      <c r="SG164" s="5"/>
      <c r="SH164" s="5"/>
      <c r="SI164" s="5"/>
      <c r="SJ164" s="5"/>
      <c r="SK164" s="5"/>
      <c r="SL164" s="5"/>
      <c r="SM164" s="5"/>
      <c r="SN164" s="5"/>
      <c r="SO164" s="5"/>
      <c r="SP164" s="5"/>
      <c r="SQ164" s="5"/>
      <c r="SR164" s="5"/>
      <c r="SS164" s="5"/>
      <c r="ST164" s="5"/>
      <c r="SU164" s="5"/>
      <c r="SV164" s="5"/>
      <c r="SW164" s="5"/>
      <c r="SX164" s="5"/>
      <c r="SY164" s="5"/>
      <c r="SZ164" s="5"/>
      <c r="TA164" s="5"/>
      <c r="TB164" s="5"/>
      <c r="TC164" s="5"/>
      <c r="TD164" s="5"/>
      <c r="TE164" s="5"/>
      <c r="TF164" s="5"/>
      <c r="TG164" s="5"/>
      <c r="TH164" s="5"/>
      <c r="TI164" s="5"/>
      <c r="TJ164" s="5"/>
      <c r="TK164" s="5"/>
      <c r="TL164" s="5"/>
      <c r="TM164" s="5"/>
      <c r="TN164" s="5"/>
      <c r="TO164" s="5"/>
      <c r="TP164" s="5"/>
      <c r="TQ164" s="5"/>
      <c r="TR164" s="5"/>
      <c r="TS164" s="5"/>
      <c r="TT164" s="5"/>
      <c r="TU164" s="5"/>
      <c r="TV164" s="5"/>
      <c r="TW164" s="5"/>
      <c r="TX164" s="5"/>
      <c r="TY164" s="5"/>
      <c r="TZ164" s="5"/>
      <c r="UA164" s="5"/>
      <c r="UB164" s="5"/>
      <c r="UC164" s="5"/>
      <c r="UD164" s="5"/>
      <c r="UE164" s="5"/>
      <c r="UF164" s="5"/>
      <c r="UG164" s="5"/>
      <c r="UH164" s="5"/>
      <c r="UI164" s="5"/>
      <c r="UJ164" s="5"/>
      <c r="UK164" s="5"/>
      <c r="UL164" s="5"/>
      <c r="UM164" s="5"/>
      <c r="UN164" s="5"/>
      <c r="UO164" s="5"/>
      <c r="UP164" s="5"/>
      <c r="UQ164" s="5"/>
      <c r="UR164" s="5"/>
      <c r="US164" s="5"/>
      <c r="UT164" s="5"/>
      <c r="UU164" s="5"/>
      <c r="UV164" s="5"/>
      <c r="UW164" s="5"/>
      <c r="UX164" s="5"/>
      <c r="UY164" s="5"/>
      <c r="UZ164" s="5"/>
      <c r="VA164" s="5"/>
      <c r="VB164" s="5"/>
      <c r="VC164" s="5"/>
      <c r="VD164" s="5"/>
      <c r="VE164" s="5"/>
      <c r="VF164" s="5"/>
      <c r="VG164" s="5"/>
      <c r="VH164" s="5"/>
      <c r="VI164" s="5"/>
      <c r="VJ164" s="5"/>
      <c r="VK164" s="5"/>
      <c r="VL164" s="5"/>
      <c r="VM164" s="5"/>
      <c r="VN164" s="5"/>
      <c r="VO164" s="5"/>
      <c r="VP164" s="5"/>
      <c r="VQ164" s="5"/>
      <c r="VR164" s="5"/>
      <c r="VS164" s="5"/>
      <c r="VT164" s="5"/>
      <c r="VU164" s="5"/>
      <c r="VV164" s="5"/>
      <c r="VW164" s="5"/>
      <c r="VX164" s="5"/>
      <c r="VY164" s="5"/>
      <c r="VZ164" s="5"/>
      <c r="WA164" s="5"/>
      <c r="WB164" s="5"/>
      <c r="WC164" s="5"/>
      <c r="WD164" s="5"/>
      <c r="WE164" s="5"/>
      <c r="WF164" s="5"/>
      <c r="WG164" s="5"/>
      <c r="WH164" s="5"/>
      <c r="WI164" s="5"/>
      <c r="WJ164" s="5"/>
      <c r="WK164" s="5"/>
      <c r="WL164" s="5"/>
      <c r="WM164" s="5"/>
      <c r="WN164" s="5"/>
      <c r="WO164" s="5"/>
      <c r="WP164" s="5"/>
      <c r="WQ164" s="5"/>
      <c r="WR164" s="5"/>
      <c r="WS164" s="5"/>
      <c r="WT164" s="5"/>
      <c r="WU164" s="5"/>
      <c r="WV164" s="5"/>
      <c r="WW164" s="5"/>
      <c r="WX164" s="5"/>
      <c r="WY164" s="5"/>
      <c r="WZ164" s="5"/>
      <c r="XA164" s="5"/>
      <c r="XB164" s="5"/>
      <c r="XC164" s="5"/>
      <c r="XD164" s="5"/>
      <c r="XE164" s="5"/>
      <c r="XF164" s="5"/>
      <c r="XG164" s="5"/>
      <c r="XH164" s="5"/>
      <c r="XI164" s="5"/>
      <c r="XJ164" s="5"/>
      <c r="XK164" s="5"/>
      <c r="XL164" s="5"/>
      <c r="XM164" s="5"/>
      <c r="XN164" s="5"/>
      <c r="XO164" s="5"/>
      <c r="XP164" s="5"/>
      <c r="XQ164" s="5"/>
      <c r="XR164" s="5"/>
      <c r="XS164" s="5"/>
      <c r="XT164" s="5"/>
      <c r="XU164" s="5"/>
      <c r="XV164" s="5"/>
      <c r="XW164" s="5"/>
      <c r="XX164" s="5"/>
      <c r="XY164" s="5"/>
      <c r="XZ164" s="5"/>
      <c r="YA164" s="5"/>
      <c r="YB164" s="5"/>
      <c r="YC164" s="5"/>
      <c r="YD164" s="5"/>
      <c r="YE164" s="5"/>
      <c r="YF164" s="5"/>
      <c r="YG164" s="5"/>
      <c r="YH164" s="5"/>
      <c r="YI164" s="5"/>
      <c r="YJ164" s="5"/>
      <c r="YK164" s="5"/>
      <c r="YL164" s="5"/>
      <c r="YM164" s="5"/>
      <c r="YN164" s="5"/>
      <c r="YO164" s="5"/>
      <c r="YP164" s="5"/>
      <c r="YQ164" s="5"/>
      <c r="YR164" s="5"/>
      <c r="YS164" s="5"/>
      <c r="YT164" s="5"/>
      <c r="YU164" s="5"/>
      <c r="YV164" s="5"/>
      <c r="YW164" s="5"/>
      <c r="YX164" s="5"/>
      <c r="YY164" s="5"/>
      <c r="YZ164" s="5"/>
    </row>
    <row r="165" spans="1:676">
      <c r="A165" s="7">
        <v>155</v>
      </c>
      <c r="B165" s="7" t="s">
        <v>390</v>
      </c>
      <c r="C165" s="10" t="s">
        <v>391</v>
      </c>
      <c r="D165" s="7" t="s">
        <v>50</v>
      </c>
      <c r="E165" s="7" t="s">
        <v>178</v>
      </c>
      <c r="F165" s="7" t="s">
        <v>355</v>
      </c>
      <c r="G165" s="7"/>
      <c r="H165" s="7"/>
      <c r="I165" s="11">
        <v>2</v>
      </c>
      <c r="J165" s="11">
        <v>3</v>
      </c>
      <c r="K165" s="11">
        <v>0</v>
      </c>
      <c r="L165" s="11">
        <v>0.23</v>
      </c>
      <c r="M165" s="11">
        <v>0.16</v>
      </c>
      <c r="N165" s="11">
        <v>0</v>
      </c>
      <c r="O165" s="11">
        <v>0</v>
      </c>
      <c r="P165" s="11">
        <v>1.6</v>
      </c>
      <c r="Q165" s="11">
        <v>1.99</v>
      </c>
      <c r="R165" s="11">
        <v>0</v>
      </c>
      <c r="S165" s="11">
        <v>1.99</v>
      </c>
      <c r="T165" s="11">
        <v>1.99</v>
      </c>
      <c r="U165" s="11">
        <v>0</v>
      </c>
      <c r="V165" s="11">
        <v>0</v>
      </c>
      <c r="W165" s="13">
        <v>2</v>
      </c>
      <c r="X165" s="13">
        <v>3</v>
      </c>
      <c r="Y165" s="13" t="str">
        <f>MIN(W165,S165)</f>
        <v>0</v>
      </c>
      <c r="Z165" s="13" t="str">
        <f>MIN(X165,(S165-Y165))</f>
        <v>0</v>
      </c>
      <c r="AA165" s="13" t="str">
        <f>S165-SUM(Y165,Z165)</f>
        <v>0</v>
      </c>
      <c r="AB165" s="15"/>
      <c r="AC165" s="15"/>
      <c r="AD165" s="1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  <c r="BA165" s="5"/>
      <c r="BB165" s="5"/>
      <c r="BC165" s="5"/>
      <c r="BD165" s="5"/>
      <c r="BE165" s="5"/>
      <c r="BF165" s="5"/>
      <c r="BG165" s="5"/>
      <c r="BH165" s="5"/>
      <c r="BI165" s="5"/>
      <c r="BJ165" s="5"/>
      <c r="BK165" s="5"/>
      <c r="BL165" s="5"/>
      <c r="BM165" s="5"/>
      <c r="BN165" s="5"/>
      <c r="BO165" s="5"/>
      <c r="BP165" s="5"/>
      <c r="BQ165" s="5"/>
      <c r="BR165" s="5"/>
      <c r="BS165" s="5"/>
      <c r="BT165" s="5"/>
      <c r="BU165" s="5"/>
      <c r="BV165" s="5"/>
      <c r="BW165" s="5"/>
      <c r="BX165" s="5"/>
      <c r="BY165" s="5"/>
      <c r="BZ165" s="5"/>
      <c r="CA165" s="5"/>
      <c r="CB165" s="5"/>
      <c r="CC165" s="5"/>
      <c r="CD165" s="5"/>
      <c r="CE165" s="5"/>
      <c r="CF165" s="5"/>
      <c r="CG165" s="5"/>
      <c r="CH165" s="5"/>
      <c r="CI165" s="5"/>
      <c r="CJ165" s="5"/>
      <c r="CK165" s="5"/>
      <c r="CL165" s="5"/>
      <c r="CM165" s="5"/>
      <c r="CN165" s="5"/>
      <c r="CO165" s="5"/>
      <c r="CP165" s="5"/>
      <c r="CQ165" s="5"/>
      <c r="CR165" s="5"/>
      <c r="CS165" s="5"/>
      <c r="CT165" s="5"/>
      <c r="CU165" s="5"/>
      <c r="CV165" s="5"/>
      <c r="CW165" s="5"/>
      <c r="CX165" s="5"/>
      <c r="CY165" s="5"/>
      <c r="CZ165" s="5"/>
      <c r="DA165" s="5"/>
      <c r="DB165" s="5"/>
      <c r="DC165" s="5"/>
      <c r="DD165" s="5"/>
      <c r="DE165" s="5"/>
      <c r="DF165" s="5"/>
      <c r="DG165" s="5"/>
      <c r="DH165" s="5"/>
      <c r="DI165" s="5"/>
      <c r="DJ165" s="5"/>
      <c r="DK165" s="5"/>
      <c r="DL165" s="5"/>
      <c r="DM165" s="5"/>
      <c r="DN165" s="5"/>
      <c r="DO165" s="5"/>
      <c r="DP165" s="5"/>
      <c r="DQ165" s="5"/>
      <c r="DR165" s="5"/>
      <c r="DS165" s="5"/>
      <c r="DT165" s="5"/>
      <c r="DU165" s="5"/>
      <c r="DV165" s="5"/>
      <c r="DW165" s="5"/>
      <c r="DX165" s="5"/>
      <c r="DY165" s="5"/>
      <c r="DZ165" s="5"/>
      <c r="EA165" s="5"/>
      <c r="EB165" s="5"/>
      <c r="EC165" s="5"/>
      <c r="ED165" s="5"/>
      <c r="EE165" s="5"/>
      <c r="EF165" s="5"/>
      <c r="EG165" s="5"/>
      <c r="EH165" s="5"/>
      <c r="EI165" s="5"/>
      <c r="EJ165" s="5"/>
      <c r="EK165" s="5"/>
      <c r="EL165" s="5"/>
      <c r="EM165" s="5"/>
      <c r="EN165" s="5"/>
      <c r="EO165" s="5"/>
      <c r="EP165" s="5"/>
      <c r="EQ165" s="5"/>
      <c r="ER165" s="5"/>
      <c r="ES165" s="5"/>
      <c r="ET165" s="5"/>
      <c r="EU165" s="5"/>
      <c r="EV165" s="5"/>
      <c r="EW165" s="5"/>
      <c r="EX165" s="5"/>
      <c r="EY165" s="5"/>
      <c r="EZ165" s="5"/>
      <c r="FA165" s="5"/>
      <c r="FB165" s="5"/>
      <c r="FC165" s="5"/>
      <c r="FD165" s="5"/>
      <c r="FE165" s="5"/>
      <c r="FF165" s="5"/>
      <c r="FG165" s="5"/>
      <c r="FH165" s="5"/>
      <c r="FI165" s="5"/>
      <c r="FJ165" s="5"/>
      <c r="FK165" s="5"/>
      <c r="FL165" s="5"/>
      <c r="FM165" s="5"/>
      <c r="FN165" s="5"/>
      <c r="FO165" s="5"/>
      <c r="FP165" s="5"/>
      <c r="FQ165" s="5"/>
      <c r="FR165" s="5"/>
      <c r="FS165" s="5"/>
      <c r="FT165" s="5"/>
      <c r="FU165" s="5"/>
      <c r="FV165" s="5"/>
      <c r="FW165" s="5"/>
      <c r="FX165" s="5"/>
      <c r="FY165" s="5"/>
      <c r="FZ165" s="5"/>
      <c r="GA165" s="5"/>
      <c r="GB165" s="5"/>
      <c r="GC165" s="5"/>
      <c r="GD165" s="5"/>
      <c r="GE165" s="5"/>
      <c r="GF165" s="5"/>
      <c r="GG165" s="5"/>
      <c r="GH165" s="5"/>
      <c r="GI165" s="5"/>
      <c r="GJ165" s="5"/>
      <c r="GK165" s="5"/>
      <c r="GL165" s="5"/>
      <c r="GM165" s="5"/>
      <c r="GN165" s="5"/>
      <c r="GO165" s="5"/>
      <c r="GP165" s="5"/>
      <c r="GQ165" s="5"/>
      <c r="GR165" s="5"/>
      <c r="GS165" s="5"/>
      <c r="GT165" s="5"/>
      <c r="GU165" s="5"/>
      <c r="GV165" s="5"/>
      <c r="GW165" s="5"/>
      <c r="GX165" s="5"/>
      <c r="GY165" s="5"/>
      <c r="GZ165" s="5"/>
      <c r="HA165" s="5"/>
      <c r="HB165" s="5"/>
      <c r="HC165" s="5"/>
      <c r="HD165" s="5"/>
      <c r="HE165" s="5"/>
      <c r="HF165" s="5"/>
      <c r="HG165" s="5"/>
      <c r="HH165" s="5"/>
      <c r="HI165" s="5"/>
      <c r="HJ165" s="5"/>
      <c r="HK165" s="5"/>
      <c r="HL165" s="5"/>
      <c r="HM165" s="5"/>
      <c r="HN165" s="5"/>
      <c r="HO165" s="5"/>
      <c r="HP165" s="5"/>
      <c r="HQ165" s="5"/>
      <c r="HR165" s="5"/>
      <c r="HS165" s="5"/>
      <c r="HT165" s="5"/>
      <c r="HU165" s="5"/>
      <c r="HV165" s="5"/>
      <c r="HW165" s="5"/>
      <c r="HX165" s="5"/>
      <c r="HY165" s="5"/>
      <c r="HZ165" s="5"/>
      <c r="IA165" s="5"/>
      <c r="IB165" s="5"/>
      <c r="IC165" s="5"/>
      <c r="ID165" s="5"/>
      <c r="IE165" s="5"/>
      <c r="IF165" s="5"/>
      <c r="IG165" s="5"/>
      <c r="IH165" s="5"/>
      <c r="II165" s="5"/>
      <c r="IJ165" s="5"/>
      <c r="IK165" s="5"/>
      <c r="IL165" s="5"/>
      <c r="IM165" s="5"/>
      <c r="IN165" s="5"/>
      <c r="IO165" s="5"/>
      <c r="IP165" s="5"/>
      <c r="IQ165" s="5"/>
      <c r="IR165" s="5"/>
      <c r="IS165" s="5"/>
      <c r="IT165" s="5"/>
      <c r="IU165" s="5"/>
      <c r="IV165" s="5"/>
      <c r="IW165" s="5"/>
      <c r="IX165" s="5"/>
      <c r="IY165" s="5"/>
      <c r="IZ165" s="5"/>
      <c r="JA165" s="5"/>
      <c r="JB165" s="5"/>
      <c r="JC165" s="5"/>
      <c r="JD165" s="5"/>
      <c r="JE165" s="5"/>
      <c r="JF165" s="5"/>
      <c r="JG165" s="5"/>
      <c r="JH165" s="5"/>
      <c r="JI165" s="5"/>
      <c r="JJ165" s="5"/>
      <c r="JK165" s="5"/>
      <c r="JL165" s="5"/>
      <c r="JM165" s="5"/>
      <c r="JN165" s="5"/>
      <c r="JO165" s="5"/>
      <c r="JP165" s="5"/>
      <c r="JQ165" s="5"/>
      <c r="JR165" s="5"/>
      <c r="JS165" s="5"/>
      <c r="JT165" s="5"/>
      <c r="JU165" s="5"/>
      <c r="JV165" s="5"/>
      <c r="JW165" s="5"/>
      <c r="JX165" s="5"/>
      <c r="JY165" s="5"/>
      <c r="JZ165" s="5"/>
      <c r="KA165" s="5"/>
      <c r="KB165" s="5"/>
      <c r="KC165" s="5"/>
      <c r="KD165" s="5"/>
      <c r="KE165" s="5"/>
      <c r="KF165" s="5"/>
      <c r="KG165" s="5"/>
      <c r="KH165" s="5"/>
      <c r="KI165" s="5"/>
      <c r="KJ165" s="5"/>
      <c r="KK165" s="5"/>
      <c r="KL165" s="5"/>
      <c r="KM165" s="5"/>
      <c r="KN165" s="5"/>
      <c r="KO165" s="5"/>
      <c r="KP165" s="5"/>
      <c r="KQ165" s="5"/>
      <c r="KR165" s="5"/>
      <c r="KS165" s="5"/>
      <c r="KT165" s="5"/>
      <c r="KU165" s="5"/>
      <c r="KV165" s="5"/>
      <c r="KW165" s="5"/>
      <c r="KX165" s="5"/>
      <c r="KY165" s="5"/>
      <c r="KZ165" s="5"/>
      <c r="LA165" s="5"/>
      <c r="LB165" s="5"/>
      <c r="LC165" s="5"/>
      <c r="LD165" s="5"/>
      <c r="LE165" s="5"/>
      <c r="LF165" s="5"/>
      <c r="LG165" s="5"/>
      <c r="LH165" s="5"/>
      <c r="LI165" s="5"/>
      <c r="LJ165" s="5"/>
      <c r="LK165" s="5"/>
      <c r="LL165" s="5"/>
      <c r="LM165" s="5"/>
      <c r="LN165" s="5"/>
      <c r="LO165" s="5"/>
      <c r="LP165" s="5"/>
      <c r="LQ165" s="5"/>
      <c r="LR165" s="5"/>
      <c r="LS165" s="5"/>
      <c r="LT165" s="5"/>
      <c r="LU165" s="5"/>
      <c r="LV165" s="5"/>
      <c r="LW165" s="5"/>
      <c r="LX165" s="5"/>
      <c r="LY165" s="5"/>
      <c r="LZ165" s="5"/>
      <c r="MA165" s="5"/>
      <c r="MB165" s="5"/>
      <c r="MC165" s="5"/>
      <c r="MD165" s="5"/>
      <c r="ME165" s="5"/>
      <c r="MF165" s="5"/>
      <c r="MG165" s="5"/>
      <c r="MH165" s="5"/>
      <c r="MI165" s="5"/>
      <c r="MJ165" s="5"/>
      <c r="MK165" s="5"/>
      <c r="ML165" s="5"/>
      <c r="MM165" s="5"/>
      <c r="MN165" s="5"/>
      <c r="MO165" s="5"/>
      <c r="MP165" s="5"/>
      <c r="MQ165" s="5"/>
      <c r="MR165" s="5"/>
      <c r="MS165" s="5"/>
      <c r="MT165" s="5"/>
      <c r="MU165" s="5"/>
      <c r="MV165" s="5"/>
      <c r="MW165" s="5"/>
      <c r="MX165" s="5"/>
      <c r="MY165" s="5"/>
      <c r="MZ165" s="5"/>
      <c r="NA165" s="5"/>
      <c r="NB165" s="5"/>
      <c r="NC165" s="5"/>
      <c r="ND165" s="5"/>
      <c r="NE165" s="5"/>
      <c r="NF165" s="5"/>
      <c r="NG165" s="5"/>
      <c r="NH165" s="5"/>
      <c r="NI165" s="5"/>
      <c r="NJ165" s="5"/>
      <c r="NK165" s="5"/>
      <c r="NL165" s="5"/>
      <c r="NM165" s="5"/>
      <c r="NN165" s="5"/>
      <c r="NO165" s="5"/>
      <c r="NP165" s="5"/>
      <c r="NQ165" s="5"/>
      <c r="NR165" s="5"/>
      <c r="NS165" s="5"/>
      <c r="NT165" s="5"/>
      <c r="NU165" s="5"/>
      <c r="NV165" s="5"/>
      <c r="NW165" s="5"/>
      <c r="NX165" s="5"/>
      <c r="NY165" s="5"/>
      <c r="NZ165" s="5"/>
      <c r="OA165" s="5"/>
      <c r="OB165" s="5"/>
      <c r="OC165" s="5"/>
      <c r="OD165" s="5"/>
      <c r="OE165" s="5"/>
      <c r="OF165" s="5"/>
      <c r="OG165" s="5"/>
      <c r="OH165" s="5"/>
      <c r="OI165" s="5"/>
      <c r="OJ165" s="5"/>
      <c r="OK165" s="5"/>
      <c r="OL165" s="5"/>
      <c r="OM165" s="5"/>
      <c r="ON165" s="5"/>
      <c r="OO165" s="5"/>
      <c r="OP165" s="5"/>
      <c r="OQ165" s="5"/>
      <c r="OR165" s="5"/>
      <c r="OS165" s="5"/>
      <c r="OT165" s="5"/>
      <c r="OU165" s="5"/>
      <c r="OV165" s="5"/>
      <c r="OW165" s="5"/>
      <c r="OX165" s="5"/>
      <c r="OY165" s="5"/>
      <c r="OZ165" s="5"/>
      <c r="PA165" s="5"/>
      <c r="PB165" s="5"/>
      <c r="PC165" s="5"/>
      <c r="PD165" s="5"/>
      <c r="PE165" s="5"/>
      <c r="PF165" s="5"/>
      <c r="PG165" s="5"/>
      <c r="PH165" s="5"/>
      <c r="PI165" s="5"/>
      <c r="PJ165" s="5"/>
      <c r="PK165" s="5"/>
      <c r="PL165" s="5"/>
      <c r="PM165" s="5"/>
      <c r="PN165" s="5"/>
      <c r="PO165" s="5"/>
      <c r="PP165" s="5"/>
      <c r="PQ165" s="5"/>
      <c r="PR165" s="5"/>
      <c r="PS165" s="5"/>
      <c r="PT165" s="5"/>
      <c r="PU165" s="5"/>
      <c r="PV165" s="5"/>
      <c r="PW165" s="5"/>
      <c r="PX165" s="5"/>
      <c r="PY165" s="5"/>
      <c r="PZ165" s="5"/>
      <c r="QA165" s="5"/>
      <c r="QB165" s="5"/>
      <c r="QC165" s="5"/>
      <c r="QD165" s="5"/>
      <c r="QE165" s="5"/>
      <c r="QF165" s="5"/>
      <c r="QG165" s="5"/>
      <c r="QH165" s="5"/>
      <c r="QI165" s="5"/>
      <c r="QJ165" s="5"/>
      <c r="QK165" s="5"/>
      <c r="QL165" s="5"/>
      <c r="QM165" s="5"/>
      <c r="QN165" s="5"/>
      <c r="QO165" s="5"/>
      <c r="QP165" s="5"/>
      <c r="QQ165" s="5"/>
      <c r="QR165" s="5"/>
      <c r="QS165" s="5"/>
      <c r="QT165" s="5"/>
      <c r="QU165" s="5"/>
      <c r="QV165" s="5"/>
      <c r="QW165" s="5"/>
      <c r="QX165" s="5"/>
      <c r="QY165" s="5"/>
      <c r="QZ165" s="5"/>
      <c r="RA165" s="5"/>
      <c r="RB165" s="5"/>
      <c r="RC165" s="5"/>
      <c r="RD165" s="5"/>
      <c r="RE165" s="5"/>
      <c r="RF165" s="5"/>
      <c r="RG165" s="5"/>
      <c r="RH165" s="5"/>
      <c r="RI165" s="5"/>
      <c r="RJ165" s="5"/>
      <c r="RK165" s="5"/>
      <c r="RL165" s="5"/>
      <c r="RM165" s="5"/>
      <c r="RN165" s="5"/>
      <c r="RO165" s="5"/>
      <c r="RP165" s="5"/>
      <c r="RQ165" s="5"/>
      <c r="RR165" s="5"/>
      <c r="RS165" s="5"/>
      <c r="RT165" s="5"/>
      <c r="RU165" s="5"/>
      <c r="RV165" s="5"/>
      <c r="RW165" s="5"/>
      <c r="RX165" s="5"/>
      <c r="RY165" s="5"/>
      <c r="RZ165" s="5"/>
      <c r="SA165" s="5"/>
      <c r="SB165" s="5"/>
      <c r="SC165" s="5"/>
      <c r="SD165" s="5"/>
      <c r="SE165" s="5"/>
      <c r="SF165" s="5"/>
      <c r="SG165" s="5"/>
      <c r="SH165" s="5"/>
      <c r="SI165" s="5"/>
      <c r="SJ165" s="5"/>
      <c r="SK165" s="5"/>
      <c r="SL165" s="5"/>
      <c r="SM165" s="5"/>
      <c r="SN165" s="5"/>
      <c r="SO165" s="5"/>
      <c r="SP165" s="5"/>
      <c r="SQ165" s="5"/>
      <c r="SR165" s="5"/>
      <c r="SS165" s="5"/>
      <c r="ST165" s="5"/>
      <c r="SU165" s="5"/>
      <c r="SV165" s="5"/>
      <c r="SW165" s="5"/>
      <c r="SX165" s="5"/>
      <c r="SY165" s="5"/>
      <c r="SZ165" s="5"/>
      <c r="TA165" s="5"/>
      <c r="TB165" s="5"/>
      <c r="TC165" s="5"/>
      <c r="TD165" s="5"/>
      <c r="TE165" s="5"/>
      <c r="TF165" s="5"/>
      <c r="TG165" s="5"/>
      <c r="TH165" s="5"/>
      <c r="TI165" s="5"/>
      <c r="TJ165" s="5"/>
      <c r="TK165" s="5"/>
      <c r="TL165" s="5"/>
      <c r="TM165" s="5"/>
      <c r="TN165" s="5"/>
      <c r="TO165" s="5"/>
      <c r="TP165" s="5"/>
      <c r="TQ165" s="5"/>
      <c r="TR165" s="5"/>
      <c r="TS165" s="5"/>
      <c r="TT165" s="5"/>
      <c r="TU165" s="5"/>
      <c r="TV165" s="5"/>
      <c r="TW165" s="5"/>
      <c r="TX165" s="5"/>
      <c r="TY165" s="5"/>
      <c r="TZ165" s="5"/>
      <c r="UA165" s="5"/>
      <c r="UB165" s="5"/>
      <c r="UC165" s="5"/>
      <c r="UD165" s="5"/>
      <c r="UE165" s="5"/>
      <c r="UF165" s="5"/>
      <c r="UG165" s="5"/>
      <c r="UH165" s="5"/>
      <c r="UI165" s="5"/>
      <c r="UJ165" s="5"/>
      <c r="UK165" s="5"/>
      <c r="UL165" s="5"/>
      <c r="UM165" s="5"/>
      <c r="UN165" s="5"/>
      <c r="UO165" s="5"/>
      <c r="UP165" s="5"/>
      <c r="UQ165" s="5"/>
      <c r="UR165" s="5"/>
      <c r="US165" s="5"/>
      <c r="UT165" s="5"/>
      <c r="UU165" s="5"/>
      <c r="UV165" s="5"/>
      <c r="UW165" s="5"/>
      <c r="UX165" s="5"/>
      <c r="UY165" s="5"/>
      <c r="UZ165" s="5"/>
      <c r="VA165" s="5"/>
      <c r="VB165" s="5"/>
      <c r="VC165" s="5"/>
      <c r="VD165" s="5"/>
      <c r="VE165" s="5"/>
      <c r="VF165" s="5"/>
      <c r="VG165" s="5"/>
      <c r="VH165" s="5"/>
      <c r="VI165" s="5"/>
      <c r="VJ165" s="5"/>
      <c r="VK165" s="5"/>
      <c r="VL165" s="5"/>
      <c r="VM165" s="5"/>
      <c r="VN165" s="5"/>
      <c r="VO165" s="5"/>
      <c r="VP165" s="5"/>
      <c r="VQ165" s="5"/>
      <c r="VR165" s="5"/>
      <c r="VS165" s="5"/>
      <c r="VT165" s="5"/>
      <c r="VU165" s="5"/>
      <c r="VV165" s="5"/>
      <c r="VW165" s="5"/>
      <c r="VX165" s="5"/>
      <c r="VY165" s="5"/>
      <c r="VZ165" s="5"/>
      <c r="WA165" s="5"/>
      <c r="WB165" s="5"/>
      <c r="WC165" s="5"/>
      <c r="WD165" s="5"/>
      <c r="WE165" s="5"/>
      <c r="WF165" s="5"/>
      <c r="WG165" s="5"/>
      <c r="WH165" s="5"/>
      <c r="WI165" s="5"/>
      <c r="WJ165" s="5"/>
      <c r="WK165" s="5"/>
      <c r="WL165" s="5"/>
      <c r="WM165" s="5"/>
      <c r="WN165" s="5"/>
      <c r="WO165" s="5"/>
      <c r="WP165" s="5"/>
      <c r="WQ165" s="5"/>
      <c r="WR165" s="5"/>
      <c r="WS165" s="5"/>
      <c r="WT165" s="5"/>
      <c r="WU165" s="5"/>
      <c r="WV165" s="5"/>
      <c r="WW165" s="5"/>
      <c r="WX165" s="5"/>
      <c r="WY165" s="5"/>
      <c r="WZ165" s="5"/>
      <c r="XA165" s="5"/>
      <c r="XB165" s="5"/>
      <c r="XC165" s="5"/>
      <c r="XD165" s="5"/>
      <c r="XE165" s="5"/>
      <c r="XF165" s="5"/>
      <c r="XG165" s="5"/>
      <c r="XH165" s="5"/>
      <c r="XI165" s="5"/>
      <c r="XJ165" s="5"/>
      <c r="XK165" s="5"/>
      <c r="XL165" s="5"/>
      <c r="XM165" s="5"/>
      <c r="XN165" s="5"/>
      <c r="XO165" s="5"/>
      <c r="XP165" s="5"/>
      <c r="XQ165" s="5"/>
      <c r="XR165" s="5"/>
      <c r="XS165" s="5"/>
      <c r="XT165" s="5"/>
      <c r="XU165" s="5"/>
      <c r="XV165" s="5"/>
      <c r="XW165" s="5"/>
      <c r="XX165" s="5"/>
      <c r="XY165" s="5"/>
      <c r="XZ165" s="5"/>
      <c r="YA165" s="5"/>
      <c r="YB165" s="5"/>
      <c r="YC165" s="5"/>
      <c r="YD165" s="5"/>
      <c r="YE165" s="5"/>
      <c r="YF165" s="5"/>
      <c r="YG165" s="5"/>
      <c r="YH165" s="5"/>
      <c r="YI165" s="5"/>
      <c r="YJ165" s="5"/>
      <c r="YK165" s="5"/>
      <c r="YL165" s="5"/>
      <c r="YM165" s="5"/>
      <c r="YN165" s="5"/>
      <c r="YO165" s="5"/>
      <c r="YP165" s="5"/>
      <c r="YQ165" s="5"/>
      <c r="YR165" s="5"/>
      <c r="YS165" s="5"/>
      <c r="YT165" s="5"/>
      <c r="YU165" s="5"/>
      <c r="YV165" s="5"/>
      <c r="YW165" s="5"/>
      <c r="YX165" s="5"/>
      <c r="YY165" s="5"/>
      <c r="YZ165" s="5"/>
    </row>
    <row r="166" spans="1:676">
      <c r="A166" s="7">
        <v>156</v>
      </c>
      <c r="B166" s="7" t="s">
        <v>392</v>
      </c>
      <c r="C166" s="10" t="s">
        <v>393</v>
      </c>
      <c r="D166" s="7" t="s">
        <v>214</v>
      </c>
      <c r="E166" s="7" t="s">
        <v>178</v>
      </c>
      <c r="F166" s="7" t="s">
        <v>344</v>
      </c>
      <c r="G166" s="7"/>
      <c r="H166" s="7" t="s">
        <v>43</v>
      </c>
      <c r="I166" s="11">
        <v>2</v>
      </c>
      <c r="J166" s="11">
        <v>3</v>
      </c>
      <c r="K166" s="11">
        <v>0</v>
      </c>
      <c r="L166" s="11">
        <v>0.36</v>
      </c>
      <c r="M166" s="11">
        <v>0</v>
      </c>
      <c r="N166" s="11">
        <v>0</v>
      </c>
      <c r="O166" s="11">
        <v>0.76</v>
      </c>
      <c r="P166" s="11">
        <v>2.43</v>
      </c>
      <c r="Q166" s="11">
        <v>3.55</v>
      </c>
      <c r="R166" s="11">
        <v>0</v>
      </c>
      <c r="S166" s="11">
        <v>3.55</v>
      </c>
      <c r="T166" s="11">
        <v>2</v>
      </c>
      <c r="U166" s="11">
        <v>1.55</v>
      </c>
      <c r="V166" s="11">
        <v>0</v>
      </c>
      <c r="W166" s="13">
        <v>2</v>
      </c>
      <c r="X166" s="13">
        <v>3</v>
      </c>
      <c r="Y166" s="13" t="str">
        <f>MIN(W166,S166)</f>
        <v>0</v>
      </c>
      <c r="Z166" s="13" t="str">
        <f>MIN(X166,(S166-Y166))</f>
        <v>0</v>
      </c>
      <c r="AA166" s="13" t="str">
        <f>S166-SUM(Y166,Z166)</f>
        <v>0</v>
      </c>
      <c r="AB166" s="15"/>
      <c r="AC166" s="15"/>
      <c r="AD166" s="1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  <c r="BA166" s="5"/>
      <c r="BB166" s="5"/>
      <c r="BC166" s="5"/>
      <c r="BD166" s="5"/>
      <c r="BE166" s="5"/>
      <c r="BF166" s="5"/>
      <c r="BG166" s="5"/>
      <c r="BH166" s="5"/>
      <c r="BI166" s="5"/>
      <c r="BJ166" s="5"/>
      <c r="BK166" s="5"/>
      <c r="BL166" s="5"/>
      <c r="BM166" s="5"/>
      <c r="BN166" s="5"/>
      <c r="BO166" s="5"/>
      <c r="BP166" s="5"/>
      <c r="BQ166" s="5"/>
      <c r="BR166" s="5"/>
      <c r="BS166" s="5"/>
      <c r="BT166" s="5"/>
      <c r="BU166" s="5"/>
      <c r="BV166" s="5"/>
      <c r="BW166" s="5"/>
      <c r="BX166" s="5"/>
      <c r="BY166" s="5"/>
      <c r="BZ166" s="5"/>
      <c r="CA166" s="5"/>
      <c r="CB166" s="5"/>
      <c r="CC166" s="5"/>
      <c r="CD166" s="5"/>
      <c r="CE166" s="5"/>
      <c r="CF166" s="5"/>
      <c r="CG166" s="5"/>
      <c r="CH166" s="5"/>
      <c r="CI166" s="5"/>
      <c r="CJ166" s="5"/>
      <c r="CK166" s="5"/>
      <c r="CL166" s="5"/>
      <c r="CM166" s="5"/>
      <c r="CN166" s="5"/>
      <c r="CO166" s="5"/>
      <c r="CP166" s="5"/>
      <c r="CQ166" s="5"/>
      <c r="CR166" s="5"/>
      <c r="CS166" s="5"/>
      <c r="CT166" s="5"/>
      <c r="CU166" s="5"/>
      <c r="CV166" s="5"/>
      <c r="CW166" s="5"/>
      <c r="CX166" s="5"/>
      <c r="CY166" s="5"/>
      <c r="CZ166" s="5"/>
      <c r="DA166" s="5"/>
      <c r="DB166" s="5"/>
      <c r="DC166" s="5"/>
      <c r="DD166" s="5"/>
      <c r="DE166" s="5"/>
      <c r="DF166" s="5"/>
      <c r="DG166" s="5"/>
      <c r="DH166" s="5"/>
      <c r="DI166" s="5"/>
      <c r="DJ166" s="5"/>
      <c r="DK166" s="5"/>
      <c r="DL166" s="5"/>
      <c r="DM166" s="5"/>
      <c r="DN166" s="5"/>
      <c r="DO166" s="5"/>
      <c r="DP166" s="5"/>
      <c r="DQ166" s="5"/>
      <c r="DR166" s="5"/>
      <c r="DS166" s="5"/>
      <c r="DT166" s="5"/>
      <c r="DU166" s="5"/>
      <c r="DV166" s="5"/>
      <c r="DW166" s="5"/>
      <c r="DX166" s="5"/>
      <c r="DY166" s="5"/>
      <c r="DZ166" s="5"/>
      <c r="EA166" s="5"/>
      <c r="EB166" s="5"/>
      <c r="EC166" s="5"/>
      <c r="ED166" s="5"/>
      <c r="EE166" s="5"/>
      <c r="EF166" s="5"/>
      <c r="EG166" s="5"/>
      <c r="EH166" s="5"/>
      <c r="EI166" s="5"/>
      <c r="EJ166" s="5"/>
      <c r="EK166" s="5"/>
      <c r="EL166" s="5"/>
      <c r="EM166" s="5"/>
      <c r="EN166" s="5"/>
      <c r="EO166" s="5"/>
      <c r="EP166" s="5"/>
      <c r="EQ166" s="5"/>
      <c r="ER166" s="5"/>
      <c r="ES166" s="5"/>
      <c r="ET166" s="5"/>
      <c r="EU166" s="5"/>
      <c r="EV166" s="5"/>
      <c r="EW166" s="5"/>
      <c r="EX166" s="5"/>
      <c r="EY166" s="5"/>
      <c r="EZ166" s="5"/>
      <c r="FA166" s="5"/>
      <c r="FB166" s="5"/>
      <c r="FC166" s="5"/>
      <c r="FD166" s="5"/>
      <c r="FE166" s="5"/>
      <c r="FF166" s="5"/>
      <c r="FG166" s="5"/>
      <c r="FH166" s="5"/>
      <c r="FI166" s="5"/>
      <c r="FJ166" s="5"/>
      <c r="FK166" s="5"/>
      <c r="FL166" s="5"/>
      <c r="FM166" s="5"/>
      <c r="FN166" s="5"/>
      <c r="FO166" s="5"/>
      <c r="FP166" s="5"/>
      <c r="FQ166" s="5"/>
      <c r="FR166" s="5"/>
      <c r="FS166" s="5"/>
      <c r="FT166" s="5"/>
      <c r="FU166" s="5"/>
      <c r="FV166" s="5"/>
      <c r="FW166" s="5"/>
      <c r="FX166" s="5"/>
      <c r="FY166" s="5"/>
      <c r="FZ166" s="5"/>
      <c r="GA166" s="5"/>
      <c r="GB166" s="5"/>
      <c r="GC166" s="5"/>
      <c r="GD166" s="5"/>
      <c r="GE166" s="5"/>
      <c r="GF166" s="5"/>
      <c r="GG166" s="5"/>
      <c r="GH166" s="5"/>
      <c r="GI166" s="5"/>
      <c r="GJ166" s="5"/>
      <c r="GK166" s="5"/>
      <c r="GL166" s="5"/>
      <c r="GM166" s="5"/>
      <c r="GN166" s="5"/>
      <c r="GO166" s="5"/>
      <c r="GP166" s="5"/>
      <c r="GQ166" s="5"/>
      <c r="GR166" s="5"/>
      <c r="GS166" s="5"/>
      <c r="GT166" s="5"/>
      <c r="GU166" s="5"/>
      <c r="GV166" s="5"/>
      <c r="GW166" s="5"/>
      <c r="GX166" s="5"/>
      <c r="GY166" s="5"/>
      <c r="GZ166" s="5"/>
      <c r="HA166" s="5"/>
      <c r="HB166" s="5"/>
      <c r="HC166" s="5"/>
      <c r="HD166" s="5"/>
      <c r="HE166" s="5"/>
      <c r="HF166" s="5"/>
      <c r="HG166" s="5"/>
      <c r="HH166" s="5"/>
      <c r="HI166" s="5"/>
      <c r="HJ166" s="5"/>
      <c r="HK166" s="5"/>
      <c r="HL166" s="5"/>
      <c r="HM166" s="5"/>
      <c r="HN166" s="5"/>
      <c r="HO166" s="5"/>
      <c r="HP166" s="5"/>
      <c r="HQ166" s="5"/>
      <c r="HR166" s="5"/>
      <c r="HS166" s="5"/>
      <c r="HT166" s="5"/>
      <c r="HU166" s="5"/>
      <c r="HV166" s="5"/>
      <c r="HW166" s="5"/>
      <c r="HX166" s="5"/>
      <c r="HY166" s="5"/>
      <c r="HZ166" s="5"/>
      <c r="IA166" s="5"/>
      <c r="IB166" s="5"/>
      <c r="IC166" s="5"/>
      <c r="ID166" s="5"/>
      <c r="IE166" s="5"/>
      <c r="IF166" s="5"/>
      <c r="IG166" s="5"/>
      <c r="IH166" s="5"/>
      <c r="II166" s="5"/>
      <c r="IJ166" s="5"/>
      <c r="IK166" s="5"/>
      <c r="IL166" s="5"/>
      <c r="IM166" s="5"/>
      <c r="IN166" s="5"/>
      <c r="IO166" s="5"/>
      <c r="IP166" s="5"/>
      <c r="IQ166" s="5"/>
      <c r="IR166" s="5"/>
      <c r="IS166" s="5"/>
      <c r="IT166" s="5"/>
      <c r="IU166" s="5"/>
      <c r="IV166" s="5"/>
      <c r="IW166" s="5"/>
      <c r="IX166" s="5"/>
      <c r="IY166" s="5"/>
      <c r="IZ166" s="5"/>
      <c r="JA166" s="5"/>
      <c r="JB166" s="5"/>
      <c r="JC166" s="5"/>
      <c r="JD166" s="5"/>
      <c r="JE166" s="5"/>
      <c r="JF166" s="5"/>
      <c r="JG166" s="5"/>
      <c r="JH166" s="5"/>
      <c r="JI166" s="5"/>
      <c r="JJ166" s="5"/>
      <c r="JK166" s="5"/>
      <c r="JL166" s="5"/>
      <c r="JM166" s="5"/>
      <c r="JN166" s="5"/>
      <c r="JO166" s="5"/>
      <c r="JP166" s="5"/>
      <c r="JQ166" s="5"/>
      <c r="JR166" s="5"/>
      <c r="JS166" s="5"/>
      <c r="JT166" s="5"/>
      <c r="JU166" s="5"/>
      <c r="JV166" s="5"/>
      <c r="JW166" s="5"/>
      <c r="JX166" s="5"/>
      <c r="JY166" s="5"/>
      <c r="JZ166" s="5"/>
      <c r="KA166" s="5"/>
      <c r="KB166" s="5"/>
      <c r="KC166" s="5"/>
      <c r="KD166" s="5"/>
      <c r="KE166" s="5"/>
      <c r="KF166" s="5"/>
      <c r="KG166" s="5"/>
      <c r="KH166" s="5"/>
      <c r="KI166" s="5"/>
      <c r="KJ166" s="5"/>
      <c r="KK166" s="5"/>
      <c r="KL166" s="5"/>
      <c r="KM166" s="5"/>
      <c r="KN166" s="5"/>
      <c r="KO166" s="5"/>
      <c r="KP166" s="5"/>
      <c r="KQ166" s="5"/>
      <c r="KR166" s="5"/>
      <c r="KS166" s="5"/>
      <c r="KT166" s="5"/>
      <c r="KU166" s="5"/>
      <c r="KV166" s="5"/>
      <c r="KW166" s="5"/>
      <c r="KX166" s="5"/>
      <c r="KY166" s="5"/>
      <c r="KZ166" s="5"/>
      <c r="LA166" s="5"/>
      <c r="LB166" s="5"/>
      <c r="LC166" s="5"/>
      <c r="LD166" s="5"/>
      <c r="LE166" s="5"/>
      <c r="LF166" s="5"/>
      <c r="LG166" s="5"/>
      <c r="LH166" s="5"/>
      <c r="LI166" s="5"/>
      <c r="LJ166" s="5"/>
      <c r="LK166" s="5"/>
      <c r="LL166" s="5"/>
      <c r="LM166" s="5"/>
      <c r="LN166" s="5"/>
      <c r="LO166" s="5"/>
      <c r="LP166" s="5"/>
      <c r="LQ166" s="5"/>
      <c r="LR166" s="5"/>
      <c r="LS166" s="5"/>
      <c r="LT166" s="5"/>
      <c r="LU166" s="5"/>
      <c r="LV166" s="5"/>
      <c r="LW166" s="5"/>
      <c r="LX166" s="5"/>
      <c r="LY166" s="5"/>
      <c r="LZ166" s="5"/>
      <c r="MA166" s="5"/>
      <c r="MB166" s="5"/>
      <c r="MC166" s="5"/>
      <c r="MD166" s="5"/>
      <c r="ME166" s="5"/>
      <c r="MF166" s="5"/>
      <c r="MG166" s="5"/>
      <c r="MH166" s="5"/>
      <c r="MI166" s="5"/>
      <c r="MJ166" s="5"/>
      <c r="MK166" s="5"/>
      <c r="ML166" s="5"/>
      <c r="MM166" s="5"/>
      <c r="MN166" s="5"/>
      <c r="MO166" s="5"/>
      <c r="MP166" s="5"/>
      <c r="MQ166" s="5"/>
      <c r="MR166" s="5"/>
      <c r="MS166" s="5"/>
      <c r="MT166" s="5"/>
      <c r="MU166" s="5"/>
      <c r="MV166" s="5"/>
      <c r="MW166" s="5"/>
      <c r="MX166" s="5"/>
      <c r="MY166" s="5"/>
      <c r="MZ166" s="5"/>
      <c r="NA166" s="5"/>
      <c r="NB166" s="5"/>
      <c r="NC166" s="5"/>
      <c r="ND166" s="5"/>
      <c r="NE166" s="5"/>
      <c r="NF166" s="5"/>
      <c r="NG166" s="5"/>
      <c r="NH166" s="5"/>
      <c r="NI166" s="5"/>
      <c r="NJ166" s="5"/>
      <c r="NK166" s="5"/>
      <c r="NL166" s="5"/>
      <c r="NM166" s="5"/>
      <c r="NN166" s="5"/>
      <c r="NO166" s="5"/>
      <c r="NP166" s="5"/>
      <c r="NQ166" s="5"/>
      <c r="NR166" s="5"/>
      <c r="NS166" s="5"/>
      <c r="NT166" s="5"/>
      <c r="NU166" s="5"/>
      <c r="NV166" s="5"/>
      <c r="NW166" s="5"/>
      <c r="NX166" s="5"/>
      <c r="NY166" s="5"/>
      <c r="NZ166" s="5"/>
      <c r="OA166" s="5"/>
      <c r="OB166" s="5"/>
      <c r="OC166" s="5"/>
      <c r="OD166" s="5"/>
      <c r="OE166" s="5"/>
      <c r="OF166" s="5"/>
      <c r="OG166" s="5"/>
      <c r="OH166" s="5"/>
      <c r="OI166" s="5"/>
      <c r="OJ166" s="5"/>
      <c r="OK166" s="5"/>
      <c r="OL166" s="5"/>
      <c r="OM166" s="5"/>
      <c r="ON166" s="5"/>
      <c r="OO166" s="5"/>
      <c r="OP166" s="5"/>
      <c r="OQ166" s="5"/>
      <c r="OR166" s="5"/>
      <c r="OS166" s="5"/>
      <c r="OT166" s="5"/>
      <c r="OU166" s="5"/>
      <c r="OV166" s="5"/>
      <c r="OW166" s="5"/>
      <c r="OX166" s="5"/>
      <c r="OY166" s="5"/>
      <c r="OZ166" s="5"/>
      <c r="PA166" s="5"/>
      <c r="PB166" s="5"/>
      <c r="PC166" s="5"/>
      <c r="PD166" s="5"/>
      <c r="PE166" s="5"/>
      <c r="PF166" s="5"/>
      <c r="PG166" s="5"/>
      <c r="PH166" s="5"/>
      <c r="PI166" s="5"/>
      <c r="PJ166" s="5"/>
      <c r="PK166" s="5"/>
      <c r="PL166" s="5"/>
      <c r="PM166" s="5"/>
      <c r="PN166" s="5"/>
      <c r="PO166" s="5"/>
      <c r="PP166" s="5"/>
      <c r="PQ166" s="5"/>
      <c r="PR166" s="5"/>
      <c r="PS166" s="5"/>
      <c r="PT166" s="5"/>
      <c r="PU166" s="5"/>
      <c r="PV166" s="5"/>
      <c r="PW166" s="5"/>
      <c r="PX166" s="5"/>
      <c r="PY166" s="5"/>
      <c r="PZ166" s="5"/>
      <c r="QA166" s="5"/>
      <c r="QB166" s="5"/>
      <c r="QC166" s="5"/>
      <c r="QD166" s="5"/>
      <c r="QE166" s="5"/>
      <c r="QF166" s="5"/>
      <c r="QG166" s="5"/>
      <c r="QH166" s="5"/>
      <c r="QI166" s="5"/>
      <c r="QJ166" s="5"/>
      <c r="QK166" s="5"/>
      <c r="QL166" s="5"/>
      <c r="QM166" s="5"/>
      <c r="QN166" s="5"/>
      <c r="QO166" s="5"/>
      <c r="QP166" s="5"/>
      <c r="QQ166" s="5"/>
      <c r="QR166" s="5"/>
      <c r="QS166" s="5"/>
      <c r="QT166" s="5"/>
      <c r="QU166" s="5"/>
      <c r="QV166" s="5"/>
      <c r="QW166" s="5"/>
      <c r="QX166" s="5"/>
      <c r="QY166" s="5"/>
      <c r="QZ166" s="5"/>
      <c r="RA166" s="5"/>
      <c r="RB166" s="5"/>
      <c r="RC166" s="5"/>
      <c r="RD166" s="5"/>
      <c r="RE166" s="5"/>
      <c r="RF166" s="5"/>
      <c r="RG166" s="5"/>
      <c r="RH166" s="5"/>
      <c r="RI166" s="5"/>
      <c r="RJ166" s="5"/>
      <c r="RK166" s="5"/>
      <c r="RL166" s="5"/>
      <c r="RM166" s="5"/>
      <c r="RN166" s="5"/>
      <c r="RO166" s="5"/>
      <c r="RP166" s="5"/>
      <c r="RQ166" s="5"/>
      <c r="RR166" s="5"/>
      <c r="RS166" s="5"/>
      <c r="RT166" s="5"/>
      <c r="RU166" s="5"/>
      <c r="RV166" s="5"/>
      <c r="RW166" s="5"/>
      <c r="RX166" s="5"/>
      <c r="RY166" s="5"/>
      <c r="RZ166" s="5"/>
      <c r="SA166" s="5"/>
      <c r="SB166" s="5"/>
      <c r="SC166" s="5"/>
      <c r="SD166" s="5"/>
      <c r="SE166" s="5"/>
      <c r="SF166" s="5"/>
      <c r="SG166" s="5"/>
      <c r="SH166" s="5"/>
      <c r="SI166" s="5"/>
      <c r="SJ166" s="5"/>
      <c r="SK166" s="5"/>
      <c r="SL166" s="5"/>
      <c r="SM166" s="5"/>
      <c r="SN166" s="5"/>
      <c r="SO166" s="5"/>
      <c r="SP166" s="5"/>
      <c r="SQ166" s="5"/>
      <c r="SR166" s="5"/>
      <c r="SS166" s="5"/>
      <c r="ST166" s="5"/>
      <c r="SU166" s="5"/>
      <c r="SV166" s="5"/>
      <c r="SW166" s="5"/>
      <c r="SX166" s="5"/>
      <c r="SY166" s="5"/>
      <c r="SZ166" s="5"/>
      <c r="TA166" s="5"/>
      <c r="TB166" s="5"/>
      <c r="TC166" s="5"/>
      <c r="TD166" s="5"/>
      <c r="TE166" s="5"/>
      <c r="TF166" s="5"/>
      <c r="TG166" s="5"/>
      <c r="TH166" s="5"/>
      <c r="TI166" s="5"/>
      <c r="TJ166" s="5"/>
      <c r="TK166" s="5"/>
      <c r="TL166" s="5"/>
      <c r="TM166" s="5"/>
      <c r="TN166" s="5"/>
      <c r="TO166" s="5"/>
      <c r="TP166" s="5"/>
      <c r="TQ166" s="5"/>
      <c r="TR166" s="5"/>
      <c r="TS166" s="5"/>
      <c r="TT166" s="5"/>
      <c r="TU166" s="5"/>
      <c r="TV166" s="5"/>
      <c r="TW166" s="5"/>
      <c r="TX166" s="5"/>
      <c r="TY166" s="5"/>
      <c r="TZ166" s="5"/>
      <c r="UA166" s="5"/>
      <c r="UB166" s="5"/>
      <c r="UC166" s="5"/>
      <c r="UD166" s="5"/>
      <c r="UE166" s="5"/>
      <c r="UF166" s="5"/>
      <c r="UG166" s="5"/>
      <c r="UH166" s="5"/>
      <c r="UI166" s="5"/>
      <c r="UJ166" s="5"/>
      <c r="UK166" s="5"/>
      <c r="UL166" s="5"/>
      <c r="UM166" s="5"/>
      <c r="UN166" s="5"/>
      <c r="UO166" s="5"/>
      <c r="UP166" s="5"/>
      <c r="UQ166" s="5"/>
      <c r="UR166" s="5"/>
      <c r="US166" s="5"/>
      <c r="UT166" s="5"/>
      <c r="UU166" s="5"/>
      <c r="UV166" s="5"/>
      <c r="UW166" s="5"/>
      <c r="UX166" s="5"/>
      <c r="UY166" s="5"/>
      <c r="UZ166" s="5"/>
      <c r="VA166" s="5"/>
      <c r="VB166" s="5"/>
      <c r="VC166" s="5"/>
      <c r="VD166" s="5"/>
      <c r="VE166" s="5"/>
      <c r="VF166" s="5"/>
      <c r="VG166" s="5"/>
      <c r="VH166" s="5"/>
      <c r="VI166" s="5"/>
      <c r="VJ166" s="5"/>
      <c r="VK166" s="5"/>
      <c r="VL166" s="5"/>
      <c r="VM166" s="5"/>
      <c r="VN166" s="5"/>
      <c r="VO166" s="5"/>
      <c r="VP166" s="5"/>
      <c r="VQ166" s="5"/>
      <c r="VR166" s="5"/>
      <c r="VS166" s="5"/>
      <c r="VT166" s="5"/>
      <c r="VU166" s="5"/>
      <c r="VV166" s="5"/>
      <c r="VW166" s="5"/>
      <c r="VX166" s="5"/>
      <c r="VY166" s="5"/>
      <c r="VZ166" s="5"/>
      <c r="WA166" s="5"/>
      <c r="WB166" s="5"/>
      <c r="WC166" s="5"/>
      <c r="WD166" s="5"/>
      <c r="WE166" s="5"/>
      <c r="WF166" s="5"/>
      <c r="WG166" s="5"/>
      <c r="WH166" s="5"/>
      <c r="WI166" s="5"/>
      <c r="WJ166" s="5"/>
      <c r="WK166" s="5"/>
      <c r="WL166" s="5"/>
      <c r="WM166" s="5"/>
      <c r="WN166" s="5"/>
      <c r="WO166" s="5"/>
      <c r="WP166" s="5"/>
      <c r="WQ166" s="5"/>
      <c r="WR166" s="5"/>
      <c r="WS166" s="5"/>
      <c r="WT166" s="5"/>
      <c r="WU166" s="5"/>
      <c r="WV166" s="5"/>
      <c r="WW166" s="5"/>
      <c r="WX166" s="5"/>
      <c r="WY166" s="5"/>
      <c r="WZ166" s="5"/>
      <c r="XA166" s="5"/>
      <c r="XB166" s="5"/>
      <c r="XC166" s="5"/>
      <c r="XD166" s="5"/>
      <c r="XE166" s="5"/>
      <c r="XF166" s="5"/>
      <c r="XG166" s="5"/>
      <c r="XH166" s="5"/>
      <c r="XI166" s="5"/>
      <c r="XJ166" s="5"/>
      <c r="XK166" s="5"/>
      <c r="XL166" s="5"/>
      <c r="XM166" s="5"/>
      <c r="XN166" s="5"/>
      <c r="XO166" s="5"/>
      <c r="XP166" s="5"/>
      <c r="XQ166" s="5"/>
      <c r="XR166" s="5"/>
      <c r="XS166" s="5"/>
      <c r="XT166" s="5"/>
      <c r="XU166" s="5"/>
      <c r="XV166" s="5"/>
      <c r="XW166" s="5"/>
      <c r="XX166" s="5"/>
      <c r="XY166" s="5"/>
      <c r="XZ166" s="5"/>
      <c r="YA166" s="5"/>
      <c r="YB166" s="5"/>
      <c r="YC166" s="5"/>
      <c r="YD166" s="5"/>
      <c r="YE166" s="5"/>
      <c r="YF166" s="5"/>
      <c r="YG166" s="5"/>
      <c r="YH166" s="5"/>
      <c r="YI166" s="5"/>
      <c r="YJ166" s="5"/>
      <c r="YK166" s="5"/>
      <c r="YL166" s="5"/>
      <c r="YM166" s="5"/>
      <c r="YN166" s="5"/>
      <c r="YO166" s="5"/>
      <c r="YP166" s="5"/>
      <c r="YQ166" s="5"/>
      <c r="YR166" s="5"/>
      <c r="YS166" s="5"/>
      <c r="YT166" s="5"/>
      <c r="YU166" s="5"/>
      <c r="YV166" s="5"/>
      <c r="YW166" s="5"/>
      <c r="YX166" s="5"/>
      <c r="YY166" s="5"/>
      <c r="YZ166" s="5"/>
    </row>
    <row r="167" spans="1:676">
      <c r="A167" s="7">
        <v>157</v>
      </c>
      <c r="B167" s="7" t="s">
        <v>394</v>
      </c>
      <c r="C167" s="10" t="s">
        <v>395</v>
      </c>
      <c r="D167" s="7" t="s">
        <v>92</v>
      </c>
      <c r="E167" s="7" t="s">
        <v>120</v>
      </c>
      <c r="F167" s="7" t="s">
        <v>355</v>
      </c>
      <c r="G167" s="7"/>
      <c r="H167" s="7"/>
      <c r="I167" s="11">
        <v>2</v>
      </c>
      <c r="J167" s="11">
        <v>3</v>
      </c>
      <c r="K167" s="11">
        <v>0</v>
      </c>
      <c r="L167" s="11">
        <v>1.19</v>
      </c>
      <c r="M167" s="11">
        <v>0.08</v>
      </c>
      <c r="N167" s="11">
        <v>0</v>
      </c>
      <c r="O167" s="11">
        <v>0.6000000000000001</v>
      </c>
      <c r="P167" s="11">
        <v>1.66</v>
      </c>
      <c r="Q167" s="11">
        <v>3.53</v>
      </c>
      <c r="R167" s="11">
        <v>0</v>
      </c>
      <c r="S167" s="11">
        <v>3.53</v>
      </c>
      <c r="T167" s="11">
        <v>2</v>
      </c>
      <c r="U167" s="11">
        <v>1.53</v>
      </c>
      <c r="V167" s="11">
        <v>0</v>
      </c>
      <c r="W167" s="13">
        <v>2</v>
      </c>
      <c r="X167" s="13">
        <v>3</v>
      </c>
      <c r="Y167" s="13" t="str">
        <f>MIN(W167,S167)</f>
        <v>0</v>
      </c>
      <c r="Z167" s="13" t="str">
        <f>MIN(X167,(S167-Y167))</f>
        <v>0</v>
      </c>
      <c r="AA167" s="13" t="str">
        <f>S167-SUM(Y167,Z167)</f>
        <v>0</v>
      </c>
      <c r="AB167" s="15"/>
      <c r="AC167" s="15"/>
      <c r="AD167" s="1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  <c r="BA167" s="5"/>
      <c r="BB167" s="5"/>
      <c r="BC167" s="5"/>
      <c r="BD167" s="5"/>
      <c r="BE167" s="5"/>
      <c r="BF167" s="5"/>
      <c r="BG167" s="5"/>
      <c r="BH167" s="5"/>
      <c r="BI167" s="5"/>
      <c r="BJ167" s="5"/>
      <c r="BK167" s="5"/>
      <c r="BL167" s="5"/>
      <c r="BM167" s="5"/>
      <c r="BN167" s="5"/>
      <c r="BO167" s="5"/>
      <c r="BP167" s="5"/>
      <c r="BQ167" s="5"/>
      <c r="BR167" s="5"/>
      <c r="BS167" s="5"/>
      <c r="BT167" s="5"/>
      <c r="BU167" s="5"/>
      <c r="BV167" s="5"/>
      <c r="BW167" s="5"/>
      <c r="BX167" s="5"/>
      <c r="BY167" s="5"/>
      <c r="BZ167" s="5"/>
      <c r="CA167" s="5"/>
      <c r="CB167" s="5"/>
      <c r="CC167" s="5"/>
      <c r="CD167" s="5"/>
      <c r="CE167" s="5"/>
      <c r="CF167" s="5"/>
      <c r="CG167" s="5"/>
      <c r="CH167" s="5"/>
      <c r="CI167" s="5"/>
      <c r="CJ167" s="5"/>
      <c r="CK167" s="5"/>
      <c r="CL167" s="5"/>
      <c r="CM167" s="5"/>
      <c r="CN167" s="5"/>
      <c r="CO167" s="5"/>
      <c r="CP167" s="5"/>
      <c r="CQ167" s="5"/>
      <c r="CR167" s="5"/>
      <c r="CS167" s="5"/>
      <c r="CT167" s="5"/>
      <c r="CU167" s="5"/>
      <c r="CV167" s="5"/>
      <c r="CW167" s="5"/>
      <c r="CX167" s="5"/>
      <c r="CY167" s="5"/>
      <c r="CZ167" s="5"/>
      <c r="DA167" s="5"/>
      <c r="DB167" s="5"/>
      <c r="DC167" s="5"/>
      <c r="DD167" s="5"/>
      <c r="DE167" s="5"/>
      <c r="DF167" s="5"/>
      <c r="DG167" s="5"/>
      <c r="DH167" s="5"/>
      <c r="DI167" s="5"/>
      <c r="DJ167" s="5"/>
      <c r="DK167" s="5"/>
      <c r="DL167" s="5"/>
      <c r="DM167" s="5"/>
      <c r="DN167" s="5"/>
      <c r="DO167" s="5"/>
      <c r="DP167" s="5"/>
      <c r="DQ167" s="5"/>
      <c r="DR167" s="5"/>
      <c r="DS167" s="5"/>
      <c r="DT167" s="5"/>
      <c r="DU167" s="5"/>
      <c r="DV167" s="5"/>
      <c r="DW167" s="5"/>
      <c r="DX167" s="5"/>
      <c r="DY167" s="5"/>
      <c r="DZ167" s="5"/>
      <c r="EA167" s="5"/>
      <c r="EB167" s="5"/>
      <c r="EC167" s="5"/>
      <c r="ED167" s="5"/>
      <c r="EE167" s="5"/>
      <c r="EF167" s="5"/>
      <c r="EG167" s="5"/>
      <c r="EH167" s="5"/>
      <c r="EI167" s="5"/>
      <c r="EJ167" s="5"/>
      <c r="EK167" s="5"/>
      <c r="EL167" s="5"/>
      <c r="EM167" s="5"/>
      <c r="EN167" s="5"/>
      <c r="EO167" s="5"/>
      <c r="EP167" s="5"/>
      <c r="EQ167" s="5"/>
      <c r="ER167" s="5"/>
      <c r="ES167" s="5"/>
      <c r="ET167" s="5"/>
      <c r="EU167" s="5"/>
      <c r="EV167" s="5"/>
      <c r="EW167" s="5"/>
      <c r="EX167" s="5"/>
      <c r="EY167" s="5"/>
      <c r="EZ167" s="5"/>
      <c r="FA167" s="5"/>
      <c r="FB167" s="5"/>
      <c r="FC167" s="5"/>
      <c r="FD167" s="5"/>
      <c r="FE167" s="5"/>
      <c r="FF167" s="5"/>
      <c r="FG167" s="5"/>
      <c r="FH167" s="5"/>
      <c r="FI167" s="5"/>
      <c r="FJ167" s="5"/>
      <c r="FK167" s="5"/>
      <c r="FL167" s="5"/>
      <c r="FM167" s="5"/>
      <c r="FN167" s="5"/>
      <c r="FO167" s="5"/>
      <c r="FP167" s="5"/>
      <c r="FQ167" s="5"/>
      <c r="FR167" s="5"/>
      <c r="FS167" s="5"/>
      <c r="FT167" s="5"/>
      <c r="FU167" s="5"/>
      <c r="FV167" s="5"/>
      <c r="FW167" s="5"/>
      <c r="FX167" s="5"/>
      <c r="FY167" s="5"/>
      <c r="FZ167" s="5"/>
      <c r="GA167" s="5"/>
      <c r="GB167" s="5"/>
      <c r="GC167" s="5"/>
      <c r="GD167" s="5"/>
      <c r="GE167" s="5"/>
      <c r="GF167" s="5"/>
      <c r="GG167" s="5"/>
      <c r="GH167" s="5"/>
      <c r="GI167" s="5"/>
      <c r="GJ167" s="5"/>
      <c r="GK167" s="5"/>
      <c r="GL167" s="5"/>
      <c r="GM167" s="5"/>
      <c r="GN167" s="5"/>
      <c r="GO167" s="5"/>
      <c r="GP167" s="5"/>
      <c r="GQ167" s="5"/>
      <c r="GR167" s="5"/>
      <c r="GS167" s="5"/>
      <c r="GT167" s="5"/>
      <c r="GU167" s="5"/>
      <c r="GV167" s="5"/>
      <c r="GW167" s="5"/>
      <c r="GX167" s="5"/>
      <c r="GY167" s="5"/>
      <c r="GZ167" s="5"/>
      <c r="HA167" s="5"/>
      <c r="HB167" s="5"/>
      <c r="HC167" s="5"/>
      <c r="HD167" s="5"/>
      <c r="HE167" s="5"/>
      <c r="HF167" s="5"/>
      <c r="HG167" s="5"/>
      <c r="HH167" s="5"/>
      <c r="HI167" s="5"/>
      <c r="HJ167" s="5"/>
      <c r="HK167" s="5"/>
      <c r="HL167" s="5"/>
      <c r="HM167" s="5"/>
      <c r="HN167" s="5"/>
      <c r="HO167" s="5"/>
      <c r="HP167" s="5"/>
      <c r="HQ167" s="5"/>
      <c r="HR167" s="5"/>
      <c r="HS167" s="5"/>
      <c r="HT167" s="5"/>
      <c r="HU167" s="5"/>
      <c r="HV167" s="5"/>
      <c r="HW167" s="5"/>
      <c r="HX167" s="5"/>
      <c r="HY167" s="5"/>
      <c r="HZ167" s="5"/>
      <c r="IA167" s="5"/>
      <c r="IB167" s="5"/>
      <c r="IC167" s="5"/>
      <c r="ID167" s="5"/>
      <c r="IE167" s="5"/>
      <c r="IF167" s="5"/>
      <c r="IG167" s="5"/>
      <c r="IH167" s="5"/>
      <c r="II167" s="5"/>
      <c r="IJ167" s="5"/>
      <c r="IK167" s="5"/>
      <c r="IL167" s="5"/>
      <c r="IM167" s="5"/>
      <c r="IN167" s="5"/>
      <c r="IO167" s="5"/>
      <c r="IP167" s="5"/>
      <c r="IQ167" s="5"/>
      <c r="IR167" s="5"/>
      <c r="IS167" s="5"/>
      <c r="IT167" s="5"/>
      <c r="IU167" s="5"/>
      <c r="IV167" s="5"/>
      <c r="IW167" s="5"/>
      <c r="IX167" s="5"/>
      <c r="IY167" s="5"/>
      <c r="IZ167" s="5"/>
      <c r="JA167" s="5"/>
      <c r="JB167" s="5"/>
      <c r="JC167" s="5"/>
      <c r="JD167" s="5"/>
      <c r="JE167" s="5"/>
      <c r="JF167" s="5"/>
      <c r="JG167" s="5"/>
      <c r="JH167" s="5"/>
      <c r="JI167" s="5"/>
      <c r="JJ167" s="5"/>
      <c r="JK167" s="5"/>
      <c r="JL167" s="5"/>
      <c r="JM167" s="5"/>
      <c r="JN167" s="5"/>
      <c r="JO167" s="5"/>
      <c r="JP167" s="5"/>
      <c r="JQ167" s="5"/>
      <c r="JR167" s="5"/>
      <c r="JS167" s="5"/>
      <c r="JT167" s="5"/>
      <c r="JU167" s="5"/>
      <c r="JV167" s="5"/>
      <c r="JW167" s="5"/>
      <c r="JX167" s="5"/>
      <c r="JY167" s="5"/>
      <c r="JZ167" s="5"/>
      <c r="KA167" s="5"/>
      <c r="KB167" s="5"/>
      <c r="KC167" s="5"/>
      <c r="KD167" s="5"/>
      <c r="KE167" s="5"/>
      <c r="KF167" s="5"/>
      <c r="KG167" s="5"/>
      <c r="KH167" s="5"/>
      <c r="KI167" s="5"/>
      <c r="KJ167" s="5"/>
      <c r="KK167" s="5"/>
      <c r="KL167" s="5"/>
      <c r="KM167" s="5"/>
      <c r="KN167" s="5"/>
      <c r="KO167" s="5"/>
      <c r="KP167" s="5"/>
      <c r="KQ167" s="5"/>
      <c r="KR167" s="5"/>
      <c r="KS167" s="5"/>
      <c r="KT167" s="5"/>
      <c r="KU167" s="5"/>
      <c r="KV167" s="5"/>
      <c r="KW167" s="5"/>
      <c r="KX167" s="5"/>
      <c r="KY167" s="5"/>
      <c r="KZ167" s="5"/>
      <c r="LA167" s="5"/>
      <c r="LB167" s="5"/>
      <c r="LC167" s="5"/>
      <c r="LD167" s="5"/>
      <c r="LE167" s="5"/>
      <c r="LF167" s="5"/>
      <c r="LG167" s="5"/>
      <c r="LH167" s="5"/>
      <c r="LI167" s="5"/>
      <c r="LJ167" s="5"/>
      <c r="LK167" s="5"/>
      <c r="LL167" s="5"/>
      <c r="LM167" s="5"/>
      <c r="LN167" s="5"/>
      <c r="LO167" s="5"/>
      <c r="LP167" s="5"/>
      <c r="LQ167" s="5"/>
      <c r="LR167" s="5"/>
      <c r="LS167" s="5"/>
      <c r="LT167" s="5"/>
      <c r="LU167" s="5"/>
      <c r="LV167" s="5"/>
      <c r="LW167" s="5"/>
      <c r="LX167" s="5"/>
      <c r="LY167" s="5"/>
      <c r="LZ167" s="5"/>
      <c r="MA167" s="5"/>
      <c r="MB167" s="5"/>
      <c r="MC167" s="5"/>
      <c r="MD167" s="5"/>
      <c r="ME167" s="5"/>
      <c r="MF167" s="5"/>
      <c r="MG167" s="5"/>
      <c r="MH167" s="5"/>
      <c r="MI167" s="5"/>
      <c r="MJ167" s="5"/>
      <c r="MK167" s="5"/>
      <c r="ML167" s="5"/>
      <c r="MM167" s="5"/>
      <c r="MN167" s="5"/>
      <c r="MO167" s="5"/>
      <c r="MP167" s="5"/>
      <c r="MQ167" s="5"/>
      <c r="MR167" s="5"/>
      <c r="MS167" s="5"/>
      <c r="MT167" s="5"/>
      <c r="MU167" s="5"/>
      <c r="MV167" s="5"/>
      <c r="MW167" s="5"/>
      <c r="MX167" s="5"/>
      <c r="MY167" s="5"/>
      <c r="MZ167" s="5"/>
      <c r="NA167" s="5"/>
      <c r="NB167" s="5"/>
      <c r="NC167" s="5"/>
      <c r="ND167" s="5"/>
      <c r="NE167" s="5"/>
      <c r="NF167" s="5"/>
      <c r="NG167" s="5"/>
      <c r="NH167" s="5"/>
      <c r="NI167" s="5"/>
      <c r="NJ167" s="5"/>
      <c r="NK167" s="5"/>
      <c r="NL167" s="5"/>
      <c r="NM167" s="5"/>
      <c r="NN167" s="5"/>
      <c r="NO167" s="5"/>
      <c r="NP167" s="5"/>
      <c r="NQ167" s="5"/>
      <c r="NR167" s="5"/>
      <c r="NS167" s="5"/>
      <c r="NT167" s="5"/>
      <c r="NU167" s="5"/>
      <c r="NV167" s="5"/>
      <c r="NW167" s="5"/>
      <c r="NX167" s="5"/>
      <c r="NY167" s="5"/>
      <c r="NZ167" s="5"/>
      <c r="OA167" s="5"/>
      <c r="OB167" s="5"/>
      <c r="OC167" s="5"/>
      <c r="OD167" s="5"/>
      <c r="OE167" s="5"/>
      <c r="OF167" s="5"/>
      <c r="OG167" s="5"/>
      <c r="OH167" s="5"/>
      <c r="OI167" s="5"/>
      <c r="OJ167" s="5"/>
      <c r="OK167" s="5"/>
      <c r="OL167" s="5"/>
      <c r="OM167" s="5"/>
      <c r="ON167" s="5"/>
      <c r="OO167" s="5"/>
      <c r="OP167" s="5"/>
      <c r="OQ167" s="5"/>
      <c r="OR167" s="5"/>
      <c r="OS167" s="5"/>
      <c r="OT167" s="5"/>
      <c r="OU167" s="5"/>
      <c r="OV167" s="5"/>
      <c r="OW167" s="5"/>
      <c r="OX167" s="5"/>
      <c r="OY167" s="5"/>
      <c r="OZ167" s="5"/>
      <c r="PA167" s="5"/>
      <c r="PB167" s="5"/>
      <c r="PC167" s="5"/>
      <c r="PD167" s="5"/>
      <c r="PE167" s="5"/>
      <c r="PF167" s="5"/>
      <c r="PG167" s="5"/>
      <c r="PH167" s="5"/>
      <c r="PI167" s="5"/>
      <c r="PJ167" s="5"/>
      <c r="PK167" s="5"/>
      <c r="PL167" s="5"/>
      <c r="PM167" s="5"/>
      <c r="PN167" s="5"/>
      <c r="PO167" s="5"/>
      <c r="PP167" s="5"/>
      <c r="PQ167" s="5"/>
      <c r="PR167" s="5"/>
      <c r="PS167" s="5"/>
      <c r="PT167" s="5"/>
      <c r="PU167" s="5"/>
      <c r="PV167" s="5"/>
      <c r="PW167" s="5"/>
      <c r="PX167" s="5"/>
      <c r="PY167" s="5"/>
      <c r="PZ167" s="5"/>
      <c r="QA167" s="5"/>
      <c r="QB167" s="5"/>
      <c r="QC167" s="5"/>
      <c r="QD167" s="5"/>
      <c r="QE167" s="5"/>
      <c r="QF167" s="5"/>
      <c r="QG167" s="5"/>
      <c r="QH167" s="5"/>
      <c r="QI167" s="5"/>
      <c r="QJ167" s="5"/>
      <c r="QK167" s="5"/>
      <c r="QL167" s="5"/>
      <c r="QM167" s="5"/>
      <c r="QN167" s="5"/>
      <c r="QO167" s="5"/>
      <c r="QP167" s="5"/>
      <c r="QQ167" s="5"/>
      <c r="QR167" s="5"/>
      <c r="QS167" s="5"/>
      <c r="QT167" s="5"/>
      <c r="QU167" s="5"/>
      <c r="QV167" s="5"/>
      <c r="QW167" s="5"/>
      <c r="QX167" s="5"/>
      <c r="QY167" s="5"/>
      <c r="QZ167" s="5"/>
      <c r="RA167" s="5"/>
      <c r="RB167" s="5"/>
      <c r="RC167" s="5"/>
      <c r="RD167" s="5"/>
      <c r="RE167" s="5"/>
      <c r="RF167" s="5"/>
      <c r="RG167" s="5"/>
      <c r="RH167" s="5"/>
      <c r="RI167" s="5"/>
      <c r="RJ167" s="5"/>
      <c r="RK167" s="5"/>
      <c r="RL167" s="5"/>
      <c r="RM167" s="5"/>
      <c r="RN167" s="5"/>
      <c r="RO167" s="5"/>
      <c r="RP167" s="5"/>
      <c r="RQ167" s="5"/>
      <c r="RR167" s="5"/>
      <c r="RS167" s="5"/>
      <c r="RT167" s="5"/>
      <c r="RU167" s="5"/>
      <c r="RV167" s="5"/>
      <c r="RW167" s="5"/>
      <c r="RX167" s="5"/>
      <c r="RY167" s="5"/>
      <c r="RZ167" s="5"/>
      <c r="SA167" s="5"/>
      <c r="SB167" s="5"/>
      <c r="SC167" s="5"/>
      <c r="SD167" s="5"/>
      <c r="SE167" s="5"/>
      <c r="SF167" s="5"/>
      <c r="SG167" s="5"/>
      <c r="SH167" s="5"/>
      <c r="SI167" s="5"/>
      <c r="SJ167" s="5"/>
      <c r="SK167" s="5"/>
      <c r="SL167" s="5"/>
      <c r="SM167" s="5"/>
      <c r="SN167" s="5"/>
      <c r="SO167" s="5"/>
      <c r="SP167" s="5"/>
      <c r="SQ167" s="5"/>
      <c r="SR167" s="5"/>
      <c r="SS167" s="5"/>
      <c r="ST167" s="5"/>
      <c r="SU167" s="5"/>
      <c r="SV167" s="5"/>
      <c r="SW167" s="5"/>
      <c r="SX167" s="5"/>
      <c r="SY167" s="5"/>
      <c r="SZ167" s="5"/>
      <c r="TA167" s="5"/>
      <c r="TB167" s="5"/>
      <c r="TC167" s="5"/>
      <c r="TD167" s="5"/>
      <c r="TE167" s="5"/>
      <c r="TF167" s="5"/>
      <c r="TG167" s="5"/>
      <c r="TH167" s="5"/>
      <c r="TI167" s="5"/>
      <c r="TJ167" s="5"/>
      <c r="TK167" s="5"/>
      <c r="TL167" s="5"/>
      <c r="TM167" s="5"/>
      <c r="TN167" s="5"/>
      <c r="TO167" s="5"/>
      <c r="TP167" s="5"/>
      <c r="TQ167" s="5"/>
      <c r="TR167" s="5"/>
      <c r="TS167" s="5"/>
      <c r="TT167" s="5"/>
      <c r="TU167" s="5"/>
      <c r="TV167" s="5"/>
      <c r="TW167" s="5"/>
      <c r="TX167" s="5"/>
      <c r="TY167" s="5"/>
      <c r="TZ167" s="5"/>
      <c r="UA167" s="5"/>
      <c r="UB167" s="5"/>
      <c r="UC167" s="5"/>
      <c r="UD167" s="5"/>
      <c r="UE167" s="5"/>
      <c r="UF167" s="5"/>
      <c r="UG167" s="5"/>
      <c r="UH167" s="5"/>
      <c r="UI167" s="5"/>
      <c r="UJ167" s="5"/>
      <c r="UK167" s="5"/>
      <c r="UL167" s="5"/>
      <c r="UM167" s="5"/>
      <c r="UN167" s="5"/>
      <c r="UO167" s="5"/>
      <c r="UP167" s="5"/>
      <c r="UQ167" s="5"/>
      <c r="UR167" s="5"/>
      <c r="US167" s="5"/>
      <c r="UT167" s="5"/>
      <c r="UU167" s="5"/>
      <c r="UV167" s="5"/>
      <c r="UW167" s="5"/>
      <c r="UX167" s="5"/>
      <c r="UY167" s="5"/>
      <c r="UZ167" s="5"/>
      <c r="VA167" s="5"/>
      <c r="VB167" s="5"/>
      <c r="VC167" s="5"/>
      <c r="VD167" s="5"/>
      <c r="VE167" s="5"/>
      <c r="VF167" s="5"/>
      <c r="VG167" s="5"/>
      <c r="VH167" s="5"/>
      <c r="VI167" s="5"/>
      <c r="VJ167" s="5"/>
      <c r="VK167" s="5"/>
      <c r="VL167" s="5"/>
      <c r="VM167" s="5"/>
      <c r="VN167" s="5"/>
      <c r="VO167" s="5"/>
      <c r="VP167" s="5"/>
      <c r="VQ167" s="5"/>
      <c r="VR167" s="5"/>
      <c r="VS167" s="5"/>
      <c r="VT167" s="5"/>
      <c r="VU167" s="5"/>
      <c r="VV167" s="5"/>
      <c r="VW167" s="5"/>
      <c r="VX167" s="5"/>
      <c r="VY167" s="5"/>
      <c r="VZ167" s="5"/>
      <c r="WA167" s="5"/>
      <c r="WB167" s="5"/>
      <c r="WC167" s="5"/>
      <c r="WD167" s="5"/>
      <c r="WE167" s="5"/>
      <c r="WF167" s="5"/>
      <c r="WG167" s="5"/>
      <c r="WH167" s="5"/>
      <c r="WI167" s="5"/>
      <c r="WJ167" s="5"/>
      <c r="WK167" s="5"/>
      <c r="WL167" s="5"/>
      <c r="WM167" s="5"/>
      <c r="WN167" s="5"/>
      <c r="WO167" s="5"/>
      <c r="WP167" s="5"/>
      <c r="WQ167" s="5"/>
      <c r="WR167" s="5"/>
      <c r="WS167" s="5"/>
      <c r="WT167" s="5"/>
      <c r="WU167" s="5"/>
      <c r="WV167" s="5"/>
      <c r="WW167" s="5"/>
      <c r="WX167" s="5"/>
      <c r="WY167" s="5"/>
      <c r="WZ167" s="5"/>
      <c r="XA167" s="5"/>
      <c r="XB167" s="5"/>
      <c r="XC167" s="5"/>
      <c r="XD167" s="5"/>
      <c r="XE167" s="5"/>
      <c r="XF167" s="5"/>
      <c r="XG167" s="5"/>
      <c r="XH167" s="5"/>
      <c r="XI167" s="5"/>
      <c r="XJ167" s="5"/>
      <c r="XK167" s="5"/>
      <c r="XL167" s="5"/>
      <c r="XM167" s="5"/>
      <c r="XN167" s="5"/>
      <c r="XO167" s="5"/>
      <c r="XP167" s="5"/>
      <c r="XQ167" s="5"/>
      <c r="XR167" s="5"/>
      <c r="XS167" s="5"/>
      <c r="XT167" s="5"/>
      <c r="XU167" s="5"/>
      <c r="XV167" s="5"/>
      <c r="XW167" s="5"/>
      <c r="XX167" s="5"/>
      <c r="XY167" s="5"/>
      <c r="XZ167" s="5"/>
      <c r="YA167" s="5"/>
      <c r="YB167" s="5"/>
      <c r="YC167" s="5"/>
      <c r="YD167" s="5"/>
      <c r="YE167" s="5"/>
      <c r="YF167" s="5"/>
      <c r="YG167" s="5"/>
      <c r="YH167" s="5"/>
      <c r="YI167" s="5"/>
      <c r="YJ167" s="5"/>
      <c r="YK167" s="5"/>
      <c r="YL167" s="5"/>
      <c r="YM167" s="5"/>
      <c r="YN167" s="5"/>
      <c r="YO167" s="5"/>
      <c r="YP167" s="5"/>
      <c r="YQ167" s="5"/>
      <c r="YR167" s="5"/>
      <c r="YS167" s="5"/>
      <c r="YT167" s="5"/>
      <c r="YU167" s="5"/>
      <c r="YV167" s="5"/>
      <c r="YW167" s="5"/>
      <c r="YX167" s="5"/>
      <c r="YY167" s="5"/>
      <c r="YZ167" s="5"/>
    </row>
    <row r="168" spans="1:676">
      <c r="A168" s="7">
        <v>158</v>
      </c>
      <c r="B168" s="7" t="s">
        <v>396</v>
      </c>
      <c r="C168" s="10" t="s">
        <v>397</v>
      </c>
      <c r="D168" s="7" t="s">
        <v>60</v>
      </c>
      <c r="E168" s="7" t="s">
        <v>178</v>
      </c>
      <c r="F168" s="7" t="s">
        <v>344</v>
      </c>
      <c r="G168" s="7"/>
      <c r="H168" s="7" t="s">
        <v>43</v>
      </c>
      <c r="I168" s="11">
        <v>2</v>
      </c>
      <c r="J168" s="11">
        <v>3</v>
      </c>
      <c r="K168" s="11">
        <v>0</v>
      </c>
      <c r="L168" s="11">
        <v>1.44</v>
      </c>
      <c r="M168" s="11">
        <v>0</v>
      </c>
      <c r="N168" s="11">
        <v>0</v>
      </c>
      <c r="O168" s="11">
        <v>0.74</v>
      </c>
      <c r="P168" s="11">
        <v>0.8</v>
      </c>
      <c r="Q168" s="11">
        <v>2.98</v>
      </c>
      <c r="R168" s="11">
        <v>0</v>
      </c>
      <c r="S168" s="11">
        <v>2.98</v>
      </c>
      <c r="T168" s="11">
        <v>2</v>
      </c>
      <c r="U168" s="11">
        <v>0.9800000000000004</v>
      </c>
      <c r="V168" s="11">
        <v>0</v>
      </c>
      <c r="W168" s="13">
        <v>2</v>
      </c>
      <c r="X168" s="13">
        <v>3</v>
      </c>
      <c r="Y168" s="13" t="str">
        <f>MIN(W168,S168)</f>
        <v>0</v>
      </c>
      <c r="Z168" s="13" t="str">
        <f>MIN(X168,(S168-Y168))</f>
        <v>0</v>
      </c>
      <c r="AA168" s="13" t="str">
        <f>S168-SUM(Y168,Z168)</f>
        <v>0</v>
      </c>
      <c r="AB168" s="15"/>
      <c r="AC168" s="15"/>
      <c r="AD168" s="1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  <c r="BA168" s="5"/>
      <c r="BB168" s="5"/>
      <c r="BC168" s="5"/>
      <c r="BD168" s="5"/>
      <c r="BE168" s="5"/>
      <c r="BF168" s="5"/>
      <c r="BG168" s="5"/>
      <c r="BH168" s="5"/>
      <c r="BI168" s="5"/>
      <c r="BJ168" s="5"/>
      <c r="BK168" s="5"/>
      <c r="BL168" s="5"/>
      <c r="BM168" s="5"/>
      <c r="BN168" s="5"/>
      <c r="BO168" s="5"/>
      <c r="BP168" s="5"/>
      <c r="BQ168" s="5"/>
      <c r="BR168" s="5"/>
      <c r="BS168" s="5"/>
      <c r="BT168" s="5"/>
      <c r="BU168" s="5"/>
      <c r="BV168" s="5"/>
      <c r="BW168" s="5"/>
      <c r="BX168" s="5"/>
      <c r="BY168" s="5"/>
      <c r="BZ168" s="5"/>
      <c r="CA168" s="5"/>
      <c r="CB168" s="5"/>
      <c r="CC168" s="5"/>
      <c r="CD168" s="5"/>
      <c r="CE168" s="5"/>
      <c r="CF168" s="5"/>
      <c r="CG168" s="5"/>
      <c r="CH168" s="5"/>
      <c r="CI168" s="5"/>
      <c r="CJ168" s="5"/>
      <c r="CK168" s="5"/>
      <c r="CL168" s="5"/>
      <c r="CM168" s="5"/>
      <c r="CN168" s="5"/>
      <c r="CO168" s="5"/>
      <c r="CP168" s="5"/>
      <c r="CQ168" s="5"/>
      <c r="CR168" s="5"/>
      <c r="CS168" s="5"/>
      <c r="CT168" s="5"/>
      <c r="CU168" s="5"/>
      <c r="CV168" s="5"/>
      <c r="CW168" s="5"/>
      <c r="CX168" s="5"/>
      <c r="CY168" s="5"/>
      <c r="CZ168" s="5"/>
      <c r="DA168" s="5"/>
      <c r="DB168" s="5"/>
      <c r="DC168" s="5"/>
      <c r="DD168" s="5"/>
      <c r="DE168" s="5"/>
      <c r="DF168" s="5"/>
      <c r="DG168" s="5"/>
      <c r="DH168" s="5"/>
      <c r="DI168" s="5"/>
      <c r="DJ168" s="5"/>
      <c r="DK168" s="5"/>
      <c r="DL168" s="5"/>
      <c r="DM168" s="5"/>
      <c r="DN168" s="5"/>
      <c r="DO168" s="5"/>
      <c r="DP168" s="5"/>
      <c r="DQ168" s="5"/>
      <c r="DR168" s="5"/>
      <c r="DS168" s="5"/>
      <c r="DT168" s="5"/>
      <c r="DU168" s="5"/>
      <c r="DV168" s="5"/>
      <c r="DW168" s="5"/>
      <c r="DX168" s="5"/>
      <c r="DY168" s="5"/>
      <c r="DZ168" s="5"/>
      <c r="EA168" s="5"/>
      <c r="EB168" s="5"/>
      <c r="EC168" s="5"/>
      <c r="ED168" s="5"/>
      <c r="EE168" s="5"/>
      <c r="EF168" s="5"/>
      <c r="EG168" s="5"/>
      <c r="EH168" s="5"/>
      <c r="EI168" s="5"/>
      <c r="EJ168" s="5"/>
      <c r="EK168" s="5"/>
      <c r="EL168" s="5"/>
      <c r="EM168" s="5"/>
      <c r="EN168" s="5"/>
      <c r="EO168" s="5"/>
      <c r="EP168" s="5"/>
      <c r="EQ168" s="5"/>
      <c r="ER168" s="5"/>
      <c r="ES168" s="5"/>
      <c r="ET168" s="5"/>
      <c r="EU168" s="5"/>
      <c r="EV168" s="5"/>
      <c r="EW168" s="5"/>
      <c r="EX168" s="5"/>
      <c r="EY168" s="5"/>
      <c r="EZ168" s="5"/>
      <c r="FA168" s="5"/>
      <c r="FB168" s="5"/>
      <c r="FC168" s="5"/>
      <c r="FD168" s="5"/>
      <c r="FE168" s="5"/>
      <c r="FF168" s="5"/>
      <c r="FG168" s="5"/>
      <c r="FH168" s="5"/>
      <c r="FI168" s="5"/>
      <c r="FJ168" s="5"/>
      <c r="FK168" s="5"/>
      <c r="FL168" s="5"/>
      <c r="FM168" s="5"/>
      <c r="FN168" s="5"/>
      <c r="FO168" s="5"/>
      <c r="FP168" s="5"/>
      <c r="FQ168" s="5"/>
      <c r="FR168" s="5"/>
      <c r="FS168" s="5"/>
      <c r="FT168" s="5"/>
      <c r="FU168" s="5"/>
      <c r="FV168" s="5"/>
      <c r="FW168" s="5"/>
      <c r="FX168" s="5"/>
      <c r="FY168" s="5"/>
      <c r="FZ168" s="5"/>
      <c r="GA168" s="5"/>
      <c r="GB168" s="5"/>
      <c r="GC168" s="5"/>
      <c r="GD168" s="5"/>
      <c r="GE168" s="5"/>
      <c r="GF168" s="5"/>
      <c r="GG168" s="5"/>
      <c r="GH168" s="5"/>
      <c r="GI168" s="5"/>
      <c r="GJ168" s="5"/>
      <c r="GK168" s="5"/>
      <c r="GL168" s="5"/>
      <c r="GM168" s="5"/>
      <c r="GN168" s="5"/>
      <c r="GO168" s="5"/>
      <c r="GP168" s="5"/>
      <c r="GQ168" s="5"/>
      <c r="GR168" s="5"/>
      <c r="GS168" s="5"/>
      <c r="GT168" s="5"/>
      <c r="GU168" s="5"/>
      <c r="GV168" s="5"/>
      <c r="GW168" s="5"/>
      <c r="GX168" s="5"/>
      <c r="GY168" s="5"/>
      <c r="GZ168" s="5"/>
      <c r="HA168" s="5"/>
      <c r="HB168" s="5"/>
      <c r="HC168" s="5"/>
      <c r="HD168" s="5"/>
      <c r="HE168" s="5"/>
      <c r="HF168" s="5"/>
      <c r="HG168" s="5"/>
      <c r="HH168" s="5"/>
      <c r="HI168" s="5"/>
      <c r="HJ168" s="5"/>
      <c r="HK168" s="5"/>
      <c r="HL168" s="5"/>
      <c r="HM168" s="5"/>
      <c r="HN168" s="5"/>
      <c r="HO168" s="5"/>
      <c r="HP168" s="5"/>
      <c r="HQ168" s="5"/>
      <c r="HR168" s="5"/>
      <c r="HS168" s="5"/>
      <c r="HT168" s="5"/>
      <c r="HU168" s="5"/>
      <c r="HV168" s="5"/>
      <c r="HW168" s="5"/>
      <c r="HX168" s="5"/>
      <c r="HY168" s="5"/>
      <c r="HZ168" s="5"/>
      <c r="IA168" s="5"/>
      <c r="IB168" s="5"/>
      <c r="IC168" s="5"/>
      <c r="ID168" s="5"/>
      <c r="IE168" s="5"/>
      <c r="IF168" s="5"/>
      <c r="IG168" s="5"/>
      <c r="IH168" s="5"/>
      <c r="II168" s="5"/>
      <c r="IJ168" s="5"/>
      <c r="IK168" s="5"/>
      <c r="IL168" s="5"/>
      <c r="IM168" s="5"/>
      <c r="IN168" s="5"/>
      <c r="IO168" s="5"/>
      <c r="IP168" s="5"/>
      <c r="IQ168" s="5"/>
      <c r="IR168" s="5"/>
      <c r="IS168" s="5"/>
      <c r="IT168" s="5"/>
      <c r="IU168" s="5"/>
      <c r="IV168" s="5"/>
      <c r="IW168" s="5"/>
      <c r="IX168" s="5"/>
      <c r="IY168" s="5"/>
      <c r="IZ168" s="5"/>
      <c r="JA168" s="5"/>
      <c r="JB168" s="5"/>
      <c r="JC168" s="5"/>
      <c r="JD168" s="5"/>
      <c r="JE168" s="5"/>
      <c r="JF168" s="5"/>
      <c r="JG168" s="5"/>
      <c r="JH168" s="5"/>
      <c r="JI168" s="5"/>
      <c r="JJ168" s="5"/>
      <c r="JK168" s="5"/>
      <c r="JL168" s="5"/>
      <c r="JM168" s="5"/>
      <c r="JN168" s="5"/>
      <c r="JO168" s="5"/>
      <c r="JP168" s="5"/>
      <c r="JQ168" s="5"/>
      <c r="JR168" s="5"/>
      <c r="JS168" s="5"/>
      <c r="JT168" s="5"/>
      <c r="JU168" s="5"/>
      <c r="JV168" s="5"/>
      <c r="JW168" s="5"/>
      <c r="JX168" s="5"/>
      <c r="JY168" s="5"/>
      <c r="JZ168" s="5"/>
      <c r="KA168" s="5"/>
      <c r="KB168" s="5"/>
      <c r="KC168" s="5"/>
      <c r="KD168" s="5"/>
      <c r="KE168" s="5"/>
      <c r="KF168" s="5"/>
      <c r="KG168" s="5"/>
      <c r="KH168" s="5"/>
      <c r="KI168" s="5"/>
      <c r="KJ168" s="5"/>
      <c r="KK168" s="5"/>
      <c r="KL168" s="5"/>
      <c r="KM168" s="5"/>
      <c r="KN168" s="5"/>
      <c r="KO168" s="5"/>
      <c r="KP168" s="5"/>
      <c r="KQ168" s="5"/>
      <c r="KR168" s="5"/>
      <c r="KS168" s="5"/>
      <c r="KT168" s="5"/>
      <c r="KU168" s="5"/>
      <c r="KV168" s="5"/>
      <c r="KW168" s="5"/>
      <c r="KX168" s="5"/>
      <c r="KY168" s="5"/>
      <c r="KZ168" s="5"/>
      <c r="LA168" s="5"/>
      <c r="LB168" s="5"/>
      <c r="LC168" s="5"/>
      <c r="LD168" s="5"/>
      <c r="LE168" s="5"/>
      <c r="LF168" s="5"/>
      <c r="LG168" s="5"/>
      <c r="LH168" s="5"/>
      <c r="LI168" s="5"/>
      <c r="LJ168" s="5"/>
      <c r="LK168" s="5"/>
      <c r="LL168" s="5"/>
      <c r="LM168" s="5"/>
      <c r="LN168" s="5"/>
      <c r="LO168" s="5"/>
      <c r="LP168" s="5"/>
      <c r="LQ168" s="5"/>
      <c r="LR168" s="5"/>
      <c r="LS168" s="5"/>
      <c r="LT168" s="5"/>
      <c r="LU168" s="5"/>
      <c r="LV168" s="5"/>
      <c r="LW168" s="5"/>
      <c r="LX168" s="5"/>
      <c r="LY168" s="5"/>
      <c r="LZ168" s="5"/>
      <c r="MA168" s="5"/>
      <c r="MB168" s="5"/>
      <c r="MC168" s="5"/>
      <c r="MD168" s="5"/>
      <c r="ME168" s="5"/>
      <c r="MF168" s="5"/>
      <c r="MG168" s="5"/>
      <c r="MH168" s="5"/>
      <c r="MI168" s="5"/>
      <c r="MJ168" s="5"/>
      <c r="MK168" s="5"/>
      <c r="ML168" s="5"/>
      <c r="MM168" s="5"/>
      <c r="MN168" s="5"/>
      <c r="MO168" s="5"/>
      <c r="MP168" s="5"/>
      <c r="MQ168" s="5"/>
      <c r="MR168" s="5"/>
      <c r="MS168" s="5"/>
      <c r="MT168" s="5"/>
      <c r="MU168" s="5"/>
      <c r="MV168" s="5"/>
      <c r="MW168" s="5"/>
      <c r="MX168" s="5"/>
      <c r="MY168" s="5"/>
      <c r="MZ168" s="5"/>
      <c r="NA168" s="5"/>
      <c r="NB168" s="5"/>
      <c r="NC168" s="5"/>
      <c r="ND168" s="5"/>
      <c r="NE168" s="5"/>
      <c r="NF168" s="5"/>
      <c r="NG168" s="5"/>
      <c r="NH168" s="5"/>
      <c r="NI168" s="5"/>
      <c r="NJ168" s="5"/>
      <c r="NK168" s="5"/>
      <c r="NL168" s="5"/>
      <c r="NM168" s="5"/>
      <c r="NN168" s="5"/>
      <c r="NO168" s="5"/>
      <c r="NP168" s="5"/>
      <c r="NQ168" s="5"/>
      <c r="NR168" s="5"/>
      <c r="NS168" s="5"/>
      <c r="NT168" s="5"/>
      <c r="NU168" s="5"/>
      <c r="NV168" s="5"/>
      <c r="NW168" s="5"/>
      <c r="NX168" s="5"/>
      <c r="NY168" s="5"/>
      <c r="NZ168" s="5"/>
      <c r="OA168" s="5"/>
      <c r="OB168" s="5"/>
      <c r="OC168" s="5"/>
      <c r="OD168" s="5"/>
      <c r="OE168" s="5"/>
      <c r="OF168" s="5"/>
      <c r="OG168" s="5"/>
      <c r="OH168" s="5"/>
      <c r="OI168" s="5"/>
      <c r="OJ168" s="5"/>
      <c r="OK168" s="5"/>
      <c r="OL168" s="5"/>
      <c r="OM168" s="5"/>
      <c r="ON168" s="5"/>
      <c r="OO168" s="5"/>
      <c r="OP168" s="5"/>
      <c r="OQ168" s="5"/>
      <c r="OR168" s="5"/>
      <c r="OS168" s="5"/>
      <c r="OT168" s="5"/>
      <c r="OU168" s="5"/>
      <c r="OV168" s="5"/>
      <c r="OW168" s="5"/>
      <c r="OX168" s="5"/>
      <c r="OY168" s="5"/>
      <c r="OZ168" s="5"/>
      <c r="PA168" s="5"/>
      <c r="PB168" s="5"/>
      <c r="PC168" s="5"/>
      <c r="PD168" s="5"/>
      <c r="PE168" s="5"/>
      <c r="PF168" s="5"/>
      <c r="PG168" s="5"/>
      <c r="PH168" s="5"/>
      <c r="PI168" s="5"/>
      <c r="PJ168" s="5"/>
      <c r="PK168" s="5"/>
      <c r="PL168" s="5"/>
      <c r="PM168" s="5"/>
      <c r="PN168" s="5"/>
      <c r="PO168" s="5"/>
      <c r="PP168" s="5"/>
      <c r="PQ168" s="5"/>
      <c r="PR168" s="5"/>
      <c r="PS168" s="5"/>
      <c r="PT168" s="5"/>
      <c r="PU168" s="5"/>
      <c r="PV168" s="5"/>
      <c r="PW168" s="5"/>
      <c r="PX168" s="5"/>
      <c r="PY168" s="5"/>
      <c r="PZ168" s="5"/>
      <c r="QA168" s="5"/>
      <c r="QB168" s="5"/>
      <c r="QC168" s="5"/>
      <c r="QD168" s="5"/>
      <c r="QE168" s="5"/>
      <c r="QF168" s="5"/>
      <c r="QG168" s="5"/>
      <c r="QH168" s="5"/>
      <c r="QI168" s="5"/>
      <c r="QJ168" s="5"/>
      <c r="QK168" s="5"/>
      <c r="QL168" s="5"/>
      <c r="QM168" s="5"/>
      <c r="QN168" s="5"/>
      <c r="QO168" s="5"/>
      <c r="QP168" s="5"/>
      <c r="QQ168" s="5"/>
      <c r="QR168" s="5"/>
      <c r="QS168" s="5"/>
      <c r="QT168" s="5"/>
      <c r="QU168" s="5"/>
      <c r="QV168" s="5"/>
      <c r="QW168" s="5"/>
      <c r="QX168" s="5"/>
      <c r="QY168" s="5"/>
      <c r="QZ168" s="5"/>
      <c r="RA168" s="5"/>
      <c r="RB168" s="5"/>
      <c r="RC168" s="5"/>
      <c r="RD168" s="5"/>
      <c r="RE168" s="5"/>
      <c r="RF168" s="5"/>
      <c r="RG168" s="5"/>
      <c r="RH168" s="5"/>
      <c r="RI168" s="5"/>
      <c r="RJ168" s="5"/>
      <c r="RK168" s="5"/>
      <c r="RL168" s="5"/>
      <c r="RM168" s="5"/>
      <c r="RN168" s="5"/>
      <c r="RO168" s="5"/>
      <c r="RP168" s="5"/>
      <c r="RQ168" s="5"/>
      <c r="RR168" s="5"/>
      <c r="RS168" s="5"/>
      <c r="RT168" s="5"/>
      <c r="RU168" s="5"/>
      <c r="RV168" s="5"/>
      <c r="RW168" s="5"/>
      <c r="RX168" s="5"/>
      <c r="RY168" s="5"/>
      <c r="RZ168" s="5"/>
      <c r="SA168" s="5"/>
      <c r="SB168" s="5"/>
      <c r="SC168" s="5"/>
      <c r="SD168" s="5"/>
      <c r="SE168" s="5"/>
      <c r="SF168" s="5"/>
      <c r="SG168" s="5"/>
      <c r="SH168" s="5"/>
      <c r="SI168" s="5"/>
      <c r="SJ168" s="5"/>
      <c r="SK168" s="5"/>
      <c r="SL168" s="5"/>
      <c r="SM168" s="5"/>
      <c r="SN168" s="5"/>
      <c r="SO168" s="5"/>
      <c r="SP168" s="5"/>
      <c r="SQ168" s="5"/>
      <c r="SR168" s="5"/>
      <c r="SS168" s="5"/>
      <c r="ST168" s="5"/>
      <c r="SU168" s="5"/>
      <c r="SV168" s="5"/>
      <c r="SW168" s="5"/>
      <c r="SX168" s="5"/>
      <c r="SY168" s="5"/>
      <c r="SZ168" s="5"/>
      <c r="TA168" s="5"/>
      <c r="TB168" s="5"/>
      <c r="TC168" s="5"/>
      <c r="TD168" s="5"/>
      <c r="TE168" s="5"/>
      <c r="TF168" s="5"/>
      <c r="TG168" s="5"/>
      <c r="TH168" s="5"/>
      <c r="TI168" s="5"/>
      <c r="TJ168" s="5"/>
      <c r="TK168" s="5"/>
      <c r="TL168" s="5"/>
      <c r="TM168" s="5"/>
      <c r="TN168" s="5"/>
      <c r="TO168" s="5"/>
      <c r="TP168" s="5"/>
      <c r="TQ168" s="5"/>
      <c r="TR168" s="5"/>
      <c r="TS168" s="5"/>
      <c r="TT168" s="5"/>
      <c r="TU168" s="5"/>
      <c r="TV168" s="5"/>
      <c r="TW168" s="5"/>
      <c r="TX168" s="5"/>
      <c r="TY168" s="5"/>
      <c r="TZ168" s="5"/>
      <c r="UA168" s="5"/>
      <c r="UB168" s="5"/>
      <c r="UC168" s="5"/>
      <c r="UD168" s="5"/>
      <c r="UE168" s="5"/>
      <c r="UF168" s="5"/>
      <c r="UG168" s="5"/>
      <c r="UH168" s="5"/>
      <c r="UI168" s="5"/>
      <c r="UJ168" s="5"/>
      <c r="UK168" s="5"/>
      <c r="UL168" s="5"/>
      <c r="UM168" s="5"/>
      <c r="UN168" s="5"/>
      <c r="UO168" s="5"/>
      <c r="UP168" s="5"/>
      <c r="UQ168" s="5"/>
      <c r="UR168" s="5"/>
      <c r="US168" s="5"/>
      <c r="UT168" s="5"/>
      <c r="UU168" s="5"/>
      <c r="UV168" s="5"/>
      <c r="UW168" s="5"/>
      <c r="UX168" s="5"/>
      <c r="UY168" s="5"/>
      <c r="UZ168" s="5"/>
      <c r="VA168" s="5"/>
      <c r="VB168" s="5"/>
      <c r="VC168" s="5"/>
      <c r="VD168" s="5"/>
      <c r="VE168" s="5"/>
      <c r="VF168" s="5"/>
      <c r="VG168" s="5"/>
      <c r="VH168" s="5"/>
      <c r="VI168" s="5"/>
      <c r="VJ168" s="5"/>
      <c r="VK168" s="5"/>
      <c r="VL168" s="5"/>
      <c r="VM168" s="5"/>
      <c r="VN168" s="5"/>
      <c r="VO168" s="5"/>
      <c r="VP168" s="5"/>
      <c r="VQ168" s="5"/>
      <c r="VR168" s="5"/>
      <c r="VS168" s="5"/>
      <c r="VT168" s="5"/>
      <c r="VU168" s="5"/>
      <c r="VV168" s="5"/>
      <c r="VW168" s="5"/>
      <c r="VX168" s="5"/>
      <c r="VY168" s="5"/>
      <c r="VZ168" s="5"/>
      <c r="WA168" s="5"/>
      <c r="WB168" s="5"/>
      <c r="WC168" s="5"/>
      <c r="WD168" s="5"/>
      <c r="WE168" s="5"/>
      <c r="WF168" s="5"/>
      <c r="WG168" s="5"/>
      <c r="WH168" s="5"/>
      <c r="WI168" s="5"/>
      <c r="WJ168" s="5"/>
      <c r="WK168" s="5"/>
      <c r="WL168" s="5"/>
      <c r="WM168" s="5"/>
      <c r="WN168" s="5"/>
      <c r="WO168" s="5"/>
      <c r="WP168" s="5"/>
      <c r="WQ168" s="5"/>
      <c r="WR168" s="5"/>
      <c r="WS168" s="5"/>
      <c r="WT168" s="5"/>
      <c r="WU168" s="5"/>
      <c r="WV168" s="5"/>
      <c r="WW168" s="5"/>
      <c r="WX168" s="5"/>
      <c r="WY168" s="5"/>
      <c r="WZ168" s="5"/>
      <c r="XA168" s="5"/>
      <c r="XB168" s="5"/>
      <c r="XC168" s="5"/>
      <c r="XD168" s="5"/>
      <c r="XE168" s="5"/>
      <c r="XF168" s="5"/>
      <c r="XG168" s="5"/>
      <c r="XH168" s="5"/>
      <c r="XI168" s="5"/>
      <c r="XJ168" s="5"/>
      <c r="XK168" s="5"/>
      <c r="XL168" s="5"/>
      <c r="XM168" s="5"/>
      <c r="XN168" s="5"/>
      <c r="XO168" s="5"/>
      <c r="XP168" s="5"/>
      <c r="XQ168" s="5"/>
      <c r="XR168" s="5"/>
      <c r="XS168" s="5"/>
      <c r="XT168" s="5"/>
      <c r="XU168" s="5"/>
      <c r="XV168" s="5"/>
      <c r="XW168" s="5"/>
      <c r="XX168" s="5"/>
      <c r="XY168" s="5"/>
      <c r="XZ168" s="5"/>
      <c r="YA168" s="5"/>
      <c r="YB168" s="5"/>
      <c r="YC168" s="5"/>
      <c r="YD168" s="5"/>
      <c r="YE168" s="5"/>
      <c r="YF168" s="5"/>
      <c r="YG168" s="5"/>
      <c r="YH168" s="5"/>
      <c r="YI168" s="5"/>
      <c r="YJ168" s="5"/>
      <c r="YK168" s="5"/>
      <c r="YL168" s="5"/>
      <c r="YM168" s="5"/>
      <c r="YN168" s="5"/>
      <c r="YO168" s="5"/>
      <c r="YP168" s="5"/>
      <c r="YQ168" s="5"/>
      <c r="YR168" s="5"/>
      <c r="YS168" s="5"/>
      <c r="YT168" s="5"/>
      <c r="YU168" s="5"/>
      <c r="YV168" s="5"/>
      <c r="YW168" s="5"/>
      <c r="YX168" s="5"/>
      <c r="YY168" s="5"/>
      <c r="YZ168" s="5"/>
    </row>
    <row r="169" spans="1:676">
      <c r="A169" s="7">
        <v>159</v>
      </c>
      <c r="B169" s="7" t="s">
        <v>398</v>
      </c>
      <c r="C169" s="10" t="s">
        <v>399</v>
      </c>
      <c r="D169" s="7" t="s">
        <v>82</v>
      </c>
      <c r="E169" s="7" t="s">
        <v>178</v>
      </c>
      <c r="F169" s="7" t="s">
        <v>355</v>
      </c>
      <c r="G169" s="7"/>
      <c r="H169" s="7"/>
      <c r="I169" s="11">
        <v>2</v>
      </c>
      <c r="J169" s="11">
        <v>3</v>
      </c>
      <c r="K169" s="11">
        <v>0</v>
      </c>
      <c r="L169" s="11">
        <v>0</v>
      </c>
      <c r="M169" s="11">
        <v>0.16</v>
      </c>
      <c r="N169" s="11">
        <v>0</v>
      </c>
      <c r="O169" s="11">
        <v>0.96</v>
      </c>
      <c r="P169" s="11">
        <v>1.75</v>
      </c>
      <c r="Q169" s="11">
        <v>2.87</v>
      </c>
      <c r="R169" s="11">
        <v>0</v>
      </c>
      <c r="S169" s="11">
        <v>2.87</v>
      </c>
      <c r="T169" s="11">
        <v>2</v>
      </c>
      <c r="U169" s="11">
        <v>0.8700000000000001</v>
      </c>
      <c r="V169" s="11">
        <v>0</v>
      </c>
      <c r="W169" s="13">
        <v>2</v>
      </c>
      <c r="X169" s="13">
        <v>3</v>
      </c>
      <c r="Y169" s="13" t="str">
        <f>MIN(W169,S169)</f>
        <v>0</v>
      </c>
      <c r="Z169" s="13" t="str">
        <f>MIN(X169,(S169-Y169))</f>
        <v>0</v>
      </c>
      <c r="AA169" s="13" t="str">
        <f>S169-SUM(Y169,Z169)</f>
        <v>0</v>
      </c>
      <c r="AB169" s="15"/>
      <c r="AC169" s="15"/>
      <c r="AD169" s="1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  <c r="BA169" s="5"/>
      <c r="BB169" s="5"/>
      <c r="BC169" s="5"/>
      <c r="BD169" s="5"/>
      <c r="BE169" s="5"/>
      <c r="BF169" s="5"/>
      <c r="BG169" s="5"/>
      <c r="BH169" s="5"/>
      <c r="BI169" s="5"/>
      <c r="BJ169" s="5"/>
      <c r="BK169" s="5"/>
      <c r="BL169" s="5"/>
      <c r="BM169" s="5"/>
      <c r="BN169" s="5"/>
      <c r="BO169" s="5"/>
      <c r="BP169" s="5"/>
      <c r="BQ169" s="5"/>
      <c r="BR169" s="5"/>
      <c r="BS169" s="5"/>
      <c r="BT169" s="5"/>
      <c r="BU169" s="5"/>
      <c r="BV169" s="5"/>
      <c r="BW169" s="5"/>
      <c r="BX169" s="5"/>
      <c r="BY169" s="5"/>
      <c r="BZ169" s="5"/>
      <c r="CA169" s="5"/>
      <c r="CB169" s="5"/>
      <c r="CC169" s="5"/>
      <c r="CD169" s="5"/>
      <c r="CE169" s="5"/>
      <c r="CF169" s="5"/>
      <c r="CG169" s="5"/>
      <c r="CH169" s="5"/>
      <c r="CI169" s="5"/>
      <c r="CJ169" s="5"/>
      <c r="CK169" s="5"/>
      <c r="CL169" s="5"/>
      <c r="CM169" s="5"/>
      <c r="CN169" s="5"/>
      <c r="CO169" s="5"/>
      <c r="CP169" s="5"/>
      <c r="CQ169" s="5"/>
      <c r="CR169" s="5"/>
      <c r="CS169" s="5"/>
      <c r="CT169" s="5"/>
      <c r="CU169" s="5"/>
      <c r="CV169" s="5"/>
      <c r="CW169" s="5"/>
      <c r="CX169" s="5"/>
      <c r="CY169" s="5"/>
      <c r="CZ169" s="5"/>
      <c r="DA169" s="5"/>
      <c r="DB169" s="5"/>
      <c r="DC169" s="5"/>
      <c r="DD169" s="5"/>
      <c r="DE169" s="5"/>
      <c r="DF169" s="5"/>
      <c r="DG169" s="5"/>
      <c r="DH169" s="5"/>
      <c r="DI169" s="5"/>
      <c r="DJ169" s="5"/>
      <c r="DK169" s="5"/>
      <c r="DL169" s="5"/>
      <c r="DM169" s="5"/>
      <c r="DN169" s="5"/>
      <c r="DO169" s="5"/>
      <c r="DP169" s="5"/>
      <c r="DQ169" s="5"/>
      <c r="DR169" s="5"/>
      <c r="DS169" s="5"/>
      <c r="DT169" s="5"/>
      <c r="DU169" s="5"/>
      <c r="DV169" s="5"/>
      <c r="DW169" s="5"/>
      <c r="DX169" s="5"/>
      <c r="DY169" s="5"/>
      <c r="DZ169" s="5"/>
      <c r="EA169" s="5"/>
      <c r="EB169" s="5"/>
      <c r="EC169" s="5"/>
      <c r="ED169" s="5"/>
      <c r="EE169" s="5"/>
      <c r="EF169" s="5"/>
      <c r="EG169" s="5"/>
      <c r="EH169" s="5"/>
      <c r="EI169" s="5"/>
      <c r="EJ169" s="5"/>
      <c r="EK169" s="5"/>
      <c r="EL169" s="5"/>
      <c r="EM169" s="5"/>
      <c r="EN169" s="5"/>
      <c r="EO169" s="5"/>
      <c r="EP169" s="5"/>
      <c r="EQ169" s="5"/>
      <c r="ER169" s="5"/>
      <c r="ES169" s="5"/>
      <c r="ET169" s="5"/>
      <c r="EU169" s="5"/>
      <c r="EV169" s="5"/>
      <c r="EW169" s="5"/>
      <c r="EX169" s="5"/>
      <c r="EY169" s="5"/>
      <c r="EZ169" s="5"/>
      <c r="FA169" s="5"/>
      <c r="FB169" s="5"/>
      <c r="FC169" s="5"/>
      <c r="FD169" s="5"/>
      <c r="FE169" s="5"/>
      <c r="FF169" s="5"/>
      <c r="FG169" s="5"/>
      <c r="FH169" s="5"/>
      <c r="FI169" s="5"/>
      <c r="FJ169" s="5"/>
      <c r="FK169" s="5"/>
      <c r="FL169" s="5"/>
      <c r="FM169" s="5"/>
      <c r="FN169" s="5"/>
      <c r="FO169" s="5"/>
      <c r="FP169" s="5"/>
      <c r="FQ169" s="5"/>
      <c r="FR169" s="5"/>
      <c r="FS169" s="5"/>
      <c r="FT169" s="5"/>
      <c r="FU169" s="5"/>
      <c r="FV169" s="5"/>
      <c r="FW169" s="5"/>
      <c r="FX169" s="5"/>
      <c r="FY169" s="5"/>
      <c r="FZ169" s="5"/>
      <c r="GA169" s="5"/>
      <c r="GB169" s="5"/>
      <c r="GC169" s="5"/>
      <c r="GD169" s="5"/>
      <c r="GE169" s="5"/>
      <c r="GF169" s="5"/>
      <c r="GG169" s="5"/>
      <c r="GH169" s="5"/>
      <c r="GI169" s="5"/>
      <c r="GJ169" s="5"/>
      <c r="GK169" s="5"/>
      <c r="GL169" s="5"/>
      <c r="GM169" s="5"/>
      <c r="GN169" s="5"/>
      <c r="GO169" s="5"/>
      <c r="GP169" s="5"/>
      <c r="GQ169" s="5"/>
      <c r="GR169" s="5"/>
      <c r="GS169" s="5"/>
      <c r="GT169" s="5"/>
      <c r="GU169" s="5"/>
      <c r="GV169" s="5"/>
      <c r="GW169" s="5"/>
      <c r="GX169" s="5"/>
      <c r="GY169" s="5"/>
      <c r="GZ169" s="5"/>
      <c r="HA169" s="5"/>
      <c r="HB169" s="5"/>
      <c r="HC169" s="5"/>
      <c r="HD169" s="5"/>
      <c r="HE169" s="5"/>
      <c r="HF169" s="5"/>
      <c r="HG169" s="5"/>
      <c r="HH169" s="5"/>
      <c r="HI169" s="5"/>
      <c r="HJ169" s="5"/>
      <c r="HK169" s="5"/>
      <c r="HL169" s="5"/>
      <c r="HM169" s="5"/>
      <c r="HN169" s="5"/>
      <c r="HO169" s="5"/>
      <c r="HP169" s="5"/>
      <c r="HQ169" s="5"/>
      <c r="HR169" s="5"/>
      <c r="HS169" s="5"/>
      <c r="HT169" s="5"/>
      <c r="HU169" s="5"/>
      <c r="HV169" s="5"/>
      <c r="HW169" s="5"/>
      <c r="HX169" s="5"/>
      <c r="HY169" s="5"/>
      <c r="HZ169" s="5"/>
      <c r="IA169" s="5"/>
      <c r="IB169" s="5"/>
      <c r="IC169" s="5"/>
      <c r="ID169" s="5"/>
      <c r="IE169" s="5"/>
      <c r="IF169" s="5"/>
      <c r="IG169" s="5"/>
      <c r="IH169" s="5"/>
      <c r="II169" s="5"/>
      <c r="IJ169" s="5"/>
      <c r="IK169" s="5"/>
      <c r="IL169" s="5"/>
      <c r="IM169" s="5"/>
      <c r="IN169" s="5"/>
      <c r="IO169" s="5"/>
      <c r="IP169" s="5"/>
      <c r="IQ169" s="5"/>
      <c r="IR169" s="5"/>
      <c r="IS169" s="5"/>
      <c r="IT169" s="5"/>
      <c r="IU169" s="5"/>
      <c r="IV169" s="5"/>
      <c r="IW169" s="5"/>
      <c r="IX169" s="5"/>
      <c r="IY169" s="5"/>
      <c r="IZ169" s="5"/>
      <c r="JA169" s="5"/>
      <c r="JB169" s="5"/>
      <c r="JC169" s="5"/>
      <c r="JD169" s="5"/>
      <c r="JE169" s="5"/>
      <c r="JF169" s="5"/>
      <c r="JG169" s="5"/>
      <c r="JH169" s="5"/>
      <c r="JI169" s="5"/>
      <c r="JJ169" s="5"/>
      <c r="JK169" s="5"/>
      <c r="JL169" s="5"/>
      <c r="JM169" s="5"/>
      <c r="JN169" s="5"/>
      <c r="JO169" s="5"/>
      <c r="JP169" s="5"/>
      <c r="JQ169" s="5"/>
      <c r="JR169" s="5"/>
      <c r="JS169" s="5"/>
      <c r="JT169" s="5"/>
      <c r="JU169" s="5"/>
      <c r="JV169" s="5"/>
      <c r="JW169" s="5"/>
      <c r="JX169" s="5"/>
      <c r="JY169" s="5"/>
      <c r="JZ169" s="5"/>
      <c r="KA169" s="5"/>
      <c r="KB169" s="5"/>
      <c r="KC169" s="5"/>
      <c r="KD169" s="5"/>
      <c r="KE169" s="5"/>
      <c r="KF169" s="5"/>
      <c r="KG169" s="5"/>
      <c r="KH169" s="5"/>
      <c r="KI169" s="5"/>
      <c r="KJ169" s="5"/>
      <c r="KK169" s="5"/>
      <c r="KL169" s="5"/>
      <c r="KM169" s="5"/>
      <c r="KN169" s="5"/>
      <c r="KO169" s="5"/>
      <c r="KP169" s="5"/>
      <c r="KQ169" s="5"/>
      <c r="KR169" s="5"/>
      <c r="KS169" s="5"/>
      <c r="KT169" s="5"/>
      <c r="KU169" s="5"/>
      <c r="KV169" s="5"/>
      <c r="KW169" s="5"/>
      <c r="KX169" s="5"/>
      <c r="KY169" s="5"/>
      <c r="KZ169" s="5"/>
      <c r="LA169" s="5"/>
      <c r="LB169" s="5"/>
      <c r="LC169" s="5"/>
      <c r="LD169" s="5"/>
      <c r="LE169" s="5"/>
      <c r="LF169" s="5"/>
      <c r="LG169" s="5"/>
      <c r="LH169" s="5"/>
      <c r="LI169" s="5"/>
      <c r="LJ169" s="5"/>
      <c r="LK169" s="5"/>
      <c r="LL169" s="5"/>
      <c r="LM169" s="5"/>
      <c r="LN169" s="5"/>
      <c r="LO169" s="5"/>
      <c r="LP169" s="5"/>
      <c r="LQ169" s="5"/>
      <c r="LR169" s="5"/>
      <c r="LS169" s="5"/>
      <c r="LT169" s="5"/>
      <c r="LU169" s="5"/>
      <c r="LV169" s="5"/>
      <c r="LW169" s="5"/>
      <c r="LX169" s="5"/>
      <c r="LY169" s="5"/>
      <c r="LZ169" s="5"/>
      <c r="MA169" s="5"/>
      <c r="MB169" s="5"/>
      <c r="MC169" s="5"/>
      <c r="MD169" s="5"/>
      <c r="ME169" s="5"/>
      <c r="MF169" s="5"/>
      <c r="MG169" s="5"/>
      <c r="MH169" s="5"/>
      <c r="MI169" s="5"/>
      <c r="MJ169" s="5"/>
      <c r="MK169" s="5"/>
      <c r="ML169" s="5"/>
      <c r="MM169" s="5"/>
      <c r="MN169" s="5"/>
      <c r="MO169" s="5"/>
      <c r="MP169" s="5"/>
      <c r="MQ169" s="5"/>
      <c r="MR169" s="5"/>
      <c r="MS169" s="5"/>
      <c r="MT169" s="5"/>
      <c r="MU169" s="5"/>
      <c r="MV169" s="5"/>
      <c r="MW169" s="5"/>
      <c r="MX169" s="5"/>
      <c r="MY169" s="5"/>
      <c r="MZ169" s="5"/>
      <c r="NA169" s="5"/>
      <c r="NB169" s="5"/>
      <c r="NC169" s="5"/>
      <c r="ND169" s="5"/>
      <c r="NE169" s="5"/>
      <c r="NF169" s="5"/>
      <c r="NG169" s="5"/>
      <c r="NH169" s="5"/>
      <c r="NI169" s="5"/>
      <c r="NJ169" s="5"/>
      <c r="NK169" s="5"/>
      <c r="NL169" s="5"/>
      <c r="NM169" s="5"/>
      <c r="NN169" s="5"/>
      <c r="NO169" s="5"/>
      <c r="NP169" s="5"/>
      <c r="NQ169" s="5"/>
      <c r="NR169" s="5"/>
      <c r="NS169" s="5"/>
      <c r="NT169" s="5"/>
      <c r="NU169" s="5"/>
      <c r="NV169" s="5"/>
      <c r="NW169" s="5"/>
      <c r="NX169" s="5"/>
      <c r="NY169" s="5"/>
      <c r="NZ169" s="5"/>
      <c r="OA169" s="5"/>
      <c r="OB169" s="5"/>
      <c r="OC169" s="5"/>
      <c r="OD169" s="5"/>
      <c r="OE169" s="5"/>
      <c r="OF169" s="5"/>
      <c r="OG169" s="5"/>
      <c r="OH169" s="5"/>
      <c r="OI169" s="5"/>
      <c r="OJ169" s="5"/>
      <c r="OK169" s="5"/>
      <c r="OL169" s="5"/>
      <c r="OM169" s="5"/>
      <c r="ON169" s="5"/>
      <c r="OO169" s="5"/>
      <c r="OP169" s="5"/>
      <c r="OQ169" s="5"/>
      <c r="OR169" s="5"/>
      <c r="OS169" s="5"/>
      <c r="OT169" s="5"/>
      <c r="OU169" s="5"/>
      <c r="OV169" s="5"/>
      <c r="OW169" s="5"/>
      <c r="OX169" s="5"/>
      <c r="OY169" s="5"/>
      <c r="OZ169" s="5"/>
      <c r="PA169" s="5"/>
      <c r="PB169" s="5"/>
      <c r="PC169" s="5"/>
      <c r="PD169" s="5"/>
      <c r="PE169" s="5"/>
      <c r="PF169" s="5"/>
      <c r="PG169" s="5"/>
      <c r="PH169" s="5"/>
      <c r="PI169" s="5"/>
      <c r="PJ169" s="5"/>
      <c r="PK169" s="5"/>
      <c r="PL169" s="5"/>
      <c r="PM169" s="5"/>
      <c r="PN169" s="5"/>
      <c r="PO169" s="5"/>
      <c r="PP169" s="5"/>
      <c r="PQ169" s="5"/>
      <c r="PR169" s="5"/>
      <c r="PS169" s="5"/>
      <c r="PT169" s="5"/>
      <c r="PU169" s="5"/>
      <c r="PV169" s="5"/>
      <c r="PW169" s="5"/>
      <c r="PX169" s="5"/>
      <c r="PY169" s="5"/>
      <c r="PZ169" s="5"/>
      <c r="QA169" s="5"/>
      <c r="QB169" s="5"/>
      <c r="QC169" s="5"/>
      <c r="QD169" s="5"/>
      <c r="QE169" s="5"/>
      <c r="QF169" s="5"/>
      <c r="QG169" s="5"/>
      <c r="QH169" s="5"/>
      <c r="QI169" s="5"/>
      <c r="QJ169" s="5"/>
      <c r="QK169" s="5"/>
      <c r="QL169" s="5"/>
      <c r="QM169" s="5"/>
      <c r="QN169" s="5"/>
      <c r="QO169" s="5"/>
      <c r="QP169" s="5"/>
      <c r="QQ169" s="5"/>
      <c r="QR169" s="5"/>
      <c r="QS169" s="5"/>
      <c r="QT169" s="5"/>
      <c r="QU169" s="5"/>
      <c r="QV169" s="5"/>
      <c r="QW169" s="5"/>
      <c r="QX169" s="5"/>
      <c r="QY169" s="5"/>
      <c r="QZ169" s="5"/>
      <c r="RA169" s="5"/>
      <c r="RB169" s="5"/>
      <c r="RC169" s="5"/>
      <c r="RD169" s="5"/>
      <c r="RE169" s="5"/>
      <c r="RF169" s="5"/>
      <c r="RG169" s="5"/>
      <c r="RH169" s="5"/>
      <c r="RI169" s="5"/>
      <c r="RJ169" s="5"/>
      <c r="RK169" s="5"/>
      <c r="RL169" s="5"/>
      <c r="RM169" s="5"/>
      <c r="RN169" s="5"/>
      <c r="RO169" s="5"/>
      <c r="RP169" s="5"/>
      <c r="RQ169" s="5"/>
      <c r="RR169" s="5"/>
      <c r="RS169" s="5"/>
      <c r="RT169" s="5"/>
      <c r="RU169" s="5"/>
      <c r="RV169" s="5"/>
      <c r="RW169" s="5"/>
      <c r="RX169" s="5"/>
      <c r="RY169" s="5"/>
      <c r="RZ169" s="5"/>
      <c r="SA169" s="5"/>
      <c r="SB169" s="5"/>
      <c r="SC169" s="5"/>
      <c r="SD169" s="5"/>
      <c r="SE169" s="5"/>
      <c r="SF169" s="5"/>
      <c r="SG169" s="5"/>
      <c r="SH169" s="5"/>
      <c r="SI169" s="5"/>
      <c r="SJ169" s="5"/>
      <c r="SK169" s="5"/>
      <c r="SL169" s="5"/>
      <c r="SM169" s="5"/>
      <c r="SN169" s="5"/>
      <c r="SO169" s="5"/>
      <c r="SP169" s="5"/>
      <c r="SQ169" s="5"/>
      <c r="SR169" s="5"/>
      <c r="SS169" s="5"/>
      <c r="ST169" s="5"/>
      <c r="SU169" s="5"/>
      <c r="SV169" s="5"/>
      <c r="SW169" s="5"/>
      <c r="SX169" s="5"/>
      <c r="SY169" s="5"/>
      <c r="SZ169" s="5"/>
      <c r="TA169" s="5"/>
      <c r="TB169" s="5"/>
      <c r="TC169" s="5"/>
      <c r="TD169" s="5"/>
      <c r="TE169" s="5"/>
      <c r="TF169" s="5"/>
      <c r="TG169" s="5"/>
      <c r="TH169" s="5"/>
      <c r="TI169" s="5"/>
      <c r="TJ169" s="5"/>
      <c r="TK169" s="5"/>
      <c r="TL169" s="5"/>
      <c r="TM169" s="5"/>
      <c r="TN169" s="5"/>
      <c r="TO169" s="5"/>
      <c r="TP169" s="5"/>
      <c r="TQ169" s="5"/>
      <c r="TR169" s="5"/>
      <c r="TS169" s="5"/>
      <c r="TT169" s="5"/>
      <c r="TU169" s="5"/>
      <c r="TV169" s="5"/>
      <c r="TW169" s="5"/>
      <c r="TX169" s="5"/>
      <c r="TY169" s="5"/>
      <c r="TZ169" s="5"/>
      <c r="UA169" s="5"/>
      <c r="UB169" s="5"/>
      <c r="UC169" s="5"/>
      <c r="UD169" s="5"/>
      <c r="UE169" s="5"/>
      <c r="UF169" s="5"/>
      <c r="UG169" s="5"/>
      <c r="UH169" s="5"/>
      <c r="UI169" s="5"/>
      <c r="UJ169" s="5"/>
      <c r="UK169" s="5"/>
      <c r="UL169" s="5"/>
      <c r="UM169" s="5"/>
      <c r="UN169" s="5"/>
      <c r="UO169" s="5"/>
      <c r="UP169" s="5"/>
      <c r="UQ169" s="5"/>
      <c r="UR169" s="5"/>
      <c r="US169" s="5"/>
      <c r="UT169" s="5"/>
      <c r="UU169" s="5"/>
      <c r="UV169" s="5"/>
      <c r="UW169" s="5"/>
      <c r="UX169" s="5"/>
      <c r="UY169" s="5"/>
      <c r="UZ169" s="5"/>
      <c r="VA169" s="5"/>
      <c r="VB169" s="5"/>
      <c r="VC169" s="5"/>
      <c r="VD169" s="5"/>
      <c r="VE169" s="5"/>
      <c r="VF169" s="5"/>
      <c r="VG169" s="5"/>
      <c r="VH169" s="5"/>
      <c r="VI169" s="5"/>
      <c r="VJ169" s="5"/>
      <c r="VK169" s="5"/>
      <c r="VL169" s="5"/>
      <c r="VM169" s="5"/>
      <c r="VN169" s="5"/>
      <c r="VO169" s="5"/>
      <c r="VP169" s="5"/>
      <c r="VQ169" s="5"/>
      <c r="VR169" s="5"/>
      <c r="VS169" s="5"/>
      <c r="VT169" s="5"/>
      <c r="VU169" s="5"/>
      <c r="VV169" s="5"/>
      <c r="VW169" s="5"/>
      <c r="VX169" s="5"/>
      <c r="VY169" s="5"/>
      <c r="VZ169" s="5"/>
      <c r="WA169" s="5"/>
      <c r="WB169" s="5"/>
      <c r="WC169" s="5"/>
      <c r="WD169" s="5"/>
      <c r="WE169" s="5"/>
      <c r="WF169" s="5"/>
      <c r="WG169" s="5"/>
      <c r="WH169" s="5"/>
      <c r="WI169" s="5"/>
      <c r="WJ169" s="5"/>
      <c r="WK169" s="5"/>
      <c r="WL169" s="5"/>
      <c r="WM169" s="5"/>
      <c r="WN169" s="5"/>
      <c r="WO169" s="5"/>
      <c r="WP169" s="5"/>
      <c r="WQ169" s="5"/>
      <c r="WR169" s="5"/>
      <c r="WS169" s="5"/>
      <c r="WT169" s="5"/>
      <c r="WU169" s="5"/>
      <c r="WV169" s="5"/>
      <c r="WW169" s="5"/>
      <c r="WX169" s="5"/>
      <c r="WY169" s="5"/>
      <c r="WZ169" s="5"/>
      <c r="XA169" s="5"/>
      <c r="XB169" s="5"/>
      <c r="XC169" s="5"/>
      <c r="XD169" s="5"/>
      <c r="XE169" s="5"/>
      <c r="XF169" s="5"/>
      <c r="XG169" s="5"/>
      <c r="XH169" s="5"/>
      <c r="XI169" s="5"/>
      <c r="XJ169" s="5"/>
      <c r="XK169" s="5"/>
      <c r="XL169" s="5"/>
      <c r="XM169" s="5"/>
      <c r="XN169" s="5"/>
      <c r="XO169" s="5"/>
      <c r="XP169" s="5"/>
      <c r="XQ169" s="5"/>
      <c r="XR169" s="5"/>
      <c r="XS169" s="5"/>
      <c r="XT169" s="5"/>
      <c r="XU169" s="5"/>
      <c r="XV169" s="5"/>
      <c r="XW169" s="5"/>
      <c r="XX169" s="5"/>
      <c r="XY169" s="5"/>
      <c r="XZ169" s="5"/>
      <c r="YA169" s="5"/>
      <c r="YB169" s="5"/>
      <c r="YC169" s="5"/>
      <c r="YD169" s="5"/>
      <c r="YE169" s="5"/>
      <c r="YF169" s="5"/>
      <c r="YG169" s="5"/>
      <c r="YH169" s="5"/>
      <c r="YI169" s="5"/>
      <c r="YJ169" s="5"/>
      <c r="YK169" s="5"/>
      <c r="YL169" s="5"/>
      <c r="YM169" s="5"/>
      <c r="YN169" s="5"/>
      <c r="YO169" s="5"/>
      <c r="YP169" s="5"/>
      <c r="YQ169" s="5"/>
      <c r="YR169" s="5"/>
      <c r="YS169" s="5"/>
      <c r="YT169" s="5"/>
      <c r="YU169" s="5"/>
      <c r="YV169" s="5"/>
      <c r="YW169" s="5"/>
      <c r="YX169" s="5"/>
      <c r="YY169" s="5"/>
      <c r="YZ169" s="5"/>
    </row>
    <row r="170" spans="1:676">
      <c r="A170" s="7">
        <v>160</v>
      </c>
      <c r="B170" s="7" t="s">
        <v>400</v>
      </c>
      <c r="C170" s="10" t="s">
        <v>401</v>
      </c>
      <c r="D170" s="7" t="s">
        <v>152</v>
      </c>
      <c r="E170" s="7" t="s">
        <v>178</v>
      </c>
      <c r="F170" s="7" t="s">
        <v>352</v>
      </c>
      <c r="G170" s="7"/>
      <c r="H170" s="7"/>
      <c r="I170" s="11">
        <v>2</v>
      </c>
      <c r="J170" s="11">
        <v>0</v>
      </c>
      <c r="K170" s="11">
        <v>0</v>
      </c>
      <c r="L170" s="11">
        <v>0.51</v>
      </c>
      <c r="M170" s="11">
        <v>0</v>
      </c>
      <c r="N170" s="11">
        <v>0</v>
      </c>
      <c r="O170" s="11">
        <v>0</v>
      </c>
      <c r="P170" s="11">
        <v>0.8</v>
      </c>
      <c r="Q170" s="11">
        <v>1.31</v>
      </c>
      <c r="R170" s="11">
        <v>0</v>
      </c>
      <c r="S170" s="11">
        <v>1.31</v>
      </c>
      <c r="T170" s="11">
        <v>1.31</v>
      </c>
      <c r="U170" s="11">
        <v>0</v>
      </c>
      <c r="V170" s="11">
        <v>0</v>
      </c>
      <c r="W170" s="13">
        <v>2</v>
      </c>
      <c r="X170" s="13">
        <v>0</v>
      </c>
      <c r="Y170" s="13" t="str">
        <f>MIN(W170,S170)</f>
        <v>0</v>
      </c>
      <c r="Z170" s="13" t="str">
        <f>MIN(X170,(S170-Y170))</f>
        <v>0</v>
      </c>
      <c r="AA170" s="13" t="str">
        <f>S170-SUM(Y170,Z170)</f>
        <v>0</v>
      </c>
      <c r="AB170" s="15"/>
      <c r="AC170" s="15"/>
      <c r="AD170" s="1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  <c r="BA170" s="5"/>
      <c r="BB170" s="5"/>
      <c r="BC170" s="5"/>
      <c r="BD170" s="5"/>
      <c r="BE170" s="5"/>
      <c r="BF170" s="5"/>
      <c r="BG170" s="5"/>
      <c r="BH170" s="5"/>
      <c r="BI170" s="5"/>
      <c r="BJ170" s="5"/>
      <c r="BK170" s="5"/>
      <c r="BL170" s="5"/>
      <c r="BM170" s="5"/>
      <c r="BN170" s="5"/>
      <c r="BO170" s="5"/>
      <c r="BP170" s="5"/>
      <c r="BQ170" s="5"/>
      <c r="BR170" s="5"/>
      <c r="BS170" s="5"/>
      <c r="BT170" s="5"/>
      <c r="BU170" s="5"/>
      <c r="BV170" s="5"/>
      <c r="BW170" s="5"/>
      <c r="BX170" s="5"/>
      <c r="BY170" s="5"/>
      <c r="BZ170" s="5"/>
      <c r="CA170" s="5"/>
      <c r="CB170" s="5"/>
      <c r="CC170" s="5"/>
      <c r="CD170" s="5"/>
      <c r="CE170" s="5"/>
      <c r="CF170" s="5"/>
      <c r="CG170" s="5"/>
      <c r="CH170" s="5"/>
      <c r="CI170" s="5"/>
      <c r="CJ170" s="5"/>
      <c r="CK170" s="5"/>
      <c r="CL170" s="5"/>
      <c r="CM170" s="5"/>
      <c r="CN170" s="5"/>
      <c r="CO170" s="5"/>
      <c r="CP170" s="5"/>
      <c r="CQ170" s="5"/>
      <c r="CR170" s="5"/>
      <c r="CS170" s="5"/>
      <c r="CT170" s="5"/>
      <c r="CU170" s="5"/>
      <c r="CV170" s="5"/>
      <c r="CW170" s="5"/>
      <c r="CX170" s="5"/>
      <c r="CY170" s="5"/>
      <c r="CZ170" s="5"/>
      <c r="DA170" s="5"/>
      <c r="DB170" s="5"/>
      <c r="DC170" s="5"/>
      <c r="DD170" s="5"/>
      <c r="DE170" s="5"/>
      <c r="DF170" s="5"/>
      <c r="DG170" s="5"/>
      <c r="DH170" s="5"/>
      <c r="DI170" s="5"/>
      <c r="DJ170" s="5"/>
      <c r="DK170" s="5"/>
      <c r="DL170" s="5"/>
      <c r="DM170" s="5"/>
      <c r="DN170" s="5"/>
      <c r="DO170" s="5"/>
      <c r="DP170" s="5"/>
      <c r="DQ170" s="5"/>
      <c r="DR170" s="5"/>
      <c r="DS170" s="5"/>
      <c r="DT170" s="5"/>
      <c r="DU170" s="5"/>
      <c r="DV170" s="5"/>
      <c r="DW170" s="5"/>
      <c r="DX170" s="5"/>
      <c r="DY170" s="5"/>
      <c r="DZ170" s="5"/>
      <c r="EA170" s="5"/>
      <c r="EB170" s="5"/>
      <c r="EC170" s="5"/>
      <c r="ED170" s="5"/>
      <c r="EE170" s="5"/>
      <c r="EF170" s="5"/>
      <c r="EG170" s="5"/>
      <c r="EH170" s="5"/>
      <c r="EI170" s="5"/>
      <c r="EJ170" s="5"/>
      <c r="EK170" s="5"/>
      <c r="EL170" s="5"/>
      <c r="EM170" s="5"/>
      <c r="EN170" s="5"/>
      <c r="EO170" s="5"/>
      <c r="EP170" s="5"/>
      <c r="EQ170" s="5"/>
      <c r="ER170" s="5"/>
      <c r="ES170" s="5"/>
      <c r="ET170" s="5"/>
      <c r="EU170" s="5"/>
      <c r="EV170" s="5"/>
      <c r="EW170" s="5"/>
      <c r="EX170" s="5"/>
      <c r="EY170" s="5"/>
      <c r="EZ170" s="5"/>
      <c r="FA170" s="5"/>
      <c r="FB170" s="5"/>
      <c r="FC170" s="5"/>
      <c r="FD170" s="5"/>
      <c r="FE170" s="5"/>
      <c r="FF170" s="5"/>
      <c r="FG170" s="5"/>
      <c r="FH170" s="5"/>
      <c r="FI170" s="5"/>
      <c r="FJ170" s="5"/>
      <c r="FK170" s="5"/>
      <c r="FL170" s="5"/>
      <c r="FM170" s="5"/>
      <c r="FN170" s="5"/>
      <c r="FO170" s="5"/>
      <c r="FP170" s="5"/>
      <c r="FQ170" s="5"/>
      <c r="FR170" s="5"/>
      <c r="FS170" s="5"/>
      <c r="FT170" s="5"/>
      <c r="FU170" s="5"/>
      <c r="FV170" s="5"/>
      <c r="FW170" s="5"/>
      <c r="FX170" s="5"/>
      <c r="FY170" s="5"/>
      <c r="FZ170" s="5"/>
      <c r="GA170" s="5"/>
      <c r="GB170" s="5"/>
      <c r="GC170" s="5"/>
      <c r="GD170" s="5"/>
      <c r="GE170" s="5"/>
      <c r="GF170" s="5"/>
      <c r="GG170" s="5"/>
      <c r="GH170" s="5"/>
      <c r="GI170" s="5"/>
      <c r="GJ170" s="5"/>
      <c r="GK170" s="5"/>
      <c r="GL170" s="5"/>
      <c r="GM170" s="5"/>
      <c r="GN170" s="5"/>
      <c r="GO170" s="5"/>
      <c r="GP170" s="5"/>
      <c r="GQ170" s="5"/>
      <c r="GR170" s="5"/>
      <c r="GS170" s="5"/>
      <c r="GT170" s="5"/>
      <c r="GU170" s="5"/>
      <c r="GV170" s="5"/>
      <c r="GW170" s="5"/>
      <c r="GX170" s="5"/>
      <c r="GY170" s="5"/>
      <c r="GZ170" s="5"/>
      <c r="HA170" s="5"/>
      <c r="HB170" s="5"/>
      <c r="HC170" s="5"/>
      <c r="HD170" s="5"/>
      <c r="HE170" s="5"/>
      <c r="HF170" s="5"/>
      <c r="HG170" s="5"/>
      <c r="HH170" s="5"/>
      <c r="HI170" s="5"/>
      <c r="HJ170" s="5"/>
      <c r="HK170" s="5"/>
      <c r="HL170" s="5"/>
      <c r="HM170" s="5"/>
      <c r="HN170" s="5"/>
      <c r="HO170" s="5"/>
      <c r="HP170" s="5"/>
      <c r="HQ170" s="5"/>
      <c r="HR170" s="5"/>
      <c r="HS170" s="5"/>
      <c r="HT170" s="5"/>
      <c r="HU170" s="5"/>
      <c r="HV170" s="5"/>
      <c r="HW170" s="5"/>
      <c r="HX170" s="5"/>
      <c r="HY170" s="5"/>
      <c r="HZ170" s="5"/>
      <c r="IA170" s="5"/>
      <c r="IB170" s="5"/>
      <c r="IC170" s="5"/>
      <c r="ID170" s="5"/>
      <c r="IE170" s="5"/>
      <c r="IF170" s="5"/>
      <c r="IG170" s="5"/>
      <c r="IH170" s="5"/>
      <c r="II170" s="5"/>
      <c r="IJ170" s="5"/>
      <c r="IK170" s="5"/>
      <c r="IL170" s="5"/>
      <c r="IM170" s="5"/>
      <c r="IN170" s="5"/>
      <c r="IO170" s="5"/>
      <c r="IP170" s="5"/>
      <c r="IQ170" s="5"/>
      <c r="IR170" s="5"/>
      <c r="IS170" s="5"/>
      <c r="IT170" s="5"/>
      <c r="IU170" s="5"/>
      <c r="IV170" s="5"/>
      <c r="IW170" s="5"/>
      <c r="IX170" s="5"/>
      <c r="IY170" s="5"/>
      <c r="IZ170" s="5"/>
      <c r="JA170" s="5"/>
      <c r="JB170" s="5"/>
      <c r="JC170" s="5"/>
      <c r="JD170" s="5"/>
      <c r="JE170" s="5"/>
      <c r="JF170" s="5"/>
      <c r="JG170" s="5"/>
      <c r="JH170" s="5"/>
      <c r="JI170" s="5"/>
      <c r="JJ170" s="5"/>
      <c r="JK170" s="5"/>
      <c r="JL170" s="5"/>
      <c r="JM170" s="5"/>
      <c r="JN170" s="5"/>
      <c r="JO170" s="5"/>
      <c r="JP170" s="5"/>
      <c r="JQ170" s="5"/>
      <c r="JR170" s="5"/>
      <c r="JS170" s="5"/>
      <c r="JT170" s="5"/>
      <c r="JU170" s="5"/>
      <c r="JV170" s="5"/>
      <c r="JW170" s="5"/>
      <c r="JX170" s="5"/>
      <c r="JY170" s="5"/>
      <c r="JZ170" s="5"/>
      <c r="KA170" s="5"/>
      <c r="KB170" s="5"/>
      <c r="KC170" s="5"/>
      <c r="KD170" s="5"/>
      <c r="KE170" s="5"/>
      <c r="KF170" s="5"/>
      <c r="KG170" s="5"/>
      <c r="KH170" s="5"/>
      <c r="KI170" s="5"/>
      <c r="KJ170" s="5"/>
      <c r="KK170" s="5"/>
      <c r="KL170" s="5"/>
      <c r="KM170" s="5"/>
      <c r="KN170" s="5"/>
      <c r="KO170" s="5"/>
      <c r="KP170" s="5"/>
      <c r="KQ170" s="5"/>
      <c r="KR170" s="5"/>
      <c r="KS170" s="5"/>
      <c r="KT170" s="5"/>
      <c r="KU170" s="5"/>
      <c r="KV170" s="5"/>
      <c r="KW170" s="5"/>
      <c r="KX170" s="5"/>
      <c r="KY170" s="5"/>
      <c r="KZ170" s="5"/>
      <c r="LA170" s="5"/>
      <c r="LB170" s="5"/>
      <c r="LC170" s="5"/>
      <c r="LD170" s="5"/>
      <c r="LE170" s="5"/>
      <c r="LF170" s="5"/>
      <c r="LG170" s="5"/>
      <c r="LH170" s="5"/>
      <c r="LI170" s="5"/>
      <c r="LJ170" s="5"/>
      <c r="LK170" s="5"/>
      <c r="LL170" s="5"/>
      <c r="LM170" s="5"/>
      <c r="LN170" s="5"/>
      <c r="LO170" s="5"/>
      <c r="LP170" s="5"/>
      <c r="LQ170" s="5"/>
      <c r="LR170" s="5"/>
      <c r="LS170" s="5"/>
      <c r="LT170" s="5"/>
      <c r="LU170" s="5"/>
      <c r="LV170" s="5"/>
      <c r="LW170" s="5"/>
      <c r="LX170" s="5"/>
      <c r="LY170" s="5"/>
      <c r="LZ170" s="5"/>
      <c r="MA170" s="5"/>
      <c r="MB170" s="5"/>
      <c r="MC170" s="5"/>
      <c r="MD170" s="5"/>
      <c r="ME170" s="5"/>
      <c r="MF170" s="5"/>
      <c r="MG170" s="5"/>
      <c r="MH170" s="5"/>
      <c r="MI170" s="5"/>
      <c r="MJ170" s="5"/>
      <c r="MK170" s="5"/>
      <c r="ML170" s="5"/>
      <c r="MM170" s="5"/>
      <c r="MN170" s="5"/>
      <c r="MO170" s="5"/>
      <c r="MP170" s="5"/>
      <c r="MQ170" s="5"/>
      <c r="MR170" s="5"/>
      <c r="MS170" s="5"/>
      <c r="MT170" s="5"/>
      <c r="MU170" s="5"/>
      <c r="MV170" s="5"/>
      <c r="MW170" s="5"/>
      <c r="MX170" s="5"/>
      <c r="MY170" s="5"/>
      <c r="MZ170" s="5"/>
      <c r="NA170" s="5"/>
      <c r="NB170" s="5"/>
      <c r="NC170" s="5"/>
      <c r="ND170" s="5"/>
      <c r="NE170" s="5"/>
      <c r="NF170" s="5"/>
      <c r="NG170" s="5"/>
      <c r="NH170" s="5"/>
      <c r="NI170" s="5"/>
      <c r="NJ170" s="5"/>
      <c r="NK170" s="5"/>
      <c r="NL170" s="5"/>
      <c r="NM170" s="5"/>
      <c r="NN170" s="5"/>
      <c r="NO170" s="5"/>
      <c r="NP170" s="5"/>
      <c r="NQ170" s="5"/>
      <c r="NR170" s="5"/>
      <c r="NS170" s="5"/>
      <c r="NT170" s="5"/>
      <c r="NU170" s="5"/>
      <c r="NV170" s="5"/>
      <c r="NW170" s="5"/>
      <c r="NX170" s="5"/>
      <c r="NY170" s="5"/>
      <c r="NZ170" s="5"/>
      <c r="OA170" s="5"/>
      <c r="OB170" s="5"/>
      <c r="OC170" s="5"/>
      <c r="OD170" s="5"/>
      <c r="OE170" s="5"/>
      <c r="OF170" s="5"/>
      <c r="OG170" s="5"/>
      <c r="OH170" s="5"/>
      <c r="OI170" s="5"/>
      <c r="OJ170" s="5"/>
      <c r="OK170" s="5"/>
      <c r="OL170" s="5"/>
      <c r="OM170" s="5"/>
      <c r="ON170" s="5"/>
      <c r="OO170" s="5"/>
      <c r="OP170" s="5"/>
      <c r="OQ170" s="5"/>
      <c r="OR170" s="5"/>
      <c r="OS170" s="5"/>
      <c r="OT170" s="5"/>
      <c r="OU170" s="5"/>
      <c r="OV170" s="5"/>
      <c r="OW170" s="5"/>
      <c r="OX170" s="5"/>
      <c r="OY170" s="5"/>
      <c r="OZ170" s="5"/>
      <c r="PA170" s="5"/>
      <c r="PB170" s="5"/>
      <c r="PC170" s="5"/>
      <c r="PD170" s="5"/>
      <c r="PE170" s="5"/>
      <c r="PF170" s="5"/>
      <c r="PG170" s="5"/>
      <c r="PH170" s="5"/>
      <c r="PI170" s="5"/>
      <c r="PJ170" s="5"/>
      <c r="PK170" s="5"/>
      <c r="PL170" s="5"/>
      <c r="PM170" s="5"/>
      <c r="PN170" s="5"/>
      <c r="PO170" s="5"/>
      <c r="PP170" s="5"/>
      <c r="PQ170" s="5"/>
      <c r="PR170" s="5"/>
      <c r="PS170" s="5"/>
      <c r="PT170" s="5"/>
      <c r="PU170" s="5"/>
      <c r="PV170" s="5"/>
      <c r="PW170" s="5"/>
      <c r="PX170" s="5"/>
      <c r="PY170" s="5"/>
      <c r="PZ170" s="5"/>
      <c r="QA170" s="5"/>
      <c r="QB170" s="5"/>
      <c r="QC170" s="5"/>
      <c r="QD170" s="5"/>
      <c r="QE170" s="5"/>
      <c r="QF170" s="5"/>
      <c r="QG170" s="5"/>
      <c r="QH170" s="5"/>
      <c r="QI170" s="5"/>
      <c r="QJ170" s="5"/>
      <c r="QK170" s="5"/>
      <c r="QL170" s="5"/>
      <c r="QM170" s="5"/>
      <c r="QN170" s="5"/>
      <c r="QO170" s="5"/>
      <c r="QP170" s="5"/>
      <c r="QQ170" s="5"/>
      <c r="QR170" s="5"/>
      <c r="QS170" s="5"/>
      <c r="QT170" s="5"/>
      <c r="QU170" s="5"/>
      <c r="QV170" s="5"/>
      <c r="QW170" s="5"/>
      <c r="QX170" s="5"/>
      <c r="QY170" s="5"/>
      <c r="QZ170" s="5"/>
      <c r="RA170" s="5"/>
      <c r="RB170" s="5"/>
      <c r="RC170" s="5"/>
      <c r="RD170" s="5"/>
      <c r="RE170" s="5"/>
      <c r="RF170" s="5"/>
      <c r="RG170" s="5"/>
      <c r="RH170" s="5"/>
      <c r="RI170" s="5"/>
      <c r="RJ170" s="5"/>
      <c r="RK170" s="5"/>
      <c r="RL170" s="5"/>
      <c r="RM170" s="5"/>
      <c r="RN170" s="5"/>
      <c r="RO170" s="5"/>
      <c r="RP170" s="5"/>
      <c r="RQ170" s="5"/>
      <c r="RR170" s="5"/>
      <c r="RS170" s="5"/>
      <c r="RT170" s="5"/>
      <c r="RU170" s="5"/>
      <c r="RV170" s="5"/>
      <c r="RW170" s="5"/>
      <c r="RX170" s="5"/>
      <c r="RY170" s="5"/>
      <c r="RZ170" s="5"/>
      <c r="SA170" s="5"/>
      <c r="SB170" s="5"/>
      <c r="SC170" s="5"/>
      <c r="SD170" s="5"/>
      <c r="SE170" s="5"/>
      <c r="SF170" s="5"/>
      <c r="SG170" s="5"/>
      <c r="SH170" s="5"/>
      <c r="SI170" s="5"/>
      <c r="SJ170" s="5"/>
      <c r="SK170" s="5"/>
      <c r="SL170" s="5"/>
      <c r="SM170" s="5"/>
      <c r="SN170" s="5"/>
      <c r="SO170" s="5"/>
      <c r="SP170" s="5"/>
      <c r="SQ170" s="5"/>
      <c r="SR170" s="5"/>
      <c r="SS170" s="5"/>
      <c r="ST170" s="5"/>
      <c r="SU170" s="5"/>
      <c r="SV170" s="5"/>
      <c r="SW170" s="5"/>
      <c r="SX170" s="5"/>
      <c r="SY170" s="5"/>
      <c r="SZ170" s="5"/>
      <c r="TA170" s="5"/>
      <c r="TB170" s="5"/>
      <c r="TC170" s="5"/>
      <c r="TD170" s="5"/>
      <c r="TE170" s="5"/>
      <c r="TF170" s="5"/>
      <c r="TG170" s="5"/>
      <c r="TH170" s="5"/>
      <c r="TI170" s="5"/>
      <c r="TJ170" s="5"/>
      <c r="TK170" s="5"/>
      <c r="TL170" s="5"/>
      <c r="TM170" s="5"/>
      <c r="TN170" s="5"/>
      <c r="TO170" s="5"/>
      <c r="TP170" s="5"/>
      <c r="TQ170" s="5"/>
      <c r="TR170" s="5"/>
      <c r="TS170" s="5"/>
      <c r="TT170" s="5"/>
      <c r="TU170" s="5"/>
      <c r="TV170" s="5"/>
      <c r="TW170" s="5"/>
      <c r="TX170" s="5"/>
      <c r="TY170" s="5"/>
      <c r="TZ170" s="5"/>
      <c r="UA170" s="5"/>
      <c r="UB170" s="5"/>
      <c r="UC170" s="5"/>
      <c r="UD170" s="5"/>
      <c r="UE170" s="5"/>
      <c r="UF170" s="5"/>
      <c r="UG170" s="5"/>
      <c r="UH170" s="5"/>
      <c r="UI170" s="5"/>
      <c r="UJ170" s="5"/>
      <c r="UK170" s="5"/>
      <c r="UL170" s="5"/>
      <c r="UM170" s="5"/>
      <c r="UN170" s="5"/>
      <c r="UO170" s="5"/>
      <c r="UP170" s="5"/>
      <c r="UQ170" s="5"/>
      <c r="UR170" s="5"/>
      <c r="US170" s="5"/>
      <c r="UT170" s="5"/>
      <c r="UU170" s="5"/>
      <c r="UV170" s="5"/>
      <c r="UW170" s="5"/>
      <c r="UX170" s="5"/>
      <c r="UY170" s="5"/>
      <c r="UZ170" s="5"/>
      <c r="VA170" s="5"/>
      <c r="VB170" s="5"/>
      <c r="VC170" s="5"/>
      <c r="VD170" s="5"/>
      <c r="VE170" s="5"/>
      <c r="VF170" s="5"/>
      <c r="VG170" s="5"/>
      <c r="VH170" s="5"/>
      <c r="VI170" s="5"/>
      <c r="VJ170" s="5"/>
      <c r="VK170" s="5"/>
      <c r="VL170" s="5"/>
      <c r="VM170" s="5"/>
      <c r="VN170" s="5"/>
      <c r="VO170" s="5"/>
      <c r="VP170" s="5"/>
      <c r="VQ170" s="5"/>
      <c r="VR170" s="5"/>
      <c r="VS170" s="5"/>
      <c r="VT170" s="5"/>
      <c r="VU170" s="5"/>
      <c r="VV170" s="5"/>
      <c r="VW170" s="5"/>
      <c r="VX170" s="5"/>
      <c r="VY170" s="5"/>
      <c r="VZ170" s="5"/>
      <c r="WA170" s="5"/>
      <c r="WB170" s="5"/>
      <c r="WC170" s="5"/>
      <c r="WD170" s="5"/>
      <c r="WE170" s="5"/>
      <c r="WF170" s="5"/>
      <c r="WG170" s="5"/>
      <c r="WH170" s="5"/>
      <c r="WI170" s="5"/>
      <c r="WJ170" s="5"/>
      <c r="WK170" s="5"/>
      <c r="WL170" s="5"/>
      <c r="WM170" s="5"/>
      <c r="WN170" s="5"/>
      <c r="WO170" s="5"/>
      <c r="WP170" s="5"/>
      <c r="WQ170" s="5"/>
      <c r="WR170" s="5"/>
      <c r="WS170" s="5"/>
      <c r="WT170" s="5"/>
      <c r="WU170" s="5"/>
      <c r="WV170" s="5"/>
      <c r="WW170" s="5"/>
      <c r="WX170" s="5"/>
      <c r="WY170" s="5"/>
      <c r="WZ170" s="5"/>
      <c r="XA170" s="5"/>
      <c r="XB170" s="5"/>
      <c r="XC170" s="5"/>
      <c r="XD170" s="5"/>
      <c r="XE170" s="5"/>
      <c r="XF170" s="5"/>
      <c r="XG170" s="5"/>
      <c r="XH170" s="5"/>
      <c r="XI170" s="5"/>
      <c r="XJ170" s="5"/>
      <c r="XK170" s="5"/>
      <c r="XL170" s="5"/>
      <c r="XM170" s="5"/>
      <c r="XN170" s="5"/>
      <c r="XO170" s="5"/>
      <c r="XP170" s="5"/>
      <c r="XQ170" s="5"/>
      <c r="XR170" s="5"/>
      <c r="XS170" s="5"/>
      <c r="XT170" s="5"/>
      <c r="XU170" s="5"/>
      <c r="XV170" s="5"/>
      <c r="XW170" s="5"/>
      <c r="XX170" s="5"/>
      <c r="XY170" s="5"/>
      <c r="XZ170" s="5"/>
      <c r="YA170" s="5"/>
      <c r="YB170" s="5"/>
      <c r="YC170" s="5"/>
      <c r="YD170" s="5"/>
      <c r="YE170" s="5"/>
      <c r="YF170" s="5"/>
      <c r="YG170" s="5"/>
      <c r="YH170" s="5"/>
      <c r="YI170" s="5"/>
      <c r="YJ170" s="5"/>
      <c r="YK170" s="5"/>
      <c r="YL170" s="5"/>
      <c r="YM170" s="5"/>
      <c r="YN170" s="5"/>
      <c r="YO170" s="5"/>
      <c r="YP170" s="5"/>
      <c r="YQ170" s="5"/>
      <c r="YR170" s="5"/>
      <c r="YS170" s="5"/>
      <c r="YT170" s="5"/>
      <c r="YU170" s="5"/>
      <c r="YV170" s="5"/>
      <c r="YW170" s="5"/>
      <c r="YX170" s="5"/>
      <c r="YY170" s="5"/>
      <c r="YZ170" s="5"/>
    </row>
    <row r="171" spans="1:676">
      <c r="A171" s="7">
        <v>161</v>
      </c>
      <c r="B171" s="7" t="s">
        <v>402</v>
      </c>
      <c r="C171" s="10" t="s">
        <v>403</v>
      </c>
      <c r="D171" s="7" t="s">
        <v>54</v>
      </c>
      <c r="E171" s="7" t="s">
        <v>178</v>
      </c>
      <c r="F171" s="7" t="s">
        <v>355</v>
      </c>
      <c r="G171" s="7"/>
      <c r="H171" s="7" t="s">
        <v>43</v>
      </c>
      <c r="I171" s="11">
        <v>2</v>
      </c>
      <c r="J171" s="11">
        <v>3</v>
      </c>
      <c r="K171" s="11">
        <v>0</v>
      </c>
      <c r="L171" s="11">
        <v>1.61</v>
      </c>
      <c r="M171" s="11">
        <v>0.16</v>
      </c>
      <c r="N171" s="11">
        <v>0</v>
      </c>
      <c r="O171" s="11">
        <v>0.59</v>
      </c>
      <c r="P171" s="11">
        <v>0.83</v>
      </c>
      <c r="Q171" s="11">
        <v>3.19</v>
      </c>
      <c r="R171" s="11">
        <v>0</v>
      </c>
      <c r="S171" s="11">
        <v>3.19</v>
      </c>
      <c r="T171" s="11">
        <v>2</v>
      </c>
      <c r="U171" s="11">
        <v>1.19</v>
      </c>
      <c r="V171" s="11">
        <v>0</v>
      </c>
      <c r="W171" s="13">
        <v>2</v>
      </c>
      <c r="X171" s="13">
        <v>3</v>
      </c>
      <c r="Y171" s="13" t="str">
        <f>MIN(W171,S171)</f>
        <v>0</v>
      </c>
      <c r="Z171" s="13" t="str">
        <f>MIN(X171,(S171-Y171))</f>
        <v>0</v>
      </c>
      <c r="AA171" s="13" t="str">
        <f>S171-SUM(Y171,Z171)</f>
        <v>0</v>
      </c>
      <c r="AB171" s="15"/>
      <c r="AC171" s="15"/>
      <c r="AD171" s="1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/>
      <c r="BA171" s="5"/>
      <c r="BB171" s="5"/>
      <c r="BC171" s="5"/>
      <c r="BD171" s="5"/>
      <c r="BE171" s="5"/>
      <c r="BF171" s="5"/>
      <c r="BG171" s="5"/>
      <c r="BH171" s="5"/>
      <c r="BI171" s="5"/>
      <c r="BJ171" s="5"/>
      <c r="BK171" s="5"/>
      <c r="BL171" s="5"/>
      <c r="BM171" s="5"/>
      <c r="BN171" s="5"/>
      <c r="BO171" s="5"/>
      <c r="BP171" s="5"/>
      <c r="BQ171" s="5"/>
      <c r="BR171" s="5"/>
      <c r="BS171" s="5"/>
      <c r="BT171" s="5"/>
      <c r="BU171" s="5"/>
      <c r="BV171" s="5"/>
      <c r="BW171" s="5"/>
      <c r="BX171" s="5"/>
      <c r="BY171" s="5"/>
      <c r="BZ171" s="5"/>
      <c r="CA171" s="5"/>
      <c r="CB171" s="5"/>
      <c r="CC171" s="5"/>
      <c r="CD171" s="5"/>
      <c r="CE171" s="5"/>
      <c r="CF171" s="5"/>
      <c r="CG171" s="5"/>
      <c r="CH171" s="5"/>
      <c r="CI171" s="5"/>
      <c r="CJ171" s="5"/>
      <c r="CK171" s="5"/>
      <c r="CL171" s="5"/>
      <c r="CM171" s="5"/>
      <c r="CN171" s="5"/>
      <c r="CO171" s="5"/>
      <c r="CP171" s="5"/>
      <c r="CQ171" s="5"/>
      <c r="CR171" s="5"/>
      <c r="CS171" s="5"/>
      <c r="CT171" s="5"/>
      <c r="CU171" s="5"/>
      <c r="CV171" s="5"/>
      <c r="CW171" s="5"/>
      <c r="CX171" s="5"/>
      <c r="CY171" s="5"/>
      <c r="CZ171" s="5"/>
      <c r="DA171" s="5"/>
      <c r="DB171" s="5"/>
      <c r="DC171" s="5"/>
      <c r="DD171" s="5"/>
      <c r="DE171" s="5"/>
      <c r="DF171" s="5"/>
      <c r="DG171" s="5"/>
      <c r="DH171" s="5"/>
      <c r="DI171" s="5"/>
      <c r="DJ171" s="5"/>
      <c r="DK171" s="5"/>
      <c r="DL171" s="5"/>
      <c r="DM171" s="5"/>
      <c r="DN171" s="5"/>
      <c r="DO171" s="5"/>
      <c r="DP171" s="5"/>
      <c r="DQ171" s="5"/>
      <c r="DR171" s="5"/>
      <c r="DS171" s="5"/>
      <c r="DT171" s="5"/>
      <c r="DU171" s="5"/>
      <c r="DV171" s="5"/>
      <c r="DW171" s="5"/>
      <c r="DX171" s="5"/>
      <c r="DY171" s="5"/>
      <c r="DZ171" s="5"/>
      <c r="EA171" s="5"/>
      <c r="EB171" s="5"/>
      <c r="EC171" s="5"/>
      <c r="ED171" s="5"/>
      <c r="EE171" s="5"/>
      <c r="EF171" s="5"/>
      <c r="EG171" s="5"/>
      <c r="EH171" s="5"/>
      <c r="EI171" s="5"/>
      <c r="EJ171" s="5"/>
      <c r="EK171" s="5"/>
      <c r="EL171" s="5"/>
      <c r="EM171" s="5"/>
      <c r="EN171" s="5"/>
      <c r="EO171" s="5"/>
      <c r="EP171" s="5"/>
      <c r="EQ171" s="5"/>
      <c r="ER171" s="5"/>
      <c r="ES171" s="5"/>
      <c r="ET171" s="5"/>
      <c r="EU171" s="5"/>
      <c r="EV171" s="5"/>
      <c r="EW171" s="5"/>
      <c r="EX171" s="5"/>
      <c r="EY171" s="5"/>
      <c r="EZ171" s="5"/>
      <c r="FA171" s="5"/>
      <c r="FB171" s="5"/>
      <c r="FC171" s="5"/>
      <c r="FD171" s="5"/>
      <c r="FE171" s="5"/>
      <c r="FF171" s="5"/>
      <c r="FG171" s="5"/>
      <c r="FH171" s="5"/>
      <c r="FI171" s="5"/>
      <c r="FJ171" s="5"/>
      <c r="FK171" s="5"/>
      <c r="FL171" s="5"/>
      <c r="FM171" s="5"/>
      <c r="FN171" s="5"/>
      <c r="FO171" s="5"/>
      <c r="FP171" s="5"/>
      <c r="FQ171" s="5"/>
      <c r="FR171" s="5"/>
      <c r="FS171" s="5"/>
      <c r="FT171" s="5"/>
      <c r="FU171" s="5"/>
      <c r="FV171" s="5"/>
      <c r="FW171" s="5"/>
      <c r="FX171" s="5"/>
      <c r="FY171" s="5"/>
      <c r="FZ171" s="5"/>
      <c r="GA171" s="5"/>
      <c r="GB171" s="5"/>
      <c r="GC171" s="5"/>
      <c r="GD171" s="5"/>
      <c r="GE171" s="5"/>
      <c r="GF171" s="5"/>
      <c r="GG171" s="5"/>
      <c r="GH171" s="5"/>
      <c r="GI171" s="5"/>
      <c r="GJ171" s="5"/>
      <c r="GK171" s="5"/>
      <c r="GL171" s="5"/>
      <c r="GM171" s="5"/>
      <c r="GN171" s="5"/>
      <c r="GO171" s="5"/>
      <c r="GP171" s="5"/>
      <c r="GQ171" s="5"/>
      <c r="GR171" s="5"/>
      <c r="GS171" s="5"/>
      <c r="GT171" s="5"/>
      <c r="GU171" s="5"/>
      <c r="GV171" s="5"/>
      <c r="GW171" s="5"/>
      <c r="GX171" s="5"/>
      <c r="GY171" s="5"/>
      <c r="GZ171" s="5"/>
      <c r="HA171" s="5"/>
      <c r="HB171" s="5"/>
      <c r="HC171" s="5"/>
      <c r="HD171" s="5"/>
      <c r="HE171" s="5"/>
      <c r="HF171" s="5"/>
      <c r="HG171" s="5"/>
      <c r="HH171" s="5"/>
      <c r="HI171" s="5"/>
      <c r="HJ171" s="5"/>
      <c r="HK171" s="5"/>
      <c r="HL171" s="5"/>
      <c r="HM171" s="5"/>
      <c r="HN171" s="5"/>
      <c r="HO171" s="5"/>
      <c r="HP171" s="5"/>
      <c r="HQ171" s="5"/>
      <c r="HR171" s="5"/>
      <c r="HS171" s="5"/>
      <c r="HT171" s="5"/>
      <c r="HU171" s="5"/>
      <c r="HV171" s="5"/>
      <c r="HW171" s="5"/>
      <c r="HX171" s="5"/>
      <c r="HY171" s="5"/>
      <c r="HZ171" s="5"/>
      <c r="IA171" s="5"/>
      <c r="IB171" s="5"/>
      <c r="IC171" s="5"/>
      <c r="ID171" s="5"/>
      <c r="IE171" s="5"/>
      <c r="IF171" s="5"/>
      <c r="IG171" s="5"/>
      <c r="IH171" s="5"/>
      <c r="II171" s="5"/>
      <c r="IJ171" s="5"/>
      <c r="IK171" s="5"/>
      <c r="IL171" s="5"/>
      <c r="IM171" s="5"/>
      <c r="IN171" s="5"/>
      <c r="IO171" s="5"/>
      <c r="IP171" s="5"/>
      <c r="IQ171" s="5"/>
      <c r="IR171" s="5"/>
      <c r="IS171" s="5"/>
      <c r="IT171" s="5"/>
      <c r="IU171" s="5"/>
      <c r="IV171" s="5"/>
      <c r="IW171" s="5"/>
      <c r="IX171" s="5"/>
      <c r="IY171" s="5"/>
      <c r="IZ171" s="5"/>
      <c r="JA171" s="5"/>
      <c r="JB171" s="5"/>
      <c r="JC171" s="5"/>
      <c r="JD171" s="5"/>
      <c r="JE171" s="5"/>
      <c r="JF171" s="5"/>
      <c r="JG171" s="5"/>
      <c r="JH171" s="5"/>
      <c r="JI171" s="5"/>
      <c r="JJ171" s="5"/>
      <c r="JK171" s="5"/>
      <c r="JL171" s="5"/>
      <c r="JM171" s="5"/>
      <c r="JN171" s="5"/>
      <c r="JO171" s="5"/>
      <c r="JP171" s="5"/>
      <c r="JQ171" s="5"/>
      <c r="JR171" s="5"/>
      <c r="JS171" s="5"/>
      <c r="JT171" s="5"/>
      <c r="JU171" s="5"/>
      <c r="JV171" s="5"/>
      <c r="JW171" s="5"/>
      <c r="JX171" s="5"/>
      <c r="JY171" s="5"/>
      <c r="JZ171" s="5"/>
      <c r="KA171" s="5"/>
      <c r="KB171" s="5"/>
      <c r="KC171" s="5"/>
      <c r="KD171" s="5"/>
      <c r="KE171" s="5"/>
      <c r="KF171" s="5"/>
      <c r="KG171" s="5"/>
      <c r="KH171" s="5"/>
      <c r="KI171" s="5"/>
      <c r="KJ171" s="5"/>
      <c r="KK171" s="5"/>
      <c r="KL171" s="5"/>
      <c r="KM171" s="5"/>
      <c r="KN171" s="5"/>
      <c r="KO171" s="5"/>
      <c r="KP171" s="5"/>
      <c r="KQ171" s="5"/>
      <c r="KR171" s="5"/>
      <c r="KS171" s="5"/>
      <c r="KT171" s="5"/>
      <c r="KU171" s="5"/>
      <c r="KV171" s="5"/>
      <c r="KW171" s="5"/>
      <c r="KX171" s="5"/>
      <c r="KY171" s="5"/>
      <c r="KZ171" s="5"/>
      <c r="LA171" s="5"/>
      <c r="LB171" s="5"/>
      <c r="LC171" s="5"/>
      <c r="LD171" s="5"/>
      <c r="LE171" s="5"/>
      <c r="LF171" s="5"/>
      <c r="LG171" s="5"/>
      <c r="LH171" s="5"/>
      <c r="LI171" s="5"/>
      <c r="LJ171" s="5"/>
      <c r="LK171" s="5"/>
      <c r="LL171" s="5"/>
      <c r="LM171" s="5"/>
      <c r="LN171" s="5"/>
      <c r="LO171" s="5"/>
      <c r="LP171" s="5"/>
      <c r="LQ171" s="5"/>
      <c r="LR171" s="5"/>
      <c r="LS171" s="5"/>
      <c r="LT171" s="5"/>
      <c r="LU171" s="5"/>
      <c r="LV171" s="5"/>
      <c r="LW171" s="5"/>
      <c r="LX171" s="5"/>
      <c r="LY171" s="5"/>
      <c r="LZ171" s="5"/>
      <c r="MA171" s="5"/>
      <c r="MB171" s="5"/>
      <c r="MC171" s="5"/>
      <c r="MD171" s="5"/>
      <c r="ME171" s="5"/>
      <c r="MF171" s="5"/>
      <c r="MG171" s="5"/>
      <c r="MH171" s="5"/>
      <c r="MI171" s="5"/>
      <c r="MJ171" s="5"/>
      <c r="MK171" s="5"/>
      <c r="ML171" s="5"/>
      <c r="MM171" s="5"/>
      <c r="MN171" s="5"/>
      <c r="MO171" s="5"/>
      <c r="MP171" s="5"/>
      <c r="MQ171" s="5"/>
      <c r="MR171" s="5"/>
      <c r="MS171" s="5"/>
      <c r="MT171" s="5"/>
      <c r="MU171" s="5"/>
      <c r="MV171" s="5"/>
      <c r="MW171" s="5"/>
      <c r="MX171" s="5"/>
      <c r="MY171" s="5"/>
      <c r="MZ171" s="5"/>
      <c r="NA171" s="5"/>
      <c r="NB171" s="5"/>
      <c r="NC171" s="5"/>
      <c r="ND171" s="5"/>
      <c r="NE171" s="5"/>
      <c r="NF171" s="5"/>
      <c r="NG171" s="5"/>
      <c r="NH171" s="5"/>
      <c r="NI171" s="5"/>
      <c r="NJ171" s="5"/>
      <c r="NK171" s="5"/>
      <c r="NL171" s="5"/>
      <c r="NM171" s="5"/>
      <c r="NN171" s="5"/>
      <c r="NO171" s="5"/>
      <c r="NP171" s="5"/>
      <c r="NQ171" s="5"/>
      <c r="NR171" s="5"/>
      <c r="NS171" s="5"/>
      <c r="NT171" s="5"/>
      <c r="NU171" s="5"/>
      <c r="NV171" s="5"/>
      <c r="NW171" s="5"/>
      <c r="NX171" s="5"/>
      <c r="NY171" s="5"/>
      <c r="NZ171" s="5"/>
      <c r="OA171" s="5"/>
      <c r="OB171" s="5"/>
      <c r="OC171" s="5"/>
      <c r="OD171" s="5"/>
      <c r="OE171" s="5"/>
      <c r="OF171" s="5"/>
      <c r="OG171" s="5"/>
      <c r="OH171" s="5"/>
      <c r="OI171" s="5"/>
      <c r="OJ171" s="5"/>
      <c r="OK171" s="5"/>
      <c r="OL171" s="5"/>
      <c r="OM171" s="5"/>
      <c r="ON171" s="5"/>
      <c r="OO171" s="5"/>
      <c r="OP171" s="5"/>
      <c r="OQ171" s="5"/>
      <c r="OR171" s="5"/>
      <c r="OS171" s="5"/>
      <c r="OT171" s="5"/>
      <c r="OU171" s="5"/>
      <c r="OV171" s="5"/>
      <c r="OW171" s="5"/>
      <c r="OX171" s="5"/>
      <c r="OY171" s="5"/>
      <c r="OZ171" s="5"/>
      <c r="PA171" s="5"/>
      <c r="PB171" s="5"/>
      <c r="PC171" s="5"/>
      <c r="PD171" s="5"/>
      <c r="PE171" s="5"/>
      <c r="PF171" s="5"/>
      <c r="PG171" s="5"/>
      <c r="PH171" s="5"/>
      <c r="PI171" s="5"/>
      <c r="PJ171" s="5"/>
      <c r="PK171" s="5"/>
      <c r="PL171" s="5"/>
      <c r="PM171" s="5"/>
      <c r="PN171" s="5"/>
      <c r="PO171" s="5"/>
      <c r="PP171" s="5"/>
      <c r="PQ171" s="5"/>
      <c r="PR171" s="5"/>
      <c r="PS171" s="5"/>
      <c r="PT171" s="5"/>
      <c r="PU171" s="5"/>
      <c r="PV171" s="5"/>
      <c r="PW171" s="5"/>
      <c r="PX171" s="5"/>
      <c r="PY171" s="5"/>
      <c r="PZ171" s="5"/>
      <c r="QA171" s="5"/>
      <c r="QB171" s="5"/>
      <c r="QC171" s="5"/>
      <c r="QD171" s="5"/>
      <c r="QE171" s="5"/>
      <c r="QF171" s="5"/>
      <c r="QG171" s="5"/>
      <c r="QH171" s="5"/>
      <c r="QI171" s="5"/>
      <c r="QJ171" s="5"/>
      <c r="QK171" s="5"/>
      <c r="QL171" s="5"/>
      <c r="QM171" s="5"/>
      <c r="QN171" s="5"/>
      <c r="QO171" s="5"/>
      <c r="QP171" s="5"/>
      <c r="QQ171" s="5"/>
      <c r="QR171" s="5"/>
      <c r="QS171" s="5"/>
      <c r="QT171" s="5"/>
      <c r="QU171" s="5"/>
      <c r="QV171" s="5"/>
      <c r="QW171" s="5"/>
      <c r="QX171" s="5"/>
      <c r="QY171" s="5"/>
      <c r="QZ171" s="5"/>
      <c r="RA171" s="5"/>
      <c r="RB171" s="5"/>
      <c r="RC171" s="5"/>
      <c r="RD171" s="5"/>
      <c r="RE171" s="5"/>
      <c r="RF171" s="5"/>
      <c r="RG171" s="5"/>
      <c r="RH171" s="5"/>
      <c r="RI171" s="5"/>
      <c r="RJ171" s="5"/>
      <c r="RK171" s="5"/>
      <c r="RL171" s="5"/>
      <c r="RM171" s="5"/>
      <c r="RN171" s="5"/>
      <c r="RO171" s="5"/>
      <c r="RP171" s="5"/>
      <c r="RQ171" s="5"/>
      <c r="RR171" s="5"/>
      <c r="RS171" s="5"/>
      <c r="RT171" s="5"/>
      <c r="RU171" s="5"/>
      <c r="RV171" s="5"/>
      <c r="RW171" s="5"/>
      <c r="RX171" s="5"/>
      <c r="RY171" s="5"/>
      <c r="RZ171" s="5"/>
      <c r="SA171" s="5"/>
      <c r="SB171" s="5"/>
      <c r="SC171" s="5"/>
      <c r="SD171" s="5"/>
      <c r="SE171" s="5"/>
      <c r="SF171" s="5"/>
      <c r="SG171" s="5"/>
      <c r="SH171" s="5"/>
      <c r="SI171" s="5"/>
      <c r="SJ171" s="5"/>
      <c r="SK171" s="5"/>
      <c r="SL171" s="5"/>
      <c r="SM171" s="5"/>
      <c r="SN171" s="5"/>
      <c r="SO171" s="5"/>
      <c r="SP171" s="5"/>
      <c r="SQ171" s="5"/>
      <c r="SR171" s="5"/>
      <c r="SS171" s="5"/>
      <c r="ST171" s="5"/>
      <c r="SU171" s="5"/>
      <c r="SV171" s="5"/>
      <c r="SW171" s="5"/>
      <c r="SX171" s="5"/>
      <c r="SY171" s="5"/>
      <c r="SZ171" s="5"/>
      <c r="TA171" s="5"/>
      <c r="TB171" s="5"/>
      <c r="TC171" s="5"/>
      <c r="TD171" s="5"/>
      <c r="TE171" s="5"/>
      <c r="TF171" s="5"/>
      <c r="TG171" s="5"/>
      <c r="TH171" s="5"/>
      <c r="TI171" s="5"/>
      <c r="TJ171" s="5"/>
      <c r="TK171" s="5"/>
      <c r="TL171" s="5"/>
      <c r="TM171" s="5"/>
      <c r="TN171" s="5"/>
      <c r="TO171" s="5"/>
      <c r="TP171" s="5"/>
      <c r="TQ171" s="5"/>
      <c r="TR171" s="5"/>
      <c r="TS171" s="5"/>
      <c r="TT171" s="5"/>
      <c r="TU171" s="5"/>
      <c r="TV171" s="5"/>
      <c r="TW171" s="5"/>
      <c r="TX171" s="5"/>
      <c r="TY171" s="5"/>
      <c r="TZ171" s="5"/>
      <c r="UA171" s="5"/>
      <c r="UB171" s="5"/>
      <c r="UC171" s="5"/>
      <c r="UD171" s="5"/>
      <c r="UE171" s="5"/>
      <c r="UF171" s="5"/>
      <c r="UG171" s="5"/>
      <c r="UH171" s="5"/>
      <c r="UI171" s="5"/>
      <c r="UJ171" s="5"/>
      <c r="UK171" s="5"/>
      <c r="UL171" s="5"/>
      <c r="UM171" s="5"/>
      <c r="UN171" s="5"/>
      <c r="UO171" s="5"/>
      <c r="UP171" s="5"/>
      <c r="UQ171" s="5"/>
      <c r="UR171" s="5"/>
      <c r="US171" s="5"/>
      <c r="UT171" s="5"/>
      <c r="UU171" s="5"/>
      <c r="UV171" s="5"/>
      <c r="UW171" s="5"/>
      <c r="UX171" s="5"/>
      <c r="UY171" s="5"/>
      <c r="UZ171" s="5"/>
      <c r="VA171" s="5"/>
      <c r="VB171" s="5"/>
      <c r="VC171" s="5"/>
      <c r="VD171" s="5"/>
      <c r="VE171" s="5"/>
      <c r="VF171" s="5"/>
      <c r="VG171" s="5"/>
      <c r="VH171" s="5"/>
      <c r="VI171" s="5"/>
      <c r="VJ171" s="5"/>
      <c r="VK171" s="5"/>
      <c r="VL171" s="5"/>
      <c r="VM171" s="5"/>
      <c r="VN171" s="5"/>
      <c r="VO171" s="5"/>
      <c r="VP171" s="5"/>
      <c r="VQ171" s="5"/>
      <c r="VR171" s="5"/>
      <c r="VS171" s="5"/>
      <c r="VT171" s="5"/>
      <c r="VU171" s="5"/>
      <c r="VV171" s="5"/>
      <c r="VW171" s="5"/>
      <c r="VX171" s="5"/>
      <c r="VY171" s="5"/>
      <c r="VZ171" s="5"/>
      <c r="WA171" s="5"/>
      <c r="WB171" s="5"/>
      <c r="WC171" s="5"/>
      <c r="WD171" s="5"/>
      <c r="WE171" s="5"/>
      <c r="WF171" s="5"/>
      <c r="WG171" s="5"/>
      <c r="WH171" s="5"/>
      <c r="WI171" s="5"/>
      <c r="WJ171" s="5"/>
      <c r="WK171" s="5"/>
      <c r="WL171" s="5"/>
      <c r="WM171" s="5"/>
      <c r="WN171" s="5"/>
      <c r="WO171" s="5"/>
      <c r="WP171" s="5"/>
      <c r="WQ171" s="5"/>
      <c r="WR171" s="5"/>
      <c r="WS171" s="5"/>
      <c r="WT171" s="5"/>
      <c r="WU171" s="5"/>
      <c r="WV171" s="5"/>
      <c r="WW171" s="5"/>
      <c r="WX171" s="5"/>
      <c r="WY171" s="5"/>
      <c r="WZ171" s="5"/>
      <c r="XA171" s="5"/>
      <c r="XB171" s="5"/>
      <c r="XC171" s="5"/>
      <c r="XD171" s="5"/>
      <c r="XE171" s="5"/>
      <c r="XF171" s="5"/>
      <c r="XG171" s="5"/>
      <c r="XH171" s="5"/>
      <c r="XI171" s="5"/>
      <c r="XJ171" s="5"/>
      <c r="XK171" s="5"/>
      <c r="XL171" s="5"/>
      <c r="XM171" s="5"/>
      <c r="XN171" s="5"/>
      <c r="XO171" s="5"/>
      <c r="XP171" s="5"/>
      <c r="XQ171" s="5"/>
      <c r="XR171" s="5"/>
      <c r="XS171" s="5"/>
      <c r="XT171" s="5"/>
      <c r="XU171" s="5"/>
      <c r="XV171" s="5"/>
      <c r="XW171" s="5"/>
      <c r="XX171" s="5"/>
      <c r="XY171" s="5"/>
      <c r="XZ171" s="5"/>
      <c r="YA171" s="5"/>
      <c r="YB171" s="5"/>
      <c r="YC171" s="5"/>
      <c r="YD171" s="5"/>
      <c r="YE171" s="5"/>
      <c r="YF171" s="5"/>
      <c r="YG171" s="5"/>
      <c r="YH171" s="5"/>
      <c r="YI171" s="5"/>
      <c r="YJ171" s="5"/>
      <c r="YK171" s="5"/>
      <c r="YL171" s="5"/>
      <c r="YM171" s="5"/>
      <c r="YN171" s="5"/>
      <c r="YO171" s="5"/>
      <c r="YP171" s="5"/>
      <c r="YQ171" s="5"/>
      <c r="YR171" s="5"/>
      <c r="YS171" s="5"/>
      <c r="YT171" s="5"/>
      <c r="YU171" s="5"/>
      <c r="YV171" s="5"/>
      <c r="YW171" s="5"/>
      <c r="YX171" s="5"/>
      <c r="YY171" s="5"/>
      <c r="YZ171" s="5"/>
    </row>
    <row r="172" spans="1:676">
      <c r="A172" s="7">
        <v>162</v>
      </c>
      <c r="B172" s="7" t="s">
        <v>404</v>
      </c>
      <c r="C172" s="10" t="s">
        <v>405</v>
      </c>
      <c r="D172" s="7" t="s">
        <v>89</v>
      </c>
      <c r="E172" s="7" t="s">
        <v>71</v>
      </c>
      <c r="F172" s="7" t="s">
        <v>352</v>
      </c>
      <c r="G172" s="7"/>
      <c r="H172" s="7" t="s">
        <v>43</v>
      </c>
      <c r="I172" s="11">
        <v>2</v>
      </c>
      <c r="J172" s="11">
        <v>0</v>
      </c>
      <c r="K172" s="11">
        <v>0</v>
      </c>
      <c r="L172" s="11">
        <v>0</v>
      </c>
      <c r="M172" s="11">
        <v>0</v>
      </c>
      <c r="N172" s="11">
        <v>0</v>
      </c>
      <c r="O172" s="11">
        <v>0</v>
      </c>
      <c r="P172" s="11">
        <v>0</v>
      </c>
      <c r="Q172" s="11">
        <v>0</v>
      </c>
      <c r="R172" s="11">
        <v>0</v>
      </c>
      <c r="S172" s="11">
        <v>0</v>
      </c>
      <c r="T172" s="11">
        <v>0</v>
      </c>
      <c r="U172" s="11">
        <v>0</v>
      </c>
      <c r="V172" s="11">
        <v>0</v>
      </c>
      <c r="W172" s="13">
        <v>2</v>
      </c>
      <c r="X172" s="13">
        <v>0</v>
      </c>
      <c r="Y172" s="13" t="str">
        <f>MIN(W172,S172)</f>
        <v>0</v>
      </c>
      <c r="Z172" s="13" t="str">
        <f>MIN(X172,(S172-Y172))</f>
        <v>0</v>
      </c>
      <c r="AA172" s="13" t="str">
        <f>S172-SUM(Y172,Z172)</f>
        <v>0</v>
      </c>
      <c r="AB172" s="15"/>
      <c r="AC172" s="15"/>
      <c r="AD172" s="1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  <c r="BA172" s="5"/>
      <c r="BB172" s="5"/>
      <c r="BC172" s="5"/>
      <c r="BD172" s="5"/>
      <c r="BE172" s="5"/>
      <c r="BF172" s="5"/>
      <c r="BG172" s="5"/>
      <c r="BH172" s="5"/>
      <c r="BI172" s="5"/>
      <c r="BJ172" s="5"/>
      <c r="BK172" s="5"/>
      <c r="BL172" s="5"/>
      <c r="BM172" s="5"/>
      <c r="BN172" s="5"/>
      <c r="BO172" s="5"/>
      <c r="BP172" s="5"/>
      <c r="BQ172" s="5"/>
      <c r="BR172" s="5"/>
      <c r="BS172" s="5"/>
      <c r="BT172" s="5"/>
      <c r="BU172" s="5"/>
      <c r="BV172" s="5"/>
      <c r="BW172" s="5"/>
      <c r="BX172" s="5"/>
      <c r="BY172" s="5"/>
      <c r="BZ172" s="5"/>
      <c r="CA172" s="5"/>
      <c r="CB172" s="5"/>
      <c r="CC172" s="5"/>
      <c r="CD172" s="5"/>
      <c r="CE172" s="5"/>
      <c r="CF172" s="5"/>
      <c r="CG172" s="5"/>
      <c r="CH172" s="5"/>
      <c r="CI172" s="5"/>
      <c r="CJ172" s="5"/>
      <c r="CK172" s="5"/>
      <c r="CL172" s="5"/>
      <c r="CM172" s="5"/>
      <c r="CN172" s="5"/>
      <c r="CO172" s="5"/>
      <c r="CP172" s="5"/>
      <c r="CQ172" s="5"/>
      <c r="CR172" s="5"/>
      <c r="CS172" s="5"/>
      <c r="CT172" s="5"/>
      <c r="CU172" s="5"/>
      <c r="CV172" s="5"/>
      <c r="CW172" s="5"/>
      <c r="CX172" s="5"/>
      <c r="CY172" s="5"/>
      <c r="CZ172" s="5"/>
      <c r="DA172" s="5"/>
      <c r="DB172" s="5"/>
      <c r="DC172" s="5"/>
      <c r="DD172" s="5"/>
      <c r="DE172" s="5"/>
      <c r="DF172" s="5"/>
      <c r="DG172" s="5"/>
      <c r="DH172" s="5"/>
      <c r="DI172" s="5"/>
      <c r="DJ172" s="5"/>
      <c r="DK172" s="5"/>
      <c r="DL172" s="5"/>
      <c r="DM172" s="5"/>
      <c r="DN172" s="5"/>
      <c r="DO172" s="5"/>
      <c r="DP172" s="5"/>
      <c r="DQ172" s="5"/>
      <c r="DR172" s="5"/>
      <c r="DS172" s="5"/>
      <c r="DT172" s="5"/>
      <c r="DU172" s="5"/>
      <c r="DV172" s="5"/>
      <c r="DW172" s="5"/>
      <c r="DX172" s="5"/>
      <c r="DY172" s="5"/>
      <c r="DZ172" s="5"/>
      <c r="EA172" s="5"/>
      <c r="EB172" s="5"/>
      <c r="EC172" s="5"/>
      <c r="ED172" s="5"/>
      <c r="EE172" s="5"/>
      <c r="EF172" s="5"/>
      <c r="EG172" s="5"/>
      <c r="EH172" s="5"/>
      <c r="EI172" s="5"/>
      <c r="EJ172" s="5"/>
      <c r="EK172" s="5"/>
      <c r="EL172" s="5"/>
      <c r="EM172" s="5"/>
      <c r="EN172" s="5"/>
      <c r="EO172" s="5"/>
      <c r="EP172" s="5"/>
      <c r="EQ172" s="5"/>
      <c r="ER172" s="5"/>
      <c r="ES172" s="5"/>
      <c r="ET172" s="5"/>
      <c r="EU172" s="5"/>
      <c r="EV172" s="5"/>
      <c r="EW172" s="5"/>
      <c r="EX172" s="5"/>
      <c r="EY172" s="5"/>
      <c r="EZ172" s="5"/>
      <c r="FA172" s="5"/>
      <c r="FB172" s="5"/>
      <c r="FC172" s="5"/>
      <c r="FD172" s="5"/>
      <c r="FE172" s="5"/>
      <c r="FF172" s="5"/>
      <c r="FG172" s="5"/>
      <c r="FH172" s="5"/>
      <c r="FI172" s="5"/>
      <c r="FJ172" s="5"/>
      <c r="FK172" s="5"/>
      <c r="FL172" s="5"/>
      <c r="FM172" s="5"/>
      <c r="FN172" s="5"/>
      <c r="FO172" s="5"/>
      <c r="FP172" s="5"/>
      <c r="FQ172" s="5"/>
      <c r="FR172" s="5"/>
      <c r="FS172" s="5"/>
      <c r="FT172" s="5"/>
      <c r="FU172" s="5"/>
      <c r="FV172" s="5"/>
      <c r="FW172" s="5"/>
      <c r="FX172" s="5"/>
      <c r="FY172" s="5"/>
      <c r="FZ172" s="5"/>
      <c r="GA172" s="5"/>
      <c r="GB172" s="5"/>
      <c r="GC172" s="5"/>
      <c r="GD172" s="5"/>
      <c r="GE172" s="5"/>
      <c r="GF172" s="5"/>
      <c r="GG172" s="5"/>
      <c r="GH172" s="5"/>
      <c r="GI172" s="5"/>
      <c r="GJ172" s="5"/>
      <c r="GK172" s="5"/>
      <c r="GL172" s="5"/>
      <c r="GM172" s="5"/>
      <c r="GN172" s="5"/>
      <c r="GO172" s="5"/>
      <c r="GP172" s="5"/>
      <c r="GQ172" s="5"/>
      <c r="GR172" s="5"/>
      <c r="GS172" s="5"/>
      <c r="GT172" s="5"/>
      <c r="GU172" s="5"/>
      <c r="GV172" s="5"/>
      <c r="GW172" s="5"/>
      <c r="GX172" s="5"/>
      <c r="GY172" s="5"/>
      <c r="GZ172" s="5"/>
      <c r="HA172" s="5"/>
      <c r="HB172" s="5"/>
      <c r="HC172" s="5"/>
      <c r="HD172" s="5"/>
      <c r="HE172" s="5"/>
      <c r="HF172" s="5"/>
      <c r="HG172" s="5"/>
      <c r="HH172" s="5"/>
      <c r="HI172" s="5"/>
      <c r="HJ172" s="5"/>
      <c r="HK172" s="5"/>
      <c r="HL172" s="5"/>
      <c r="HM172" s="5"/>
      <c r="HN172" s="5"/>
      <c r="HO172" s="5"/>
      <c r="HP172" s="5"/>
      <c r="HQ172" s="5"/>
      <c r="HR172" s="5"/>
      <c r="HS172" s="5"/>
      <c r="HT172" s="5"/>
      <c r="HU172" s="5"/>
      <c r="HV172" s="5"/>
      <c r="HW172" s="5"/>
      <c r="HX172" s="5"/>
      <c r="HY172" s="5"/>
      <c r="HZ172" s="5"/>
      <c r="IA172" s="5"/>
      <c r="IB172" s="5"/>
      <c r="IC172" s="5"/>
      <c r="ID172" s="5"/>
      <c r="IE172" s="5"/>
      <c r="IF172" s="5"/>
      <c r="IG172" s="5"/>
      <c r="IH172" s="5"/>
      <c r="II172" s="5"/>
      <c r="IJ172" s="5"/>
      <c r="IK172" s="5"/>
      <c r="IL172" s="5"/>
      <c r="IM172" s="5"/>
      <c r="IN172" s="5"/>
      <c r="IO172" s="5"/>
      <c r="IP172" s="5"/>
      <c r="IQ172" s="5"/>
      <c r="IR172" s="5"/>
      <c r="IS172" s="5"/>
      <c r="IT172" s="5"/>
      <c r="IU172" s="5"/>
      <c r="IV172" s="5"/>
      <c r="IW172" s="5"/>
      <c r="IX172" s="5"/>
      <c r="IY172" s="5"/>
      <c r="IZ172" s="5"/>
      <c r="JA172" s="5"/>
      <c r="JB172" s="5"/>
      <c r="JC172" s="5"/>
      <c r="JD172" s="5"/>
      <c r="JE172" s="5"/>
      <c r="JF172" s="5"/>
      <c r="JG172" s="5"/>
      <c r="JH172" s="5"/>
      <c r="JI172" s="5"/>
      <c r="JJ172" s="5"/>
      <c r="JK172" s="5"/>
      <c r="JL172" s="5"/>
      <c r="JM172" s="5"/>
      <c r="JN172" s="5"/>
      <c r="JO172" s="5"/>
      <c r="JP172" s="5"/>
      <c r="JQ172" s="5"/>
      <c r="JR172" s="5"/>
      <c r="JS172" s="5"/>
      <c r="JT172" s="5"/>
      <c r="JU172" s="5"/>
      <c r="JV172" s="5"/>
      <c r="JW172" s="5"/>
      <c r="JX172" s="5"/>
      <c r="JY172" s="5"/>
      <c r="JZ172" s="5"/>
      <c r="KA172" s="5"/>
      <c r="KB172" s="5"/>
      <c r="KC172" s="5"/>
      <c r="KD172" s="5"/>
      <c r="KE172" s="5"/>
      <c r="KF172" s="5"/>
      <c r="KG172" s="5"/>
      <c r="KH172" s="5"/>
      <c r="KI172" s="5"/>
      <c r="KJ172" s="5"/>
      <c r="KK172" s="5"/>
      <c r="KL172" s="5"/>
      <c r="KM172" s="5"/>
      <c r="KN172" s="5"/>
      <c r="KO172" s="5"/>
      <c r="KP172" s="5"/>
      <c r="KQ172" s="5"/>
      <c r="KR172" s="5"/>
      <c r="KS172" s="5"/>
      <c r="KT172" s="5"/>
      <c r="KU172" s="5"/>
      <c r="KV172" s="5"/>
      <c r="KW172" s="5"/>
      <c r="KX172" s="5"/>
      <c r="KY172" s="5"/>
      <c r="KZ172" s="5"/>
      <c r="LA172" s="5"/>
      <c r="LB172" s="5"/>
      <c r="LC172" s="5"/>
      <c r="LD172" s="5"/>
      <c r="LE172" s="5"/>
      <c r="LF172" s="5"/>
      <c r="LG172" s="5"/>
      <c r="LH172" s="5"/>
      <c r="LI172" s="5"/>
      <c r="LJ172" s="5"/>
      <c r="LK172" s="5"/>
      <c r="LL172" s="5"/>
      <c r="LM172" s="5"/>
      <c r="LN172" s="5"/>
      <c r="LO172" s="5"/>
      <c r="LP172" s="5"/>
      <c r="LQ172" s="5"/>
      <c r="LR172" s="5"/>
      <c r="LS172" s="5"/>
      <c r="LT172" s="5"/>
      <c r="LU172" s="5"/>
      <c r="LV172" s="5"/>
      <c r="LW172" s="5"/>
      <c r="LX172" s="5"/>
      <c r="LY172" s="5"/>
      <c r="LZ172" s="5"/>
      <c r="MA172" s="5"/>
      <c r="MB172" s="5"/>
      <c r="MC172" s="5"/>
      <c r="MD172" s="5"/>
      <c r="ME172" s="5"/>
      <c r="MF172" s="5"/>
      <c r="MG172" s="5"/>
      <c r="MH172" s="5"/>
      <c r="MI172" s="5"/>
      <c r="MJ172" s="5"/>
      <c r="MK172" s="5"/>
      <c r="ML172" s="5"/>
      <c r="MM172" s="5"/>
      <c r="MN172" s="5"/>
      <c r="MO172" s="5"/>
      <c r="MP172" s="5"/>
      <c r="MQ172" s="5"/>
      <c r="MR172" s="5"/>
      <c r="MS172" s="5"/>
      <c r="MT172" s="5"/>
      <c r="MU172" s="5"/>
      <c r="MV172" s="5"/>
      <c r="MW172" s="5"/>
      <c r="MX172" s="5"/>
      <c r="MY172" s="5"/>
      <c r="MZ172" s="5"/>
      <c r="NA172" s="5"/>
      <c r="NB172" s="5"/>
      <c r="NC172" s="5"/>
      <c r="ND172" s="5"/>
      <c r="NE172" s="5"/>
      <c r="NF172" s="5"/>
      <c r="NG172" s="5"/>
      <c r="NH172" s="5"/>
      <c r="NI172" s="5"/>
      <c r="NJ172" s="5"/>
      <c r="NK172" s="5"/>
      <c r="NL172" s="5"/>
      <c r="NM172" s="5"/>
      <c r="NN172" s="5"/>
      <c r="NO172" s="5"/>
      <c r="NP172" s="5"/>
      <c r="NQ172" s="5"/>
      <c r="NR172" s="5"/>
      <c r="NS172" s="5"/>
      <c r="NT172" s="5"/>
      <c r="NU172" s="5"/>
      <c r="NV172" s="5"/>
      <c r="NW172" s="5"/>
      <c r="NX172" s="5"/>
      <c r="NY172" s="5"/>
      <c r="NZ172" s="5"/>
      <c r="OA172" s="5"/>
      <c r="OB172" s="5"/>
      <c r="OC172" s="5"/>
      <c r="OD172" s="5"/>
      <c r="OE172" s="5"/>
      <c r="OF172" s="5"/>
      <c r="OG172" s="5"/>
      <c r="OH172" s="5"/>
      <c r="OI172" s="5"/>
      <c r="OJ172" s="5"/>
      <c r="OK172" s="5"/>
      <c r="OL172" s="5"/>
      <c r="OM172" s="5"/>
      <c r="ON172" s="5"/>
      <c r="OO172" s="5"/>
      <c r="OP172" s="5"/>
      <c r="OQ172" s="5"/>
      <c r="OR172" s="5"/>
      <c r="OS172" s="5"/>
      <c r="OT172" s="5"/>
      <c r="OU172" s="5"/>
      <c r="OV172" s="5"/>
      <c r="OW172" s="5"/>
      <c r="OX172" s="5"/>
      <c r="OY172" s="5"/>
      <c r="OZ172" s="5"/>
      <c r="PA172" s="5"/>
      <c r="PB172" s="5"/>
      <c r="PC172" s="5"/>
      <c r="PD172" s="5"/>
      <c r="PE172" s="5"/>
      <c r="PF172" s="5"/>
      <c r="PG172" s="5"/>
      <c r="PH172" s="5"/>
      <c r="PI172" s="5"/>
      <c r="PJ172" s="5"/>
      <c r="PK172" s="5"/>
      <c r="PL172" s="5"/>
      <c r="PM172" s="5"/>
      <c r="PN172" s="5"/>
      <c r="PO172" s="5"/>
      <c r="PP172" s="5"/>
      <c r="PQ172" s="5"/>
      <c r="PR172" s="5"/>
      <c r="PS172" s="5"/>
      <c r="PT172" s="5"/>
      <c r="PU172" s="5"/>
      <c r="PV172" s="5"/>
      <c r="PW172" s="5"/>
      <c r="PX172" s="5"/>
      <c r="PY172" s="5"/>
      <c r="PZ172" s="5"/>
      <c r="QA172" s="5"/>
      <c r="QB172" s="5"/>
      <c r="QC172" s="5"/>
      <c r="QD172" s="5"/>
      <c r="QE172" s="5"/>
      <c r="QF172" s="5"/>
      <c r="QG172" s="5"/>
      <c r="QH172" s="5"/>
      <c r="QI172" s="5"/>
      <c r="QJ172" s="5"/>
      <c r="QK172" s="5"/>
      <c r="QL172" s="5"/>
      <c r="QM172" s="5"/>
      <c r="QN172" s="5"/>
      <c r="QO172" s="5"/>
      <c r="QP172" s="5"/>
      <c r="QQ172" s="5"/>
      <c r="QR172" s="5"/>
      <c r="QS172" s="5"/>
      <c r="QT172" s="5"/>
      <c r="QU172" s="5"/>
      <c r="QV172" s="5"/>
      <c r="QW172" s="5"/>
      <c r="QX172" s="5"/>
      <c r="QY172" s="5"/>
      <c r="QZ172" s="5"/>
      <c r="RA172" s="5"/>
      <c r="RB172" s="5"/>
      <c r="RC172" s="5"/>
      <c r="RD172" s="5"/>
      <c r="RE172" s="5"/>
      <c r="RF172" s="5"/>
      <c r="RG172" s="5"/>
      <c r="RH172" s="5"/>
      <c r="RI172" s="5"/>
      <c r="RJ172" s="5"/>
      <c r="RK172" s="5"/>
      <c r="RL172" s="5"/>
      <c r="RM172" s="5"/>
      <c r="RN172" s="5"/>
      <c r="RO172" s="5"/>
      <c r="RP172" s="5"/>
      <c r="RQ172" s="5"/>
      <c r="RR172" s="5"/>
      <c r="RS172" s="5"/>
      <c r="RT172" s="5"/>
      <c r="RU172" s="5"/>
      <c r="RV172" s="5"/>
      <c r="RW172" s="5"/>
      <c r="RX172" s="5"/>
      <c r="RY172" s="5"/>
      <c r="RZ172" s="5"/>
      <c r="SA172" s="5"/>
      <c r="SB172" s="5"/>
      <c r="SC172" s="5"/>
      <c r="SD172" s="5"/>
      <c r="SE172" s="5"/>
      <c r="SF172" s="5"/>
      <c r="SG172" s="5"/>
      <c r="SH172" s="5"/>
      <c r="SI172" s="5"/>
      <c r="SJ172" s="5"/>
      <c r="SK172" s="5"/>
      <c r="SL172" s="5"/>
      <c r="SM172" s="5"/>
      <c r="SN172" s="5"/>
      <c r="SO172" s="5"/>
      <c r="SP172" s="5"/>
      <c r="SQ172" s="5"/>
      <c r="SR172" s="5"/>
      <c r="SS172" s="5"/>
      <c r="ST172" s="5"/>
      <c r="SU172" s="5"/>
      <c r="SV172" s="5"/>
      <c r="SW172" s="5"/>
      <c r="SX172" s="5"/>
      <c r="SY172" s="5"/>
      <c r="SZ172" s="5"/>
      <c r="TA172" s="5"/>
      <c r="TB172" s="5"/>
      <c r="TC172" s="5"/>
      <c r="TD172" s="5"/>
      <c r="TE172" s="5"/>
      <c r="TF172" s="5"/>
      <c r="TG172" s="5"/>
      <c r="TH172" s="5"/>
      <c r="TI172" s="5"/>
      <c r="TJ172" s="5"/>
      <c r="TK172" s="5"/>
      <c r="TL172" s="5"/>
      <c r="TM172" s="5"/>
      <c r="TN172" s="5"/>
      <c r="TO172" s="5"/>
      <c r="TP172" s="5"/>
      <c r="TQ172" s="5"/>
      <c r="TR172" s="5"/>
      <c r="TS172" s="5"/>
      <c r="TT172" s="5"/>
      <c r="TU172" s="5"/>
      <c r="TV172" s="5"/>
      <c r="TW172" s="5"/>
      <c r="TX172" s="5"/>
      <c r="TY172" s="5"/>
      <c r="TZ172" s="5"/>
      <c r="UA172" s="5"/>
      <c r="UB172" s="5"/>
      <c r="UC172" s="5"/>
      <c r="UD172" s="5"/>
      <c r="UE172" s="5"/>
      <c r="UF172" s="5"/>
      <c r="UG172" s="5"/>
      <c r="UH172" s="5"/>
      <c r="UI172" s="5"/>
      <c r="UJ172" s="5"/>
      <c r="UK172" s="5"/>
      <c r="UL172" s="5"/>
      <c r="UM172" s="5"/>
      <c r="UN172" s="5"/>
      <c r="UO172" s="5"/>
      <c r="UP172" s="5"/>
      <c r="UQ172" s="5"/>
      <c r="UR172" s="5"/>
      <c r="US172" s="5"/>
      <c r="UT172" s="5"/>
      <c r="UU172" s="5"/>
      <c r="UV172" s="5"/>
      <c r="UW172" s="5"/>
      <c r="UX172" s="5"/>
      <c r="UY172" s="5"/>
      <c r="UZ172" s="5"/>
      <c r="VA172" s="5"/>
      <c r="VB172" s="5"/>
      <c r="VC172" s="5"/>
      <c r="VD172" s="5"/>
      <c r="VE172" s="5"/>
      <c r="VF172" s="5"/>
      <c r="VG172" s="5"/>
      <c r="VH172" s="5"/>
      <c r="VI172" s="5"/>
      <c r="VJ172" s="5"/>
      <c r="VK172" s="5"/>
      <c r="VL172" s="5"/>
      <c r="VM172" s="5"/>
      <c r="VN172" s="5"/>
      <c r="VO172" s="5"/>
      <c r="VP172" s="5"/>
      <c r="VQ172" s="5"/>
      <c r="VR172" s="5"/>
      <c r="VS172" s="5"/>
      <c r="VT172" s="5"/>
      <c r="VU172" s="5"/>
      <c r="VV172" s="5"/>
      <c r="VW172" s="5"/>
      <c r="VX172" s="5"/>
      <c r="VY172" s="5"/>
      <c r="VZ172" s="5"/>
      <c r="WA172" s="5"/>
      <c r="WB172" s="5"/>
      <c r="WC172" s="5"/>
      <c r="WD172" s="5"/>
      <c r="WE172" s="5"/>
      <c r="WF172" s="5"/>
      <c r="WG172" s="5"/>
      <c r="WH172" s="5"/>
      <c r="WI172" s="5"/>
      <c r="WJ172" s="5"/>
      <c r="WK172" s="5"/>
      <c r="WL172" s="5"/>
      <c r="WM172" s="5"/>
      <c r="WN172" s="5"/>
      <c r="WO172" s="5"/>
      <c r="WP172" s="5"/>
      <c r="WQ172" s="5"/>
      <c r="WR172" s="5"/>
      <c r="WS172" s="5"/>
      <c r="WT172" s="5"/>
      <c r="WU172" s="5"/>
      <c r="WV172" s="5"/>
      <c r="WW172" s="5"/>
      <c r="WX172" s="5"/>
      <c r="WY172" s="5"/>
      <c r="WZ172" s="5"/>
      <c r="XA172" s="5"/>
      <c r="XB172" s="5"/>
      <c r="XC172" s="5"/>
      <c r="XD172" s="5"/>
      <c r="XE172" s="5"/>
      <c r="XF172" s="5"/>
      <c r="XG172" s="5"/>
      <c r="XH172" s="5"/>
      <c r="XI172" s="5"/>
      <c r="XJ172" s="5"/>
      <c r="XK172" s="5"/>
      <c r="XL172" s="5"/>
      <c r="XM172" s="5"/>
      <c r="XN172" s="5"/>
      <c r="XO172" s="5"/>
      <c r="XP172" s="5"/>
      <c r="XQ172" s="5"/>
      <c r="XR172" s="5"/>
      <c r="XS172" s="5"/>
      <c r="XT172" s="5"/>
      <c r="XU172" s="5"/>
      <c r="XV172" s="5"/>
      <c r="XW172" s="5"/>
      <c r="XX172" s="5"/>
      <c r="XY172" s="5"/>
      <c r="XZ172" s="5"/>
      <c r="YA172" s="5"/>
      <c r="YB172" s="5"/>
      <c r="YC172" s="5"/>
      <c r="YD172" s="5"/>
      <c r="YE172" s="5"/>
      <c r="YF172" s="5"/>
      <c r="YG172" s="5"/>
      <c r="YH172" s="5"/>
      <c r="YI172" s="5"/>
      <c r="YJ172" s="5"/>
      <c r="YK172" s="5"/>
      <c r="YL172" s="5"/>
      <c r="YM172" s="5"/>
      <c r="YN172" s="5"/>
      <c r="YO172" s="5"/>
      <c r="YP172" s="5"/>
      <c r="YQ172" s="5"/>
      <c r="YR172" s="5"/>
      <c r="YS172" s="5"/>
      <c r="YT172" s="5"/>
      <c r="YU172" s="5"/>
      <c r="YV172" s="5"/>
      <c r="YW172" s="5"/>
      <c r="YX172" s="5"/>
      <c r="YY172" s="5"/>
      <c r="YZ172" s="5"/>
    </row>
    <row r="173" spans="1:676">
      <c r="A173" s="7">
        <v>163</v>
      </c>
      <c r="B173" s="7" t="s">
        <v>406</v>
      </c>
      <c r="C173" s="10" t="s">
        <v>407</v>
      </c>
      <c r="D173" s="7" t="s">
        <v>152</v>
      </c>
      <c r="E173" s="7" t="s">
        <v>46</v>
      </c>
      <c r="F173" s="7" t="s">
        <v>408</v>
      </c>
      <c r="G173" s="7"/>
      <c r="H173" s="7" t="s">
        <v>43</v>
      </c>
      <c r="I173" s="11">
        <v>2</v>
      </c>
      <c r="J173" s="11">
        <v>3</v>
      </c>
      <c r="K173" s="11">
        <v>0</v>
      </c>
      <c r="L173" s="11">
        <v>2.18</v>
      </c>
      <c r="M173" s="11">
        <v>0.08</v>
      </c>
      <c r="N173" s="11">
        <v>0</v>
      </c>
      <c r="O173" s="11">
        <v>0.18</v>
      </c>
      <c r="P173" s="11">
        <v>0</v>
      </c>
      <c r="Q173" s="11">
        <v>2.44</v>
      </c>
      <c r="R173" s="11">
        <v>0</v>
      </c>
      <c r="S173" s="11">
        <v>2.44</v>
      </c>
      <c r="T173" s="11">
        <v>2</v>
      </c>
      <c r="U173" s="11">
        <v>0.4400000000000004</v>
      </c>
      <c r="V173" s="11">
        <v>0</v>
      </c>
      <c r="W173" s="13">
        <v>2</v>
      </c>
      <c r="X173" s="13">
        <v>3</v>
      </c>
      <c r="Y173" s="13" t="str">
        <f>MIN(W173,S173)</f>
        <v>0</v>
      </c>
      <c r="Z173" s="13" t="str">
        <f>MIN(X173,(S173-Y173))</f>
        <v>0</v>
      </c>
      <c r="AA173" s="13" t="str">
        <f>S173-SUM(Y173,Z173)</f>
        <v>0</v>
      </c>
      <c r="AB173" s="15"/>
      <c r="AC173" s="15"/>
      <c r="AD173" s="1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5"/>
      <c r="BA173" s="5"/>
      <c r="BB173" s="5"/>
      <c r="BC173" s="5"/>
      <c r="BD173" s="5"/>
      <c r="BE173" s="5"/>
      <c r="BF173" s="5"/>
      <c r="BG173" s="5"/>
      <c r="BH173" s="5"/>
      <c r="BI173" s="5"/>
      <c r="BJ173" s="5"/>
      <c r="BK173" s="5"/>
      <c r="BL173" s="5"/>
      <c r="BM173" s="5"/>
      <c r="BN173" s="5"/>
      <c r="BO173" s="5"/>
      <c r="BP173" s="5"/>
      <c r="BQ173" s="5"/>
      <c r="BR173" s="5"/>
      <c r="BS173" s="5"/>
      <c r="BT173" s="5"/>
      <c r="BU173" s="5"/>
      <c r="BV173" s="5"/>
      <c r="BW173" s="5"/>
      <c r="BX173" s="5"/>
      <c r="BY173" s="5"/>
      <c r="BZ173" s="5"/>
      <c r="CA173" s="5"/>
      <c r="CB173" s="5"/>
      <c r="CC173" s="5"/>
      <c r="CD173" s="5"/>
      <c r="CE173" s="5"/>
      <c r="CF173" s="5"/>
      <c r="CG173" s="5"/>
      <c r="CH173" s="5"/>
      <c r="CI173" s="5"/>
      <c r="CJ173" s="5"/>
      <c r="CK173" s="5"/>
      <c r="CL173" s="5"/>
      <c r="CM173" s="5"/>
      <c r="CN173" s="5"/>
      <c r="CO173" s="5"/>
      <c r="CP173" s="5"/>
      <c r="CQ173" s="5"/>
      <c r="CR173" s="5"/>
      <c r="CS173" s="5"/>
      <c r="CT173" s="5"/>
      <c r="CU173" s="5"/>
      <c r="CV173" s="5"/>
      <c r="CW173" s="5"/>
      <c r="CX173" s="5"/>
      <c r="CY173" s="5"/>
      <c r="CZ173" s="5"/>
      <c r="DA173" s="5"/>
      <c r="DB173" s="5"/>
      <c r="DC173" s="5"/>
      <c r="DD173" s="5"/>
      <c r="DE173" s="5"/>
      <c r="DF173" s="5"/>
      <c r="DG173" s="5"/>
      <c r="DH173" s="5"/>
      <c r="DI173" s="5"/>
      <c r="DJ173" s="5"/>
      <c r="DK173" s="5"/>
      <c r="DL173" s="5"/>
      <c r="DM173" s="5"/>
      <c r="DN173" s="5"/>
      <c r="DO173" s="5"/>
      <c r="DP173" s="5"/>
      <c r="DQ173" s="5"/>
      <c r="DR173" s="5"/>
      <c r="DS173" s="5"/>
      <c r="DT173" s="5"/>
      <c r="DU173" s="5"/>
      <c r="DV173" s="5"/>
      <c r="DW173" s="5"/>
      <c r="DX173" s="5"/>
      <c r="DY173" s="5"/>
      <c r="DZ173" s="5"/>
      <c r="EA173" s="5"/>
      <c r="EB173" s="5"/>
      <c r="EC173" s="5"/>
      <c r="ED173" s="5"/>
      <c r="EE173" s="5"/>
      <c r="EF173" s="5"/>
      <c r="EG173" s="5"/>
      <c r="EH173" s="5"/>
      <c r="EI173" s="5"/>
      <c r="EJ173" s="5"/>
      <c r="EK173" s="5"/>
      <c r="EL173" s="5"/>
      <c r="EM173" s="5"/>
      <c r="EN173" s="5"/>
      <c r="EO173" s="5"/>
      <c r="EP173" s="5"/>
      <c r="EQ173" s="5"/>
      <c r="ER173" s="5"/>
      <c r="ES173" s="5"/>
      <c r="ET173" s="5"/>
      <c r="EU173" s="5"/>
      <c r="EV173" s="5"/>
      <c r="EW173" s="5"/>
      <c r="EX173" s="5"/>
      <c r="EY173" s="5"/>
      <c r="EZ173" s="5"/>
      <c r="FA173" s="5"/>
      <c r="FB173" s="5"/>
      <c r="FC173" s="5"/>
      <c r="FD173" s="5"/>
      <c r="FE173" s="5"/>
      <c r="FF173" s="5"/>
      <c r="FG173" s="5"/>
      <c r="FH173" s="5"/>
      <c r="FI173" s="5"/>
      <c r="FJ173" s="5"/>
      <c r="FK173" s="5"/>
      <c r="FL173" s="5"/>
      <c r="FM173" s="5"/>
      <c r="FN173" s="5"/>
      <c r="FO173" s="5"/>
      <c r="FP173" s="5"/>
      <c r="FQ173" s="5"/>
      <c r="FR173" s="5"/>
      <c r="FS173" s="5"/>
      <c r="FT173" s="5"/>
      <c r="FU173" s="5"/>
      <c r="FV173" s="5"/>
      <c r="FW173" s="5"/>
      <c r="FX173" s="5"/>
      <c r="FY173" s="5"/>
      <c r="FZ173" s="5"/>
      <c r="GA173" s="5"/>
      <c r="GB173" s="5"/>
      <c r="GC173" s="5"/>
      <c r="GD173" s="5"/>
      <c r="GE173" s="5"/>
      <c r="GF173" s="5"/>
      <c r="GG173" s="5"/>
      <c r="GH173" s="5"/>
      <c r="GI173" s="5"/>
      <c r="GJ173" s="5"/>
      <c r="GK173" s="5"/>
      <c r="GL173" s="5"/>
      <c r="GM173" s="5"/>
      <c r="GN173" s="5"/>
      <c r="GO173" s="5"/>
      <c r="GP173" s="5"/>
      <c r="GQ173" s="5"/>
      <c r="GR173" s="5"/>
      <c r="GS173" s="5"/>
      <c r="GT173" s="5"/>
      <c r="GU173" s="5"/>
      <c r="GV173" s="5"/>
      <c r="GW173" s="5"/>
      <c r="GX173" s="5"/>
      <c r="GY173" s="5"/>
      <c r="GZ173" s="5"/>
      <c r="HA173" s="5"/>
      <c r="HB173" s="5"/>
      <c r="HC173" s="5"/>
      <c r="HD173" s="5"/>
      <c r="HE173" s="5"/>
      <c r="HF173" s="5"/>
      <c r="HG173" s="5"/>
      <c r="HH173" s="5"/>
      <c r="HI173" s="5"/>
      <c r="HJ173" s="5"/>
      <c r="HK173" s="5"/>
      <c r="HL173" s="5"/>
      <c r="HM173" s="5"/>
      <c r="HN173" s="5"/>
      <c r="HO173" s="5"/>
      <c r="HP173" s="5"/>
      <c r="HQ173" s="5"/>
      <c r="HR173" s="5"/>
      <c r="HS173" s="5"/>
      <c r="HT173" s="5"/>
      <c r="HU173" s="5"/>
      <c r="HV173" s="5"/>
      <c r="HW173" s="5"/>
      <c r="HX173" s="5"/>
      <c r="HY173" s="5"/>
      <c r="HZ173" s="5"/>
      <c r="IA173" s="5"/>
      <c r="IB173" s="5"/>
      <c r="IC173" s="5"/>
      <c r="ID173" s="5"/>
      <c r="IE173" s="5"/>
      <c r="IF173" s="5"/>
      <c r="IG173" s="5"/>
      <c r="IH173" s="5"/>
      <c r="II173" s="5"/>
      <c r="IJ173" s="5"/>
      <c r="IK173" s="5"/>
      <c r="IL173" s="5"/>
      <c r="IM173" s="5"/>
      <c r="IN173" s="5"/>
      <c r="IO173" s="5"/>
      <c r="IP173" s="5"/>
      <c r="IQ173" s="5"/>
      <c r="IR173" s="5"/>
      <c r="IS173" s="5"/>
      <c r="IT173" s="5"/>
      <c r="IU173" s="5"/>
      <c r="IV173" s="5"/>
      <c r="IW173" s="5"/>
      <c r="IX173" s="5"/>
      <c r="IY173" s="5"/>
      <c r="IZ173" s="5"/>
      <c r="JA173" s="5"/>
      <c r="JB173" s="5"/>
      <c r="JC173" s="5"/>
      <c r="JD173" s="5"/>
      <c r="JE173" s="5"/>
      <c r="JF173" s="5"/>
      <c r="JG173" s="5"/>
      <c r="JH173" s="5"/>
      <c r="JI173" s="5"/>
      <c r="JJ173" s="5"/>
      <c r="JK173" s="5"/>
      <c r="JL173" s="5"/>
      <c r="JM173" s="5"/>
      <c r="JN173" s="5"/>
      <c r="JO173" s="5"/>
      <c r="JP173" s="5"/>
      <c r="JQ173" s="5"/>
      <c r="JR173" s="5"/>
      <c r="JS173" s="5"/>
      <c r="JT173" s="5"/>
      <c r="JU173" s="5"/>
      <c r="JV173" s="5"/>
      <c r="JW173" s="5"/>
      <c r="JX173" s="5"/>
      <c r="JY173" s="5"/>
      <c r="JZ173" s="5"/>
      <c r="KA173" s="5"/>
      <c r="KB173" s="5"/>
      <c r="KC173" s="5"/>
      <c r="KD173" s="5"/>
      <c r="KE173" s="5"/>
      <c r="KF173" s="5"/>
      <c r="KG173" s="5"/>
      <c r="KH173" s="5"/>
      <c r="KI173" s="5"/>
      <c r="KJ173" s="5"/>
      <c r="KK173" s="5"/>
      <c r="KL173" s="5"/>
      <c r="KM173" s="5"/>
      <c r="KN173" s="5"/>
      <c r="KO173" s="5"/>
      <c r="KP173" s="5"/>
      <c r="KQ173" s="5"/>
      <c r="KR173" s="5"/>
      <c r="KS173" s="5"/>
      <c r="KT173" s="5"/>
      <c r="KU173" s="5"/>
      <c r="KV173" s="5"/>
      <c r="KW173" s="5"/>
      <c r="KX173" s="5"/>
      <c r="KY173" s="5"/>
      <c r="KZ173" s="5"/>
      <c r="LA173" s="5"/>
      <c r="LB173" s="5"/>
      <c r="LC173" s="5"/>
      <c r="LD173" s="5"/>
      <c r="LE173" s="5"/>
      <c r="LF173" s="5"/>
      <c r="LG173" s="5"/>
      <c r="LH173" s="5"/>
      <c r="LI173" s="5"/>
      <c r="LJ173" s="5"/>
      <c r="LK173" s="5"/>
      <c r="LL173" s="5"/>
      <c r="LM173" s="5"/>
      <c r="LN173" s="5"/>
      <c r="LO173" s="5"/>
      <c r="LP173" s="5"/>
      <c r="LQ173" s="5"/>
      <c r="LR173" s="5"/>
      <c r="LS173" s="5"/>
      <c r="LT173" s="5"/>
      <c r="LU173" s="5"/>
      <c r="LV173" s="5"/>
      <c r="LW173" s="5"/>
      <c r="LX173" s="5"/>
      <c r="LY173" s="5"/>
      <c r="LZ173" s="5"/>
      <c r="MA173" s="5"/>
      <c r="MB173" s="5"/>
      <c r="MC173" s="5"/>
      <c r="MD173" s="5"/>
      <c r="ME173" s="5"/>
      <c r="MF173" s="5"/>
      <c r="MG173" s="5"/>
      <c r="MH173" s="5"/>
      <c r="MI173" s="5"/>
      <c r="MJ173" s="5"/>
      <c r="MK173" s="5"/>
      <c r="ML173" s="5"/>
      <c r="MM173" s="5"/>
      <c r="MN173" s="5"/>
      <c r="MO173" s="5"/>
      <c r="MP173" s="5"/>
      <c r="MQ173" s="5"/>
      <c r="MR173" s="5"/>
      <c r="MS173" s="5"/>
      <c r="MT173" s="5"/>
      <c r="MU173" s="5"/>
      <c r="MV173" s="5"/>
      <c r="MW173" s="5"/>
      <c r="MX173" s="5"/>
      <c r="MY173" s="5"/>
      <c r="MZ173" s="5"/>
      <c r="NA173" s="5"/>
      <c r="NB173" s="5"/>
      <c r="NC173" s="5"/>
      <c r="ND173" s="5"/>
      <c r="NE173" s="5"/>
      <c r="NF173" s="5"/>
      <c r="NG173" s="5"/>
      <c r="NH173" s="5"/>
      <c r="NI173" s="5"/>
      <c r="NJ173" s="5"/>
      <c r="NK173" s="5"/>
      <c r="NL173" s="5"/>
      <c r="NM173" s="5"/>
      <c r="NN173" s="5"/>
      <c r="NO173" s="5"/>
      <c r="NP173" s="5"/>
      <c r="NQ173" s="5"/>
      <c r="NR173" s="5"/>
      <c r="NS173" s="5"/>
      <c r="NT173" s="5"/>
      <c r="NU173" s="5"/>
      <c r="NV173" s="5"/>
      <c r="NW173" s="5"/>
      <c r="NX173" s="5"/>
      <c r="NY173" s="5"/>
      <c r="NZ173" s="5"/>
      <c r="OA173" s="5"/>
      <c r="OB173" s="5"/>
      <c r="OC173" s="5"/>
      <c r="OD173" s="5"/>
      <c r="OE173" s="5"/>
      <c r="OF173" s="5"/>
      <c r="OG173" s="5"/>
      <c r="OH173" s="5"/>
      <c r="OI173" s="5"/>
      <c r="OJ173" s="5"/>
      <c r="OK173" s="5"/>
      <c r="OL173" s="5"/>
      <c r="OM173" s="5"/>
      <c r="ON173" s="5"/>
      <c r="OO173" s="5"/>
      <c r="OP173" s="5"/>
      <c r="OQ173" s="5"/>
      <c r="OR173" s="5"/>
      <c r="OS173" s="5"/>
      <c r="OT173" s="5"/>
      <c r="OU173" s="5"/>
      <c r="OV173" s="5"/>
      <c r="OW173" s="5"/>
      <c r="OX173" s="5"/>
      <c r="OY173" s="5"/>
      <c r="OZ173" s="5"/>
      <c r="PA173" s="5"/>
      <c r="PB173" s="5"/>
      <c r="PC173" s="5"/>
      <c r="PD173" s="5"/>
      <c r="PE173" s="5"/>
      <c r="PF173" s="5"/>
      <c r="PG173" s="5"/>
      <c r="PH173" s="5"/>
      <c r="PI173" s="5"/>
      <c r="PJ173" s="5"/>
      <c r="PK173" s="5"/>
      <c r="PL173" s="5"/>
      <c r="PM173" s="5"/>
      <c r="PN173" s="5"/>
      <c r="PO173" s="5"/>
      <c r="PP173" s="5"/>
      <c r="PQ173" s="5"/>
      <c r="PR173" s="5"/>
      <c r="PS173" s="5"/>
      <c r="PT173" s="5"/>
      <c r="PU173" s="5"/>
      <c r="PV173" s="5"/>
      <c r="PW173" s="5"/>
      <c r="PX173" s="5"/>
      <c r="PY173" s="5"/>
      <c r="PZ173" s="5"/>
      <c r="QA173" s="5"/>
      <c r="QB173" s="5"/>
      <c r="QC173" s="5"/>
      <c r="QD173" s="5"/>
      <c r="QE173" s="5"/>
      <c r="QF173" s="5"/>
      <c r="QG173" s="5"/>
      <c r="QH173" s="5"/>
      <c r="QI173" s="5"/>
      <c r="QJ173" s="5"/>
      <c r="QK173" s="5"/>
      <c r="QL173" s="5"/>
      <c r="QM173" s="5"/>
      <c r="QN173" s="5"/>
      <c r="QO173" s="5"/>
      <c r="QP173" s="5"/>
      <c r="QQ173" s="5"/>
      <c r="QR173" s="5"/>
      <c r="QS173" s="5"/>
      <c r="QT173" s="5"/>
      <c r="QU173" s="5"/>
      <c r="QV173" s="5"/>
      <c r="QW173" s="5"/>
      <c r="QX173" s="5"/>
      <c r="QY173" s="5"/>
      <c r="QZ173" s="5"/>
      <c r="RA173" s="5"/>
      <c r="RB173" s="5"/>
      <c r="RC173" s="5"/>
      <c r="RD173" s="5"/>
      <c r="RE173" s="5"/>
      <c r="RF173" s="5"/>
      <c r="RG173" s="5"/>
      <c r="RH173" s="5"/>
      <c r="RI173" s="5"/>
      <c r="RJ173" s="5"/>
      <c r="RK173" s="5"/>
      <c r="RL173" s="5"/>
      <c r="RM173" s="5"/>
      <c r="RN173" s="5"/>
      <c r="RO173" s="5"/>
      <c r="RP173" s="5"/>
      <c r="RQ173" s="5"/>
      <c r="RR173" s="5"/>
      <c r="RS173" s="5"/>
      <c r="RT173" s="5"/>
      <c r="RU173" s="5"/>
      <c r="RV173" s="5"/>
      <c r="RW173" s="5"/>
      <c r="RX173" s="5"/>
      <c r="RY173" s="5"/>
      <c r="RZ173" s="5"/>
      <c r="SA173" s="5"/>
      <c r="SB173" s="5"/>
      <c r="SC173" s="5"/>
      <c r="SD173" s="5"/>
      <c r="SE173" s="5"/>
      <c r="SF173" s="5"/>
      <c r="SG173" s="5"/>
      <c r="SH173" s="5"/>
      <c r="SI173" s="5"/>
      <c r="SJ173" s="5"/>
      <c r="SK173" s="5"/>
      <c r="SL173" s="5"/>
      <c r="SM173" s="5"/>
      <c r="SN173" s="5"/>
      <c r="SO173" s="5"/>
      <c r="SP173" s="5"/>
      <c r="SQ173" s="5"/>
      <c r="SR173" s="5"/>
      <c r="SS173" s="5"/>
      <c r="ST173" s="5"/>
      <c r="SU173" s="5"/>
      <c r="SV173" s="5"/>
      <c r="SW173" s="5"/>
      <c r="SX173" s="5"/>
      <c r="SY173" s="5"/>
      <c r="SZ173" s="5"/>
      <c r="TA173" s="5"/>
      <c r="TB173" s="5"/>
      <c r="TC173" s="5"/>
      <c r="TD173" s="5"/>
      <c r="TE173" s="5"/>
      <c r="TF173" s="5"/>
      <c r="TG173" s="5"/>
      <c r="TH173" s="5"/>
      <c r="TI173" s="5"/>
      <c r="TJ173" s="5"/>
      <c r="TK173" s="5"/>
      <c r="TL173" s="5"/>
      <c r="TM173" s="5"/>
      <c r="TN173" s="5"/>
      <c r="TO173" s="5"/>
      <c r="TP173" s="5"/>
      <c r="TQ173" s="5"/>
      <c r="TR173" s="5"/>
      <c r="TS173" s="5"/>
      <c r="TT173" s="5"/>
      <c r="TU173" s="5"/>
      <c r="TV173" s="5"/>
      <c r="TW173" s="5"/>
      <c r="TX173" s="5"/>
      <c r="TY173" s="5"/>
      <c r="TZ173" s="5"/>
      <c r="UA173" s="5"/>
      <c r="UB173" s="5"/>
      <c r="UC173" s="5"/>
      <c r="UD173" s="5"/>
      <c r="UE173" s="5"/>
      <c r="UF173" s="5"/>
      <c r="UG173" s="5"/>
      <c r="UH173" s="5"/>
      <c r="UI173" s="5"/>
      <c r="UJ173" s="5"/>
      <c r="UK173" s="5"/>
      <c r="UL173" s="5"/>
      <c r="UM173" s="5"/>
      <c r="UN173" s="5"/>
      <c r="UO173" s="5"/>
      <c r="UP173" s="5"/>
      <c r="UQ173" s="5"/>
      <c r="UR173" s="5"/>
      <c r="US173" s="5"/>
      <c r="UT173" s="5"/>
      <c r="UU173" s="5"/>
      <c r="UV173" s="5"/>
      <c r="UW173" s="5"/>
      <c r="UX173" s="5"/>
      <c r="UY173" s="5"/>
      <c r="UZ173" s="5"/>
      <c r="VA173" s="5"/>
      <c r="VB173" s="5"/>
      <c r="VC173" s="5"/>
      <c r="VD173" s="5"/>
      <c r="VE173" s="5"/>
      <c r="VF173" s="5"/>
      <c r="VG173" s="5"/>
      <c r="VH173" s="5"/>
      <c r="VI173" s="5"/>
      <c r="VJ173" s="5"/>
      <c r="VK173" s="5"/>
      <c r="VL173" s="5"/>
      <c r="VM173" s="5"/>
      <c r="VN173" s="5"/>
      <c r="VO173" s="5"/>
      <c r="VP173" s="5"/>
      <c r="VQ173" s="5"/>
      <c r="VR173" s="5"/>
      <c r="VS173" s="5"/>
      <c r="VT173" s="5"/>
      <c r="VU173" s="5"/>
      <c r="VV173" s="5"/>
      <c r="VW173" s="5"/>
      <c r="VX173" s="5"/>
      <c r="VY173" s="5"/>
      <c r="VZ173" s="5"/>
      <c r="WA173" s="5"/>
      <c r="WB173" s="5"/>
      <c r="WC173" s="5"/>
      <c r="WD173" s="5"/>
      <c r="WE173" s="5"/>
      <c r="WF173" s="5"/>
      <c r="WG173" s="5"/>
      <c r="WH173" s="5"/>
      <c r="WI173" s="5"/>
      <c r="WJ173" s="5"/>
      <c r="WK173" s="5"/>
      <c r="WL173" s="5"/>
      <c r="WM173" s="5"/>
      <c r="WN173" s="5"/>
      <c r="WO173" s="5"/>
      <c r="WP173" s="5"/>
      <c r="WQ173" s="5"/>
      <c r="WR173" s="5"/>
      <c r="WS173" s="5"/>
      <c r="WT173" s="5"/>
      <c r="WU173" s="5"/>
      <c r="WV173" s="5"/>
      <c r="WW173" s="5"/>
      <c r="WX173" s="5"/>
      <c r="WY173" s="5"/>
      <c r="WZ173" s="5"/>
      <c r="XA173" s="5"/>
      <c r="XB173" s="5"/>
      <c r="XC173" s="5"/>
      <c r="XD173" s="5"/>
      <c r="XE173" s="5"/>
      <c r="XF173" s="5"/>
      <c r="XG173" s="5"/>
      <c r="XH173" s="5"/>
      <c r="XI173" s="5"/>
      <c r="XJ173" s="5"/>
      <c r="XK173" s="5"/>
      <c r="XL173" s="5"/>
      <c r="XM173" s="5"/>
      <c r="XN173" s="5"/>
      <c r="XO173" s="5"/>
      <c r="XP173" s="5"/>
      <c r="XQ173" s="5"/>
      <c r="XR173" s="5"/>
      <c r="XS173" s="5"/>
      <c r="XT173" s="5"/>
      <c r="XU173" s="5"/>
      <c r="XV173" s="5"/>
      <c r="XW173" s="5"/>
      <c r="XX173" s="5"/>
      <c r="XY173" s="5"/>
      <c r="XZ173" s="5"/>
      <c r="YA173" s="5"/>
      <c r="YB173" s="5"/>
      <c r="YC173" s="5"/>
      <c r="YD173" s="5"/>
      <c r="YE173" s="5"/>
      <c r="YF173" s="5"/>
      <c r="YG173" s="5"/>
      <c r="YH173" s="5"/>
      <c r="YI173" s="5"/>
      <c r="YJ173" s="5"/>
      <c r="YK173" s="5"/>
      <c r="YL173" s="5"/>
      <c r="YM173" s="5"/>
      <c r="YN173" s="5"/>
      <c r="YO173" s="5"/>
      <c r="YP173" s="5"/>
      <c r="YQ173" s="5"/>
      <c r="YR173" s="5"/>
      <c r="YS173" s="5"/>
      <c r="YT173" s="5"/>
      <c r="YU173" s="5"/>
      <c r="YV173" s="5"/>
      <c r="YW173" s="5"/>
      <c r="YX173" s="5"/>
      <c r="YY173" s="5"/>
      <c r="YZ173" s="5"/>
    </row>
    <row r="174" spans="1:676">
      <c r="A174" s="7">
        <v>164</v>
      </c>
      <c r="B174" s="7" t="s">
        <v>409</v>
      </c>
      <c r="C174" s="10" t="s">
        <v>410</v>
      </c>
      <c r="D174" s="7" t="s">
        <v>60</v>
      </c>
      <c r="E174" s="7" t="s">
        <v>343</v>
      </c>
      <c r="F174" s="7" t="s">
        <v>344</v>
      </c>
      <c r="G174" s="7"/>
      <c r="H174" s="7" t="s">
        <v>43</v>
      </c>
      <c r="I174" s="11">
        <v>2</v>
      </c>
      <c r="J174" s="11">
        <v>3</v>
      </c>
      <c r="K174" s="11">
        <v>0</v>
      </c>
      <c r="L174" s="11">
        <v>0.6800000000000002</v>
      </c>
      <c r="M174" s="11">
        <v>0</v>
      </c>
      <c r="N174" s="11">
        <v>0</v>
      </c>
      <c r="O174" s="11">
        <v>0.18</v>
      </c>
      <c r="P174" s="11">
        <v>0</v>
      </c>
      <c r="Q174" s="11">
        <v>0.8600000000000001</v>
      </c>
      <c r="R174" s="11">
        <v>0</v>
      </c>
      <c r="S174" s="11">
        <v>0.8600000000000001</v>
      </c>
      <c r="T174" s="11">
        <v>0.8600000000000001</v>
      </c>
      <c r="U174" s="11">
        <v>0</v>
      </c>
      <c r="V174" s="11">
        <v>0</v>
      </c>
      <c r="W174" s="13">
        <v>2</v>
      </c>
      <c r="X174" s="13">
        <v>3</v>
      </c>
      <c r="Y174" s="13" t="str">
        <f>MIN(W174,S174)</f>
        <v>0</v>
      </c>
      <c r="Z174" s="13" t="str">
        <f>MIN(X174,(S174-Y174))</f>
        <v>0</v>
      </c>
      <c r="AA174" s="13" t="str">
        <f>S174-SUM(Y174,Z174)</f>
        <v>0</v>
      </c>
      <c r="AB174" s="15"/>
      <c r="AC174" s="15"/>
      <c r="AD174" s="1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  <c r="AZ174" s="5"/>
      <c r="BA174" s="5"/>
      <c r="BB174" s="5"/>
      <c r="BC174" s="5"/>
      <c r="BD174" s="5"/>
      <c r="BE174" s="5"/>
      <c r="BF174" s="5"/>
      <c r="BG174" s="5"/>
      <c r="BH174" s="5"/>
      <c r="BI174" s="5"/>
      <c r="BJ174" s="5"/>
      <c r="BK174" s="5"/>
      <c r="BL174" s="5"/>
      <c r="BM174" s="5"/>
      <c r="BN174" s="5"/>
      <c r="BO174" s="5"/>
      <c r="BP174" s="5"/>
      <c r="BQ174" s="5"/>
      <c r="BR174" s="5"/>
      <c r="BS174" s="5"/>
      <c r="BT174" s="5"/>
      <c r="BU174" s="5"/>
      <c r="BV174" s="5"/>
      <c r="BW174" s="5"/>
      <c r="BX174" s="5"/>
      <c r="BY174" s="5"/>
      <c r="BZ174" s="5"/>
      <c r="CA174" s="5"/>
      <c r="CB174" s="5"/>
      <c r="CC174" s="5"/>
      <c r="CD174" s="5"/>
      <c r="CE174" s="5"/>
      <c r="CF174" s="5"/>
      <c r="CG174" s="5"/>
      <c r="CH174" s="5"/>
      <c r="CI174" s="5"/>
      <c r="CJ174" s="5"/>
      <c r="CK174" s="5"/>
      <c r="CL174" s="5"/>
      <c r="CM174" s="5"/>
      <c r="CN174" s="5"/>
      <c r="CO174" s="5"/>
      <c r="CP174" s="5"/>
      <c r="CQ174" s="5"/>
      <c r="CR174" s="5"/>
      <c r="CS174" s="5"/>
      <c r="CT174" s="5"/>
      <c r="CU174" s="5"/>
      <c r="CV174" s="5"/>
      <c r="CW174" s="5"/>
      <c r="CX174" s="5"/>
      <c r="CY174" s="5"/>
      <c r="CZ174" s="5"/>
      <c r="DA174" s="5"/>
      <c r="DB174" s="5"/>
      <c r="DC174" s="5"/>
      <c r="DD174" s="5"/>
      <c r="DE174" s="5"/>
      <c r="DF174" s="5"/>
      <c r="DG174" s="5"/>
      <c r="DH174" s="5"/>
      <c r="DI174" s="5"/>
      <c r="DJ174" s="5"/>
      <c r="DK174" s="5"/>
      <c r="DL174" s="5"/>
      <c r="DM174" s="5"/>
      <c r="DN174" s="5"/>
      <c r="DO174" s="5"/>
      <c r="DP174" s="5"/>
      <c r="DQ174" s="5"/>
      <c r="DR174" s="5"/>
      <c r="DS174" s="5"/>
      <c r="DT174" s="5"/>
      <c r="DU174" s="5"/>
      <c r="DV174" s="5"/>
      <c r="DW174" s="5"/>
      <c r="DX174" s="5"/>
      <c r="DY174" s="5"/>
      <c r="DZ174" s="5"/>
      <c r="EA174" s="5"/>
      <c r="EB174" s="5"/>
      <c r="EC174" s="5"/>
      <c r="ED174" s="5"/>
      <c r="EE174" s="5"/>
      <c r="EF174" s="5"/>
      <c r="EG174" s="5"/>
      <c r="EH174" s="5"/>
      <c r="EI174" s="5"/>
      <c r="EJ174" s="5"/>
      <c r="EK174" s="5"/>
      <c r="EL174" s="5"/>
      <c r="EM174" s="5"/>
      <c r="EN174" s="5"/>
      <c r="EO174" s="5"/>
      <c r="EP174" s="5"/>
      <c r="EQ174" s="5"/>
      <c r="ER174" s="5"/>
      <c r="ES174" s="5"/>
      <c r="ET174" s="5"/>
      <c r="EU174" s="5"/>
      <c r="EV174" s="5"/>
      <c r="EW174" s="5"/>
      <c r="EX174" s="5"/>
      <c r="EY174" s="5"/>
      <c r="EZ174" s="5"/>
      <c r="FA174" s="5"/>
      <c r="FB174" s="5"/>
      <c r="FC174" s="5"/>
      <c r="FD174" s="5"/>
      <c r="FE174" s="5"/>
      <c r="FF174" s="5"/>
      <c r="FG174" s="5"/>
      <c r="FH174" s="5"/>
      <c r="FI174" s="5"/>
      <c r="FJ174" s="5"/>
      <c r="FK174" s="5"/>
      <c r="FL174" s="5"/>
      <c r="FM174" s="5"/>
      <c r="FN174" s="5"/>
      <c r="FO174" s="5"/>
      <c r="FP174" s="5"/>
      <c r="FQ174" s="5"/>
      <c r="FR174" s="5"/>
      <c r="FS174" s="5"/>
      <c r="FT174" s="5"/>
      <c r="FU174" s="5"/>
      <c r="FV174" s="5"/>
      <c r="FW174" s="5"/>
      <c r="FX174" s="5"/>
      <c r="FY174" s="5"/>
      <c r="FZ174" s="5"/>
      <c r="GA174" s="5"/>
      <c r="GB174" s="5"/>
      <c r="GC174" s="5"/>
      <c r="GD174" s="5"/>
      <c r="GE174" s="5"/>
      <c r="GF174" s="5"/>
      <c r="GG174" s="5"/>
      <c r="GH174" s="5"/>
      <c r="GI174" s="5"/>
      <c r="GJ174" s="5"/>
      <c r="GK174" s="5"/>
      <c r="GL174" s="5"/>
      <c r="GM174" s="5"/>
      <c r="GN174" s="5"/>
      <c r="GO174" s="5"/>
      <c r="GP174" s="5"/>
      <c r="GQ174" s="5"/>
      <c r="GR174" s="5"/>
      <c r="GS174" s="5"/>
      <c r="GT174" s="5"/>
      <c r="GU174" s="5"/>
      <c r="GV174" s="5"/>
      <c r="GW174" s="5"/>
      <c r="GX174" s="5"/>
      <c r="GY174" s="5"/>
      <c r="GZ174" s="5"/>
      <c r="HA174" s="5"/>
      <c r="HB174" s="5"/>
      <c r="HC174" s="5"/>
      <c r="HD174" s="5"/>
      <c r="HE174" s="5"/>
      <c r="HF174" s="5"/>
      <c r="HG174" s="5"/>
      <c r="HH174" s="5"/>
      <c r="HI174" s="5"/>
      <c r="HJ174" s="5"/>
      <c r="HK174" s="5"/>
      <c r="HL174" s="5"/>
      <c r="HM174" s="5"/>
      <c r="HN174" s="5"/>
      <c r="HO174" s="5"/>
      <c r="HP174" s="5"/>
      <c r="HQ174" s="5"/>
      <c r="HR174" s="5"/>
      <c r="HS174" s="5"/>
      <c r="HT174" s="5"/>
      <c r="HU174" s="5"/>
      <c r="HV174" s="5"/>
      <c r="HW174" s="5"/>
      <c r="HX174" s="5"/>
      <c r="HY174" s="5"/>
      <c r="HZ174" s="5"/>
      <c r="IA174" s="5"/>
      <c r="IB174" s="5"/>
      <c r="IC174" s="5"/>
      <c r="ID174" s="5"/>
      <c r="IE174" s="5"/>
      <c r="IF174" s="5"/>
      <c r="IG174" s="5"/>
      <c r="IH174" s="5"/>
      <c r="II174" s="5"/>
      <c r="IJ174" s="5"/>
      <c r="IK174" s="5"/>
      <c r="IL174" s="5"/>
      <c r="IM174" s="5"/>
      <c r="IN174" s="5"/>
      <c r="IO174" s="5"/>
      <c r="IP174" s="5"/>
      <c r="IQ174" s="5"/>
      <c r="IR174" s="5"/>
      <c r="IS174" s="5"/>
      <c r="IT174" s="5"/>
      <c r="IU174" s="5"/>
      <c r="IV174" s="5"/>
      <c r="IW174" s="5"/>
      <c r="IX174" s="5"/>
      <c r="IY174" s="5"/>
      <c r="IZ174" s="5"/>
      <c r="JA174" s="5"/>
      <c r="JB174" s="5"/>
      <c r="JC174" s="5"/>
      <c r="JD174" s="5"/>
      <c r="JE174" s="5"/>
      <c r="JF174" s="5"/>
      <c r="JG174" s="5"/>
      <c r="JH174" s="5"/>
      <c r="JI174" s="5"/>
      <c r="JJ174" s="5"/>
      <c r="JK174" s="5"/>
      <c r="JL174" s="5"/>
      <c r="JM174" s="5"/>
      <c r="JN174" s="5"/>
      <c r="JO174" s="5"/>
      <c r="JP174" s="5"/>
      <c r="JQ174" s="5"/>
      <c r="JR174" s="5"/>
      <c r="JS174" s="5"/>
      <c r="JT174" s="5"/>
      <c r="JU174" s="5"/>
      <c r="JV174" s="5"/>
      <c r="JW174" s="5"/>
      <c r="JX174" s="5"/>
      <c r="JY174" s="5"/>
      <c r="JZ174" s="5"/>
      <c r="KA174" s="5"/>
      <c r="KB174" s="5"/>
      <c r="KC174" s="5"/>
      <c r="KD174" s="5"/>
      <c r="KE174" s="5"/>
      <c r="KF174" s="5"/>
      <c r="KG174" s="5"/>
      <c r="KH174" s="5"/>
      <c r="KI174" s="5"/>
      <c r="KJ174" s="5"/>
      <c r="KK174" s="5"/>
      <c r="KL174" s="5"/>
      <c r="KM174" s="5"/>
      <c r="KN174" s="5"/>
      <c r="KO174" s="5"/>
      <c r="KP174" s="5"/>
      <c r="KQ174" s="5"/>
      <c r="KR174" s="5"/>
      <c r="KS174" s="5"/>
      <c r="KT174" s="5"/>
      <c r="KU174" s="5"/>
      <c r="KV174" s="5"/>
      <c r="KW174" s="5"/>
      <c r="KX174" s="5"/>
      <c r="KY174" s="5"/>
      <c r="KZ174" s="5"/>
      <c r="LA174" s="5"/>
      <c r="LB174" s="5"/>
      <c r="LC174" s="5"/>
      <c r="LD174" s="5"/>
      <c r="LE174" s="5"/>
      <c r="LF174" s="5"/>
      <c r="LG174" s="5"/>
      <c r="LH174" s="5"/>
      <c r="LI174" s="5"/>
      <c r="LJ174" s="5"/>
      <c r="LK174" s="5"/>
      <c r="LL174" s="5"/>
      <c r="LM174" s="5"/>
      <c r="LN174" s="5"/>
      <c r="LO174" s="5"/>
      <c r="LP174" s="5"/>
      <c r="LQ174" s="5"/>
      <c r="LR174" s="5"/>
      <c r="LS174" s="5"/>
      <c r="LT174" s="5"/>
      <c r="LU174" s="5"/>
      <c r="LV174" s="5"/>
      <c r="LW174" s="5"/>
      <c r="LX174" s="5"/>
      <c r="LY174" s="5"/>
      <c r="LZ174" s="5"/>
      <c r="MA174" s="5"/>
      <c r="MB174" s="5"/>
      <c r="MC174" s="5"/>
      <c r="MD174" s="5"/>
      <c r="ME174" s="5"/>
      <c r="MF174" s="5"/>
      <c r="MG174" s="5"/>
      <c r="MH174" s="5"/>
      <c r="MI174" s="5"/>
      <c r="MJ174" s="5"/>
      <c r="MK174" s="5"/>
      <c r="ML174" s="5"/>
      <c r="MM174" s="5"/>
      <c r="MN174" s="5"/>
      <c r="MO174" s="5"/>
      <c r="MP174" s="5"/>
      <c r="MQ174" s="5"/>
      <c r="MR174" s="5"/>
      <c r="MS174" s="5"/>
      <c r="MT174" s="5"/>
      <c r="MU174" s="5"/>
      <c r="MV174" s="5"/>
      <c r="MW174" s="5"/>
      <c r="MX174" s="5"/>
      <c r="MY174" s="5"/>
      <c r="MZ174" s="5"/>
      <c r="NA174" s="5"/>
      <c r="NB174" s="5"/>
      <c r="NC174" s="5"/>
      <c r="ND174" s="5"/>
      <c r="NE174" s="5"/>
      <c r="NF174" s="5"/>
      <c r="NG174" s="5"/>
      <c r="NH174" s="5"/>
      <c r="NI174" s="5"/>
      <c r="NJ174" s="5"/>
      <c r="NK174" s="5"/>
      <c r="NL174" s="5"/>
      <c r="NM174" s="5"/>
      <c r="NN174" s="5"/>
      <c r="NO174" s="5"/>
      <c r="NP174" s="5"/>
      <c r="NQ174" s="5"/>
      <c r="NR174" s="5"/>
      <c r="NS174" s="5"/>
      <c r="NT174" s="5"/>
      <c r="NU174" s="5"/>
      <c r="NV174" s="5"/>
      <c r="NW174" s="5"/>
      <c r="NX174" s="5"/>
      <c r="NY174" s="5"/>
      <c r="NZ174" s="5"/>
      <c r="OA174" s="5"/>
      <c r="OB174" s="5"/>
      <c r="OC174" s="5"/>
      <c r="OD174" s="5"/>
      <c r="OE174" s="5"/>
      <c r="OF174" s="5"/>
      <c r="OG174" s="5"/>
      <c r="OH174" s="5"/>
      <c r="OI174" s="5"/>
      <c r="OJ174" s="5"/>
      <c r="OK174" s="5"/>
      <c r="OL174" s="5"/>
      <c r="OM174" s="5"/>
      <c r="ON174" s="5"/>
      <c r="OO174" s="5"/>
      <c r="OP174" s="5"/>
      <c r="OQ174" s="5"/>
      <c r="OR174" s="5"/>
      <c r="OS174" s="5"/>
      <c r="OT174" s="5"/>
      <c r="OU174" s="5"/>
      <c r="OV174" s="5"/>
      <c r="OW174" s="5"/>
      <c r="OX174" s="5"/>
      <c r="OY174" s="5"/>
      <c r="OZ174" s="5"/>
      <c r="PA174" s="5"/>
      <c r="PB174" s="5"/>
      <c r="PC174" s="5"/>
      <c r="PD174" s="5"/>
      <c r="PE174" s="5"/>
      <c r="PF174" s="5"/>
      <c r="PG174" s="5"/>
      <c r="PH174" s="5"/>
      <c r="PI174" s="5"/>
      <c r="PJ174" s="5"/>
      <c r="PK174" s="5"/>
      <c r="PL174" s="5"/>
      <c r="PM174" s="5"/>
      <c r="PN174" s="5"/>
      <c r="PO174" s="5"/>
      <c r="PP174" s="5"/>
      <c r="PQ174" s="5"/>
      <c r="PR174" s="5"/>
      <c r="PS174" s="5"/>
      <c r="PT174" s="5"/>
      <c r="PU174" s="5"/>
      <c r="PV174" s="5"/>
      <c r="PW174" s="5"/>
      <c r="PX174" s="5"/>
      <c r="PY174" s="5"/>
      <c r="PZ174" s="5"/>
      <c r="QA174" s="5"/>
      <c r="QB174" s="5"/>
      <c r="QC174" s="5"/>
      <c r="QD174" s="5"/>
      <c r="QE174" s="5"/>
      <c r="QF174" s="5"/>
      <c r="QG174" s="5"/>
      <c r="QH174" s="5"/>
      <c r="QI174" s="5"/>
      <c r="QJ174" s="5"/>
      <c r="QK174" s="5"/>
      <c r="QL174" s="5"/>
      <c r="QM174" s="5"/>
      <c r="QN174" s="5"/>
      <c r="QO174" s="5"/>
      <c r="QP174" s="5"/>
      <c r="QQ174" s="5"/>
      <c r="QR174" s="5"/>
      <c r="QS174" s="5"/>
      <c r="QT174" s="5"/>
      <c r="QU174" s="5"/>
      <c r="QV174" s="5"/>
      <c r="QW174" s="5"/>
      <c r="QX174" s="5"/>
      <c r="QY174" s="5"/>
      <c r="QZ174" s="5"/>
      <c r="RA174" s="5"/>
      <c r="RB174" s="5"/>
      <c r="RC174" s="5"/>
      <c r="RD174" s="5"/>
      <c r="RE174" s="5"/>
      <c r="RF174" s="5"/>
      <c r="RG174" s="5"/>
      <c r="RH174" s="5"/>
      <c r="RI174" s="5"/>
      <c r="RJ174" s="5"/>
      <c r="RK174" s="5"/>
      <c r="RL174" s="5"/>
      <c r="RM174" s="5"/>
      <c r="RN174" s="5"/>
      <c r="RO174" s="5"/>
      <c r="RP174" s="5"/>
      <c r="RQ174" s="5"/>
      <c r="RR174" s="5"/>
      <c r="RS174" s="5"/>
      <c r="RT174" s="5"/>
      <c r="RU174" s="5"/>
      <c r="RV174" s="5"/>
      <c r="RW174" s="5"/>
      <c r="RX174" s="5"/>
      <c r="RY174" s="5"/>
      <c r="RZ174" s="5"/>
      <c r="SA174" s="5"/>
      <c r="SB174" s="5"/>
      <c r="SC174" s="5"/>
      <c r="SD174" s="5"/>
      <c r="SE174" s="5"/>
      <c r="SF174" s="5"/>
      <c r="SG174" s="5"/>
      <c r="SH174" s="5"/>
      <c r="SI174" s="5"/>
      <c r="SJ174" s="5"/>
      <c r="SK174" s="5"/>
      <c r="SL174" s="5"/>
      <c r="SM174" s="5"/>
      <c r="SN174" s="5"/>
      <c r="SO174" s="5"/>
      <c r="SP174" s="5"/>
      <c r="SQ174" s="5"/>
      <c r="SR174" s="5"/>
      <c r="SS174" s="5"/>
      <c r="ST174" s="5"/>
      <c r="SU174" s="5"/>
      <c r="SV174" s="5"/>
      <c r="SW174" s="5"/>
      <c r="SX174" s="5"/>
      <c r="SY174" s="5"/>
      <c r="SZ174" s="5"/>
      <c r="TA174" s="5"/>
      <c r="TB174" s="5"/>
      <c r="TC174" s="5"/>
      <c r="TD174" s="5"/>
      <c r="TE174" s="5"/>
      <c r="TF174" s="5"/>
      <c r="TG174" s="5"/>
      <c r="TH174" s="5"/>
      <c r="TI174" s="5"/>
      <c r="TJ174" s="5"/>
      <c r="TK174" s="5"/>
      <c r="TL174" s="5"/>
      <c r="TM174" s="5"/>
      <c r="TN174" s="5"/>
      <c r="TO174" s="5"/>
      <c r="TP174" s="5"/>
      <c r="TQ174" s="5"/>
      <c r="TR174" s="5"/>
      <c r="TS174" s="5"/>
      <c r="TT174" s="5"/>
      <c r="TU174" s="5"/>
      <c r="TV174" s="5"/>
      <c r="TW174" s="5"/>
      <c r="TX174" s="5"/>
      <c r="TY174" s="5"/>
      <c r="TZ174" s="5"/>
      <c r="UA174" s="5"/>
      <c r="UB174" s="5"/>
      <c r="UC174" s="5"/>
      <c r="UD174" s="5"/>
      <c r="UE174" s="5"/>
      <c r="UF174" s="5"/>
      <c r="UG174" s="5"/>
      <c r="UH174" s="5"/>
      <c r="UI174" s="5"/>
      <c r="UJ174" s="5"/>
      <c r="UK174" s="5"/>
      <c r="UL174" s="5"/>
      <c r="UM174" s="5"/>
      <c r="UN174" s="5"/>
      <c r="UO174" s="5"/>
      <c r="UP174" s="5"/>
      <c r="UQ174" s="5"/>
      <c r="UR174" s="5"/>
      <c r="US174" s="5"/>
      <c r="UT174" s="5"/>
      <c r="UU174" s="5"/>
      <c r="UV174" s="5"/>
      <c r="UW174" s="5"/>
      <c r="UX174" s="5"/>
      <c r="UY174" s="5"/>
      <c r="UZ174" s="5"/>
      <c r="VA174" s="5"/>
      <c r="VB174" s="5"/>
      <c r="VC174" s="5"/>
      <c r="VD174" s="5"/>
      <c r="VE174" s="5"/>
      <c r="VF174" s="5"/>
      <c r="VG174" s="5"/>
      <c r="VH174" s="5"/>
      <c r="VI174" s="5"/>
      <c r="VJ174" s="5"/>
      <c r="VK174" s="5"/>
      <c r="VL174" s="5"/>
      <c r="VM174" s="5"/>
      <c r="VN174" s="5"/>
      <c r="VO174" s="5"/>
      <c r="VP174" s="5"/>
      <c r="VQ174" s="5"/>
      <c r="VR174" s="5"/>
      <c r="VS174" s="5"/>
      <c r="VT174" s="5"/>
      <c r="VU174" s="5"/>
      <c r="VV174" s="5"/>
      <c r="VW174" s="5"/>
      <c r="VX174" s="5"/>
      <c r="VY174" s="5"/>
      <c r="VZ174" s="5"/>
      <c r="WA174" s="5"/>
      <c r="WB174" s="5"/>
      <c r="WC174" s="5"/>
      <c r="WD174" s="5"/>
      <c r="WE174" s="5"/>
      <c r="WF174" s="5"/>
      <c r="WG174" s="5"/>
      <c r="WH174" s="5"/>
      <c r="WI174" s="5"/>
      <c r="WJ174" s="5"/>
      <c r="WK174" s="5"/>
      <c r="WL174" s="5"/>
      <c r="WM174" s="5"/>
      <c r="WN174" s="5"/>
      <c r="WO174" s="5"/>
      <c r="WP174" s="5"/>
      <c r="WQ174" s="5"/>
      <c r="WR174" s="5"/>
      <c r="WS174" s="5"/>
      <c r="WT174" s="5"/>
      <c r="WU174" s="5"/>
      <c r="WV174" s="5"/>
      <c r="WW174" s="5"/>
      <c r="WX174" s="5"/>
      <c r="WY174" s="5"/>
      <c r="WZ174" s="5"/>
      <c r="XA174" s="5"/>
      <c r="XB174" s="5"/>
      <c r="XC174" s="5"/>
      <c r="XD174" s="5"/>
      <c r="XE174" s="5"/>
      <c r="XF174" s="5"/>
      <c r="XG174" s="5"/>
      <c r="XH174" s="5"/>
      <c r="XI174" s="5"/>
      <c r="XJ174" s="5"/>
      <c r="XK174" s="5"/>
      <c r="XL174" s="5"/>
      <c r="XM174" s="5"/>
      <c r="XN174" s="5"/>
      <c r="XO174" s="5"/>
      <c r="XP174" s="5"/>
      <c r="XQ174" s="5"/>
      <c r="XR174" s="5"/>
      <c r="XS174" s="5"/>
      <c r="XT174" s="5"/>
      <c r="XU174" s="5"/>
      <c r="XV174" s="5"/>
      <c r="XW174" s="5"/>
      <c r="XX174" s="5"/>
      <c r="XY174" s="5"/>
      <c r="XZ174" s="5"/>
      <c r="YA174" s="5"/>
      <c r="YB174" s="5"/>
      <c r="YC174" s="5"/>
      <c r="YD174" s="5"/>
      <c r="YE174" s="5"/>
      <c r="YF174" s="5"/>
      <c r="YG174" s="5"/>
      <c r="YH174" s="5"/>
      <c r="YI174" s="5"/>
      <c r="YJ174" s="5"/>
      <c r="YK174" s="5"/>
      <c r="YL174" s="5"/>
      <c r="YM174" s="5"/>
      <c r="YN174" s="5"/>
      <c r="YO174" s="5"/>
      <c r="YP174" s="5"/>
      <c r="YQ174" s="5"/>
      <c r="YR174" s="5"/>
      <c r="YS174" s="5"/>
      <c r="YT174" s="5"/>
      <c r="YU174" s="5"/>
      <c r="YV174" s="5"/>
      <c r="YW174" s="5"/>
      <c r="YX174" s="5"/>
      <c r="YY174" s="5"/>
      <c r="YZ174" s="5"/>
    </row>
    <row r="178" spans="1:676">
      <c r="A178" s="16"/>
      <c r="B178" s="16" t="s">
        <v>411</v>
      </c>
      <c r="C178" s="16"/>
      <c r="D178" s="16"/>
      <c r="E178" s="16"/>
      <c r="F178" s="16"/>
      <c r="G178" s="16"/>
      <c r="H178" s="16"/>
      <c r="I178" s="16" t="s">
        <v>412</v>
      </c>
      <c r="J178" s="16"/>
      <c r="K178" s="16"/>
      <c r="L178" s="16"/>
      <c r="M178" s="16"/>
      <c r="N178" s="16"/>
      <c r="O178" s="16"/>
      <c r="P178" s="16"/>
      <c r="Q178" s="16"/>
    </row>
    <row r="179" spans="1:676">
      <c r="A179" s="16"/>
      <c r="B179" s="16" t="s">
        <v>413</v>
      </c>
      <c r="C179" s="16"/>
      <c r="D179" s="16"/>
      <c r="E179" s="16"/>
      <c r="F179" s="16"/>
      <c r="G179" s="16"/>
      <c r="H179" s="16"/>
      <c r="I179" s="16" t="s">
        <v>414</v>
      </c>
      <c r="J179" s="16"/>
      <c r="K179" s="16"/>
      <c r="L179" s="16"/>
      <c r="M179" s="16"/>
      <c r="N179" s="16"/>
      <c r="O179" s="16"/>
      <c r="P179" s="16"/>
      <c r="Q179" s="16"/>
    </row>
    <row r="180" spans="1:676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</row>
    <row r="181" spans="1:676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</row>
    <row r="182" spans="1:676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</row>
    <row r="183" spans="1:676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</row>
    <row r="184" spans="1:676">
      <c r="A184" s="16"/>
      <c r="B184" s="16" t="s">
        <v>415</v>
      </c>
      <c r="C184" s="16"/>
      <c r="D184" s="16"/>
      <c r="E184" s="16"/>
      <c r="F184" s="16"/>
      <c r="G184" s="16"/>
      <c r="H184" s="16"/>
      <c r="I184" s="16" t="s">
        <v>416</v>
      </c>
      <c r="J184" s="16"/>
      <c r="K184" s="16"/>
      <c r="L184" s="16"/>
      <c r="M184" s="16"/>
      <c r="N184" s="16"/>
      <c r="O184" s="16"/>
      <c r="P184" s="16"/>
      <c r="Q184" s="16"/>
    </row>
    <row r="185" spans="1:676">
      <c r="A185" s="16"/>
      <c r="B185" s="16" t="s">
        <v>417</v>
      </c>
      <c r="C185" s="16"/>
      <c r="D185" s="16"/>
      <c r="E185" s="16"/>
      <c r="F185" s="16"/>
      <c r="G185" s="16"/>
      <c r="H185" s="16"/>
      <c r="I185" s="16" t="s">
        <v>417</v>
      </c>
      <c r="J185" s="16"/>
      <c r="K185" s="16"/>
      <c r="L185" s="16"/>
      <c r="M185" s="16"/>
      <c r="N185" s="16"/>
      <c r="O185" s="16"/>
      <c r="P185" s="16"/>
      <c r="Q185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Januari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2022-05-11T08:56:33+07:00</dcterms:created>
  <dcterms:modified xsi:type="dcterms:W3CDTF">2022-05-11T08:56:33+07:00</dcterms:modified>
  <dc:title>Untitled Spreadsheet</dc:title>
  <dc:description/>
  <dc:subject/>
  <cp:keywords/>
  <cp:category/>
</cp:coreProperties>
</file>