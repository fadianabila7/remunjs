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es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<sst xmlns="http://schemas.openxmlformats.org/spreadsheetml/2006/main" uniqueCount="385">
  <si>
    <t>KEMENTERIAN RISET, TEKNOLOGI DAN PENDIDIKAN TINGGI</t>
  </si>
  <si>
    <t>UNIVERSITAS RIAU</t>
  </si>
  <si>
    <t>FAKULTAS EKONOMI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</si>
  <si>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</si>
  <si>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</si>
  <si>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</si>
  <si>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</si>
  <si>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Desember 2022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</si>
  <si>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</si>
  <si>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</si>
  <si>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</si>
  <si>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</si>
  <si>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</si>
  <si>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</si>
  <si>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</si>
  <si>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</si>
  <si>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</si>
  <si>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</si>
  <si>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</si>
  <si>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</si>
  <si>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</si>
  <si>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</si>
  <si>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</si>
  <si>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</si>
  <si>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</si>
  <si>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</si>
  <si>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</si>
  <si>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</si>
  <si>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</si>
  <si>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</si>
  <si>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</si>
  <si>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</si>
  <si>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</si>
  <si>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</si>
  <si>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</si>
  <si>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</si>
  <si>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</si>
  <si>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</si>
  <si>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195709151986031006</t>
  </si>
  <si>
    <t>PROF. DR. H. B. ISYANDI, S.E., M.S</t>
  </si>
  <si>
    <t>Ekonomi Pembangunan</t>
  </si>
  <si>
    <t>IV/d</t>
  </si>
  <si>
    <t>Profesor</t>
  </si>
  <si>
    <t>Tidak ada jabatan struktural</t>
  </si>
  <si>
    <t>195412101982111001</t>
  </si>
  <si>
    <t>PROF. DR. H. HARLEN, S.E., M.M</t>
  </si>
  <si>
    <t>196007181987021001</t>
  </si>
  <si>
    <t>PROF. DR. H. ZULKARNAIN, M.M</t>
  </si>
  <si>
    <t>Manajemen</t>
  </si>
  <si>
    <t>Ketua Lembaga Tk. Universitas Gol. IV</t>
  </si>
  <si>
    <t>195811201986012001</t>
  </si>
  <si>
    <t>PROF. DR. HJ. MARNIS, S.E., M.S</t>
  </si>
  <si>
    <t>IV/e</t>
  </si>
  <si>
    <t>Ketua BPU</t>
  </si>
  <si>
    <t>196406091989032001</t>
  </si>
  <si>
    <t>PROF. DR. HJ. SRI INDARTI, S.E., M.SI</t>
  </si>
  <si>
    <t>IV/c</t>
  </si>
  <si>
    <t>Dekan A Gol. IV</t>
  </si>
  <si>
    <t>196211081989032002</t>
  </si>
  <si>
    <t>PROF. DR. RIA NELLY SARI, SE., MBA., AK., CA</t>
  </si>
  <si>
    <t>Akuntansi</t>
  </si>
  <si>
    <t>197008271994032002</t>
  </si>
  <si>
    <t>PROF. DR. SUSI HENDRIANI, S.E., M.SI</t>
  </si>
  <si>
    <t>195701151986011001</t>
  </si>
  <si>
    <t>PROF. DR. SYAPSAN, S.E., M.E</t>
  </si>
  <si>
    <t>IV/b</t>
  </si>
  <si>
    <t>196311021989111001</t>
  </si>
  <si>
    <t>PROF. DR. ZULFADIL, S.E., MBA</t>
  </si>
  <si>
    <t>196703311993032003</t>
  </si>
  <si>
    <t>PROF. HJ. JUMIATI SASMITA, S.E., M.SI., Ph.D</t>
  </si>
  <si>
    <t>196103271989032001</t>
  </si>
  <si>
    <t>Prof. DR. HJ. RITA ANUGERAH, MAFIS., AK., CA</t>
  </si>
  <si>
    <t>196405051990031004</t>
  </si>
  <si>
    <t>ANTHONI MAYES, S.E., M.SI</t>
  </si>
  <si>
    <t>IV/a</t>
  </si>
  <si>
    <t>Lektor Kepala Gol. IV</t>
  </si>
  <si>
    <t>197112151997022001</t>
  </si>
  <si>
    <t>DESMIYAWATI, S.E., M.SI., AK., CA</t>
  </si>
  <si>
    <t>196104061994031001</t>
  </si>
  <si>
    <t>DR. ANDREAS, SE., M.M., AK., CA</t>
  </si>
  <si>
    <t>197405252000121001</t>
  </si>
  <si>
    <t>DR. EMRINALDI NUR DP, S.E., M.SI., AK., CA</t>
  </si>
  <si>
    <t>Ketua Jurusan A Gol. IV</t>
  </si>
  <si>
    <t>197310152008122003</t>
  </si>
  <si>
    <t>DR. ENNI SAVITRI, S.E., M.M., AK., CA</t>
  </si>
  <si>
    <t>196301081988031003</t>
  </si>
  <si>
    <t>DR. H. EDYANUS HERMAN HALIM, S.E., M.S</t>
  </si>
  <si>
    <t>Kepala UPT</t>
  </si>
  <si>
    <t>197010121998022001</t>
  </si>
  <si>
    <t>DR. HJ. ALVI PURWANTI ALWIE, S.E., M.M</t>
  </si>
  <si>
    <t>Koordinator Pusat</t>
  </si>
  <si>
    <t>196108271989032001</t>
  </si>
  <si>
    <t>DR. HJ. KAMALIAH, S.E., M.M., AK., CA</t>
  </si>
  <si>
    <t>Wakil Dekan I A Gol. IV</t>
  </si>
  <si>
    <t>196312021988102001</t>
  </si>
  <si>
    <t>DR. HJ. ROSYETTI, S.E., M.SI</t>
  </si>
  <si>
    <t>196206141988102001</t>
  </si>
  <si>
    <t>DR. HJ. YULIA EFNI, S.E., M.E</t>
  </si>
  <si>
    <t>Koordinator Program Studi B</t>
  </si>
  <si>
    <t>196211211989031001</t>
  </si>
  <si>
    <t>DR. JAHRIZAL, S.E., M.T</t>
  </si>
  <si>
    <t>196206281989031002</t>
  </si>
  <si>
    <t>DR. MACHASIN, M.SI</t>
  </si>
  <si>
    <t>196609201996011001</t>
  </si>
  <si>
    <t>DR. NASRIZAL, SE., M.SI., AK., CA</t>
  </si>
  <si>
    <t>197510112000122001</t>
  </si>
  <si>
    <t>DR. POPPY NURMAYANTI M, S.E., M.SI., AK., CA</t>
  </si>
  <si>
    <t>Sekretaris Jurusan A</t>
  </si>
  <si>
    <t>196701201993031002</t>
  </si>
  <si>
    <t>DR. RUHUL FITRIOS, S.E., M.SI., AK., CA</t>
  </si>
  <si>
    <t>196309031990091001</t>
  </si>
  <si>
    <t>DR. SAMSIR, S.E., M.SI</t>
  </si>
  <si>
    <t>196911181995122001</t>
  </si>
  <si>
    <t>DR. SRI ENDANG KORNITA, S.E., M.SI</t>
  </si>
  <si>
    <t>196307011991032002</t>
  </si>
  <si>
    <t>DR. TAUFENI TAUFIK, SE., M.SI., AK., CA</t>
  </si>
  <si>
    <t>196307281992032001</t>
  </si>
  <si>
    <t>DR. VINCE RATNAWATI, SE., M.SI, AK., CA</t>
  </si>
  <si>
    <t>197207202006042001</t>
  </si>
  <si>
    <t>DR. YESI MUTIA BASRI, S.E., M.SI., AK., CA</t>
  </si>
  <si>
    <t>196510221990032002</t>
  </si>
  <si>
    <t>DRA. ERIYATI, M.SI</t>
  </si>
  <si>
    <t>195809211987022001</t>
  </si>
  <si>
    <t>DRA. HARYETTI, M.SI</t>
  </si>
  <si>
    <t>196002121987032001</t>
  </si>
  <si>
    <t>DRA. HJ. RITA YANI IYAN, M.S</t>
  </si>
  <si>
    <t>196008011988102001</t>
  </si>
  <si>
    <t>DRA. HJ. YUSRALAINI, M.M., AK</t>
  </si>
  <si>
    <t>195801291991031001</t>
  </si>
  <si>
    <t>DRS. H. SYAFRIL BASRI, M.SI</t>
  </si>
  <si>
    <t>196207081988031003</t>
  </si>
  <si>
    <t>DRS. HARDI, SH., M.M., M.H., AK., CA</t>
  </si>
  <si>
    <t>196508161993031003</t>
  </si>
  <si>
    <t>DRS. RESTU AGUSTI, M.SI., AK., CA</t>
  </si>
  <si>
    <t>Koordinator Program Studi A</t>
  </si>
  <si>
    <t>196010091988031004</t>
  </si>
  <si>
    <t>DRS. WAHYU HAMIDI, M.SI</t>
  </si>
  <si>
    <t>196111191990021001</t>
  </si>
  <si>
    <t>DRS. ZIRMAN, M.M., AK., CA</t>
  </si>
  <si>
    <t>196008191989031002</t>
  </si>
  <si>
    <t>Dr. H. AZWIR NASIR, M.M., AK., CA</t>
  </si>
  <si>
    <t>196505221990091001</t>
  </si>
  <si>
    <t>Dr. H. GATOT WIJAYANTO, S.E., M.SI</t>
  </si>
  <si>
    <t>197101212000031002</t>
  </si>
  <si>
    <t>EDFAN DARLIS, S.E., M.SI., AK., CA</t>
  </si>
  <si>
    <t>196101261989032001</t>
  </si>
  <si>
    <t>HJ. TOTI INDRAWATI, S.E., M.SI</t>
  </si>
  <si>
    <t>196304031989032003</t>
  </si>
  <si>
    <t>LAPETI SARI, S.E., M.SI</t>
  </si>
  <si>
    <t>197504192008012011</t>
  </si>
  <si>
    <t>MARDIANA, S.E., M.SI</t>
  </si>
  <si>
    <t>196603131990022001</t>
  </si>
  <si>
    <t>MARZOLINA, S.E., M.M</t>
  </si>
  <si>
    <t>197504082000122001</t>
  </si>
  <si>
    <t>NUR AZLINA, S.E., M.SI., AK., CA</t>
  </si>
  <si>
    <t>196409291989032003</t>
  </si>
  <si>
    <t>RAHMITA B. NINGSIH, S.E., M.HUM</t>
  </si>
  <si>
    <t>197308261997021001</t>
  </si>
  <si>
    <t>RAJA ADRI SATRIAWAN SURYA, S.E., M.AK., AK., CA</t>
  </si>
  <si>
    <t>Wakil Dekan II A Gol. IV</t>
  </si>
  <si>
    <t>196412111988032001</t>
  </si>
  <si>
    <t>SRI RESTUTI, S.E., M.M</t>
  </si>
  <si>
    <t>196706161995022001</t>
  </si>
  <si>
    <t>YUNEITA ANISMA, S.E., M.SI., AK., CA</t>
  </si>
  <si>
    <t>Lektor Kepala Gol. III</t>
  </si>
  <si>
    <t>196910162008121001</t>
  </si>
  <si>
    <t>AHMAD RIFQI, S.E., M.SI</t>
  </si>
  <si>
    <t>III/c</t>
  </si>
  <si>
    <t>Lektor Gol. III</t>
  </si>
  <si>
    <t>197711162008011011</t>
  </si>
  <si>
    <t>ANDO FAHDA AULIA, S.E., ME., MBA (IB), Ph.D</t>
  </si>
  <si>
    <t>196808201993032002</t>
  </si>
  <si>
    <t>ARWINENCE PRAMADEWI, S.E., M.M</t>
  </si>
  <si>
    <t>198909282020122012</t>
  </si>
  <si>
    <t>ATIKA ZAREFAR, S.E., M.Ak</t>
  </si>
  <si>
    <t>III/b</t>
  </si>
  <si>
    <t>197512172008012010</t>
  </si>
  <si>
    <t>DENY DANAR RAHAYU, S.E., M.Si</t>
  </si>
  <si>
    <t>III/d</t>
  </si>
  <si>
    <t>198412122010122008</t>
  </si>
  <si>
    <t>DEVI SAVITRI, S.E., M.AK., AK., CA</t>
  </si>
  <si>
    <t>196802041994032002</t>
  </si>
  <si>
    <t>DEWITA SURYATI NINGSIH, S.E., MBA</t>
  </si>
  <si>
    <t>197308112000122001</t>
  </si>
  <si>
    <t>DR. ANDEWI ROKHMAWATI, S.E., M.SI., M.ED</t>
  </si>
  <si>
    <t>Ketua Jurusan A Gol. III</t>
  </si>
  <si>
    <t>196811071993032004</t>
  </si>
  <si>
    <t>DR. ANY WIDAYATSARI, S.E., M.EC</t>
  </si>
  <si>
    <t>197305122006041002</t>
  </si>
  <si>
    <t>DR. DAHLAN TAMPUBOLON, S.E., M.SI</t>
  </si>
  <si>
    <t>197709212008121001</t>
  </si>
  <si>
    <t>DR. DENY SETIAWAN, S.E., M.EC</t>
  </si>
  <si>
    <t>Wakil Dekan III A Gol. III</t>
  </si>
  <si>
    <t>198203162008121001</t>
  </si>
  <si>
    <t>DR. EKA ARMAS PAILIS, S.E., M.M</t>
  </si>
  <si>
    <t>196303251991031004</t>
  </si>
  <si>
    <t>DR. H. M. RASULI, SE., M.SI., AK., CA</t>
  </si>
  <si>
    <t>196706251993032001</t>
  </si>
  <si>
    <t>DR. HJ. YUSNI MAULIDA, S.E., M.SI</t>
  </si>
  <si>
    <t>197411012000122001</t>
  </si>
  <si>
    <t>DR. NOVITA INDRAWATI, S.E., M.SI., AK., CA</t>
  </si>
  <si>
    <t>196806131994032002</t>
  </si>
  <si>
    <t>DR. RADEN LESTARI GARNARSIH, S.E., M.M</t>
  </si>
  <si>
    <t>196209051988032002</t>
  </si>
  <si>
    <t>DRA. HJ. AIDA NURSANTI, M.M</t>
  </si>
  <si>
    <t>195910091986032001</t>
  </si>
  <si>
    <t>DRA. NURYANTI, M.SI</t>
  </si>
  <si>
    <t>195910191991032001</t>
  </si>
  <si>
    <t>DRA. SUSILATRI, M.M., AK., CA</t>
  </si>
  <si>
    <t>196204271990021001</t>
  </si>
  <si>
    <t>DRS. AL AZHAR ALI, M.M., AK., CA</t>
  </si>
  <si>
    <t>196211171994031003</t>
  </si>
  <si>
    <t>DRS. AL AZHAR LUKMAN, M.M., AK., CA</t>
  </si>
  <si>
    <t>195906041989031002</t>
  </si>
  <si>
    <t>DRS. AZHARI S, M.A., AK., CA</t>
  </si>
  <si>
    <t>196102091987031002</t>
  </si>
  <si>
    <t>DRS. H. HENDRO EKWARSO, M.SI</t>
  </si>
  <si>
    <t>196302241990011001</t>
  </si>
  <si>
    <t>DRS. HARIADI, MBA., AK., CA</t>
  </si>
  <si>
    <t>195907271987021002</t>
  </si>
  <si>
    <t>DRS. RAJA PUTRA SAMAD, MPM</t>
  </si>
  <si>
    <t>195802231986011002</t>
  </si>
  <si>
    <t>DRS. RESTU, M.SI</t>
  </si>
  <si>
    <t>196104121994031002</t>
  </si>
  <si>
    <t>DRS. RUSLI, M.M., AK., CA</t>
  </si>
  <si>
    <t>197403061998022001</t>
  </si>
  <si>
    <t>Dr. ALFIATI SILFI, SE., M.SI., AK., CA</t>
  </si>
  <si>
    <t>198509122008122005</t>
  </si>
  <si>
    <t>EKA HARIYANI, S.E., M.AK., AK., CA</t>
  </si>
  <si>
    <t>197704282005011001</t>
  </si>
  <si>
    <t>H. MUDRIKA ALAMSYAH HASAN, S.E., M.M., AK., CA</t>
  </si>
  <si>
    <t>197611192006042001</t>
  </si>
  <si>
    <t>HJ. HENNI NOVIASARI, S.E., M.M</t>
  </si>
  <si>
    <t>196605211993031001</t>
  </si>
  <si>
    <t>IRMEIDI, S.E., M.Si</t>
  </si>
  <si>
    <t>197412252006041001</t>
  </si>
  <si>
    <t>IWAN NAULI DAULAY, S.T., M.M</t>
  </si>
  <si>
    <t>197506132000122001</t>
  </si>
  <si>
    <t>JULITA, S.E., M.SI., AK., CA</t>
  </si>
  <si>
    <t>196208191989032001</t>
  </si>
  <si>
    <t>JUSHERMI, S.E., MSBA</t>
  </si>
  <si>
    <t>197410102008122002</t>
  </si>
  <si>
    <t>KURNIAWATY FITRI, S.E., M.M</t>
  </si>
  <si>
    <t>198205202010122002</t>
  </si>
  <si>
    <t>MEILDA WIGUNA, S.E., M.SC., AK., CA</t>
  </si>
  <si>
    <t>198503012014041001</t>
  </si>
  <si>
    <t>NANDA FITO MELA, S.E., MBA., AK., CA</t>
  </si>
  <si>
    <t>197906272014092001</t>
  </si>
  <si>
    <t>NITA WAHYUNI, S.ST., Pa., M.SI</t>
  </si>
  <si>
    <t>198002022006041003</t>
  </si>
  <si>
    <t>NOBEL AQUALDO, S.E., M.EC</t>
  </si>
  <si>
    <t>196609241993031005</t>
  </si>
  <si>
    <t>RAHMAT RICHARD, S.E., M.SI</t>
  </si>
  <si>
    <t>197807072008121001</t>
  </si>
  <si>
    <t>RENDRA WASNURY, S.E., MIB</t>
  </si>
  <si>
    <t>198004192009122002</t>
  </si>
  <si>
    <t>RHENY AFRIANA HANIF, S.E., M.SA., AK., CA</t>
  </si>
  <si>
    <t>197903292008121001</t>
  </si>
  <si>
    <t>RIO JONNES MARTAHAN MARPAUNG, S.E., M.M</t>
  </si>
  <si>
    <t>197907042005012001</t>
  </si>
  <si>
    <t>RISKA NATARIASARI, S.E., M.M., AK., CA</t>
  </si>
  <si>
    <t>197409132000122001</t>
  </si>
  <si>
    <t>ROFIKA, S.E., M.SI, AK., CA</t>
  </si>
  <si>
    <t>196902231990303201</t>
  </si>
  <si>
    <t>ROSNELLY ROESDY, S.E., M.SI</t>
  </si>
  <si>
    <t>196902161994032002</t>
  </si>
  <si>
    <t>ROVANITA RAMA, S.E., M.H</t>
  </si>
  <si>
    <t>197907142008011015</t>
  </si>
  <si>
    <t>SEM PAULUS SILALAHI, S.E., M.AK., AK., CA</t>
  </si>
  <si>
    <t>197806112009121006</t>
  </si>
  <si>
    <t>SUPRIONO, S.E., M.AK., AK., CA</t>
  </si>
  <si>
    <t>198203242008121002</t>
  </si>
  <si>
    <t>TARYONO, S.E., M.SI</t>
  </si>
  <si>
    <t>197009271998021001</t>
  </si>
  <si>
    <t>TAUFIQURRAHMAN, SE., M.SC., M.PHIL</t>
  </si>
  <si>
    <t>197810142008121003</t>
  </si>
  <si>
    <t>TENGKU FIRLI MUSFAR, S.E., M.M</t>
  </si>
  <si>
    <t>198312272008122003</t>
  </si>
  <si>
    <t>UFIRA ISBAH, S.E., M.EC</t>
  </si>
  <si>
    <t>197809272009121001</t>
  </si>
  <si>
    <t>VOLTA DIYANTO, S.E., M.SI., AK., CA</t>
  </si>
  <si>
    <t>198905272014041001</t>
  </si>
  <si>
    <t>ADHITYA AGRI PUTRA, S.E., M.ACC., AK., CA</t>
  </si>
  <si>
    <t>Dosen Tugas Belajar Gol. III</t>
  </si>
  <si>
    <t>199210182019032028</t>
  </si>
  <si>
    <t>AGNES ALVIONITA, S.E., M.M</t>
  </si>
  <si>
    <t>Dosen belum punya Jabatan Gol. III</t>
  </si>
  <si>
    <t>198311182010121003</t>
  </si>
  <si>
    <t>AHMAD FAUZAN FATHONI, S.E, M.SC</t>
  </si>
  <si>
    <t>198801232014042001</t>
  </si>
  <si>
    <t>ANGGIA PARAMITHA, SE., M.SC</t>
  </si>
  <si>
    <t>Asisten Ahli Gol. III</t>
  </si>
  <si>
    <t>198703092014042002</t>
  </si>
  <si>
    <t>ARUMEGA ZAREFAR, S.E., M.AK., AK., CA</t>
  </si>
  <si>
    <t>199004102018032001</t>
  </si>
  <si>
    <t>ASTRID FARADISTY, S.E., Ak., M.Ak., BKP</t>
  </si>
  <si>
    <t>198908222019032015</t>
  </si>
  <si>
    <t>BUNGA CHINTIA UTAMI, S.IP., M.E</t>
  </si>
  <si>
    <t>199309282019032023</t>
  </si>
  <si>
    <t>CUT ENDANG KURNIASIH, S.E., M.Si</t>
  </si>
  <si>
    <t>198204202008121003</t>
  </si>
  <si>
    <t>DARMAYUDA, S.E., M.SI</t>
  </si>
  <si>
    <t>199008022019032020</t>
  </si>
  <si>
    <t>DIAN PRATIWI, S.M.B., M.M</t>
  </si>
  <si>
    <t>198511172019032017</t>
  </si>
  <si>
    <t>DIAN PUSPITA NOVRIANTI, S.E., M.Sc</t>
  </si>
  <si>
    <t>198505252022032001</t>
  </si>
  <si>
    <t>DR. LAILAN TAWILA BERAMPU, S.E., M.Si</t>
  </si>
  <si>
    <t>Dosen CPNS</t>
  </si>
  <si>
    <t>198909012019032017</t>
  </si>
  <si>
    <t>ELVI RAHMAYANTI, S.E., M.Si</t>
  </si>
  <si>
    <t>199004232015041003</t>
  </si>
  <si>
    <t>FAJAR ODIATMA, SE., M.AK., AK., CA</t>
  </si>
  <si>
    <t>198906012019031017</t>
  </si>
  <si>
    <t>FERDY PUTRA, S.E., M.Ak</t>
  </si>
  <si>
    <t>199204142019032030</t>
  </si>
  <si>
    <t>FITRI HUMAIROH, S.E., M.Ak</t>
  </si>
  <si>
    <t>197211202014092002</t>
  </si>
  <si>
    <t>FITRI, S.E., M.M</t>
  </si>
  <si>
    <t>199210142020122012</t>
  </si>
  <si>
    <t>HAFIZA OKTASIA NASUTION, B.B.A.(Hons)., M.Ec</t>
  </si>
  <si>
    <t>199203162018032001</t>
  </si>
  <si>
    <t>HILMAH ZURYANI, S.E., M.EC</t>
  </si>
  <si>
    <t>198101052008012010</t>
  </si>
  <si>
    <t>HJ. INDRI YOVITA, S.E., M.SI</t>
  </si>
  <si>
    <t>III/a</t>
  </si>
  <si>
    <t>198107072009122001</t>
  </si>
  <si>
    <t>LILA ANGGRAINI, S.E., M.SI., AK., CA</t>
  </si>
  <si>
    <t>198911122022031007</t>
  </si>
  <si>
    <t>M. RIZWAN, B.Ec., M.Ec</t>
  </si>
  <si>
    <t>198703082019031006</t>
  </si>
  <si>
    <t>MAHA MARTABAR MANGATASI L., S.E., M.M</t>
  </si>
  <si>
    <t>198303102009121006</t>
  </si>
  <si>
    <t>MARHADI, S.E., M.SC</t>
  </si>
  <si>
    <t>199305152019032030</t>
  </si>
  <si>
    <t>MAYLA KHOIRIYAH, S.E., M.AK</t>
  </si>
  <si>
    <t>199206172019032020</t>
  </si>
  <si>
    <t>MEILISA, S.E., M.M</t>
  </si>
  <si>
    <t>199004092018032001</t>
  </si>
  <si>
    <t>MIDA APRILINA TARIGAN, S.Pd., M.Si</t>
  </si>
  <si>
    <t>198810042019032017</t>
  </si>
  <si>
    <t>MISDAWITA, S.Si., M.S.E</t>
  </si>
  <si>
    <t>199101012022032013</t>
  </si>
  <si>
    <t>NURUL BADRIYAH, S.E., M.Ak</t>
  </si>
  <si>
    <t>198211272008122002</t>
  </si>
  <si>
    <t>PIPIN KURNIA, S.E., M.AK., AK., CA</t>
  </si>
  <si>
    <t>198708072014041001</t>
  </si>
  <si>
    <t>PRIMA ANDREAS S, SE., M.SI</t>
  </si>
  <si>
    <t>199501212019032017</t>
  </si>
  <si>
    <t>PUTRI ASRINA, S.E., M.Sc</t>
  </si>
  <si>
    <t>198609112019031007</t>
  </si>
  <si>
    <t>RAHMAT JUNAIDI, S.E., M.M</t>
  </si>
  <si>
    <t>199109232019032028</t>
  </si>
  <si>
    <t>RAISYA ZENITA, S.E., M.Bus</t>
  </si>
  <si>
    <t>199105142019031016</t>
  </si>
  <si>
    <t>REZI ABDURRAHMAN, S.E.Sy., M.Ak</t>
  </si>
  <si>
    <t>198408162015042001</t>
  </si>
  <si>
    <t>RIKA PROMALESSY, S.E., M.SI</t>
  </si>
  <si>
    <t>198912202019032020</t>
  </si>
  <si>
    <t>SELLY PRIMA DESWENI, S.E., M.E</t>
  </si>
  <si>
    <t>198904062019031012</t>
  </si>
  <si>
    <t>SHARNUKE ASRILSYAK, S.K.M., M.M</t>
  </si>
  <si>
    <t>198705022019032021</t>
  </si>
  <si>
    <t>SINTA RAMAIYANTI, S.E., M.Ak</t>
  </si>
  <si>
    <t>199009192019032027</t>
  </si>
  <si>
    <t>SRI WAHYUNI WILDAH, S.IP., M.B.A</t>
  </si>
  <si>
    <t>198803162019032015</t>
  </si>
  <si>
    <t>SUCI NURULITA, S.E., M.Si</t>
  </si>
  <si>
    <t>198611252019032013</t>
  </si>
  <si>
    <t>SUPRIANI SIDABALOK, S.Pd., M.Si</t>
  </si>
  <si>
    <t>199305262019032022</t>
  </si>
  <si>
    <t>ULFA AFIFAH, S.E., M.Acc</t>
  </si>
  <si>
    <t>198410312015042002</t>
  </si>
  <si>
    <t>VERA OKTARI, S.E., M.AK., AK., CA</t>
  </si>
  <si>
    <t>199401022019032018</t>
  </si>
  <si>
    <t>YANI ZULVINA, S.E., M.Ak</t>
  </si>
  <si>
    <t>198609292019032012</t>
  </si>
  <si>
    <t>YELLY ZAMAYA, S.E., M.E</t>
  </si>
  <si>
    <t>Menyetujui,</t>
  </si>
  <si>
    <t>Pekanbaru, 2 Februari 2023</t>
  </si>
  <si>
    <t>Wakil Dekan Bidang Akademik</t>
  </si>
  <si>
    <t>Admin Fakultas</t>
  </si>
  <si>
    <t>(..............................................)</t>
  </si>
  <si>
    <t>( Admin Fakultas Ekonomi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</si>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</sst>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9d8f55fc09288472eab947a0ee56a1a3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74"/>
  <sheetViews>
    <sheetView tabSelected="1" workbookViewId="0" showGridLines="true" showRowColHeaders="1">
      <selection activeCell="A167" sqref="A167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3.620000000000001</v>
      </c>
      <c r="M11" s="11">
        <v>0</v>
      </c>
      <c r="N11" s="11">
        <v>0</v>
      </c>
      <c r="O11" s="11">
        <v>1.07</v>
      </c>
      <c r="P11" s="11">
        <v>1.6</v>
      </c>
      <c r="Q11" s="11">
        <v>6.290000000000001</v>
      </c>
      <c r="R11" s="11">
        <v>82.28999999999998</v>
      </c>
      <c r="S11" s="11">
        <v>88.57999999999998</v>
      </c>
      <c r="T11" s="11">
        <v>2.67</v>
      </c>
      <c r="U11" s="11">
        <v>3</v>
      </c>
      <c r="V11" s="11">
        <v>82.90999999999998</v>
      </c>
      <c r="W11" s="13">
        <v>32.04</v>
      </c>
      <c r="X11" s="13">
        <v>36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41</v>
      </c>
      <c r="F12" s="7" t="s">
        <v>42</v>
      </c>
      <c r="G12" s="7"/>
      <c r="H12" s="7" t="s">
        <v>43</v>
      </c>
      <c r="I12" s="11">
        <v>2.67</v>
      </c>
      <c r="J12" s="11">
        <v>3</v>
      </c>
      <c r="K12" s="11">
        <v>0</v>
      </c>
      <c r="L12" s="11">
        <v>4.04</v>
      </c>
      <c r="M12" s="11">
        <v>0</v>
      </c>
      <c r="N12" s="11">
        <v>0</v>
      </c>
      <c r="O12" s="11">
        <v>0.8</v>
      </c>
      <c r="P12" s="11">
        <v>0</v>
      </c>
      <c r="Q12" s="11">
        <v>4.84</v>
      </c>
      <c r="R12" s="11">
        <v>72.75</v>
      </c>
      <c r="S12" s="11">
        <v>77.59</v>
      </c>
      <c r="T12" s="11">
        <v>2.67</v>
      </c>
      <c r="U12" s="11">
        <v>3</v>
      </c>
      <c r="V12" s="11">
        <v>71.92</v>
      </c>
      <c r="W12" s="13">
        <v>32.04</v>
      </c>
      <c r="X12" s="13">
        <v>36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46</v>
      </c>
      <c r="C13" s="10" t="s">
        <v>47</v>
      </c>
      <c r="D13" s="7" t="s">
        <v>48</v>
      </c>
      <c r="E13" s="7" t="s">
        <v>41</v>
      </c>
      <c r="F13" s="7" t="s">
        <v>42</v>
      </c>
      <c r="G13" s="7"/>
      <c r="H13" s="7" t="s">
        <v>49</v>
      </c>
      <c r="I13" s="11">
        <v>2.67</v>
      </c>
      <c r="J13" s="11">
        <v>3</v>
      </c>
      <c r="K13" s="11">
        <v>1.5</v>
      </c>
      <c r="L13" s="11">
        <v>6.65</v>
      </c>
      <c r="M13" s="11">
        <v>0</v>
      </c>
      <c r="N13" s="11">
        <v>0</v>
      </c>
      <c r="O13" s="11">
        <v>1.12</v>
      </c>
      <c r="P13" s="11">
        <v>0</v>
      </c>
      <c r="Q13" s="11">
        <v>9.27</v>
      </c>
      <c r="R13" s="11">
        <v>95.61999999999999</v>
      </c>
      <c r="S13" s="11">
        <v>104.89</v>
      </c>
      <c r="T13" s="11">
        <v>2.67</v>
      </c>
      <c r="U13" s="11">
        <v>3</v>
      </c>
      <c r="V13" s="11">
        <v>99.21999999999998</v>
      </c>
      <c r="W13" s="13">
        <v>32.04</v>
      </c>
      <c r="X13" s="13">
        <v>36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50</v>
      </c>
      <c r="C14" s="10" t="s">
        <v>51</v>
      </c>
      <c r="D14" s="7" t="s">
        <v>48</v>
      </c>
      <c r="E14" s="7" t="s">
        <v>52</v>
      </c>
      <c r="F14" s="7" t="s">
        <v>42</v>
      </c>
      <c r="G14" s="7"/>
      <c r="H14" s="7" t="s">
        <v>53</v>
      </c>
      <c r="I14" s="11">
        <v>2.67</v>
      </c>
      <c r="J14" s="11">
        <v>3</v>
      </c>
      <c r="K14" s="11">
        <v>0.83</v>
      </c>
      <c r="L14" s="11">
        <v>5.98</v>
      </c>
      <c r="M14" s="11">
        <v>0</v>
      </c>
      <c r="N14" s="11">
        <v>0</v>
      </c>
      <c r="O14" s="11">
        <v>0.45</v>
      </c>
      <c r="P14" s="11">
        <v>0</v>
      </c>
      <c r="Q14" s="11">
        <v>7.26</v>
      </c>
      <c r="R14" s="11">
        <v>57.53</v>
      </c>
      <c r="S14" s="11">
        <v>64.79000000000001</v>
      </c>
      <c r="T14" s="11">
        <v>2.67</v>
      </c>
      <c r="U14" s="11">
        <v>3</v>
      </c>
      <c r="V14" s="11">
        <v>59.12</v>
      </c>
      <c r="W14" s="13">
        <v>32.04</v>
      </c>
      <c r="X14" s="13">
        <v>36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54</v>
      </c>
      <c r="C15" s="10" t="s">
        <v>55</v>
      </c>
      <c r="D15" s="7" t="s">
        <v>48</v>
      </c>
      <c r="E15" s="7" t="s">
        <v>56</v>
      </c>
      <c r="F15" s="7" t="s">
        <v>42</v>
      </c>
      <c r="G15" s="7"/>
      <c r="H15" s="7" t="s">
        <v>57</v>
      </c>
      <c r="I15" s="11">
        <v>2.67</v>
      </c>
      <c r="J15" s="11">
        <v>3</v>
      </c>
      <c r="K15" s="11">
        <v>1.67</v>
      </c>
      <c r="L15" s="11">
        <v>5.77</v>
      </c>
      <c r="M15" s="11">
        <v>0</v>
      </c>
      <c r="N15" s="11">
        <v>0</v>
      </c>
      <c r="O15" s="11">
        <v>8.889999999999997</v>
      </c>
      <c r="P15" s="11">
        <v>1.6</v>
      </c>
      <c r="Q15" s="11">
        <v>17.93</v>
      </c>
      <c r="R15" s="11">
        <v>150.78</v>
      </c>
      <c r="S15" s="11">
        <v>168.71</v>
      </c>
      <c r="T15" s="11">
        <v>2.67</v>
      </c>
      <c r="U15" s="11">
        <v>3</v>
      </c>
      <c r="V15" s="11">
        <v>163.04</v>
      </c>
      <c r="W15" s="13">
        <v>32.04</v>
      </c>
      <c r="X15" s="13">
        <v>36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58</v>
      </c>
      <c r="C16" s="10" t="s">
        <v>59</v>
      </c>
      <c r="D16" s="7" t="s">
        <v>60</v>
      </c>
      <c r="E16" s="7" t="s">
        <v>41</v>
      </c>
      <c r="F16" s="7" t="s">
        <v>42</v>
      </c>
      <c r="G16" s="7"/>
      <c r="H16" s="7" t="s">
        <v>43</v>
      </c>
      <c r="I16" s="11">
        <v>2.67</v>
      </c>
      <c r="J16" s="11">
        <v>3</v>
      </c>
      <c r="K16" s="11">
        <v>0</v>
      </c>
      <c r="L16" s="11">
        <v>8.090000000000003</v>
      </c>
      <c r="M16" s="11">
        <v>0</v>
      </c>
      <c r="N16" s="11">
        <v>0</v>
      </c>
      <c r="O16" s="11">
        <v>0.68</v>
      </c>
      <c r="P16" s="11">
        <v>1.6</v>
      </c>
      <c r="Q16" s="11">
        <v>10.37</v>
      </c>
      <c r="R16" s="11">
        <v>98.55</v>
      </c>
      <c r="S16" s="11">
        <v>108.92</v>
      </c>
      <c r="T16" s="11">
        <v>2.67</v>
      </c>
      <c r="U16" s="11">
        <v>3</v>
      </c>
      <c r="V16" s="11">
        <v>103.25</v>
      </c>
      <c r="W16" s="13">
        <v>32.04</v>
      </c>
      <c r="X16" s="13">
        <v>36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61</v>
      </c>
      <c r="C17" s="10" t="s">
        <v>62</v>
      </c>
      <c r="D17" s="7" t="s">
        <v>48</v>
      </c>
      <c r="E17" s="7" t="s">
        <v>52</v>
      </c>
      <c r="F17" s="7" t="s">
        <v>42</v>
      </c>
      <c r="G17" s="7"/>
      <c r="H17" s="7" t="s">
        <v>43</v>
      </c>
      <c r="I17" s="11">
        <v>2.67</v>
      </c>
      <c r="J17" s="11">
        <v>3</v>
      </c>
      <c r="K17" s="11">
        <v>0</v>
      </c>
      <c r="L17" s="11">
        <v>11.86</v>
      </c>
      <c r="M17" s="11">
        <v>0</v>
      </c>
      <c r="N17" s="11">
        <v>0</v>
      </c>
      <c r="O17" s="11">
        <v>0.52</v>
      </c>
      <c r="P17" s="11">
        <v>1.6</v>
      </c>
      <c r="Q17" s="11">
        <v>13.98</v>
      </c>
      <c r="R17" s="11">
        <v>125.95</v>
      </c>
      <c r="S17" s="11">
        <v>139.93</v>
      </c>
      <c r="T17" s="11">
        <v>2.67</v>
      </c>
      <c r="U17" s="11">
        <v>3</v>
      </c>
      <c r="V17" s="11">
        <v>134.26</v>
      </c>
      <c r="W17" s="13">
        <v>32.04</v>
      </c>
      <c r="X17" s="13">
        <v>36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63</v>
      </c>
      <c r="C18" s="10" t="s">
        <v>64</v>
      </c>
      <c r="D18" s="7" t="s">
        <v>40</v>
      </c>
      <c r="E18" s="7" t="s">
        <v>65</v>
      </c>
      <c r="F18" s="7" t="s">
        <v>42</v>
      </c>
      <c r="G18" s="7"/>
      <c r="H18" s="7" t="s">
        <v>43</v>
      </c>
      <c r="I18" s="11">
        <v>2.67</v>
      </c>
      <c r="J18" s="11">
        <v>3</v>
      </c>
      <c r="K18" s="11">
        <v>0</v>
      </c>
      <c r="L18" s="11">
        <v>4.300000000000001</v>
      </c>
      <c r="M18" s="11">
        <v>0.16</v>
      </c>
      <c r="N18" s="11">
        <v>0</v>
      </c>
      <c r="O18" s="11">
        <v>0.5700000000000001</v>
      </c>
      <c r="P18" s="11">
        <v>2.61</v>
      </c>
      <c r="Q18" s="11">
        <v>7.64</v>
      </c>
      <c r="R18" s="11">
        <v>93.41999999999999</v>
      </c>
      <c r="S18" s="11">
        <v>101.06</v>
      </c>
      <c r="T18" s="11">
        <v>2.67</v>
      </c>
      <c r="U18" s="11">
        <v>3</v>
      </c>
      <c r="V18" s="11">
        <v>95.38999999999999</v>
      </c>
      <c r="W18" s="13">
        <v>32.04</v>
      </c>
      <c r="X18" s="13">
        <v>36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66</v>
      </c>
      <c r="C19" s="10" t="s">
        <v>67</v>
      </c>
      <c r="D19" s="7" t="s">
        <v>48</v>
      </c>
      <c r="E19" s="7" t="s">
        <v>41</v>
      </c>
      <c r="F19" s="7" t="s">
        <v>42</v>
      </c>
      <c r="G19" s="7"/>
      <c r="H19" s="7" t="s">
        <v>43</v>
      </c>
      <c r="I19" s="11">
        <v>2.67</v>
      </c>
      <c r="J19" s="11">
        <v>3</v>
      </c>
      <c r="K19" s="11">
        <v>0</v>
      </c>
      <c r="L19" s="11">
        <v>4.4</v>
      </c>
      <c r="M19" s="11">
        <v>0</v>
      </c>
      <c r="N19" s="11">
        <v>0</v>
      </c>
      <c r="O19" s="11">
        <v>0.33</v>
      </c>
      <c r="P19" s="11">
        <v>1.6</v>
      </c>
      <c r="Q19" s="11">
        <v>6.329999999999999</v>
      </c>
      <c r="R19" s="11">
        <v>72.3</v>
      </c>
      <c r="S19" s="11">
        <v>78.63</v>
      </c>
      <c r="T19" s="11">
        <v>2.67</v>
      </c>
      <c r="U19" s="11">
        <v>3</v>
      </c>
      <c r="V19" s="11">
        <v>72.95999999999999</v>
      </c>
      <c r="W19" s="13">
        <v>32.04</v>
      </c>
      <c r="X19" s="13">
        <v>36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68</v>
      </c>
      <c r="C20" s="10" t="s">
        <v>69</v>
      </c>
      <c r="D20" s="7" t="s">
        <v>48</v>
      </c>
      <c r="E20" s="7" t="s">
        <v>41</v>
      </c>
      <c r="F20" s="7" t="s">
        <v>42</v>
      </c>
      <c r="G20" s="7"/>
      <c r="H20" s="7" t="s">
        <v>43</v>
      </c>
      <c r="I20" s="11">
        <v>2.67</v>
      </c>
      <c r="J20" s="11">
        <v>3</v>
      </c>
      <c r="K20" s="11">
        <v>0</v>
      </c>
      <c r="L20" s="11">
        <v>6.000000000000001</v>
      </c>
      <c r="M20" s="11">
        <v>0</v>
      </c>
      <c r="N20" s="11">
        <v>0</v>
      </c>
      <c r="O20" s="11">
        <v>0.6899999999999999</v>
      </c>
      <c r="P20" s="11">
        <v>0</v>
      </c>
      <c r="Q20" s="11">
        <v>6.690000000000001</v>
      </c>
      <c r="R20" s="11">
        <v>73.13</v>
      </c>
      <c r="S20" s="11">
        <v>79.81999999999999</v>
      </c>
      <c r="T20" s="11">
        <v>2.67</v>
      </c>
      <c r="U20" s="11">
        <v>3</v>
      </c>
      <c r="V20" s="11">
        <v>74.14999999999999</v>
      </c>
      <c r="W20" s="13">
        <v>32.04</v>
      </c>
      <c r="X20" s="13">
        <v>36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70</v>
      </c>
      <c r="C21" s="10" t="s">
        <v>71</v>
      </c>
      <c r="D21" s="7" t="s">
        <v>60</v>
      </c>
      <c r="E21" s="7" t="s">
        <v>65</v>
      </c>
      <c r="F21" s="7" t="s">
        <v>42</v>
      </c>
      <c r="G21" s="7"/>
      <c r="H21" s="7" t="s">
        <v>43</v>
      </c>
      <c r="I21" s="11">
        <v>2.67</v>
      </c>
      <c r="J21" s="11">
        <v>3</v>
      </c>
      <c r="K21" s="11">
        <v>0</v>
      </c>
      <c r="L21" s="11">
        <v>3.78</v>
      </c>
      <c r="M21" s="11">
        <v>0</v>
      </c>
      <c r="N21" s="11">
        <v>0</v>
      </c>
      <c r="O21" s="11">
        <v>0.66</v>
      </c>
      <c r="P21" s="11">
        <v>1.6</v>
      </c>
      <c r="Q21" s="11">
        <v>6.04</v>
      </c>
      <c r="R21" s="11">
        <v>68.77000000000001</v>
      </c>
      <c r="S21" s="11">
        <v>74.81000000000002</v>
      </c>
      <c r="T21" s="11">
        <v>2.67</v>
      </c>
      <c r="U21" s="11">
        <v>3</v>
      </c>
      <c r="V21" s="11">
        <v>69.14000000000001</v>
      </c>
      <c r="W21" s="13">
        <v>32.04</v>
      </c>
      <c r="X21" s="13">
        <v>36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72</v>
      </c>
      <c r="C22" s="10" t="s">
        <v>73</v>
      </c>
      <c r="D22" s="7" t="s">
        <v>40</v>
      </c>
      <c r="E22" s="7" t="s">
        <v>74</v>
      </c>
      <c r="F22" s="7" t="s">
        <v>75</v>
      </c>
      <c r="G22" s="7"/>
      <c r="H22" s="7" t="s">
        <v>43</v>
      </c>
      <c r="I22" s="11">
        <v>2</v>
      </c>
      <c r="J22" s="11">
        <v>3</v>
      </c>
      <c r="K22" s="11">
        <v>0</v>
      </c>
      <c r="L22" s="11">
        <v>2.92</v>
      </c>
      <c r="M22" s="11">
        <v>0.08</v>
      </c>
      <c r="N22" s="11">
        <v>0</v>
      </c>
      <c r="O22" s="11">
        <v>0.41</v>
      </c>
      <c r="P22" s="11">
        <v>0</v>
      </c>
      <c r="Q22" s="11">
        <v>3.410000000000001</v>
      </c>
      <c r="R22" s="11">
        <v>52.09999999999999</v>
      </c>
      <c r="S22" s="11">
        <v>55.50999999999999</v>
      </c>
      <c r="T22" s="11">
        <v>2</v>
      </c>
      <c r="U22" s="11">
        <v>3</v>
      </c>
      <c r="V22" s="11">
        <v>50.50999999999999</v>
      </c>
      <c r="W22" s="13">
        <v>24</v>
      </c>
      <c r="X22" s="13">
        <v>36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76</v>
      </c>
      <c r="C23" s="10" t="s">
        <v>77</v>
      </c>
      <c r="D23" s="7" t="s">
        <v>60</v>
      </c>
      <c r="E23" s="7" t="s">
        <v>74</v>
      </c>
      <c r="F23" s="7" t="s">
        <v>75</v>
      </c>
      <c r="G23" s="7"/>
      <c r="H23" s="7" t="s">
        <v>43</v>
      </c>
      <c r="I23" s="11">
        <v>2</v>
      </c>
      <c r="J23" s="11">
        <v>3</v>
      </c>
      <c r="K23" s="11">
        <v>0</v>
      </c>
      <c r="L23" s="11">
        <v>5.119999999999998</v>
      </c>
      <c r="M23" s="11">
        <v>0</v>
      </c>
      <c r="N23" s="11">
        <v>0</v>
      </c>
      <c r="O23" s="11">
        <v>1.06</v>
      </c>
      <c r="P23" s="11">
        <v>0</v>
      </c>
      <c r="Q23" s="11">
        <v>6.179999999999998</v>
      </c>
      <c r="R23" s="11">
        <v>89.43999999999993</v>
      </c>
      <c r="S23" s="11">
        <v>95.61999999999992</v>
      </c>
      <c r="T23" s="11">
        <v>2</v>
      </c>
      <c r="U23" s="11">
        <v>3</v>
      </c>
      <c r="V23" s="11">
        <v>90.61999999999992</v>
      </c>
      <c r="W23" s="13">
        <v>24</v>
      </c>
      <c r="X23" s="13">
        <v>36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78</v>
      </c>
      <c r="C24" s="10" t="s">
        <v>79</v>
      </c>
      <c r="D24" s="7" t="s">
        <v>60</v>
      </c>
      <c r="E24" s="7" t="s">
        <v>65</v>
      </c>
      <c r="F24" s="7" t="s">
        <v>75</v>
      </c>
      <c r="G24" s="7"/>
      <c r="H24" s="7" t="s">
        <v>43</v>
      </c>
      <c r="I24" s="11">
        <v>2</v>
      </c>
      <c r="J24" s="11">
        <v>3</v>
      </c>
      <c r="K24" s="11">
        <v>0</v>
      </c>
      <c r="L24" s="11">
        <v>5.180000000000001</v>
      </c>
      <c r="M24" s="11">
        <v>0</v>
      </c>
      <c r="N24" s="11">
        <v>0</v>
      </c>
      <c r="O24" s="11">
        <v>0.45</v>
      </c>
      <c r="P24" s="11">
        <v>0</v>
      </c>
      <c r="Q24" s="11">
        <v>5.630000000000001</v>
      </c>
      <c r="R24" s="11">
        <v>93.11999999999998</v>
      </c>
      <c r="S24" s="11">
        <v>98.74999999999997</v>
      </c>
      <c r="T24" s="11">
        <v>2</v>
      </c>
      <c r="U24" s="11">
        <v>3</v>
      </c>
      <c r="V24" s="11">
        <v>93.74999999999997</v>
      </c>
      <c r="W24" s="13">
        <v>24</v>
      </c>
      <c r="X24" s="13">
        <v>36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80</v>
      </c>
      <c r="C25" s="10" t="s">
        <v>81</v>
      </c>
      <c r="D25" s="7" t="s">
        <v>60</v>
      </c>
      <c r="E25" s="7" t="s">
        <v>74</v>
      </c>
      <c r="F25" s="7" t="s">
        <v>75</v>
      </c>
      <c r="G25" s="7"/>
      <c r="H25" s="7" t="s">
        <v>82</v>
      </c>
      <c r="I25" s="11">
        <v>2</v>
      </c>
      <c r="J25" s="11">
        <v>3</v>
      </c>
      <c r="K25" s="11">
        <v>1</v>
      </c>
      <c r="L25" s="11">
        <v>7.809999999999996</v>
      </c>
      <c r="M25" s="11">
        <v>0</v>
      </c>
      <c r="N25" s="11">
        <v>0</v>
      </c>
      <c r="O25" s="11">
        <v>4.24</v>
      </c>
      <c r="P25" s="11">
        <v>1.6</v>
      </c>
      <c r="Q25" s="11">
        <v>14.65</v>
      </c>
      <c r="R25" s="11">
        <v>101.32</v>
      </c>
      <c r="S25" s="11">
        <v>115.97</v>
      </c>
      <c r="T25" s="11">
        <v>2</v>
      </c>
      <c r="U25" s="11">
        <v>3</v>
      </c>
      <c r="V25" s="11">
        <v>110.97</v>
      </c>
      <c r="W25" s="13">
        <v>24</v>
      </c>
      <c r="X25" s="13">
        <v>36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83</v>
      </c>
      <c r="C26" s="10" t="s">
        <v>84</v>
      </c>
      <c r="D26" s="7" t="s">
        <v>60</v>
      </c>
      <c r="E26" s="7" t="s">
        <v>65</v>
      </c>
      <c r="F26" s="7" t="s">
        <v>75</v>
      </c>
      <c r="G26" s="7"/>
      <c r="H26" s="7" t="s">
        <v>43</v>
      </c>
      <c r="I26" s="11">
        <v>2</v>
      </c>
      <c r="J26" s="11">
        <v>3</v>
      </c>
      <c r="K26" s="11">
        <v>0</v>
      </c>
      <c r="L26" s="11">
        <v>7.119999999999998</v>
      </c>
      <c r="M26" s="11">
        <v>0</v>
      </c>
      <c r="N26" s="11">
        <v>0</v>
      </c>
      <c r="O26" s="11">
        <v>1.09</v>
      </c>
      <c r="P26" s="11">
        <v>0</v>
      </c>
      <c r="Q26" s="11">
        <v>8.209999999999999</v>
      </c>
      <c r="R26" s="11">
        <v>113.69</v>
      </c>
      <c r="S26" s="11">
        <v>121.9</v>
      </c>
      <c r="T26" s="11">
        <v>2</v>
      </c>
      <c r="U26" s="11">
        <v>3</v>
      </c>
      <c r="V26" s="11">
        <v>116.9</v>
      </c>
      <c r="W26" s="13">
        <v>24</v>
      </c>
      <c r="X26" s="13">
        <v>36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85</v>
      </c>
      <c r="C27" s="10" t="s">
        <v>86</v>
      </c>
      <c r="D27" s="7" t="s">
        <v>48</v>
      </c>
      <c r="E27" s="7" t="s">
        <v>56</v>
      </c>
      <c r="F27" s="7" t="s">
        <v>75</v>
      </c>
      <c r="G27" s="7"/>
      <c r="H27" s="7" t="s">
        <v>87</v>
      </c>
      <c r="I27" s="11">
        <v>2</v>
      </c>
      <c r="J27" s="11">
        <v>3</v>
      </c>
      <c r="K27" s="11">
        <v>1</v>
      </c>
      <c r="L27" s="11">
        <v>6.460000000000001</v>
      </c>
      <c r="M27" s="11">
        <v>0</v>
      </c>
      <c r="N27" s="11">
        <v>0</v>
      </c>
      <c r="O27" s="11">
        <v>0.6899999999999999</v>
      </c>
      <c r="P27" s="11">
        <v>0</v>
      </c>
      <c r="Q27" s="11">
        <v>8.15</v>
      </c>
      <c r="R27" s="11">
        <v>84.57999999999998</v>
      </c>
      <c r="S27" s="11">
        <v>92.72999999999999</v>
      </c>
      <c r="T27" s="11">
        <v>2</v>
      </c>
      <c r="U27" s="11">
        <v>3</v>
      </c>
      <c r="V27" s="11">
        <v>87.72999999999999</v>
      </c>
      <c r="W27" s="13">
        <v>24</v>
      </c>
      <c r="X27" s="13">
        <v>36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88</v>
      </c>
      <c r="C28" s="10" t="s">
        <v>89</v>
      </c>
      <c r="D28" s="7" t="s">
        <v>48</v>
      </c>
      <c r="E28" s="7" t="s">
        <v>65</v>
      </c>
      <c r="F28" s="7" t="s">
        <v>75</v>
      </c>
      <c r="G28" s="7"/>
      <c r="H28" s="7" t="s">
        <v>90</v>
      </c>
      <c r="I28" s="11">
        <v>2</v>
      </c>
      <c r="J28" s="11">
        <v>3</v>
      </c>
      <c r="K28" s="11">
        <v>0.95</v>
      </c>
      <c r="L28" s="11">
        <v>7.529999999999998</v>
      </c>
      <c r="M28" s="11">
        <v>0</v>
      </c>
      <c r="N28" s="11">
        <v>0</v>
      </c>
      <c r="O28" s="11">
        <v>0.95</v>
      </c>
      <c r="P28" s="11">
        <v>0</v>
      </c>
      <c r="Q28" s="11">
        <v>9.429999999999998</v>
      </c>
      <c r="R28" s="11">
        <v>114.56</v>
      </c>
      <c r="S28" s="11">
        <v>123.99</v>
      </c>
      <c r="T28" s="11">
        <v>2</v>
      </c>
      <c r="U28" s="11">
        <v>3</v>
      </c>
      <c r="V28" s="11">
        <v>118.99</v>
      </c>
      <c r="W28" s="13">
        <v>24</v>
      </c>
      <c r="X28" s="13">
        <v>36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91</v>
      </c>
      <c r="C29" s="10" t="s">
        <v>92</v>
      </c>
      <c r="D29" s="7" t="s">
        <v>60</v>
      </c>
      <c r="E29" s="7" t="s">
        <v>65</v>
      </c>
      <c r="F29" s="7" t="s">
        <v>75</v>
      </c>
      <c r="G29" s="7"/>
      <c r="H29" s="7" t="s">
        <v>93</v>
      </c>
      <c r="I29" s="11">
        <v>2</v>
      </c>
      <c r="J29" s="11">
        <v>3</v>
      </c>
      <c r="K29" s="11">
        <v>1.33</v>
      </c>
      <c r="L29" s="11">
        <v>7.929999999999995</v>
      </c>
      <c r="M29" s="11">
        <v>0</v>
      </c>
      <c r="N29" s="11">
        <v>0</v>
      </c>
      <c r="O29" s="11">
        <v>8.219999999999999</v>
      </c>
      <c r="P29" s="11">
        <v>1.6</v>
      </c>
      <c r="Q29" s="11">
        <v>19.08</v>
      </c>
      <c r="R29" s="11">
        <v>162.78</v>
      </c>
      <c r="S29" s="11">
        <v>181.86</v>
      </c>
      <c r="T29" s="11">
        <v>2</v>
      </c>
      <c r="U29" s="11">
        <v>3</v>
      </c>
      <c r="V29" s="11">
        <v>176.86</v>
      </c>
      <c r="W29" s="13">
        <v>24</v>
      </c>
      <c r="X29" s="13">
        <v>36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94</v>
      </c>
      <c r="C30" s="10" t="s">
        <v>95</v>
      </c>
      <c r="D30" s="7" t="s">
        <v>40</v>
      </c>
      <c r="E30" s="7" t="s">
        <v>74</v>
      </c>
      <c r="F30" s="7" t="s">
        <v>75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3.52</v>
      </c>
      <c r="M30" s="11">
        <v>0</v>
      </c>
      <c r="N30" s="11">
        <v>0</v>
      </c>
      <c r="O30" s="11">
        <v>0.47</v>
      </c>
      <c r="P30" s="11">
        <v>0</v>
      </c>
      <c r="Q30" s="11">
        <v>3.99</v>
      </c>
      <c r="R30" s="11">
        <v>58.65</v>
      </c>
      <c r="S30" s="11">
        <v>62.64</v>
      </c>
      <c r="T30" s="11">
        <v>2</v>
      </c>
      <c r="U30" s="11">
        <v>3</v>
      </c>
      <c r="V30" s="11">
        <v>57.64</v>
      </c>
      <c r="W30" s="13">
        <v>24</v>
      </c>
      <c r="X30" s="13">
        <v>36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96</v>
      </c>
      <c r="C31" s="10" t="s">
        <v>97</v>
      </c>
      <c r="D31" s="7" t="s">
        <v>48</v>
      </c>
      <c r="E31" s="7" t="s">
        <v>74</v>
      </c>
      <c r="F31" s="7" t="s">
        <v>75</v>
      </c>
      <c r="G31" s="7"/>
      <c r="H31" s="7" t="s">
        <v>98</v>
      </c>
      <c r="I31" s="11">
        <v>2</v>
      </c>
      <c r="J31" s="11">
        <v>3</v>
      </c>
      <c r="K31" s="11">
        <v>0.95</v>
      </c>
      <c r="L31" s="11">
        <v>10.57</v>
      </c>
      <c r="M31" s="11">
        <v>0</v>
      </c>
      <c r="N31" s="11">
        <v>0</v>
      </c>
      <c r="O31" s="11">
        <v>1.83</v>
      </c>
      <c r="P31" s="11">
        <v>0</v>
      </c>
      <c r="Q31" s="11">
        <v>13.35</v>
      </c>
      <c r="R31" s="11">
        <v>144.3699999999999</v>
      </c>
      <c r="S31" s="11">
        <v>157.7199999999999</v>
      </c>
      <c r="T31" s="11">
        <v>2</v>
      </c>
      <c r="U31" s="11">
        <v>3</v>
      </c>
      <c r="V31" s="11">
        <v>152.7199999999999</v>
      </c>
      <c r="W31" s="13">
        <v>24</v>
      </c>
      <c r="X31" s="13">
        <v>36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99</v>
      </c>
      <c r="C32" s="10" t="s">
        <v>100</v>
      </c>
      <c r="D32" s="7" t="s">
        <v>40</v>
      </c>
      <c r="E32" s="7" t="s">
        <v>74</v>
      </c>
      <c r="F32" s="7" t="s">
        <v>75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4.000000000000001</v>
      </c>
      <c r="M32" s="11">
        <v>0</v>
      </c>
      <c r="N32" s="11">
        <v>0</v>
      </c>
      <c r="O32" s="11">
        <v>0.54</v>
      </c>
      <c r="P32" s="11">
        <v>0</v>
      </c>
      <c r="Q32" s="11">
        <v>4.540000000000001</v>
      </c>
      <c r="R32" s="11">
        <v>64.72</v>
      </c>
      <c r="S32" s="11">
        <v>69.26000000000001</v>
      </c>
      <c r="T32" s="11">
        <v>2</v>
      </c>
      <c r="U32" s="11">
        <v>3</v>
      </c>
      <c r="V32" s="11">
        <v>64.26000000000001</v>
      </c>
      <c r="W32" s="13">
        <v>24</v>
      </c>
      <c r="X32" s="13">
        <v>36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101</v>
      </c>
      <c r="C33" s="10" t="s">
        <v>102</v>
      </c>
      <c r="D33" s="7" t="s">
        <v>48</v>
      </c>
      <c r="E33" s="7" t="s">
        <v>56</v>
      </c>
      <c r="F33" s="7" t="s">
        <v>75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11.82</v>
      </c>
      <c r="M33" s="11">
        <v>0</v>
      </c>
      <c r="N33" s="11">
        <v>0</v>
      </c>
      <c r="O33" s="11">
        <v>0.8700000000000001</v>
      </c>
      <c r="P33" s="11">
        <v>0.95</v>
      </c>
      <c r="Q33" s="11">
        <v>13.64</v>
      </c>
      <c r="R33" s="11">
        <v>142.0699999999999</v>
      </c>
      <c r="S33" s="11">
        <v>155.7099999999999</v>
      </c>
      <c r="T33" s="11">
        <v>2</v>
      </c>
      <c r="U33" s="11">
        <v>3</v>
      </c>
      <c r="V33" s="11">
        <v>150.7099999999999</v>
      </c>
      <c r="W33" s="13">
        <v>24</v>
      </c>
      <c r="X33" s="13">
        <v>36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103</v>
      </c>
      <c r="C34" s="10" t="s">
        <v>104</v>
      </c>
      <c r="D34" s="7" t="s">
        <v>60</v>
      </c>
      <c r="E34" s="7" t="s">
        <v>74</v>
      </c>
      <c r="F34" s="7" t="s">
        <v>75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6.56</v>
      </c>
      <c r="M34" s="11">
        <v>0</v>
      </c>
      <c r="N34" s="11">
        <v>0</v>
      </c>
      <c r="O34" s="11">
        <v>0.32</v>
      </c>
      <c r="P34" s="11">
        <v>0</v>
      </c>
      <c r="Q34" s="11">
        <v>6.88</v>
      </c>
      <c r="R34" s="11">
        <v>81.38999999999999</v>
      </c>
      <c r="S34" s="11">
        <v>88.26999999999998</v>
      </c>
      <c r="T34" s="11">
        <v>2</v>
      </c>
      <c r="U34" s="11">
        <v>3</v>
      </c>
      <c r="V34" s="11">
        <v>83.26999999999998</v>
      </c>
      <c r="W34" s="13">
        <v>24</v>
      </c>
      <c r="X34" s="13">
        <v>36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105</v>
      </c>
      <c r="C35" s="10" t="s">
        <v>106</v>
      </c>
      <c r="D35" s="7" t="s">
        <v>60</v>
      </c>
      <c r="E35" s="7" t="s">
        <v>74</v>
      </c>
      <c r="F35" s="7" t="s">
        <v>75</v>
      </c>
      <c r="G35" s="7"/>
      <c r="H35" s="7" t="s">
        <v>107</v>
      </c>
      <c r="I35" s="11">
        <v>2</v>
      </c>
      <c r="J35" s="11">
        <v>3</v>
      </c>
      <c r="K35" s="11">
        <v>0.95</v>
      </c>
      <c r="L35" s="11">
        <v>8.209999999999999</v>
      </c>
      <c r="M35" s="11">
        <v>0</v>
      </c>
      <c r="N35" s="11">
        <v>0</v>
      </c>
      <c r="O35" s="11">
        <v>3.35</v>
      </c>
      <c r="P35" s="11">
        <v>0</v>
      </c>
      <c r="Q35" s="11">
        <v>12.51</v>
      </c>
      <c r="R35" s="11">
        <v>100.65</v>
      </c>
      <c r="S35" s="11">
        <v>113.16</v>
      </c>
      <c r="T35" s="11">
        <v>2</v>
      </c>
      <c r="U35" s="11">
        <v>3</v>
      </c>
      <c r="V35" s="11">
        <v>108.16</v>
      </c>
      <c r="W35" s="13">
        <v>24</v>
      </c>
      <c r="X35" s="13">
        <v>36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108</v>
      </c>
      <c r="C36" s="10" t="s">
        <v>109</v>
      </c>
      <c r="D36" s="7" t="s">
        <v>60</v>
      </c>
      <c r="E36" s="7" t="s">
        <v>74</v>
      </c>
      <c r="F36" s="7" t="s">
        <v>75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5.519999999999997</v>
      </c>
      <c r="M36" s="11">
        <v>0</v>
      </c>
      <c r="N36" s="11">
        <v>0</v>
      </c>
      <c r="O36" s="11">
        <v>1.21</v>
      </c>
      <c r="P36" s="11">
        <v>0</v>
      </c>
      <c r="Q36" s="11">
        <v>6.729999999999997</v>
      </c>
      <c r="R36" s="11">
        <v>88.69999999999997</v>
      </c>
      <c r="S36" s="11">
        <v>95.42999999999998</v>
      </c>
      <c r="T36" s="11">
        <v>2</v>
      </c>
      <c r="U36" s="11">
        <v>3</v>
      </c>
      <c r="V36" s="11">
        <v>90.42999999999998</v>
      </c>
      <c r="W36" s="13">
        <v>24</v>
      </c>
      <c r="X36" s="13">
        <v>36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110</v>
      </c>
      <c r="C37" s="10" t="s">
        <v>111</v>
      </c>
      <c r="D37" s="7" t="s">
        <v>48</v>
      </c>
      <c r="E37" s="7" t="s">
        <v>74</v>
      </c>
      <c r="F37" s="7" t="s">
        <v>75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9.639999999999997</v>
      </c>
      <c r="M37" s="11">
        <v>0</v>
      </c>
      <c r="N37" s="11">
        <v>0</v>
      </c>
      <c r="O37" s="11">
        <v>0.8400000000000001</v>
      </c>
      <c r="P37" s="11">
        <v>1.6</v>
      </c>
      <c r="Q37" s="11">
        <v>12.08</v>
      </c>
      <c r="R37" s="11">
        <v>109.96</v>
      </c>
      <c r="S37" s="11">
        <v>122.04</v>
      </c>
      <c r="T37" s="11">
        <v>2</v>
      </c>
      <c r="U37" s="11">
        <v>3</v>
      </c>
      <c r="V37" s="11">
        <v>117.04</v>
      </c>
      <c r="W37" s="13">
        <v>24</v>
      </c>
      <c r="X37" s="13">
        <v>36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112</v>
      </c>
      <c r="C38" s="10" t="s">
        <v>113</v>
      </c>
      <c r="D38" s="7" t="s">
        <v>40</v>
      </c>
      <c r="E38" s="7" t="s">
        <v>74</v>
      </c>
      <c r="F38" s="7" t="s">
        <v>75</v>
      </c>
      <c r="G38" s="7"/>
      <c r="H38" s="7" t="s">
        <v>90</v>
      </c>
      <c r="I38" s="11">
        <v>2</v>
      </c>
      <c r="J38" s="11">
        <v>3</v>
      </c>
      <c r="K38" s="11">
        <v>0.95</v>
      </c>
      <c r="L38" s="11">
        <v>6.540000000000001</v>
      </c>
      <c r="M38" s="11">
        <v>0</v>
      </c>
      <c r="N38" s="11">
        <v>0</v>
      </c>
      <c r="O38" s="11">
        <v>0.59</v>
      </c>
      <c r="P38" s="11">
        <v>1.9</v>
      </c>
      <c r="Q38" s="11">
        <v>9.979999999999999</v>
      </c>
      <c r="R38" s="11">
        <v>115.15</v>
      </c>
      <c r="S38" s="11">
        <v>125.13</v>
      </c>
      <c r="T38" s="11">
        <v>2</v>
      </c>
      <c r="U38" s="11">
        <v>3</v>
      </c>
      <c r="V38" s="11">
        <v>120.13</v>
      </c>
      <c r="W38" s="13">
        <v>24</v>
      </c>
      <c r="X38" s="13">
        <v>36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114</v>
      </c>
      <c r="C39" s="10" t="s">
        <v>115</v>
      </c>
      <c r="D39" s="7" t="s">
        <v>60</v>
      </c>
      <c r="E39" s="7" t="s">
        <v>74</v>
      </c>
      <c r="F39" s="7" t="s">
        <v>75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4.31</v>
      </c>
      <c r="M39" s="11">
        <v>0</v>
      </c>
      <c r="N39" s="11">
        <v>0</v>
      </c>
      <c r="O39" s="11">
        <v>0.63</v>
      </c>
      <c r="P39" s="11">
        <v>0</v>
      </c>
      <c r="Q39" s="11">
        <v>4.94</v>
      </c>
      <c r="R39" s="11">
        <v>81.19999999999996</v>
      </c>
      <c r="S39" s="11">
        <v>86.13999999999996</v>
      </c>
      <c r="T39" s="11">
        <v>2</v>
      </c>
      <c r="U39" s="11">
        <v>3</v>
      </c>
      <c r="V39" s="11">
        <v>81.13999999999996</v>
      </c>
      <c r="W39" s="13">
        <v>24</v>
      </c>
      <c r="X39" s="13">
        <v>36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116</v>
      </c>
      <c r="C40" s="10" t="s">
        <v>117</v>
      </c>
      <c r="D40" s="7" t="s">
        <v>60</v>
      </c>
      <c r="E40" s="7" t="s">
        <v>56</v>
      </c>
      <c r="F40" s="7" t="s">
        <v>75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10.06</v>
      </c>
      <c r="M40" s="11">
        <v>0</v>
      </c>
      <c r="N40" s="11">
        <v>0</v>
      </c>
      <c r="O40" s="11">
        <v>0.8</v>
      </c>
      <c r="P40" s="11">
        <v>0</v>
      </c>
      <c r="Q40" s="11">
        <v>10.86</v>
      </c>
      <c r="R40" s="11">
        <v>106.57</v>
      </c>
      <c r="S40" s="11">
        <v>117.43</v>
      </c>
      <c r="T40" s="11">
        <v>2</v>
      </c>
      <c r="U40" s="11">
        <v>3</v>
      </c>
      <c r="V40" s="11">
        <v>112.43</v>
      </c>
      <c r="W40" s="13">
        <v>24</v>
      </c>
      <c r="X40" s="13">
        <v>36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118</v>
      </c>
      <c r="C41" s="10" t="s">
        <v>119</v>
      </c>
      <c r="D41" s="7" t="s">
        <v>60</v>
      </c>
      <c r="E41" s="7" t="s">
        <v>74</v>
      </c>
      <c r="F41" s="7" t="s">
        <v>75</v>
      </c>
      <c r="G41" s="7"/>
      <c r="H41" s="7" t="s">
        <v>43</v>
      </c>
      <c r="I41" s="11">
        <v>2</v>
      </c>
      <c r="J41" s="11">
        <v>3</v>
      </c>
      <c r="K41" s="11">
        <v>0</v>
      </c>
      <c r="L41" s="11">
        <v>9.669999999999996</v>
      </c>
      <c r="M41" s="11">
        <v>0</v>
      </c>
      <c r="N41" s="11">
        <v>0</v>
      </c>
      <c r="O41" s="11">
        <v>1.01</v>
      </c>
      <c r="P41" s="11">
        <v>0</v>
      </c>
      <c r="Q41" s="11">
        <v>10.68</v>
      </c>
      <c r="R41" s="11">
        <v>151.72</v>
      </c>
      <c r="S41" s="11">
        <v>162.4</v>
      </c>
      <c r="T41" s="11">
        <v>2</v>
      </c>
      <c r="U41" s="11">
        <v>3</v>
      </c>
      <c r="V41" s="11">
        <v>157.4</v>
      </c>
      <c r="W41" s="13">
        <v>24</v>
      </c>
      <c r="X41" s="13">
        <v>36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120</v>
      </c>
      <c r="C42" s="10" t="s">
        <v>121</v>
      </c>
      <c r="D42" s="7" t="s">
        <v>40</v>
      </c>
      <c r="E42" s="7" t="s">
        <v>74</v>
      </c>
      <c r="F42" s="7" t="s">
        <v>75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3.7</v>
      </c>
      <c r="M42" s="11">
        <v>0</v>
      </c>
      <c r="N42" s="11">
        <v>0</v>
      </c>
      <c r="O42" s="11">
        <v>1.27</v>
      </c>
      <c r="P42" s="11">
        <v>0</v>
      </c>
      <c r="Q42" s="11">
        <v>4.97</v>
      </c>
      <c r="R42" s="11">
        <v>52.35999999999999</v>
      </c>
      <c r="S42" s="11">
        <v>57.32999999999999</v>
      </c>
      <c r="T42" s="11">
        <v>2</v>
      </c>
      <c r="U42" s="11">
        <v>3</v>
      </c>
      <c r="V42" s="11">
        <v>52.32999999999999</v>
      </c>
      <c r="W42" s="13">
        <v>24</v>
      </c>
      <c r="X42" s="13">
        <v>36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122</v>
      </c>
      <c r="C43" s="10" t="s">
        <v>123</v>
      </c>
      <c r="D43" s="7" t="s">
        <v>48</v>
      </c>
      <c r="E43" s="7" t="s">
        <v>74</v>
      </c>
      <c r="F43" s="7" t="s">
        <v>75</v>
      </c>
      <c r="G43" s="7"/>
      <c r="H43" s="7" t="s">
        <v>43</v>
      </c>
      <c r="I43" s="11">
        <v>2</v>
      </c>
      <c r="J43" s="11">
        <v>3</v>
      </c>
      <c r="K43" s="11">
        <v>0</v>
      </c>
      <c r="L43" s="11">
        <v>5.209999999999996</v>
      </c>
      <c r="M43" s="11">
        <v>0</v>
      </c>
      <c r="N43" s="11">
        <v>0</v>
      </c>
      <c r="O43" s="11">
        <v>0.5700000000000001</v>
      </c>
      <c r="P43" s="11">
        <v>0</v>
      </c>
      <c r="Q43" s="11">
        <v>5.779999999999996</v>
      </c>
      <c r="R43" s="11">
        <v>73.79999999999995</v>
      </c>
      <c r="S43" s="11">
        <v>79.57999999999996</v>
      </c>
      <c r="T43" s="11">
        <v>2</v>
      </c>
      <c r="U43" s="11">
        <v>3</v>
      </c>
      <c r="V43" s="11">
        <v>74.57999999999996</v>
      </c>
      <c r="W43" s="13">
        <v>24</v>
      </c>
      <c r="X43" s="13">
        <v>36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124</v>
      </c>
      <c r="C44" s="10" t="s">
        <v>125</v>
      </c>
      <c r="D44" s="7" t="s">
        <v>40</v>
      </c>
      <c r="E44" s="7" t="s">
        <v>56</v>
      </c>
      <c r="F44" s="7" t="s">
        <v>75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2.330000000000001</v>
      </c>
      <c r="M44" s="11">
        <v>0</v>
      </c>
      <c r="N44" s="11">
        <v>0</v>
      </c>
      <c r="O44" s="11">
        <v>2.2</v>
      </c>
      <c r="P44" s="11">
        <v>1.6</v>
      </c>
      <c r="Q44" s="11">
        <v>6.13</v>
      </c>
      <c r="R44" s="11">
        <v>48.1</v>
      </c>
      <c r="S44" s="11">
        <v>54.23</v>
      </c>
      <c r="T44" s="11">
        <v>2</v>
      </c>
      <c r="U44" s="11">
        <v>3</v>
      </c>
      <c r="V44" s="11">
        <v>49.23</v>
      </c>
      <c r="W44" s="13">
        <v>24</v>
      </c>
      <c r="X44" s="13">
        <v>36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126</v>
      </c>
      <c r="C45" s="10" t="s">
        <v>127</v>
      </c>
      <c r="D45" s="7" t="s">
        <v>60</v>
      </c>
      <c r="E45" s="7" t="s">
        <v>74</v>
      </c>
      <c r="F45" s="7" t="s">
        <v>75</v>
      </c>
      <c r="G45" s="7"/>
      <c r="H45" s="7" t="s">
        <v>43</v>
      </c>
      <c r="I45" s="11">
        <v>2</v>
      </c>
      <c r="J45" s="11">
        <v>3</v>
      </c>
      <c r="K45" s="11">
        <v>0</v>
      </c>
      <c r="L45" s="11">
        <v>5.56</v>
      </c>
      <c r="M45" s="11">
        <v>0</v>
      </c>
      <c r="N45" s="11">
        <v>0</v>
      </c>
      <c r="O45" s="11">
        <v>0.46</v>
      </c>
      <c r="P45" s="11">
        <v>0</v>
      </c>
      <c r="Q45" s="11">
        <v>6.02</v>
      </c>
      <c r="R45" s="11">
        <v>80.38999999999996</v>
      </c>
      <c r="S45" s="11">
        <v>86.40999999999995</v>
      </c>
      <c r="T45" s="11">
        <v>2</v>
      </c>
      <c r="U45" s="11">
        <v>3</v>
      </c>
      <c r="V45" s="11">
        <v>81.40999999999995</v>
      </c>
      <c r="W45" s="13">
        <v>24</v>
      </c>
      <c r="X45" s="13">
        <v>36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128</v>
      </c>
      <c r="C46" s="10" t="s">
        <v>129</v>
      </c>
      <c r="D46" s="7" t="s">
        <v>40</v>
      </c>
      <c r="E46" s="7" t="s">
        <v>74</v>
      </c>
      <c r="F46" s="7" t="s">
        <v>75</v>
      </c>
      <c r="G46" s="7"/>
      <c r="H46" s="7" t="s">
        <v>43</v>
      </c>
      <c r="I46" s="11">
        <v>2</v>
      </c>
      <c r="J46" s="11">
        <v>3</v>
      </c>
      <c r="K46" s="11">
        <v>0</v>
      </c>
      <c r="L46" s="11">
        <v>1.42</v>
      </c>
      <c r="M46" s="11">
        <v>0</v>
      </c>
      <c r="N46" s="11">
        <v>0</v>
      </c>
      <c r="O46" s="11">
        <v>0.37</v>
      </c>
      <c r="P46" s="11">
        <v>0</v>
      </c>
      <c r="Q46" s="11">
        <v>1.79</v>
      </c>
      <c r="R46" s="11">
        <v>34.67</v>
      </c>
      <c r="S46" s="11">
        <v>36.46</v>
      </c>
      <c r="T46" s="11">
        <v>2</v>
      </c>
      <c r="U46" s="11">
        <v>3</v>
      </c>
      <c r="V46" s="11">
        <v>31.46</v>
      </c>
      <c r="W46" s="13">
        <v>24</v>
      </c>
      <c r="X46" s="13">
        <v>36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130</v>
      </c>
      <c r="C47" s="10" t="s">
        <v>131</v>
      </c>
      <c r="D47" s="7" t="s">
        <v>60</v>
      </c>
      <c r="E47" s="7" t="s">
        <v>74</v>
      </c>
      <c r="F47" s="7" t="s">
        <v>75</v>
      </c>
      <c r="G47" s="7"/>
      <c r="H47" s="7" t="s">
        <v>43</v>
      </c>
      <c r="I47" s="11">
        <v>2</v>
      </c>
      <c r="J47" s="11">
        <v>3</v>
      </c>
      <c r="K47" s="11">
        <v>0</v>
      </c>
      <c r="L47" s="11">
        <v>5</v>
      </c>
      <c r="M47" s="11">
        <v>0</v>
      </c>
      <c r="N47" s="11">
        <v>0</v>
      </c>
      <c r="O47" s="11">
        <v>0.5</v>
      </c>
      <c r="P47" s="11">
        <v>0</v>
      </c>
      <c r="Q47" s="11">
        <v>5.5</v>
      </c>
      <c r="R47" s="11">
        <v>63.98999999999997</v>
      </c>
      <c r="S47" s="11">
        <v>69.48999999999998</v>
      </c>
      <c r="T47" s="11">
        <v>2</v>
      </c>
      <c r="U47" s="11">
        <v>3</v>
      </c>
      <c r="V47" s="11">
        <v>64.48999999999998</v>
      </c>
      <c r="W47" s="13">
        <v>24</v>
      </c>
      <c r="X47" s="13">
        <v>36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132</v>
      </c>
      <c r="C48" s="10" t="s">
        <v>133</v>
      </c>
      <c r="D48" s="7" t="s">
        <v>60</v>
      </c>
      <c r="E48" s="7" t="s">
        <v>65</v>
      </c>
      <c r="F48" s="7" t="s">
        <v>75</v>
      </c>
      <c r="G48" s="7"/>
      <c r="H48" s="7" t="s">
        <v>134</v>
      </c>
      <c r="I48" s="11">
        <v>2</v>
      </c>
      <c r="J48" s="11">
        <v>3</v>
      </c>
      <c r="K48" s="11">
        <v>0.95</v>
      </c>
      <c r="L48" s="11">
        <v>4.59</v>
      </c>
      <c r="M48" s="11">
        <v>0</v>
      </c>
      <c r="N48" s="11">
        <v>0</v>
      </c>
      <c r="O48" s="11">
        <v>4.4</v>
      </c>
      <c r="P48" s="11">
        <v>1.6</v>
      </c>
      <c r="Q48" s="11">
        <v>11.54</v>
      </c>
      <c r="R48" s="11">
        <v>98.95999999999997</v>
      </c>
      <c r="S48" s="11">
        <v>110.5</v>
      </c>
      <c r="T48" s="11">
        <v>2</v>
      </c>
      <c r="U48" s="11">
        <v>3</v>
      </c>
      <c r="V48" s="11">
        <v>105.5</v>
      </c>
      <c r="W48" s="13">
        <v>24</v>
      </c>
      <c r="X48" s="13">
        <v>36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135</v>
      </c>
      <c r="C49" s="10" t="s">
        <v>136</v>
      </c>
      <c r="D49" s="7" t="s">
        <v>40</v>
      </c>
      <c r="E49" s="7" t="s">
        <v>74</v>
      </c>
      <c r="F49" s="7" t="s">
        <v>75</v>
      </c>
      <c r="G49" s="7"/>
      <c r="H49" s="7" t="s">
        <v>43</v>
      </c>
      <c r="I49" s="11">
        <v>2</v>
      </c>
      <c r="J49" s="11">
        <v>3</v>
      </c>
      <c r="K49" s="11">
        <v>0</v>
      </c>
      <c r="L49" s="11">
        <v>2.51</v>
      </c>
      <c r="M49" s="11">
        <v>0</v>
      </c>
      <c r="N49" s="11">
        <v>0</v>
      </c>
      <c r="O49" s="11">
        <v>0.46</v>
      </c>
      <c r="P49" s="11">
        <v>0</v>
      </c>
      <c r="Q49" s="11">
        <v>2.97</v>
      </c>
      <c r="R49" s="11">
        <v>63.76999999999997</v>
      </c>
      <c r="S49" s="11">
        <v>66.73999999999997</v>
      </c>
      <c r="T49" s="11">
        <v>2</v>
      </c>
      <c r="U49" s="11">
        <v>3</v>
      </c>
      <c r="V49" s="11">
        <v>61.73999999999997</v>
      </c>
      <c r="W49" s="13">
        <v>24</v>
      </c>
      <c r="X49" s="13">
        <v>36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137</v>
      </c>
      <c r="C50" s="10" t="s">
        <v>138</v>
      </c>
      <c r="D50" s="7" t="s">
        <v>60</v>
      </c>
      <c r="E50" s="7" t="s">
        <v>74</v>
      </c>
      <c r="F50" s="7" t="s">
        <v>75</v>
      </c>
      <c r="G50" s="7"/>
      <c r="H50" s="7" t="s">
        <v>43</v>
      </c>
      <c r="I50" s="11">
        <v>2</v>
      </c>
      <c r="J50" s="11">
        <v>3</v>
      </c>
      <c r="K50" s="11">
        <v>0</v>
      </c>
      <c r="L50" s="11">
        <v>3.94</v>
      </c>
      <c r="M50" s="11">
        <v>0</v>
      </c>
      <c r="N50" s="11">
        <v>0</v>
      </c>
      <c r="O50" s="11">
        <v>0.51</v>
      </c>
      <c r="P50" s="11">
        <v>0</v>
      </c>
      <c r="Q50" s="11">
        <v>4.45</v>
      </c>
      <c r="R50" s="11">
        <v>67.05999999999997</v>
      </c>
      <c r="S50" s="11">
        <v>71.50999999999998</v>
      </c>
      <c r="T50" s="11">
        <v>2</v>
      </c>
      <c r="U50" s="11">
        <v>3</v>
      </c>
      <c r="V50" s="11">
        <v>66.50999999999998</v>
      </c>
      <c r="W50" s="13">
        <v>24</v>
      </c>
      <c r="X50" s="13">
        <v>36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139</v>
      </c>
      <c r="C51" s="10" t="s">
        <v>140</v>
      </c>
      <c r="D51" s="7" t="s">
        <v>60</v>
      </c>
      <c r="E51" s="7" t="s">
        <v>65</v>
      </c>
      <c r="F51" s="7" t="s">
        <v>75</v>
      </c>
      <c r="G51" s="7"/>
      <c r="H51" s="7" t="s">
        <v>43</v>
      </c>
      <c r="I51" s="11">
        <v>2</v>
      </c>
      <c r="J51" s="11">
        <v>3</v>
      </c>
      <c r="K51" s="11">
        <v>0</v>
      </c>
      <c r="L51" s="11">
        <v>8.139999999999997</v>
      </c>
      <c r="M51" s="11">
        <v>0</v>
      </c>
      <c r="N51" s="11">
        <v>0</v>
      </c>
      <c r="O51" s="11">
        <v>0.51</v>
      </c>
      <c r="P51" s="11">
        <v>0</v>
      </c>
      <c r="Q51" s="11">
        <v>8.649999999999997</v>
      </c>
      <c r="R51" s="11">
        <v>97.21999999999998</v>
      </c>
      <c r="S51" s="11">
        <v>105.87</v>
      </c>
      <c r="T51" s="11">
        <v>2</v>
      </c>
      <c r="U51" s="11">
        <v>3</v>
      </c>
      <c r="V51" s="11">
        <v>100.87</v>
      </c>
      <c r="W51" s="13">
        <v>24</v>
      </c>
      <c r="X51" s="13">
        <v>36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141</v>
      </c>
      <c r="C52" s="10" t="s">
        <v>142</v>
      </c>
      <c r="D52" s="7" t="s">
        <v>48</v>
      </c>
      <c r="E52" s="7" t="s">
        <v>74</v>
      </c>
      <c r="F52" s="7" t="s">
        <v>75</v>
      </c>
      <c r="G52" s="7"/>
      <c r="H52" s="7" t="s">
        <v>43</v>
      </c>
      <c r="I52" s="11">
        <v>2</v>
      </c>
      <c r="J52" s="11">
        <v>3</v>
      </c>
      <c r="K52" s="11">
        <v>0</v>
      </c>
      <c r="L52" s="11">
        <v>8.909999999999997</v>
      </c>
      <c r="M52" s="11">
        <v>0</v>
      </c>
      <c r="N52" s="11">
        <v>0</v>
      </c>
      <c r="O52" s="11">
        <v>0.33</v>
      </c>
      <c r="P52" s="11">
        <v>0</v>
      </c>
      <c r="Q52" s="11">
        <v>9.239999999999997</v>
      </c>
      <c r="R52" s="11">
        <v>100.03</v>
      </c>
      <c r="S52" s="11">
        <v>109.27</v>
      </c>
      <c r="T52" s="11">
        <v>2</v>
      </c>
      <c r="U52" s="11">
        <v>3</v>
      </c>
      <c r="V52" s="11">
        <v>104.27</v>
      </c>
      <c r="W52" s="13">
        <v>24</v>
      </c>
      <c r="X52" s="13">
        <v>36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143</v>
      </c>
      <c r="C53" s="10" t="s">
        <v>144</v>
      </c>
      <c r="D53" s="7" t="s">
        <v>60</v>
      </c>
      <c r="E53" s="7" t="s">
        <v>74</v>
      </c>
      <c r="F53" s="7" t="s">
        <v>75</v>
      </c>
      <c r="G53" s="7"/>
      <c r="H53" s="7" t="s">
        <v>43</v>
      </c>
      <c r="I53" s="11">
        <v>2</v>
      </c>
      <c r="J53" s="11">
        <v>3</v>
      </c>
      <c r="K53" s="11">
        <v>0</v>
      </c>
      <c r="L53" s="11">
        <v>3.89</v>
      </c>
      <c r="M53" s="11">
        <v>0</v>
      </c>
      <c r="N53" s="11">
        <v>0</v>
      </c>
      <c r="O53" s="11">
        <v>0.82</v>
      </c>
      <c r="P53" s="11">
        <v>0</v>
      </c>
      <c r="Q53" s="11">
        <v>4.71</v>
      </c>
      <c r="R53" s="11">
        <v>60.73999999999999</v>
      </c>
      <c r="S53" s="11">
        <v>65.44999999999999</v>
      </c>
      <c r="T53" s="11">
        <v>2</v>
      </c>
      <c r="U53" s="11">
        <v>3</v>
      </c>
      <c r="V53" s="11">
        <v>60.44999999999999</v>
      </c>
      <c r="W53" s="13">
        <v>24</v>
      </c>
      <c r="X53" s="13">
        <v>36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145</v>
      </c>
      <c r="C54" s="10" t="s">
        <v>146</v>
      </c>
      <c r="D54" s="7" t="s">
        <v>40</v>
      </c>
      <c r="E54" s="7" t="s">
        <v>74</v>
      </c>
      <c r="F54" s="7" t="s">
        <v>75</v>
      </c>
      <c r="G54" s="7"/>
      <c r="H54" s="7" t="s">
        <v>43</v>
      </c>
      <c r="I54" s="11">
        <v>2</v>
      </c>
      <c r="J54" s="11">
        <v>3</v>
      </c>
      <c r="K54" s="11">
        <v>0</v>
      </c>
      <c r="L54" s="11">
        <v>2.15</v>
      </c>
      <c r="M54" s="11">
        <v>0</v>
      </c>
      <c r="N54" s="11">
        <v>0</v>
      </c>
      <c r="O54" s="11">
        <v>0.36</v>
      </c>
      <c r="P54" s="11">
        <v>0</v>
      </c>
      <c r="Q54" s="11">
        <v>2.51</v>
      </c>
      <c r="R54" s="11">
        <v>43.7</v>
      </c>
      <c r="S54" s="11">
        <v>46.21</v>
      </c>
      <c r="T54" s="11">
        <v>2</v>
      </c>
      <c r="U54" s="11">
        <v>3</v>
      </c>
      <c r="V54" s="11">
        <v>41.21</v>
      </c>
      <c r="W54" s="13">
        <v>24</v>
      </c>
      <c r="X54" s="13">
        <v>36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147</v>
      </c>
      <c r="C55" s="10" t="s">
        <v>148</v>
      </c>
      <c r="D55" s="7" t="s">
        <v>40</v>
      </c>
      <c r="E55" s="7" t="s">
        <v>65</v>
      </c>
      <c r="F55" s="7" t="s">
        <v>75</v>
      </c>
      <c r="G55" s="7"/>
      <c r="H55" s="7" t="s">
        <v>43</v>
      </c>
      <c r="I55" s="11">
        <v>2</v>
      </c>
      <c r="J55" s="11">
        <v>3</v>
      </c>
      <c r="K55" s="11">
        <v>0</v>
      </c>
      <c r="L55" s="11">
        <v>3.97</v>
      </c>
      <c r="M55" s="11">
        <v>0.08</v>
      </c>
      <c r="N55" s="11">
        <v>0</v>
      </c>
      <c r="O55" s="11">
        <v>1.89</v>
      </c>
      <c r="P55" s="11">
        <v>0</v>
      </c>
      <c r="Q55" s="11">
        <v>5.94</v>
      </c>
      <c r="R55" s="11">
        <v>47.97999999999999</v>
      </c>
      <c r="S55" s="11">
        <v>53.91999999999999</v>
      </c>
      <c r="T55" s="11">
        <v>2</v>
      </c>
      <c r="U55" s="11">
        <v>3</v>
      </c>
      <c r="V55" s="11">
        <v>48.91999999999999</v>
      </c>
      <c r="W55" s="13">
        <v>24</v>
      </c>
      <c r="X55" s="13">
        <v>36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149</v>
      </c>
      <c r="C56" s="10" t="s">
        <v>150</v>
      </c>
      <c r="D56" s="7" t="s">
        <v>40</v>
      </c>
      <c r="E56" s="7" t="s">
        <v>74</v>
      </c>
      <c r="F56" s="7" t="s">
        <v>75</v>
      </c>
      <c r="G56" s="7"/>
      <c r="H56" s="7" t="s">
        <v>43</v>
      </c>
      <c r="I56" s="11">
        <v>2</v>
      </c>
      <c r="J56" s="11">
        <v>3</v>
      </c>
      <c r="K56" s="11">
        <v>0</v>
      </c>
      <c r="L56" s="11">
        <v>4.1</v>
      </c>
      <c r="M56" s="11">
        <v>0</v>
      </c>
      <c r="N56" s="11">
        <v>0</v>
      </c>
      <c r="O56" s="11">
        <v>2.55</v>
      </c>
      <c r="P56" s="11">
        <v>0</v>
      </c>
      <c r="Q56" s="11">
        <v>6.649999999999999</v>
      </c>
      <c r="R56" s="11">
        <v>74.72999999999996</v>
      </c>
      <c r="S56" s="11">
        <v>81.37999999999997</v>
      </c>
      <c r="T56" s="11">
        <v>2</v>
      </c>
      <c r="U56" s="11">
        <v>3</v>
      </c>
      <c r="V56" s="11">
        <v>76.37999999999997</v>
      </c>
      <c r="W56" s="13">
        <v>24</v>
      </c>
      <c r="X56" s="13">
        <v>36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151</v>
      </c>
      <c r="C57" s="10" t="s">
        <v>152</v>
      </c>
      <c r="D57" s="7" t="s">
        <v>48</v>
      </c>
      <c r="E57" s="7" t="s">
        <v>74</v>
      </c>
      <c r="F57" s="7" t="s">
        <v>75</v>
      </c>
      <c r="G57" s="7"/>
      <c r="H57" s="7" t="s">
        <v>43</v>
      </c>
      <c r="I57" s="11">
        <v>2</v>
      </c>
      <c r="J57" s="11">
        <v>3</v>
      </c>
      <c r="K57" s="11">
        <v>0</v>
      </c>
      <c r="L57" s="11">
        <v>6.059999999999999</v>
      </c>
      <c r="M57" s="11">
        <v>0</v>
      </c>
      <c r="N57" s="11">
        <v>0</v>
      </c>
      <c r="O57" s="11">
        <v>0.5600000000000001</v>
      </c>
      <c r="P57" s="11">
        <v>0</v>
      </c>
      <c r="Q57" s="11">
        <v>6.619999999999999</v>
      </c>
      <c r="R57" s="11">
        <v>84.94999999999995</v>
      </c>
      <c r="S57" s="11">
        <v>91.56999999999995</v>
      </c>
      <c r="T57" s="11">
        <v>2</v>
      </c>
      <c r="U57" s="11">
        <v>3</v>
      </c>
      <c r="V57" s="11">
        <v>86.56999999999995</v>
      </c>
      <c r="W57" s="13">
        <v>24</v>
      </c>
      <c r="X57" s="13">
        <v>36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153</v>
      </c>
      <c r="C58" s="10" t="s">
        <v>154</v>
      </c>
      <c r="D58" s="7" t="s">
        <v>60</v>
      </c>
      <c r="E58" s="7" t="s">
        <v>74</v>
      </c>
      <c r="F58" s="7" t="s">
        <v>75</v>
      </c>
      <c r="G58" s="7"/>
      <c r="H58" s="7" t="s">
        <v>43</v>
      </c>
      <c r="I58" s="11">
        <v>2</v>
      </c>
      <c r="J58" s="11">
        <v>3</v>
      </c>
      <c r="K58" s="11">
        <v>0</v>
      </c>
      <c r="L58" s="11">
        <v>5.12</v>
      </c>
      <c r="M58" s="11">
        <v>0</v>
      </c>
      <c r="N58" s="11">
        <v>0</v>
      </c>
      <c r="O58" s="11">
        <v>0.97</v>
      </c>
      <c r="P58" s="11">
        <v>0</v>
      </c>
      <c r="Q58" s="11">
        <v>6.09</v>
      </c>
      <c r="R58" s="11">
        <v>76.93999999999994</v>
      </c>
      <c r="S58" s="11">
        <v>83.02999999999994</v>
      </c>
      <c r="T58" s="11">
        <v>2</v>
      </c>
      <c r="U58" s="11">
        <v>3</v>
      </c>
      <c r="V58" s="11">
        <v>78.02999999999994</v>
      </c>
      <c r="W58" s="13">
        <v>24</v>
      </c>
      <c r="X58" s="13">
        <v>36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155</v>
      </c>
      <c r="C59" s="10" t="s">
        <v>156</v>
      </c>
      <c r="D59" s="7" t="s">
        <v>40</v>
      </c>
      <c r="E59" s="7" t="s">
        <v>65</v>
      </c>
      <c r="F59" s="7" t="s">
        <v>75</v>
      </c>
      <c r="G59" s="7"/>
      <c r="H59" s="7" t="s">
        <v>134</v>
      </c>
      <c r="I59" s="11">
        <v>2</v>
      </c>
      <c r="J59" s="11">
        <v>3</v>
      </c>
      <c r="K59" s="11">
        <v>0.95</v>
      </c>
      <c r="L59" s="11">
        <v>1.99</v>
      </c>
      <c r="M59" s="11">
        <v>0</v>
      </c>
      <c r="N59" s="11">
        <v>0</v>
      </c>
      <c r="O59" s="11">
        <v>3.68</v>
      </c>
      <c r="P59" s="11">
        <v>1.6</v>
      </c>
      <c r="Q59" s="11">
        <v>8.220000000000001</v>
      </c>
      <c r="R59" s="11">
        <v>67.02</v>
      </c>
      <c r="S59" s="11">
        <v>75.23999999999999</v>
      </c>
      <c r="T59" s="11">
        <v>2</v>
      </c>
      <c r="U59" s="11">
        <v>3</v>
      </c>
      <c r="V59" s="11">
        <v>70.23999999999999</v>
      </c>
      <c r="W59" s="13">
        <v>24</v>
      </c>
      <c r="X59" s="13">
        <v>36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157</v>
      </c>
      <c r="C60" s="10" t="s">
        <v>158</v>
      </c>
      <c r="D60" s="7" t="s">
        <v>60</v>
      </c>
      <c r="E60" s="7" t="s">
        <v>74</v>
      </c>
      <c r="F60" s="7" t="s">
        <v>75</v>
      </c>
      <c r="G60" s="7"/>
      <c r="H60" s="7" t="s">
        <v>159</v>
      </c>
      <c r="I60" s="11">
        <v>2</v>
      </c>
      <c r="J60" s="11">
        <v>3</v>
      </c>
      <c r="K60" s="11">
        <v>1.33</v>
      </c>
      <c r="L60" s="11">
        <v>3.28</v>
      </c>
      <c r="M60" s="11">
        <v>0</v>
      </c>
      <c r="N60" s="11">
        <v>0</v>
      </c>
      <c r="O60" s="11">
        <v>8.18</v>
      </c>
      <c r="P60" s="11">
        <v>1.6</v>
      </c>
      <c r="Q60" s="11">
        <v>14.39</v>
      </c>
      <c r="R60" s="11">
        <v>120.87</v>
      </c>
      <c r="S60" s="11">
        <v>135.26</v>
      </c>
      <c r="T60" s="11">
        <v>2</v>
      </c>
      <c r="U60" s="11">
        <v>3</v>
      </c>
      <c r="V60" s="11">
        <v>130.26</v>
      </c>
      <c r="W60" s="13">
        <v>24</v>
      </c>
      <c r="X60" s="13">
        <v>36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160</v>
      </c>
      <c r="C61" s="10" t="s">
        <v>161</v>
      </c>
      <c r="D61" s="7" t="s">
        <v>48</v>
      </c>
      <c r="E61" s="7" t="s">
        <v>74</v>
      </c>
      <c r="F61" s="7" t="s">
        <v>75</v>
      </c>
      <c r="G61" s="7"/>
      <c r="H61" s="7" t="s">
        <v>134</v>
      </c>
      <c r="I61" s="11">
        <v>2</v>
      </c>
      <c r="J61" s="11">
        <v>3</v>
      </c>
      <c r="K61" s="11">
        <v>0.95</v>
      </c>
      <c r="L61" s="11">
        <v>4</v>
      </c>
      <c r="M61" s="11">
        <v>0</v>
      </c>
      <c r="N61" s="11">
        <v>0</v>
      </c>
      <c r="O61" s="11">
        <v>4.06</v>
      </c>
      <c r="P61" s="11">
        <v>0</v>
      </c>
      <c r="Q61" s="11">
        <v>9.01</v>
      </c>
      <c r="R61" s="11">
        <v>84.33999999999995</v>
      </c>
      <c r="S61" s="11">
        <v>93.34999999999995</v>
      </c>
      <c r="T61" s="11">
        <v>2</v>
      </c>
      <c r="U61" s="11">
        <v>3</v>
      </c>
      <c r="V61" s="11">
        <v>88.34999999999995</v>
      </c>
      <c r="W61" s="13">
        <v>24</v>
      </c>
      <c r="X61" s="13">
        <v>36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162</v>
      </c>
      <c r="C62" s="10" t="s">
        <v>163</v>
      </c>
      <c r="D62" s="7" t="s">
        <v>60</v>
      </c>
      <c r="E62" s="7" t="s">
        <v>74</v>
      </c>
      <c r="F62" s="7" t="s">
        <v>164</v>
      </c>
      <c r="G62" s="7"/>
      <c r="H62" s="7" t="s">
        <v>43</v>
      </c>
      <c r="I62" s="11">
        <v>2</v>
      </c>
      <c r="J62" s="11">
        <v>3</v>
      </c>
      <c r="K62" s="11">
        <v>0</v>
      </c>
      <c r="L62" s="11">
        <v>4.04</v>
      </c>
      <c r="M62" s="11">
        <v>0</v>
      </c>
      <c r="N62" s="11">
        <v>0</v>
      </c>
      <c r="O62" s="11">
        <v>0.46</v>
      </c>
      <c r="P62" s="11">
        <v>0</v>
      </c>
      <c r="Q62" s="11">
        <v>4.5</v>
      </c>
      <c r="R62" s="11">
        <v>67.92999999999998</v>
      </c>
      <c r="S62" s="11">
        <v>72.42999999999998</v>
      </c>
      <c r="T62" s="11">
        <v>2</v>
      </c>
      <c r="U62" s="11">
        <v>3</v>
      </c>
      <c r="V62" s="11">
        <v>67.42999999999998</v>
      </c>
      <c r="W62" s="13">
        <v>24</v>
      </c>
      <c r="X62" s="13">
        <v>36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165</v>
      </c>
      <c r="C63" s="10" t="s">
        <v>166</v>
      </c>
      <c r="D63" s="7" t="s">
        <v>48</v>
      </c>
      <c r="E63" s="7" t="s">
        <v>167</v>
      </c>
      <c r="F63" s="7" t="s">
        <v>168</v>
      </c>
      <c r="G63" s="7"/>
      <c r="H63" s="7" t="s">
        <v>43</v>
      </c>
      <c r="I63" s="11">
        <v>2</v>
      </c>
      <c r="J63" s="11">
        <v>3</v>
      </c>
      <c r="K63" s="11">
        <v>0</v>
      </c>
      <c r="L63" s="11">
        <v>3.170000000000001</v>
      </c>
      <c r="M63" s="11">
        <v>0</v>
      </c>
      <c r="N63" s="11">
        <v>0</v>
      </c>
      <c r="O63" s="11">
        <v>2.35</v>
      </c>
      <c r="P63" s="11">
        <v>0</v>
      </c>
      <c r="Q63" s="11">
        <v>5.520000000000001</v>
      </c>
      <c r="R63" s="11">
        <v>67.75999999999998</v>
      </c>
      <c r="S63" s="11">
        <v>73.27999999999997</v>
      </c>
      <c r="T63" s="11">
        <v>2</v>
      </c>
      <c r="U63" s="11">
        <v>3</v>
      </c>
      <c r="V63" s="11">
        <v>68.27999999999997</v>
      </c>
      <c r="W63" s="13">
        <v>24</v>
      </c>
      <c r="X63" s="13">
        <v>36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169</v>
      </c>
      <c r="C64" s="10" t="s">
        <v>170</v>
      </c>
      <c r="D64" s="7" t="s">
        <v>40</v>
      </c>
      <c r="E64" s="7" t="s">
        <v>167</v>
      </c>
      <c r="F64" s="7" t="s">
        <v>168</v>
      </c>
      <c r="G64" s="7"/>
      <c r="H64" s="7" t="s">
        <v>43</v>
      </c>
      <c r="I64" s="11">
        <v>2</v>
      </c>
      <c r="J64" s="11">
        <v>3</v>
      </c>
      <c r="K64" s="11">
        <v>0</v>
      </c>
      <c r="L64" s="11">
        <v>6.729999999999997</v>
      </c>
      <c r="M64" s="11">
        <v>0</v>
      </c>
      <c r="N64" s="11">
        <v>0</v>
      </c>
      <c r="O64" s="11">
        <v>3.08</v>
      </c>
      <c r="P64" s="11">
        <v>0</v>
      </c>
      <c r="Q64" s="11">
        <v>9.809999999999997</v>
      </c>
      <c r="R64" s="11">
        <v>101.37</v>
      </c>
      <c r="S64" s="11">
        <v>111.18</v>
      </c>
      <c r="T64" s="11">
        <v>2</v>
      </c>
      <c r="U64" s="11">
        <v>3</v>
      </c>
      <c r="V64" s="11">
        <v>106.18</v>
      </c>
      <c r="W64" s="13">
        <v>24</v>
      </c>
      <c r="X64" s="13">
        <v>36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171</v>
      </c>
      <c r="C65" s="10" t="s">
        <v>172</v>
      </c>
      <c r="D65" s="7" t="s">
        <v>48</v>
      </c>
      <c r="E65" s="7" t="s">
        <v>167</v>
      </c>
      <c r="F65" s="7" t="s">
        <v>168</v>
      </c>
      <c r="G65" s="7"/>
      <c r="H65" s="7" t="s">
        <v>43</v>
      </c>
      <c r="I65" s="11">
        <v>2</v>
      </c>
      <c r="J65" s="11">
        <v>3</v>
      </c>
      <c r="K65" s="11">
        <v>0</v>
      </c>
      <c r="L65" s="11">
        <v>5.639999999999995</v>
      </c>
      <c r="M65" s="11">
        <v>0</v>
      </c>
      <c r="N65" s="11">
        <v>0</v>
      </c>
      <c r="O65" s="11">
        <v>0.59</v>
      </c>
      <c r="P65" s="11">
        <v>0</v>
      </c>
      <c r="Q65" s="11">
        <v>6.229999999999995</v>
      </c>
      <c r="R65" s="11">
        <v>87.93999999999991</v>
      </c>
      <c r="S65" s="11">
        <v>94.1699999999999</v>
      </c>
      <c r="T65" s="11">
        <v>2</v>
      </c>
      <c r="U65" s="11">
        <v>3</v>
      </c>
      <c r="V65" s="11">
        <v>89.1699999999999</v>
      </c>
      <c r="W65" s="13">
        <v>24</v>
      </c>
      <c r="X65" s="13">
        <v>36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173</v>
      </c>
      <c r="C66" s="10" t="s">
        <v>174</v>
      </c>
      <c r="D66" s="7" t="s">
        <v>60</v>
      </c>
      <c r="E66" s="7" t="s">
        <v>175</v>
      </c>
      <c r="F66" s="7" t="s">
        <v>168</v>
      </c>
      <c r="G66" s="7"/>
      <c r="H66" s="7"/>
      <c r="I66" s="11">
        <v>2</v>
      </c>
      <c r="J66" s="11">
        <v>3</v>
      </c>
      <c r="K66" s="11">
        <v>0</v>
      </c>
      <c r="L66" s="11">
        <v>1.86</v>
      </c>
      <c r="M66" s="11">
        <v>0</v>
      </c>
      <c r="N66" s="11">
        <v>0</v>
      </c>
      <c r="O66" s="11">
        <v>2.19</v>
      </c>
      <c r="P66" s="11">
        <v>0</v>
      </c>
      <c r="Q66" s="11">
        <v>4.05</v>
      </c>
      <c r="R66" s="11">
        <v>30.79</v>
      </c>
      <c r="S66" s="11">
        <v>34.84</v>
      </c>
      <c r="T66" s="11">
        <v>2</v>
      </c>
      <c r="U66" s="11">
        <v>3</v>
      </c>
      <c r="V66" s="11">
        <v>29.84</v>
      </c>
      <c r="W66" s="13">
        <v>24</v>
      </c>
      <c r="X66" s="13">
        <v>36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176</v>
      </c>
      <c r="C67" s="10" t="s">
        <v>177</v>
      </c>
      <c r="D67" s="7" t="s">
        <v>48</v>
      </c>
      <c r="E67" s="7" t="s">
        <v>178</v>
      </c>
      <c r="F67" s="7" t="s">
        <v>168</v>
      </c>
      <c r="G67" s="7"/>
      <c r="H67" s="7" t="s">
        <v>43</v>
      </c>
      <c r="I67" s="11">
        <v>2</v>
      </c>
      <c r="J67" s="11">
        <v>3</v>
      </c>
      <c r="K67" s="11">
        <v>0</v>
      </c>
      <c r="L67" s="11">
        <v>4.3</v>
      </c>
      <c r="M67" s="11">
        <v>0</v>
      </c>
      <c r="N67" s="11">
        <v>0</v>
      </c>
      <c r="O67" s="11">
        <v>2.51</v>
      </c>
      <c r="P67" s="11">
        <v>0</v>
      </c>
      <c r="Q67" s="11">
        <v>6.81</v>
      </c>
      <c r="R67" s="11">
        <v>68.61999999999998</v>
      </c>
      <c r="S67" s="11">
        <v>75.42999999999998</v>
      </c>
      <c r="T67" s="11">
        <v>2</v>
      </c>
      <c r="U67" s="11">
        <v>3</v>
      </c>
      <c r="V67" s="11">
        <v>70.42999999999998</v>
      </c>
      <c r="W67" s="13">
        <v>24</v>
      </c>
      <c r="X67" s="13">
        <v>36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179</v>
      </c>
      <c r="C68" s="10" t="s">
        <v>180</v>
      </c>
      <c r="D68" s="7" t="s">
        <v>60</v>
      </c>
      <c r="E68" s="7" t="s">
        <v>178</v>
      </c>
      <c r="F68" s="7" t="s">
        <v>168</v>
      </c>
      <c r="G68" s="7"/>
      <c r="H68" s="7" t="s">
        <v>43</v>
      </c>
      <c r="I68" s="11">
        <v>2</v>
      </c>
      <c r="J68" s="11">
        <v>3</v>
      </c>
      <c r="K68" s="11">
        <v>0</v>
      </c>
      <c r="L68" s="11">
        <v>3.78</v>
      </c>
      <c r="M68" s="11">
        <v>0</v>
      </c>
      <c r="N68" s="11">
        <v>0</v>
      </c>
      <c r="O68" s="11">
        <v>3.12</v>
      </c>
      <c r="P68" s="11">
        <v>0</v>
      </c>
      <c r="Q68" s="11">
        <v>6.9</v>
      </c>
      <c r="R68" s="11">
        <v>71.21999999999998</v>
      </c>
      <c r="S68" s="11">
        <v>78.11999999999999</v>
      </c>
      <c r="T68" s="11">
        <v>2</v>
      </c>
      <c r="U68" s="11">
        <v>3</v>
      </c>
      <c r="V68" s="11">
        <v>73.11999999999999</v>
      </c>
      <c r="W68" s="13">
        <v>24</v>
      </c>
      <c r="X68" s="13">
        <v>36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181</v>
      </c>
      <c r="C69" s="10" t="s">
        <v>182</v>
      </c>
      <c r="D69" s="7" t="s">
        <v>48</v>
      </c>
      <c r="E69" s="7" t="s">
        <v>167</v>
      </c>
      <c r="F69" s="7" t="s">
        <v>168</v>
      </c>
      <c r="G69" s="7"/>
      <c r="H69" s="7" t="s">
        <v>43</v>
      </c>
      <c r="I69" s="11">
        <v>2</v>
      </c>
      <c r="J69" s="11">
        <v>3</v>
      </c>
      <c r="K69" s="11">
        <v>0</v>
      </c>
      <c r="L69" s="11">
        <v>7.199999999999997</v>
      </c>
      <c r="M69" s="11">
        <v>0</v>
      </c>
      <c r="N69" s="11">
        <v>0</v>
      </c>
      <c r="O69" s="11">
        <v>0.67</v>
      </c>
      <c r="P69" s="11">
        <v>0</v>
      </c>
      <c r="Q69" s="11">
        <v>7.869999999999997</v>
      </c>
      <c r="R69" s="11">
        <v>92.27999999999993</v>
      </c>
      <c r="S69" s="11">
        <v>100.1499999999999</v>
      </c>
      <c r="T69" s="11">
        <v>2</v>
      </c>
      <c r="U69" s="11">
        <v>3</v>
      </c>
      <c r="V69" s="11">
        <v>95.14999999999992</v>
      </c>
      <c r="W69" s="13">
        <v>24</v>
      </c>
      <c r="X69" s="13">
        <v>36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183</v>
      </c>
      <c r="C70" s="10" t="s">
        <v>184</v>
      </c>
      <c r="D70" s="7" t="s">
        <v>48</v>
      </c>
      <c r="E70" s="7" t="s">
        <v>167</v>
      </c>
      <c r="F70" s="7" t="s">
        <v>168</v>
      </c>
      <c r="G70" s="7"/>
      <c r="H70" s="7" t="s">
        <v>185</v>
      </c>
      <c r="I70" s="11">
        <v>2</v>
      </c>
      <c r="J70" s="11">
        <v>3</v>
      </c>
      <c r="K70" s="11">
        <v>1</v>
      </c>
      <c r="L70" s="11">
        <v>5.509999999999998</v>
      </c>
      <c r="M70" s="11">
        <v>0</v>
      </c>
      <c r="N70" s="11">
        <v>0</v>
      </c>
      <c r="O70" s="11">
        <v>4.3</v>
      </c>
      <c r="P70" s="11">
        <v>2.55</v>
      </c>
      <c r="Q70" s="11">
        <v>13.36</v>
      </c>
      <c r="R70" s="11">
        <v>145.55</v>
      </c>
      <c r="S70" s="11">
        <v>158.91</v>
      </c>
      <c r="T70" s="11">
        <v>2</v>
      </c>
      <c r="U70" s="11">
        <v>3</v>
      </c>
      <c r="V70" s="11">
        <v>153.91</v>
      </c>
      <c r="W70" s="13">
        <v>24</v>
      </c>
      <c r="X70" s="13">
        <v>36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186</v>
      </c>
      <c r="C71" s="10" t="s">
        <v>187</v>
      </c>
      <c r="D71" s="7" t="s">
        <v>40</v>
      </c>
      <c r="E71" s="7" t="s">
        <v>167</v>
      </c>
      <c r="F71" s="7" t="s">
        <v>168</v>
      </c>
      <c r="G71" s="7"/>
      <c r="H71" s="7" t="s">
        <v>98</v>
      </c>
      <c r="I71" s="11">
        <v>2</v>
      </c>
      <c r="J71" s="11">
        <v>3</v>
      </c>
      <c r="K71" s="11">
        <v>0.95</v>
      </c>
      <c r="L71" s="11">
        <v>5.909999999999997</v>
      </c>
      <c r="M71" s="11">
        <v>0</v>
      </c>
      <c r="N71" s="11">
        <v>0</v>
      </c>
      <c r="O71" s="11">
        <v>1.06</v>
      </c>
      <c r="P71" s="11">
        <v>0</v>
      </c>
      <c r="Q71" s="11">
        <v>7.919999999999997</v>
      </c>
      <c r="R71" s="11">
        <v>89.30999999999996</v>
      </c>
      <c r="S71" s="11">
        <v>97.22999999999996</v>
      </c>
      <c r="T71" s="11">
        <v>2</v>
      </c>
      <c r="U71" s="11">
        <v>3</v>
      </c>
      <c r="V71" s="11">
        <v>92.22999999999996</v>
      </c>
      <c r="W71" s="13">
        <v>24</v>
      </c>
      <c r="X71" s="13">
        <v>36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188</v>
      </c>
      <c r="C72" s="10" t="s">
        <v>189</v>
      </c>
      <c r="D72" s="7" t="s">
        <v>40</v>
      </c>
      <c r="E72" s="7" t="s">
        <v>167</v>
      </c>
      <c r="F72" s="7" t="s">
        <v>168</v>
      </c>
      <c r="G72" s="7"/>
      <c r="H72" s="7" t="s">
        <v>90</v>
      </c>
      <c r="I72" s="11">
        <v>2</v>
      </c>
      <c r="J72" s="11">
        <v>3</v>
      </c>
      <c r="K72" s="11">
        <v>0.95</v>
      </c>
      <c r="L72" s="11">
        <v>3.170000000000001</v>
      </c>
      <c r="M72" s="11">
        <v>0</v>
      </c>
      <c r="N72" s="11">
        <v>0</v>
      </c>
      <c r="O72" s="11">
        <v>0.9399999999999999</v>
      </c>
      <c r="P72" s="11">
        <v>1.9</v>
      </c>
      <c r="Q72" s="11">
        <v>6.959999999999998</v>
      </c>
      <c r="R72" s="11">
        <v>127.76</v>
      </c>
      <c r="S72" s="11">
        <v>134.72</v>
      </c>
      <c r="T72" s="11">
        <v>2</v>
      </c>
      <c r="U72" s="11">
        <v>3</v>
      </c>
      <c r="V72" s="11">
        <v>129.72</v>
      </c>
      <c r="W72" s="13">
        <v>24</v>
      </c>
      <c r="X72" s="13">
        <v>36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190</v>
      </c>
      <c r="C73" s="10" t="s">
        <v>191</v>
      </c>
      <c r="D73" s="7" t="s">
        <v>40</v>
      </c>
      <c r="E73" s="7" t="s">
        <v>178</v>
      </c>
      <c r="F73" s="7" t="s">
        <v>168</v>
      </c>
      <c r="G73" s="7"/>
      <c r="H73" s="7" t="s">
        <v>192</v>
      </c>
      <c r="I73" s="11">
        <v>2</v>
      </c>
      <c r="J73" s="11">
        <v>3</v>
      </c>
      <c r="K73" s="11">
        <v>1.33</v>
      </c>
      <c r="L73" s="11">
        <v>4.54</v>
      </c>
      <c r="M73" s="11">
        <v>0</v>
      </c>
      <c r="N73" s="11">
        <v>0</v>
      </c>
      <c r="O73" s="11">
        <v>8.199999999999999</v>
      </c>
      <c r="P73" s="11">
        <v>1.6</v>
      </c>
      <c r="Q73" s="11">
        <v>15.67</v>
      </c>
      <c r="R73" s="11">
        <v>122.63</v>
      </c>
      <c r="S73" s="11">
        <v>138.3</v>
      </c>
      <c r="T73" s="11">
        <v>2</v>
      </c>
      <c r="U73" s="11">
        <v>3</v>
      </c>
      <c r="V73" s="11">
        <v>133.3</v>
      </c>
      <c r="W73" s="13">
        <v>24</v>
      </c>
      <c r="X73" s="13">
        <v>36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193</v>
      </c>
      <c r="C74" s="10" t="s">
        <v>194</v>
      </c>
      <c r="D74" s="7" t="s">
        <v>40</v>
      </c>
      <c r="E74" s="7" t="s">
        <v>178</v>
      </c>
      <c r="F74" s="7" t="s">
        <v>168</v>
      </c>
      <c r="G74" s="7"/>
      <c r="H74" s="7" t="s">
        <v>43</v>
      </c>
      <c r="I74" s="11">
        <v>2</v>
      </c>
      <c r="J74" s="11">
        <v>3</v>
      </c>
      <c r="K74" s="11">
        <v>0</v>
      </c>
      <c r="L74" s="11">
        <v>4.940000000000001</v>
      </c>
      <c r="M74" s="11">
        <v>0</v>
      </c>
      <c r="N74" s="11">
        <v>0</v>
      </c>
      <c r="O74" s="11">
        <v>1.26</v>
      </c>
      <c r="P74" s="11">
        <v>1.9</v>
      </c>
      <c r="Q74" s="11">
        <v>8.1</v>
      </c>
      <c r="R74" s="11">
        <v>77.47999999999999</v>
      </c>
      <c r="S74" s="11">
        <v>85.57999999999998</v>
      </c>
      <c r="T74" s="11">
        <v>2</v>
      </c>
      <c r="U74" s="11">
        <v>3</v>
      </c>
      <c r="V74" s="11">
        <v>80.57999999999998</v>
      </c>
      <c r="W74" s="13">
        <v>24</v>
      </c>
      <c r="X74" s="13">
        <v>36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195</v>
      </c>
      <c r="C75" s="10" t="s">
        <v>196</v>
      </c>
      <c r="D75" s="7" t="s">
        <v>60</v>
      </c>
      <c r="E75" s="7" t="s">
        <v>167</v>
      </c>
      <c r="F75" s="7" t="s">
        <v>168</v>
      </c>
      <c r="G75" s="7"/>
      <c r="H75" s="7" t="s">
        <v>134</v>
      </c>
      <c r="I75" s="11">
        <v>2</v>
      </c>
      <c r="J75" s="11">
        <v>3</v>
      </c>
      <c r="K75" s="11">
        <v>0.95</v>
      </c>
      <c r="L75" s="11">
        <v>8.07</v>
      </c>
      <c r="M75" s="11">
        <v>0</v>
      </c>
      <c r="N75" s="11">
        <v>0</v>
      </c>
      <c r="O75" s="11">
        <v>4.66</v>
      </c>
      <c r="P75" s="11">
        <v>1.6</v>
      </c>
      <c r="Q75" s="11">
        <v>15.28</v>
      </c>
      <c r="R75" s="11">
        <v>128.7299999999999</v>
      </c>
      <c r="S75" s="11">
        <v>144.0099999999999</v>
      </c>
      <c r="T75" s="11">
        <v>2</v>
      </c>
      <c r="U75" s="11">
        <v>3</v>
      </c>
      <c r="V75" s="11">
        <v>139.0099999999999</v>
      </c>
      <c r="W75" s="13">
        <v>24</v>
      </c>
      <c r="X75" s="13">
        <v>36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197</v>
      </c>
      <c r="C76" s="10" t="s">
        <v>198</v>
      </c>
      <c r="D76" s="7" t="s">
        <v>40</v>
      </c>
      <c r="E76" s="7" t="s">
        <v>167</v>
      </c>
      <c r="F76" s="7" t="s">
        <v>168</v>
      </c>
      <c r="G76" s="7"/>
      <c r="H76" s="7" t="s">
        <v>185</v>
      </c>
      <c r="I76" s="11">
        <v>2</v>
      </c>
      <c r="J76" s="11">
        <v>3</v>
      </c>
      <c r="K76" s="11">
        <v>1</v>
      </c>
      <c r="L76" s="11">
        <v>8.040000000000003</v>
      </c>
      <c r="M76" s="11">
        <v>0</v>
      </c>
      <c r="N76" s="11">
        <v>0</v>
      </c>
      <c r="O76" s="11">
        <v>3.49</v>
      </c>
      <c r="P76" s="11">
        <v>1.6</v>
      </c>
      <c r="Q76" s="11">
        <v>14.13</v>
      </c>
      <c r="R76" s="11">
        <v>116.36</v>
      </c>
      <c r="S76" s="11">
        <v>130.49</v>
      </c>
      <c r="T76" s="11">
        <v>2</v>
      </c>
      <c r="U76" s="11">
        <v>3</v>
      </c>
      <c r="V76" s="11">
        <v>125.49</v>
      </c>
      <c r="W76" s="13">
        <v>24</v>
      </c>
      <c r="X76" s="13">
        <v>36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199</v>
      </c>
      <c r="C77" s="10" t="s">
        <v>200</v>
      </c>
      <c r="D77" s="7" t="s">
        <v>60</v>
      </c>
      <c r="E77" s="7" t="s">
        <v>178</v>
      </c>
      <c r="F77" s="7" t="s">
        <v>168</v>
      </c>
      <c r="G77" s="7"/>
      <c r="H77" s="7" t="s">
        <v>134</v>
      </c>
      <c r="I77" s="11">
        <v>2</v>
      </c>
      <c r="J77" s="11">
        <v>3</v>
      </c>
      <c r="K77" s="11">
        <v>0.95</v>
      </c>
      <c r="L77" s="11">
        <v>7.869999999999998</v>
      </c>
      <c r="M77" s="11">
        <v>0</v>
      </c>
      <c r="N77" s="11">
        <v>0</v>
      </c>
      <c r="O77" s="11">
        <v>2.04</v>
      </c>
      <c r="P77" s="11">
        <v>0</v>
      </c>
      <c r="Q77" s="11">
        <v>10.86</v>
      </c>
      <c r="R77" s="11">
        <v>125.8399999999999</v>
      </c>
      <c r="S77" s="11">
        <v>136.6999999999999</v>
      </c>
      <c r="T77" s="11">
        <v>2</v>
      </c>
      <c r="U77" s="11">
        <v>3</v>
      </c>
      <c r="V77" s="11">
        <v>131.6999999999999</v>
      </c>
      <c r="W77" s="13">
        <v>24</v>
      </c>
      <c r="X77" s="13">
        <v>36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201</v>
      </c>
      <c r="C78" s="10" t="s">
        <v>202</v>
      </c>
      <c r="D78" s="7" t="s">
        <v>48</v>
      </c>
      <c r="E78" s="7" t="s">
        <v>167</v>
      </c>
      <c r="F78" s="7" t="s">
        <v>168</v>
      </c>
      <c r="G78" s="7"/>
      <c r="H78" s="7" t="s">
        <v>98</v>
      </c>
      <c r="I78" s="11">
        <v>2</v>
      </c>
      <c r="J78" s="11">
        <v>3</v>
      </c>
      <c r="K78" s="11">
        <v>0.95</v>
      </c>
      <c r="L78" s="11">
        <v>9.249999999999995</v>
      </c>
      <c r="M78" s="11">
        <v>0</v>
      </c>
      <c r="N78" s="11">
        <v>0</v>
      </c>
      <c r="O78" s="11">
        <v>0.8500000000000001</v>
      </c>
      <c r="P78" s="11">
        <v>0</v>
      </c>
      <c r="Q78" s="11">
        <v>11.04999999999999</v>
      </c>
      <c r="R78" s="11">
        <v>119.13</v>
      </c>
      <c r="S78" s="11">
        <v>130.1799999999999</v>
      </c>
      <c r="T78" s="11">
        <v>2</v>
      </c>
      <c r="U78" s="11">
        <v>3</v>
      </c>
      <c r="V78" s="11">
        <v>125.1799999999999</v>
      </c>
      <c r="W78" s="13">
        <v>24</v>
      </c>
      <c r="X78" s="13">
        <v>36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203</v>
      </c>
      <c r="C79" s="10" t="s">
        <v>204</v>
      </c>
      <c r="D79" s="7" t="s">
        <v>48</v>
      </c>
      <c r="E79" s="7" t="s">
        <v>178</v>
      </c>
      <c r="F79" s="7" t="s">
        <v>168</v>
      </c>
      <c r="G79" s="7"/>
      <c r="H79" s="7" t="s">
        <v>43</v>
      </c>
      <c r="I79" s="11">
        <v>2</v>
      </c>
      <c r="J79" s="11">
        <v>3</v>
      </c>
      <c r="K79" s="11">
        <v>0</v>
      </c>
      <c r="L79" s="11">
        <v>5.199999999999998</v>
      </c>
      <c r="M79" s="11">
        <v>0</v>
      </c>
      <c r="N79" s="11">
        <v>0</v>
      </c>
      <c r="O79" s="11">
        <v>0.61</v>
      </c>
      <c r="P79" s="11">
        <v>0</v>
      </c>
      <c r="Q79" s="11">
        <v>5.809999999999998</v>
      </c>
      <c r="R79" s="11">
        <v>74.03999999999996</v>
      </c>
      <c r="S79" s="11">
        <v>79.84999999999997</v>
      </c>
      <c r="T79" s="11">
        <v>2</v>
      </c>
      <c r="U79" s="11">
        <v>3</v>
      </c>
      <c r="V79" s="11">
        <v>74.84999999999997</v>
      </c>
      <c r="W79" s="13">
        <v>24</v>
      </c>
      <c r="X79" s="13">
        <v>36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205</v>
      </c>
      <c r="C80" s="10" t="s">
        <v>206</v>
      </c>
      <c r="D80" s="7" t="s">
        <v>48</v>
      </c>
      <c r="E80" s="7" t="s">
        <v>167</v>
      </c>
      <c r="F80" s="7" t="s">
        <v>168</v>
      </c>
      <c r="G80" s="7"/>
      <c r="H80" s="7" t="s">
        <v>43</v>
      </c>
      <c r="I80" s="11">
        <v>2</v>
      </c>
      <c r="J80" s="11">
        <v>3</v>
      </c>
      <c r="K80" s="11">
        <v>0</v>
      </c>
      <c r="L80" s="11">
        <v>3.91</v>
      </c>
      <c r="M80" s="11">
        <v>0</v>
      </c>
      <c r="N80" s="11">
        <v>0</v>
      </c>
      <c r="O80" s="11">
        <v>0.58</v>
      </c>
      <c r="P80" s="11">
        <v>0</v>
      </c>
      <c r="Q80" s="11">
        <v>4.489999999999999</v>
      </c>
      <c r="R80" s="11">
        <v>56.20999999999999</v>
      </c>
      <c r="S80" s="11">
        <v>60.7</v>
      </c>
      <c r="T80" s="11">
        <v>2</v>
      </c>
      <c r="U80" s="11">
        <v>3</v>
      </c>
      <c r="V80" s="11">
        <v>55.7</v>
      </c>
      <c r="W80" s="13">
        <v>24</v>
      </c>
      <c r="X80" s="13">
        <v>36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207</v>
      </c>
      <c r="C81" s="10" t="s">
        <v>208</v>
      </c>
      <c r="D81" s="7" t="s">
        <v>60</v>
      </c>
      <c r="E81" s="7" t="s">
        <v>167</v>
      </c>
      <c r="F81" s="7" t="s">
        <v>168</v>
      </c>
      <c r="G81" s="7"/>
      <c r="H81" s="7" t="s">
        <v>43</v>
      </c>
      <c r="I81" s="11">
        <v>2</v>
      </c>
      <c r="J81" s="11">
        <v>3</v>
      </c>
      <c r="K81" s="11">
        <v>0</v>
      </c>
      <c r="L81" s="11">
        <v>4.02</v>
      </c>
      <c r="M81" s="11">
        <v>0</v>
      </c>
      <c r="N81" s="11">
        <v>0</v>
      </c>
      <c r="O81" s="11">
        <v>0.45</v>
      </c>
      <c r="P81" s="11">
        <v>0</v>
      </c>
      <c r="Q81" s="11">
        <v>4.470000000000001</v>
      </c>
      <c r="R81" s="11">
        <v>57.70999999999999</v>
      </c>
      <c r="S81" s="11">
        <v>62.17999999999999</v>
      </c>
      <c r="T81" s="11">
        <v>2</v>
      </c>
      <c r="U81" s="11">
        <v>3</v>
      </c>
      <c r="V81" s="11">
        <v>57.17999999999999</v>
      </c>
      <c r="W81" s="13">
        <v>24</v>
      </c>
      <c r="X81" s="13">
        <v>36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209</v>
      </c>
      <c r="C82" s="10" t="s">
        <v>210</v>
      </c>
      <c r="D82" s="7" t="s">
        <v>60</v>
      </c>
      <c r="E82" s="7" t="s">
        <v>178</v>
      </c>
      <c r="F82" s="7" t="s">
        <v>168</v>
      </c>
      <c r="G82" s="7"/>
      <c r="H82" s="7" t="s">
        <v>43</v>
      </c>
      <c r="I82" s="11">
        <v>2</v>
      </c>
      <c r="J82" s="11">
        <v>3</v>
      </c>
      <c r="K82" s="11">
        <v>0</v>
      </c>
      <c r="L82" s="11">
        <v>5.159999999999998</v>
      </c>
      <c r="M82" s="11">
        <v>0</v>
      </c>
      <c r="N82" s="11">
        <v>0</v>
      </c>
      <c r="O82" s="11">
        <v>0.46</v>
      </c>
      <c r="P82" s="11">
        <v>0</v>
      </c>
      <c r="Q82" s="11">
        <v>5.619999999999998</v>
      </c>
      <c r="R82" s="11">
        <v>79.19999999999995</v>
      </c>
      <c r="S82" s="11">
        <v>84.81999999999995</v>
      </c>
      <c r="T82" s="11">
        <v>2</v>
      </c>
      <c r="U82" s="11">
        <v>3</v>
      </c>
      <c r="V82" s="11">
        <v>79.81999999999995</v>
      </c>
      <c r="W82" s="13">
        <v>24</v>
      </c>
      <c r="X82" s="13">
        <v>36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211</v>
      </c>
      <c r="C83" s="10" t="s">
        <v>212</v>
      </c>
      <c r="D83" s="7" t="s">
        <v>60</v>
      </c>
      <c r="E83" s="7" t="s">
        <v>167</v>
      </c>
      <c r="F83" s="7" t="s">
        <v>168</v>
      </c>
      <c r="G83" s="7"/>
      <c r="H83" s="7" t="s">
        <v>43</v>
      </c>
      <c r="I83" s="11">
        <v>2</v>
      </c>
      <c r="J83" s="11">
        <v>3</v>
      </c>
      <c r="K83" s="11">
        <v>0</v>
      </c>
      <c r="L83" s="11">
        <v>3.83</v>
      </c>
      <c r="M83" s="11">
        <v>0</v>
      </c>
      <c r="N83" s="11">
        <v>0</v>
      </c>
      <c r="O83" s="11">
        <v>1.1</v>
      </c>
      <c r="P83" s="11">
        <v>0</v>
      </c>
      <c r="Q83" s="11">
        <v>4.93</v>
      </c>
      <c r="R83" s="11">
        <v>76.82999999999997</v>
      </c>
      <c r="S83" s="11">
        <v>81.75999999999996</v>
      </c>
      <c r="T83" s="11">
        <v>2</v>
      </c>
      <c r="U83" s="11">
        <v>3</v>
      </c>
      <c r="V83" s="11">
        <v>76.75999999999996</v>
      </c>
      <c r="W83" s="13">
        <v>24</v>
      </c>
      <c r="X83" s="13">
        <v>36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213</v>
      </c>
      <c r="C84" s="10" t="s">
        <v>214</v>
      </c>
      <c r="D84" s="7" t="s">
        <v>60</v>
      </c>
      <c r="E84" s="7" t="s">
        <v>167</v>
      </c>
      <c r="F84" s="7" t="s">
        <v>168</v>
      </c>
      <c r="G84" s="7"/>
      <c r="H84" s="7" t="s">
        <v>43</v>
      </c>
      <c r="I84" s="11">
        <v>2</v>
      </c>
      <c r="J84" s="11">
        <v>3</v>
      </c>
      <c r="K84" s="11">
        <v>0</v>
      </c>
      <c r="L84" s="11">
        <v>2.23</v>
      </c>
      <c r="M84" s="11">
        <v>0</v>
      </c>
      <c r="N84" s="11">
        <v>0</v>
      </c>
      <c r="O84" s="11">
        <v>0.46</v>
      </c>
      <c r="P84" s="11">
        <v>0</v>
      </c>
      <c r="Q84" s="11">
        <v>2.69</v>
      </c>
      <c r="R84" s="11">
        <v>36.84</v>
      </c>
      <c r="S84" s="11">
        <v>39.53</v>
      </c>
      <c r="T84" s="11">
        <v>2</v>
      </c>
      <c r="U84" s="11">
        <v>3</v>
      </c>
      <c r="V84" s="11">
        <v>34.53</v>
      </c>
      <c r="W84" s="13">
        <v>24</v>
      </c>
      <c r="X84" s="13">
        <v>36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215</v>
      </c>
      <c r="C85" s="10" t="s">
        <v>216</v>
      </c>
      <c r="D85" s="7" t="s">
        <v>40</v>
      </c>
      <c r="E85" s="7" t="s">
        <v>178</v>
      </c>
      <c r="F85" s="7" t="s">
        <v>168</v>
      </c>
      <c r="G85" s="7"/>
      <c r="H85" s="7" t="s">
        <v>43</v>
      </c>
      <c r="I85" s="11">
        <v>2</v>
      </c>
      <c r="J85" s="11">
        <v>3</v>
      </c>
      <c r="K85" s="11">
        <v>0</v>
      </c>
      <c r="L85" s="11">
        <v>4.949999999999999</v>
      </c>
      <c r="M85" s="11">
        <v>0</v>
      </c>
      <c r="N85" s="11">
        <v>0</v>
      </c>
      <c r="O85" s="11">
        <v>0.97</v>
      </c>
      <c r="P85" s="11">
        <v>0</v>
      </c>
      <c r="Q85" s="11">
        <v>5.919999999999999</v>
      </c>
      <c r="R85" s="11">
        <v>83.68999999999996</v>
      </c>
      <c r="S85" s="11">
        <v>89.60999999999996</v>
      </c>
      <c r="T85" s="11">
        <v>2</v>
      </c>
      <c r="U85" s="11">
        <v>3</v>
      </c>
      <c r="V85" s="11">
        <v>84.60999999999996</v>
      </c>
      <c r="W85" s="13">
        <v>24</v>
      </c>
      <c r="X85" s="13">
        <v>36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217</v>
      </c>
      <c r="C86" s="10" t="s">
        <v>218</v>
      </c>
      <c r="D86" s="7" t="s">
        <v>60</v>
      </c>
      <c r="E86" s="7" t="s">
        <v>178</v>
      </c>
      <c r="F86" s="7" t="s">
        <v>168</v>
      </c>
      <c r="G86" s="7"/>
      <c r="H86" s="7" t="s">
        <v>43</v>
      </c>
      <c r="I86" s="11">
        <v>2</v>
      </c>
      <c r="J86" s="11">
        <v>3</v>
      </c>
      <c r="K86" s="11">
        <v>0</v>
      </c>
      <c r="L86" s="11">
        <v>4.489999999999998</v>
      </c>
      <c r="M86" s="11">
        <v>0</v>
      </c>
      <c r="N86" s="11">
        <v>0</v>
      </c>
      <c r="O86" s="11">
        <v>0.47</v>
      </c>
      <c r="P86" s="11">
        <v>0</v>
      </c>
      <c r="Q86" s="11">
        <v>4.959999999999998</v>
      </c>
      <c r="R86" s="11">
        <v>60.61999999999999</v>
      </c>
      <c r="S86" s="11">
        <v>65.57999999999998</v>
      </c>
      <c r="T86" s="11">
        <v>2</v>
      </c>
      <c r="U86" s="11">
        <v>3</v>
      </c>
      <c r="V86" s="11">
        <v>60.57999999999998</v>
      </c>
      <c r="W86" s="13">
        <v>24</v>
      </c>
      <c r="X86" s="13">
        <v>36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219</v>
      </c>
      <c r="C87" s="10" t="s">
        <v>220</v>
      </c>
      <c r="D87" s="7" t="s">
        <v>40</v>
      </c>
      <c r="E87" s="7" t="s">
        <v>167</v>
      </c>
      <c r="F87" s="7" t="s">
        <v>168</v>
      </c>
      <c r="G87" s="7"/>
      <c r="H87" s="7"/>
      <c r="I87" s="11">
        <v>2</v>
      </c>
      <c r="J87" s="11">
        <v>3</v>
      </c>
      <c r="K87" s="11">
        <v>0</v>
      </c>
      <c r="L87" s="11">
        <v>0</v>
      </c>
      <c r="M87" s="11">
        <v>0</v>
      </c>
      <c r="N87" s="11">
        <v>0</v>
      </c>
      <c r="O87" s="11">
        <v>0</v>
      </c>
      <c r="P87" s="11">
        <v>0</v>
      </c>
      <c r="Q87" s="11">
        <v>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13">
        <v>24</v>
      </c>
      <c r="X87" s="13">
        <v>36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221</v>
      </c>
      <c r="C88" s="10" t="s">
        <v>222</v>
      </c>
      <c r="D88" s="7" t="s">
        <v>48</v>
      </c>
      <c r="E88" s="7" t="s">
        <v>178</v>
      </c>
      <c r="F88" s="7" t="s">
        <v>168</v>
      </c>
      <c r="G88" s="7"/>
      <c r="H88" s="7" t="s">
        <v>43</v>
      </c>
      <c r="I88" s="11">
        <v>2</v>
      </c>
      <c r="J88" s="11">
        <v>3</v>
      </c>
      <c r="K88" s="11">
        <v>0</v>
      </c>
      <c r="L88" s="11">
        <v>1.75</v>
      </c>
      <c r="M88" s="11">
        <v>0</v>
      </c>
      <c r="N88" s="11">
        <v>0</v>
      </c>
      <c r="O88" s="11">
        <v>0.59</v>
      </c>
      <c r="P88" s="11">
        <v>0</v>
      </c>
      <c r="Q88" s="11">
        <v>2.34</v>
      </c>
      <c r="R88" s="11">
        <v>49.14</v>
      </c>
      <c r="S88" s="11">
        <v>51.48</v>
      </c>
      <c r="T88" s="11">
        <v>2</v>
      </c>
      <c r="U88" s="11">
        <v>3</v>
      </c>
      <c r="V88" s="11">
        <v>46.48</v>
      </c>
      <c r="W88" s="13">
        <v>24</v>
      </c>
      <c r="X88" s="13">
        <v>36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223</v>
      </c>
      <c r="C89" s="10" t="s">
        <v>224</v>
      </c>
      <c r="D89" s="7" t="s">
        <v>60</v>
      </c>
      <c r="E89" s="7" t="s">
        <v>178</v>
      </c>
      <c r="F89" s="7" t="s">
        <v>168</v>
      </c>
      <c r="G89" s="7"/>
      <c r="H89" s="7" t="s">
        <v>43</v>
      </c>
      <c r="I89" s="11">
        <v>2</v>
      </c>
      <c r="J89" s="11">
        <v>3</v>
      </c>
      <c r="K89" s="11">
        <v>0</v>
      </c>
      <c r="L89" s="11">
        <v>4.100000000000001</v>
      </c>
      <c r="M89" s="11">
        <v>0</v>
      </c>
      <c r="N89" s="11">
        <v>0</v>
      </c>
      <c r="O89" s="11">
        <v>0.7</v>
      </c>
      <c r="P89" s="11">
        <v>0</v>
      </c>
      <c r="Q89" s="11">
        <v>4.800000000000001</v>
      </c>
      <c r="R89" s="11">
        <v>60.13999999999999</v>
      </c>
      <c r="S89" s="11">
        <v>64.94</v>
      </c>
      <c r="T89" s="11">
        <v>2</v>
      </c>
      <c r="U89" s="11">
        <v>3</v>
      </c>
      <c r="V89" s="11">
        <v>59.94</v>
      </c>
      <c r="W89" s="13">
        <v>24</v>
      </c>
      <c r="X89" s="13">
        <v>36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225</v>
      </c>
      <c r="C90" s="10" t="s">
        <v>226</v>
      </c>
      <c r="D90" s="7" t="s">
        <v>60</v>
      </c>
      <c r="E90" s="7" t="s">
        <v>167</v>
      </c>
      <c r="F90" s="7" t="s">
        <v>168</v>
      </c>
      <c r="G90" s="7"/>
      <c r="H90" s="7" t="s">
        <v>98</v>
      </c>
      <c r="I90" s="11">
        <v>2</v>
      </c>
      <c r="J90" s="11">
        <v>3</v>
      </c>
      <c r="K90" s="11">
        <v>0.95</v>
      </c>
      <c r="L90" s="11">
        <v>7.149999999999999</v>
      </c>
      <c r="M90" s="11">
        <v>0</v>
      </c>
      <c r="N90" s="11">
        <v>0</v>
      </c>
      <c r="O90" s="11">
        <v>3.86</v>
      </c>
      <c r="P90" s="11">
        <v>0</v>
      </c>
      <c r="Q90" s="11">
        <v>11.96</v>
      </c>
      <c r="R90" s="11">
        <v>135.16</v>
      </c>
      <c r="S90" s="11">
        <v>147.12</v>
      </c>
      <c r="T90" s="11">
        <v>2</v>
      </c>
      <c r="U90" s="11">
        <v>3</v>
      </c>
      <c r="V90" s="11">
        <v>142.12</v>
      </c>
      <c r="W90" s="13">
        <v>24</v>
      </c>
      <c r="X90" s="13">
        <v>36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227</v>
      </c>
      <c r="C91" s="10" t="s">
        <v>228</v>
      </c>
      <c r="D91" s="7" t="s">
        <v>60</v>
      </c>
      <c r="E91" s="7" t="s">
        <v>167</v>
      </c>
      <c r="F91" s="7" t="s">
        <v>168</v>
      </c>
      <c r="G91" s="7"/>
      <c r="H91" s="7" t="s">
        <v>43</v>
      </c>
      <c r="I91" s="11">
        <v>2</v>
      </c>
      <c r="J91" s="11">
        <v>3</v>
      </c>
      <c r="K91" s="11">
        <v>0</v>
      </c>
      <c r="L91" s="11">
        <v>5.049999999999998</v>
      </c>
      <c r="M91" s="11">
        <v>0</v>
      </c>
      <c r="N91" s="11">
        <v>0</v>
      </c>
      <c r="O91" s="11">
        <v>3.14</v>
      </c>
      <c r="P91" s="11">
        <v>0</v>
      </c>
      <c r="Q91" s="11">
        <v>8.189999999999998</v>
      </c>
      <c r="R91" s="11">
        <v>80.36999999999995</v>
      </c>
      <c r="S91" s="11">
        <v>88.55999999999995</v>
      </c>
      <c r="T91" s="11">
        <v>2</v>
      </c>
      <c r="U91" s="11">
        <v>3</v>
      </c>
      <c r="V91" s="11">
        <v>83.55999999999995</v>
      </c>
      <c r="W91" s="13">
        <v>24</v>
      </c>
      <c r="X91" s="13">
        <v>36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229</v>
      </c>
      <c r="C92" s="10" t="s">
        <v>230</v>
      </c>
      <c r="D92" s="7" t="s">
        <v>60</v>
      </c>
      <c r="E92" s="7" t="s">
        <v>178</v>
      </c>
      <c r="F92" s="7" t="s">
        <v>168</v>
      </c>
      <c r="G92" s="7"/>
      <c r="H92" s="7" t="s">
        <v>43</v>
      </c>
      <c r="I92" s="11">
        <v>2</v>
      </c>
      <c r="J92" s="11">
        <v>3</v>
      </c>
      <c r="K92" s="11">
        <v>0</v>
      </c>
      <c r="L92" s="11">
        <v>3.2</v>
      </c>
      <c r="M92" s="11">
        <v>0</v>
      </c>
      <c r="N92" s="11">
        <v>0</v>
      </c>
      <c r="O92" s="11">
        <v>0.67</v>
      </c>
      <c r="P92" s="11">
        <v>0</v>
      </c>
      <c r="Q92" s="11">
        <v>3.87</v>
      </c>
      <c r="R92" s="11">
        <v>41.17999999999999</v>
      </c>
      <c r="S92" s="11">
        <v>45.04999999999999</v>
      </c>
      <c r="T92" s="11">
        <v>2</v>
      </c>
      <c r="U92" s="11">
        <v>3</v>
      </c>
      <c r="V92" s="11">
        <v>40.04999999999999</v>
      </c>
      <c r="W92" s="13">
        <v>24</v>
      </c>
      <c r="X92" s="13">
        <v>36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231</v>
      </c>
      <c r="C93" s="10" t="s">
        <v>232</v>
      </c>
      <c r="D93" s="7" t="s">
        <v>48</v>
      </c>
      <c r="E93" s="7" t="s">
        <v>178</v>
      </c>
      <c r="F93" s="7" t="s">
        <v>168</v>
      </c>
      <c r="G93" s="7"/>
      <c r="H93" s="7" t="s">
        <v>43</v>
      </c>
      <c r="I93" s="11">
        <v>2</v>
      </c>
      <c r="J93" s="11">
        <v>3</v>
      </c>
      <c r="K93" s="11">
        <v>0</v>
      </c>
      <c r="L93" s="11">
        <v>5.1</v>
      </c>
      <c r="M93" s="11">
        <v>0</v>
      </c>
      <c r="N93" s="11">
        <v>0</v>
      </c>
      <c r="O93" s="11">
        <v>1.03</v>
      </c>
      <c r="P93" s="11">
        <v>0.95</v>
      </c>
      <c r="Q93" s="11">
        <v>7.079999999999997</v>
      </c>
      <c r="R93" s="11">
        <v>97.80999999999995</v>
      </c>
      <c r="S93" s="11">
        <v>104.8899999999999</v>
      </c>
      <c r="T93" s="11">
        <v>2</v>
      </c>
      <c r="U93" s="11">
        <v>3</v>
      </c>
      <c r="V93" s="11">
        <v>99.88999999999994</v>
      </c>
      <c r="W93" s="13">
        <v>24</v>
      </c>
      <c r="X93" s="13">
        <v>36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233</v>
      </c>
      <c r="C94" s="10" t="s">
        <v>234</v>
      </c>
      <c r="D94" s="7" t="s">
        <v>40</v>
      </c>
      <c r="E94" s="7" t="s">
        <v>175</v>
      </c>
      <c r="F94" s="7" t="s">
        <v>168</v>
      </c>
      <c r="G94" s="7"/>
      <c r="H94" s="7"/>
      <c r="I94" s="11">
        <v>2</v>
      </c>
      <c r="J94" s="11">
        <v>3</v>
      </c>
      <c r="K94" s="11">
        <v>0</v>
      </c>
      <c r="L94" s="11">
        <v>0</v>
      </c>
      <c r="M94" s="11">
        <v>0</v>
      </c>
      <c r="N94" s="11">
        <v>0</v>
      </c>
      <c r="O94" s="11">
        <v>0</v>
      </c>
      <c r="P94" s="11">
        <v>0</v>
      </c>
      <c r="Q94" s="11">
        <v>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13">
        <v>24</v>
      </c>
      <c r="X94" s="13">
        <v>36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235</v>
      </c>
      <c r="C95" s="10" t="s">
        <v>236</v>
      </c>
      <c r="D95" s="7" t="s">
        <v>48</v>
      </c>
      <c r="E95" s="7" t="s">
        <v>178</v>
      </c>
      <c r="F95" s="7" t="s">
        <v>168</v>
      </c>
      <c r="G95" s="7"/>
      <c r="H95" s="7" t="s">
        <v>43</v>
      </c>
      <c r="I95" s="11">
        <v>2</v>
      </c>
      <c r="J95" s="11">
        <v>3</v>
      </c>
      <c r="K95" s="11">
        <v>0</v>
      </c>
      <c r="L95" s="11">
        <v>4.55</v>
      </c>
      <c r="M95" s="11">
        <v>0</v>
      </c>
      <c r="N95" s="11">
        <v>0</v>
      </c>
      <c r="O95" s="11">
        <v>0.6</v>
      </c>
      <c r="P95" s="11">
        <v>0</v>
      </c>
      <c r="Q95" s="11">
        <v>5.149999999999999</v>
      </c>
      <c r="R95" s="11">
        <v>83.01999999999998</v>
      </c>
      <c r="S95" s="11">
        <v>88.16999999999999</v>
      </c>
      <c r="T95" s="11">
        <v>2</v>
      </c>
      <c r="U95" s="11">
        <v>3</v>
      </c>
      <c r="V95" s="11">
        <v>83.16999999999999</v>
      </c>
      <c r="W95" s="13">
        <v>24</v>
      </c>
      <c r="X95" s="13">
        <v>36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237</v>
      </c>
      <c r="C96" s="10" t="s">
        <v>238</v>
      </c>
      <c r="D96" s="7" t="s">
        <v>60</v>
      </c>
      <c r="E96" s="7" t="s">
        <v>167</v>
      </c>
      <c r="F96" s="7" t="s">
        <v>168</v>
      </c>
      <c r="G96" s="7"/>
      <c r="H96" s="7" t="s">
        <v>43</v>
      </c>
      <c r="I96" s="11">
        <v>2</v>
      </c>
      <c r="J96" s="11">
        <v>3</v>
      </c>
      <c r="K96" s="11">
        <v>0</v>
      </c>
      <c r="L96" s="11">
        <v>6.189999999999998</v>
      </c>
      <c r="M96" s="11">
        <v>0</v>
      </c>
      <c r="N96" s="11">
        <v>0</v>
      </c>
      <c r="O96" s="11">
        <v>0.77</v>
      </c>
      <c r="P96" s="11">
        <v>0</v>
      </c>
      <c r="Q96" s="11">
        <v>6.959999999999997</v>
      </c>
      <c r="R96" s="11">
        <v>81.34999999999994</v>
      </c>
      <c r="S96" s="11">
        <v>88.30999999999993</v>
      </c>
      <c r="T96" s="11">
        <v>2</v>
      </c>
      <c r="U96" s="11">
        <v>3</v>
      </c>
      <c r="V96" s="11">
        <v>83.30999999999993</v>
      </c>
      <c r="W96" s="13">
        <v>24</v>
      </c>
      <c r="X96" s="13">
        <v>36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239</v>
      </c>
      <c r="C97" s="10" t="s">
        <v>240</v>
      </c>
      <c r="D97" s="7" t="s">
        <v>48</v>
      </c>
      <c r="E97" s="7" t="s">
        <v>167</v>
      </c>
      <c r="F97" s="7" t="s">
        <v>168</v>
      </c>
      <c r="G97" s="7"/>
      <c r="H97" s="7" t="s">
        <v>43</v>
      </c>
      <c r="I97" s="11">
        <v>2</v>
      </c>
      <c r="J97" s="11">
        <v>3</v>
      </c>
      <c r="K97" s="11">
        <v>0</v>
      </c>
      <c r="L97" s="11">
        <v>4.529999999999999</v>
      </c>
      <c r="M97" s="11">
        <v>0</v>
      </c>
      <c r="N97" s="11">
        <v>0</v>
      </c>
      <c r="O97" s="11">
        <v>0.58</v>
      </c>
      <c r="P97" s="11">
        <v>0</v>
      </c>
      <c r="Q97" s="11">
        <v>5.109999999999999</v>
      </c>
      <c r="R97" s="11">
        <v>78.42999999999998</v>
      </c>
      <c r="S97" s="11">
        <v>83.53999999999998</v>
      </c>
      <c r="T97" s="11">
        <v>2</v>
      </c>
      <c r="U97" s="11">
        <v>3</v>
      </c>
      <c r="V97" s="11">
        <v>78.53999999999998</v>
      </c>
      <c r="W97" s="13">
        <v>24</v>
      </c>
      <c r="X97" s="13">
        <v>36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241</v>
      </c>
      <c r="C98" s="10" t="s">
        <v>242</v>
      </c>
      <c r="D98" s="7" t="s">
        <v>48</v>
      </c>
      <c r="E98" s="7" t="s">
        <v>178</v>
      </c>
      <c r="F98" s="7" t="s">
        <v>168</v>
      </c>
      <c r="G98" s="7"/>
      <c r="H98" s="7" t="s">
        <v>43</v>
      </c>
      <c r="I98" s="11">
        <v>2</v>
      </c>
      <c r="J98" s="11">
        <v>3</v>
      </c>
      <c r="K98" s="11">
        <v>0</v>
      </c>
      <c r="L98" s="11">
        <v>5.689999999999995</v>
      </c>
      <c r="M98" s="11">
        <v>0</v>
      </c>
      <c r="N98" s="11">
        <v>0</v>
      </c>
      <c r="O98" s="11">
        <v>0.9</v>
      </c>
      <c r="P98" s="11">
        <v>0</v>
      </c>
      <c r="Q98" s="11">
        <v>6.589999999999995</v>
      </c>
      <c r="R98" s="11">
        <v>93.12999999999992</v>
      </c>
      <c r="S98" s="11">
        <v>99.71999999999991</v>
      </c>
      <c r="T98" s="11">
        <v>2</v>
      </c>
      <c r="U98" s="11">
        <v>3</v>
      </c>
      <c r="V98" s="11">
        <v>94.71999999999991</v>
      </c>
      <c r="W98" s="13">
        <v>24</v>
      </c>
      <c r="X98" s="13">
        <v>36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243</v>
      </c>
      <c r="C99" s="10" t="s">
        <v>244</v>
      </c>
      <c r="D99" s="7" t="s">
        <v>60</v>
      </c>
      <c r="E99" s="7" t="s">
        <v>178</v>
      </c>
      <c r="F99" s="7" t="s">
        <v>168</v>
      </c>
      <c r="G99" s="7"/>
      <c r="H99" s="7" t="s">
        <v>43</v>
      </c>
      <c r="I99" s="11">
        <v>2</v>
      </c>
      <c r="J99" s="11">
        <v>3</v>
      </c>
      <c r="K99" s="11">
        <v>0</v>
      </c>
      <c r="L99" s="11">
        <v>5.549999999999998</v>
      </c>
      <c r="M99" s="11">
        <v>0</v>
      </c>
      <c r="N99" s="11">
        <v>0</v>
      </c>
      <c r="O99" s="11">
        <v>0.5</v>
      </c>
      <c r="P99" s="11">
        <v>0</v>
      </c>
      <c r="Q99" s="11">
        <v>6.049999999999998</v>
      </c>
      <c r="R99" s="11">
        <v>76.18999999999994</v>
      </c>
      <c r="S99" s="11">
        <v>82.23999999999994</v>
      </c>
      <c r="T99" s="11">
        <v>2</v>
      </c>
      <c r="U99" s="11">
        <v>3</v>
      </c>
      <c r="V99" s="11">
        <v>77.23999999999994</v>
      </c>
      <c r="W99" s="13">
        <v>24</v>
      </c>
      <c r="X99" s="13">
        <v>36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245</v>
      </c>
      <c r="C100" s="10" t="s">
        <v>246</v>
      </c>
      <c r="D100" s="7" t="s">
        <v>60</v>
      </c>
      <c r="E100" s="7" t="s">
        <v>178</v>
      </c>
      <c r="F100" s="7" t="s">
        <v>168</v>
      </c>
      <c r="G100" s="7"/>
      <c r="H100" s="7" t="s">
        <v>43</v>
      </c>
      <c r="I100" s="11">
        <v>2</v>
      </c>
      <c r="J100" s="11">
        <v>3</v>
      </c>
      <c r="K100" s="11">
        <v>0</v>
      </c>
      <c r="L100" s="11">
        <v>3.31</v>
      </c>
      <c r="M100" s="11">
        <v>0</v>
      </c>
      <c r="N100" s="11">
        <v>0</v>
      </c>
      <c r="O100" s="11">
        <v>1.75</v>
      </c>
      <c r="P100" s="11">
        <v>0</v>
      </c>
      <c r="Q100" s="11">
        <v>5.06</v>
      </c>
      <c r="R100" s="11">
        <v>69.66999999999997</v>
      </c>
      <c r="S100" s="11">
        <v>74.72999999999998</v>
      </c>
      <c r="T100" s="11">
        <v>2</v>
      </c>
      <c r="U100" s="11">
        <v>3</v>
      </c>
      <c r="V100" s="11">
        <v>69.72999999999998</v>
      </c>
      <c r="W100" s="13">
        <v>24</v>
      </c>
      <c r="X100" s="13">
        <v>36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247</v>
      </c>
      <c r="C101" s="10" t="s">
        <v>248</v>
      </c>
      <c r="D101" s="7" t="s">
        <v>60</v>
      </c>
      <c r="E101" s="7" t="s">
        <v>167</v>
      </c>
      <c r="F101" s="7" t="s">
        <v>168</v>
      </c>
      <c r="G101" s="7"/>
      <c r="H101" s="7" t="s">
        <v>43</v>
      </c>
      <c r="I101" s="11">
        <v>2</v>
      </c>
      <c r="J101" s="11">
        <v>3</v>
      </c>
      <c r="K101" s="11">
        <v>0</v>
      </c>
      <c r="L101" s="11">
        <v>5.399999999999999</v>
      </c>
      <c r="M101" s="11">
        <v>0</v>
      </c>
      <c r="N101" s="11">
        <v>0</v>
      </c>
      <c r="O101" s="11">
        <v>1.16</v>
      </c>
      <c r="P101" s="11">
        <v>0</v>
      </c>
      <c r="Q101" s="11">
        <v>6.56</v>
      </c>
      <c r="R101" s="11">
        <v>89.01999999999992</v>
      </c>
      <c r="S101" s="11">
        <v>95.57999999999993</v>
      </c>
      <c r="T101" s="11">
        <v>2</v>
      </c>
      <c r="U101" s="11">
        <v>3</v>
      </c>
      <c r="V101" s="11">
        <v>90.57999999999993</v>
      </c>
      <c r="W101" s="13">
        <v>24</v>
      </c>
      <c r="X101" s="13">
        <v>36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249</v>
      </c>
      <c r="C102" s="10" t="s">
        <v>250</v>
      </c>
      <c r="D102" s="7" t="s">
        <v>40</v>
      </c>
      <c r="E102" s="7" t="s">
        <v>178</v>
      </c>
      <c r="F102" s="7" t="s">
        <v>168</v>
      </c>
      <c r="G102" s="7"/>
      <c r="H102" s="7" t="s">
        <v>107</v>
      </c>
      <c r="I102" s="11">
        <v>2</v>
      </c>
      <c r="J102" s="11">
        <v>3</v>
      </c>
      <c r="K102" s="11">
        <v>0.95</v>
      </c>
      <c r="L102" s="11">
        <v>3.73</v>
      </c>
      <c r="M102" s="11">
        <v>0</v>
      </c>
      <c r="N102" s="11">
        <v>0</v>
      </c>
      <c r="O102" s="11">
        <v>3.28</v>
      </c>
      <c r="P102" s="11">
        <v>0</v>
      </c>
      <c r="Q102" s="11">
        <v>7.96</v>
      </c>
      <c r="R102" s="11">
        <v>65.99000000000001</v>
      </c>
      <c r="S102" s="11">
        <v>73.95</v>
      </c>
      <c r="T102" s="11">
        <v>2</v>
      </c>
      <c r="U102" s="11">
        <v>3</v>
      </c>
      <c r="V102" s="11">
        <v>68.95</v>
      </c>
      <c r="W102" s="13">
        <v>24</v>
      </c>
      <c r="X102" s="13">
        <v>36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251</v>
      </c>
      <c r="C103" s="10" t="s">
        <v>252</v>
      </c>
      <c r="D103" s="7" t="s">
        <v>40</v>
      </c>
      <c r="E103" s="7" t="s">
        <v>167</v>
      </c>
      <c r="F103" s="7" t="s">
        <v>168</v>
      </c>
      <c r="G103" s="7"/>
      <c r="H103" s="7" t="s">
        <v>43</v>
      </c>
      <c r="I103" s="11">
        <v>2</v>
      </c>
      <c r="J103" s="11">
        <v>3</v>
      </c>
      <c r="K103" s="11">
        <v>0</v>
      </c>
      <c r="L103" s="11">
        <v>3.15</v>
      </c>
      <c r="M103" s="11">
        <v>0</v>
      </c>
      <c r="N103" s="11">
        <v>0</v>
      </c>
      <c r="O103" s="11">
        <v>0.35</v>
      </c>
      <c r="P103" s="11">
        <v>0</v>
      </c>
      <c r="Q103" s="11">
        <v>3.5</v>
      </c>
      <c r="R103" s="11">
        <v>65.79999999999998</v>
      </c>
      <c r="S103" s="11">
        <v>69.29999999999998</v>
      </c>
      <c r="T103" s="11">
        <v>2</v>
      </c>
      <c r="U103" s="11">
        <v>3</v>
      </c>
      <c r="V103" s="11">
        <v>64.29999999999998</v>
      </c>
      <c r="W103" s="13">
        <v>24</v>
      </c>
      <c r="X103" s="13">
        <v>36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253</v>
      </c>
      <c r="C104" s="10" t="s">
        <v>254</v>
      </c>
      <c r="D104" s="7" t="s">
        <v>48</v>
      </c>
      <c r="E104" s="7" t="s">
        <v>178</v>
      </c>
      <c r="F104" s="7" t="s">
        <v>168</v>
      </c>
      <c r="G104" s="7"/>
      <c r="H104" s="7" t="s">
        <v>107</v>
      </c>
      <c r="I104" s="11">
        <v>2</v>
      </c>
      <c r="J104" s="11">
        <v>3</v>
      </c>
      <c r="K104" s="11">
        <v>0.95</v>
      </c>
      <c r="L104" s="11">
        <v>7.539999999999996</v>
      </c>
      <c r="M104" s="11">
        <v>0</v>
      </c>
      <c r="N104" s="11">
        <v>0</v>
      </c>
      <c r="O104" s="11">
        <v>4.68</v>
      </c>
      <c r="P104" s="11">
        <v>0</v>
      </c>
      <c r="Q104" s="11">
        <v>13.16999999999999</v>
      </c>
      <c r="R104" s="11">
        <v>99.84999999999995</v>
      </c>
      <c r="S104" s="11">
        <v>113.02</v>
      </c>
      <c r="T104" s="11">
        <v>2</v>
      </c>
      <c r="U104" s="11">
        <v>3</v>
      </c>
      <c r="V104" s="11">
        <v>108.02</v>
      </c>
      <c r="W104" s="13">
        <v>24</v>
      </c>
      <c r="X104" s="13">
        <v>36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255</v>
      </c>
      <c r="C105" s="10" t="s">
        <v>256</v>
      </c>
      <c r="D105" s="7" t="s">
        <v>60</v>
      </c>
      <c r="E105" s="7" t="s">
        <v>178</v>
      </c>
      <c r="F105" s="7" t="s">
        <v>168</v>
      </c>
      <c r="G105" s="7"/>
      <c r="H105" s="7" t="s">
        <v>43</v>
      </c>
      <c r="I105" s="11">
        <v>2</v>
      </c>
      <c r="J105" s="11">
        <v>3</v>
      </c>
      <c r="K105" s="11">
        <v>0</v>
      </c>
      <c r="L105" s="11">
        <v>4.73</v>
      </c>
      <c r="M105" s="11">
        <v>0</v>
      </c>
      <c r="N105" s="11">
        <v>0</v>
      </c>
      <c r="O105" s="11">
        <v>2.87</v>
      </c>
      <c r="P105" s="11">
        <v>0</v>
      </c>
      <c r="Q105" s="11">
        <v>7.6</v>
      </c>
      <c r="R105" s="11">
        <v>82.65999999999994</v>
      </c>
      <c r="S105" s="11">
        <v>90.25999999999993</v>
      </c>
      <c r="T105" s="11">
        <v>2</v>
      </c>
      <c r="U105" s="11">
        <v>3</v>
      </c>
      <c r="V105" s="11">
        <v>85.25999999999993</v>
      </c>
      <c r="W105" s="13">
        <v>24</v>
      </c>
      <c r="X105" s="13">
        <v>36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257</v>
      </c>
      <c r="C106" s="10" t="s">
        <v>258</v>
      </c>
      <c r="D106" s="7" t="s">
        <v>48</v>
      </c>
      <c r="E106" s="7" t="s">
        <v>178</v>
      </c>
      <c r="F106" s="7" t="s">
        <v>168</v>
      </c>
      <c r="G106" s="7"/>
      <c r="H106" s="7" t="s">
        <v>43</v>
      </c>
      <c r="I106" s="11">
        <v>2</v>
      </c>
      <c r="J106" s="11">
        <v>3</v>
      </c>
      <c r="K106" s="11">
        <v>0</v>
      </c>
      <c r="L106" s="11">
        <v>1.89</v>
      </c>
      <c r="M106" s="11">
        <v>0</v>
      </c>
      <c r="N106" s="11">
        <v>0</v>
      </c>
      <c r="O106" s="11">
        <v>0.76</v>
      </c>
      <c r="P106" s="11">
        <v>1.6</v>
      </c>
      <c r="Q106" s="11">
        <v>4.250000000000001</v>
      </c>
      <c r="R106" s="11">
        <v>74.59999999999997</v>
      </c>
      <c r="S106" s="11">
        <v>78.84999999999997</v>
      </c>
      <c r="T106" s="11">
        <v>2</v>
      </c>
      <c r="U106" s="11">
        <v>3</v>
      </c>
      <c r="V106" s="11">
        <v>73.84999999999997</v>
      </c>
      <c r="W106" s="13">
        <v>24</v>
      </c>
      <c r="X106" s="13">
        <v>36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259</v>
      </c>
      <c r="C107" s="10" t="s">
        <v>260</v>
      </c>
      <c r="D107" s="7" t="s">
        <v>60</v>
      </c>
      <c r="E107" s="7" t="s">
        <v>178</v>
      </c>
      <c r="F107" s="7" t="s">
        <v>168</v>
      </c>
      <c r="G107" s="7"/>
      <c r="H107" s="7" t="s">
        <v>43</v>
      </c>
      <c r="I107" s="11">
        <v>2</v>
      </c>
      <c r="J107" s="11">
        <v>3</v>
      </c>
      <c r="K107" s="11">
        <v>0</v>
      </c>
      <c r="L107" s="11">
        <v>5.109999999999999</v>
      </c>
      <c r="M107" s="11">
        <v>0</v>
      </c>
      <c r="N107" s="11">
        <v>0</v>
      </c>
      <c r="O107" s="11">
        <v>0.46</v>
      </c>
      <c r="P107" s="11">
        <v>0</v>
      </c>
      <c r="Q107" s="11">
        <v>5.569999999999999</v>
      </c>
      <c r="R107" s="11">
        <v>83.38999999999993</v>
      </c>
      <c r="S107" s="11">
        <v>88.95999999999992</v>
      </c>
      <c r="T107" s="11">
        <v>2</v>
      </c>
      <c r="U107" s="11">
        <v>3</v>
      </c>
      <c r="V107" s="11">
        <v>83.95999999999992</v>
      </c>
      <c r="W107" s="13">
        <v>24</v>
      </c>
      <c r="X107" s="13">
        <v>36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261</v>
      </c>
      <c r="C108" s="10" t="s">
        <v>262</v>
      </c>
      <c r="D108" s="7" t="s">
        <v>60</v>
      </c>
      <c r="E108" s="7" t="s">
        <v>178</v>
      </c>
      <c r="F108" s="7" t="s">
        <v>168</v>
      </c>
      <c r="G108" s="7"/>
      <c r="H108" s="7" t="s">
        <v>98</v>
      </c>
      <c r="I108" s="11">
        <v>2</v>
      </c>
      <c r="J108" s="11">
        <v>3</v>
      </c>
      <c r="K108" s="11">
        <v>0.95</v>
      </c>
      <c r="L108" s="11">
        <v>5.119999999999999</v>
      </c>
      <c r="M108" s="11">
        <v>0</v>
      </c>
      <c r="N108" s="11">
        <v>0</v>
      </c>
      <c r="O108" s="11">
        <v>1.84</v>
      </c>
      <c r="P108" s="11">
        <v>0</v>
      </c>
      <c r="Q108" s="11">
        <v>7.909999999999999</v>
      </c>
      <c r="R108" s="11">
        <v>101.9099999999999</v>
      </c>
      <c r="S108" s="11">
        <v>109.8199999999999</v>
      </c>
      <c r="T108" s="11">
        <v>2</v>
      </c>
      <c r="U108" s="11">
        <v>3</v>
      </c>
      <c r="V108" s="11">
        <v>104.8199999999999</v>
      </c>
      <c r="W108" s="13">
        <v>24</v>
      </c>
      <c r="X108" s="13">
        <v>36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263</v>
      </c>
      <c r="C109" s="10" t="s">
        <v>264</v>
      </c>
      <c r="D109" s="7" t="s">
        <v>48</v>
      </c>
      <c r="E109" s="7" t="s">
        <v>167</v>
      </c>
      <c r="F109" s="7" t="s">
        <v>168</v>
      </c>
      <c r="G109" s="7"/>
      <c r="H109" s="7" t="s">
        <v>43</v>
      </c>
      <c r="I109" s="11">
        <v>2</v>
      </c>
      <c r="J109" s="11">
        <v>3</v>
      </c>
      <c r="K109" s="11">
        <v>0</v>
      </c>
      <c r="L109" s="11">
        <v>5.279999999999999</v>
      </c>
      <c r="M109" s="11">
        <v>0</v>
      </c>
      <c r="N109" s="11">
        <v>0</v>
      </c>
      <c r="O109" s="11">
        <v>0.5600000000000001</v>
      </c>
      <c r="P109" s="11">
        <v>0</v>
      </c>
      <c r="Q109" s="11">
        <v>5.84</v>
      </c>
      <c r="R109" s="11">
        <v>76.10999999999996</v>
      </c>
      <c r="S109" s="11">
        <v>81.94999999999996</v>
      </c>
      <c r="T109" s="11">
        <v>2</v>
      </c>
      <c r="U109" s="11">
        <v>3</v>
      </c>
      <c r="V109" s="11">
        <v>76.94999999999996</v>
      </c>
      <c r="W109" s="13">
        <v>24</v>
      </c>
      <c r="X109" s="13">
        <v>36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265</v>
      </c>
      <c r="C110" s="10" t="s">
        <v>266</v>
      </c>
      <c r="D110" s="7" t="s">
        <v>48</v>
      </c>
      <c r="E110" s="7" t="s">
        <v>178</v>
      </c>
      <c r="F110" s="7" t="s">
        <v>168</v>
      </c>
      <c r="G110" s="7"/>
      <c r="H110" s="7" t="s">
        <v>43</v>
      </c>
      <c r="I110" s="11">
        <v>2</v>
      </c>
      <c r="J110" s="11">
        <v>3</v>
      </c>
      <c r="K110" s="11">
        <v>0</v>
      </c>
      <c r="L110" s="11">
        <v>4.699999999999999</v>
      </c>
      <c r="M110" s="11">
        <v>0</v>
      </c>
      <c r="N110" s="11">
        <v>0</v>
      </c>
      <c r="O110" s="11">
        <v>0.5700000000000001</v>
      </c>
      <c r="P110" s="11">
        <v>0</v>
      </c>
      <c r="Q110" s="11">
        <v>5.27</v>
      </c>
      <c r="R110" s="11">
        <v>70.54999999999998</v>
      </c>
      <c r="S110" s="11">
        <v>75.81999999999998</v>
      </c>
      <c r="T110" s="11">
        <v>2</v>
      </c>
      <c r="U110" s="11">
        <v>3</v>
      </c>
      <c r="V110" s="11">
        <v>70.81999999999998</v>
      </c>
      <c r="W110" s="13">
        <v>24</v>
      </c>
      <c r="X110" s="13">
        <v>36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/>
      <c r="AC110" s="15"/>
      <c r="AD110" s="1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1" spans="1:676">
      <c r="A111" s="7">
        <v>101</v>
      </c>
      <c r="B111" s="7" t="s">
        <v>267</v>
      </c>
      <c r="C111" s="10" t="s">
        <v>268</v>
      </c>
      <c r="D111" s="7" t="s">
        <v>60</v>
      </c>
      <c r="E111" s="7" t="s">
        <v>178</v>
      </c>
      <c r="F111" s="7" t="s">
        <v>168</v>
      </c>
      <c r="G111" s="7"/>
      <c r="H111" s="7" t="s">
        <v>43</v>
      </c>
      <c r="I111" s="11">
        <v>2</v>
      </c>
      <c r="J111" s="11">
        <v>3</v>
      </c>
      <c r="K111" s="11">
        <v>0</v>
      </c>
      <c r="L111" s="11">
        <v>3.720000000000001</v>
      </c>
      <c r="M111" s="11">
        <v>0</v>
      </c>
      <c r="N111" s="11">
        <v>0</v>
      </c>
      <c r="O111" s="11">
        <v>0.64</v>
      </c>
      <c r="P111" s="11">
        <v>0</v>
      </c>
      <c r="Q111" s="11">
        <v>4.36</v>
      </c>
      <c r="R111" s="11">
        <v>66.58999999999999</v>
      </c>
      <c r="S111" s="11">
        <v>70.94999999999999</v>
      </c>
      <c r="T111" s="11">
        <v>2</v>
      </c>
      <c r="U111" s="11">
        <v>3</v>
      </c>
      <c r="V111" s="11">
        <v>65.94999999999999</v>
      </c>
      <c r="W111" s="13">
        <v>24</v>
      </c>
      <c r="X111" s="13">
        <v>36</v>
      </c>
      <c r="Y111" s="13" t="str">
        <f>MIN(W111,S111)</f>
        <v>0</v>
      </c>
      <c r="Z111" s="13" t="str">
        <f>MIN(X111,(S111-Y111))</f>
        <v>0</v>
      </c>
      <c r="AA111" s="13" t="str">
        <f>S111-SUM(Y111,Z111)</f>
        <v>0</v>
      </c>
      <c r="AB111" s="15"/>
      <c r="AC111" s="15"/>
      <c r="AD111" s="1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</row>
    <row r="112" spans="1:676">
      <c r="A112" s="7">
        <v>102</v>
      </c>
      <c r="B112" s="7" t="s">
        <v>269</v>
      </c>
      <c r="C112" s="10" t="s">
        <v>270</v>
      </c>
      <c r="D112" s="7" t="s">
        <v>60</v>
      </c>
      <c r="E112" s="7" t="s">
        <v>175</v>
      </c>
      <c r="F112" s="7" t="s">
        <v>168</v>
      </c>
      <c r="G112" s="7"/>
      <c r="H112" s="7" t="s">
        <v>43</v>
      </c>
      <c r="I112" s="11">
        <v>2</v>
      </c>
      <c r="J112" s="11">
        <v>3</v>
      </c>
      <c r="K112" s="11">
        <v>0</v>
      </c>
      <c r="L112" s="11">
        <v>5.29</v>
      </c>
      <c r="M112" s="11">
        <v>0</v>
      </c>
      <c r="N112" s="11">
        <v>0</v>
      </c>
      <c r="O112" s="11">
        <v>0.9399999999999999</v>
      </c>
      <c r="P112" s="11">
        <v>0</v>
      </c>
      <c r="Q112" s="11">
        <v>6.23</v>
      </c>
      <c r="R112" s="11">
        <v>78.49999999999996</v>
      </c>
      <c r="S112" s="11">
        <v>84.72999999999996</v>
      </c>
      <c r="T112" s="11">
        <v>2</v>
      </c>
      <c r="U112" s="11">
        <v>3</v>
      </c>
      <c r="V112" s="11">
        <v>79.72999999999996</v>
      </c>
      <c r="W112" s="13">
        <v>24</v>
      </c>
      <c r="X112" s="13">
        <v>36</v>
      </c>
      <c r="Y112" s="13" t="str">
        <f>MIN(W112,S112)</f>
        <v>0</v>
      </c>
      <c r="Z112" s="13" t="str">
        <f>MIN(X112,(S112-Y112))</f>
        <v>0</v>
      </c>
      <c r="AA112" s="13" t="str">
        <f>S112-SUM(Y112,Z112)</f>
        <v>0</v>
      </c>
      <c r="AB112" s="15"/>
      <c r="AC112" s="15"/>
      <c r="AD112" s="1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</row>
    <row r="113" spans="1:676">
      <c r="A113" s="7">
        <v>103</v>
      </c>
      <c r="B113" s="7" t="s">
        <v>271</v>
      </c>
      <c r="C113" s="10" t="s">
        <v>272</v>
      </c>
      <c r="D113" s="7" t="s">
        <v>40</v>
      </c>
      <c r="E113" s="7" t="s">
        <v>178</v>
      </c>
      <c r="F113" s="7" t="s">
        <v>168</v>
      </c>
      <c r="G113" s="7"/>
      <c r="H113" s="7" t="s">
        <v>43</v>
      </c>
      <c r="I113" s="11">
        <v>2</v>
      </c>
      <c r="J113" s="11">
        <v>3</v>
      </c>
      <c r="K113" s="11">
        <v>0</v>
      </c>
      <c r="L113" s="11">
        <v>2.4</v>
      </c>
      <c r="M113" s="11">
        <v>0.08</v>
      </c>
      <c r="N113" s="11">
        <v>0</v>
      </c>
      <c r="O113" s="11">
        <v>0.39</v>
      </c>
      <c r="P113" s="11">
        <v>0</v>
      </c>
      <c r="Q113" s="11">
        <v>2.870000000000001</v>
      </c>
      <c r="R113" s="11">
        <v>53.75999999999999</v>
      </c>
      <c r="S113" s="11">
        <v>56.62999999999999</v>
      </c>
      <c r="T113" s="11">
        <v>2</v>
      </c>
      <c r="U113" s="11">
        <v>3</v>
      </c>
      <c r="V113" s="11">
        <v>51.62999999999999</v>
      </c>
      <c r="W113" s="13">
        <v>24</v>
      </c>
      <c r="X113" s="13">
        <v>36</v>
      </c>
      <c r="Y113" s="13" t="str">
        <f>MIN(W113,S113)</f>
        <v>0</v>
      </c>
      <c r="Z113" s="13" t="str">
        <f>MIN(X113,(S113-Y113))</f>
        <v>0</v>
      </c>
      <c r="AA113" s="13" t="str">
        <f>S113-SUM(Y113,Z113)</f>
        <v>0</v>
      </c>
      <c r="AB113" s="15"/>
      <c r="AC113" s="15"/>
      <c r="AD113" s="1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  <c r="MN113" s="5"/>
      <c r="MO113" s="5"/>
      <c r="MP113" s="5"/>
      <c r="MQ113" s="5"/>
      <c r="MR113" s="5"/>
      <c r="MS113" s="5"/>
      <c r="MT113" s="5"/>
      <c r="MU113" s="5"/>
      <c r="MV113" s="5"/>
      <c r="MW113" s="5"/>
      <c r="MX113" s="5"/>
      <c r="MY113" s="5"/>
      <c r="MZ113" s="5"/>
      <c r="NA113" s="5"/>
      <c r="NB113" s="5"/>
      <c r="NC113" s="5"/>
      <c r="ND113" s="5"/>
      <c r="NE113" s="5"/>
      <c r="NF113" s="5"/>
      <c r="NG113" s="5"/>
      <c r="NH113" s="5"/>
      <c r="NI113" s="5"/>
      <c r="NJ113" s="5"/>
      <c r="NK113" s="5"/>
      <c r="NL113" s="5"/>
      <c r="NM113" s="5"/>
      <c r="NN113" s="5"/>
      <c r="NO113" s="5"/>
      <c r="NP113" s="5"/>
      <c r="NQ113" s="5"/>
      <c r="NR113" s="5"/>
      <c r="NS113" s="5"/>
      <c r="NT113" s="5"/>
      <c r="NU113" s="5"/>
      <c r="NV113" s="5"/>
      <c r="NW113" s="5"/>
      <c r="NX113" s="5"/>
      <c r="NY113" s="5"/>
      <c r="NZ113" s="5"/>
      <c r="OA113" s="5"/>
      <c r="OB113" s="5"/>
      <c r="OC113" s="5"/>
      <c r="OD113" s="5"/>
      <c r="OE113" s="5"/>
      <c r="OF113" s="5"/>
      <c r="OG113" s="5"/>
      <c r="OH113" s="5"/>
      <c r="OI113" s="5"/>
      <c r="OJ113" s="5"/>
      <c r="OK113" s="5"/>
      <c r="OL113" s="5"/>
      <c r="OM113" s="5"/>
      <c r="ON113" s="5"/>
      <c r="OO113" s="5"/>
      <c r="OP113" s="5"/>
      <c r="OQ113" s="5"/>
      <c r="OR113" s="5"/>
      <c r="OS113" s="5"/>
      <c r="OT113" s="5"/>
      <c r="OU113" s="5"/>
      <c r="OV113" s="5"/>
      <c r="OW113" s="5"/>
      <c r="OX113" s="5"/>
      <c r="OY113" s="5"/>
      <c r="OZ113" s="5"/>
      <c r="PA113" s="5"/>
      <c r="PB113" s="5"/>
      <c r="PC113" s="5"/>
      <c r="PD113" s="5"/>
      <c r="PE113" s="5"/>
      <c r="PF113" s="5"/>
      <c r="PG113" s="5"/>
      <c r="PH113" s="5"/>
      <c r="PI113" s="5"/>
      <c r="PJ113" s="5"/>
      <c r="PK113" s="5"/>
      <c r="PL113" s="5"/>
      <c r="PM113" s="5"/>
      <c r="PN113" s="5"/>
      <c r="PO113" s="5"/>
      <c r="PP113" s="5"/>
      <c r="PQ113" s="5"/>
      <c r="PR113" s="5"/>
      <c r="PS113" s="5"/>
      <c r="PT113" s="5"/>
      <c r="PU113" s="5"/>
      <c r="PV113" s="5"/>
      <c r="PW113" s="5"/>
      <c r="PX113" s="5"/>
      <c r="PY113" s="5"/>
      <c r="PZ113" s="5"/>
      <c r="QA113" s="5"/>
      <c r="QB113" s="5"/>
      <c r="QC113" s="5"/>
      <c r="QD113" s="5"/>
      <c r="QE113" s="5"/>
      <c r="QF113" s="5"/>
      <c r="QG113" s="5"/>
      <c r="QH113" s="5"/>
      <c r="QI113" s="5"/>
      <c r="QJ113" s="5"/>
      <c r="QK113" s="5"/>
      <c r="QL113" s="5"/>
      <c r="QM113" s="5"/>
      <c r="QN113" s="5"/>
      <c r="QO113" s="5"/>
      <c r="QP113" s="5"/>
      <c r="QQ113" s="5"/>
      <c r="QR113" s="5"/>
      <c r="QS113" s="5"/>
      <c r="QT113" s="5"/>
      <c r="QU113" s="5"/>
      <c r="QV113" s="5"/>
      <c r="QW113" s="5"/>
      <c r="QX113" s="5"/>
      <c r="QY113" s="5"/>
      <c r="QZ113" s="5"/>
      <c r="RA113" s="5"/>
      <c r="RB113" s="5"/>
      <c r="RC113" s="5"/>
      <c r="RD113" s="5"/>
      <c r="RE113" s="5"/>
      <c r="RF113" s="5"/>
      <c r="RG113" s="5"/>
      <c r="RH113" s="5"/>
      <c r="RI113" s="5"/>
      <c r="RJ113" s="5"/>
      <c r="RK113" s="5"/>
      <c r="RL113" s="5"/>
      <c r="RM113" s="5"/>
      <c r="RN113" s="5"/>
      <c r="RO113" s="5"/>
      <c r="RP113" s="5"/>
      <c r="RQ113" s="5"/>
      <c r="RR113" s="5"/>
      <c r="RS113" s="5"/>
      <c r="RT113" s="5"/>
      <c r="RU113" s="5"/>
      <c r="RV113" s="5"/>
      <c r="RW113" s="5"/>
      <c r="RX113" s="5"/>
      <c r="RY113" s="5"/>
      <c r="RZ113" s="5"/>
      <c r="SA113" s="5"/>
      <c r="SB113" s="5"/>
      <c r="SC113" s="5"/>
      <c r="SD113" s="5"/>
      <c r="SE113" s="5"/>
      <c r="SF113" s="5"/>
      <c r="SG113" s="5"/>
      <c r="SH113" s="5"/>
      <c r="SI113" s="5"/>
      <c r="SJ113" s="5"/>
      <c r="SK113" s="5"/>
      <c r="SL113" s="5"/>
      <c r="SM113" s="5"/>
      <c r="SN113" s="5"/>
      <c r="SO113" s="5"/>
      <c r="SP113" s="5"/>
      <c r="SQ113" s="5"/>
      <c r="SR113" s="5"/>
      <c r="SS113" s="5"/>
      <c r="ST113" s="5"/>
      <c r="SU113" s="5"/>
      <c r="SV113" s="5"/>
      <c r="SW113" s="5"/>
      <c r="SX113" s="5"/>
      <c r="SY113" s="5"/>
      <c r="SZ113" s="5"/>
      <c r="TA113" s="5"/>
      <c r="TB113" s="5"/>
      <c r="TC113" s="5"/>
      <c r="TD113" s="5"/>
      <c r="TE113" s="5"/>
      <c r="TF113" s="5"/>
      <c r="TG113" s="5"/>
      <c r="TH113" s="5"/>
      <c r="TI113" s="5"/>
      <c r="TJ113" s="5"/>
      <c r="TK113" s="5"/>
      <c r="TL113" s="5"/>
      <c r="TM113" s="5"/>
      <c r="TN113" s="5"/>
      <c r="TO113" s="5"/>
      <c r="TP113" s="5"/>
      <c r="TQ113" s="5"/>
      <c r="TR113" s="5"/>
      <c r="TS113" s="5"/>
      <c r="TT113" s="5"/>
      <c r="TU113" s="5"/>
      <c r="TV113" s="5"/>
      <c r="TW113" s="5"/>
      <c r="TX113" s="5"/>
      <c r="TY113" s="5"/>
      <c r="TZ113" s="5"/>
      <c r="UA113" s="5"/>
      <c r="UB113" s="5"/>
      <c r="UC113" s="5"/>
      <c r="UD113" s="5"/>
      <c r="UE113" s="5"/>
      <c r="UF113" s="5"/>
      <c r="UG113" s="5"/>
      <c r="UH113" s="5"/>
      <c r="UI113" s="5"/>
      <c r="UJ113" s="5"/>
      <c r="UK113" s="5"/>
      <c r="UL113" s="5"/>
      <c r="UM113" s="5"/>
      <c r="UN113" s="5"/>
      <c r="UO113" s="5"/>
      <c r="UP113" s="5"/>
      <c r="UQ113" s="5"/>
      <c r="UR113" s="5"/>
      <c r="US113" s="5"/>
      <c r="UT113" s="5"/>
      <c r="UU113" s="5"/>
      <c r="UV113" s="5"/>
      <c r="UW113" s="5"/>
      <c r="UX113" s="5"/>
      <c r="UY113" s="5"/>
      <c r="UZ113" s="5"/>
      <c r="VA113" s="5"/>
      <c r="VB113" s="5"/>
      <c r="VC113" s="5"/>
      <c r="VD113" s="5"/>
      <c r="VE113" s="5"/>
      <c r="VF113" s="5"/>
      <c r="VG113" s="5"/>
      <c r="VH113" s="5"/>
      <c r="VI113" s="5"/>
      <c r="VJ113" s="5"/>
      <c r="VK113" s="5"/>
      <c r="VL113" s="5"/>
      <c r="VM113" s="5"/>
      <c r="VN113" s="5"/>
      <c r="VO113" s="5"/>
      <c r="VP113" s="5"/>
      <c r="VQ113" s="5"/>
      <c r="VR113" s="5"/>
      <c r="VS113" s="5"/>
      <c r="VT113" s="5"/>
      <c r="VU113" s="5"/>
      <c r="VV113" s="5"/>
      <c r="VW113" s="5"/>
      <c r="VX113" s="5"/>
      <c r="VY113" s="5"/>
      <c r="VZ113" s="5"/>
      <c r="WA113" s="5"/>
      <c r="WB113" s="5"/>
      <c r="WC113" s="5"/>
      <c r="WD113" s="5"/>
      <c r="WE113" s="5"/>
      <c r="WF113" s="5"/>
      <c r="WG113" s="5"/>
      <c r="WH113" s="5"/>
      <c r="WI113" s="5"/>
      <c r="WJ113" s="5"/>
      <c r="WK113" s="5"/>
      <c r="WL113" s="5"/>
      <c r="WM113" s="5"/>
      <c r="WN113" s="5"/>
      <c r="WO113" s="5"/>
      <c r="WP113" s="5"/>
      <c r="WQ113" s="5"/>
      <c r="WR113" s="5"/>
      <c r="WS113" s="5"/>
      <c r="WT113" s="5"/>
      <c r="WU113" s="5"/>
      <c r="WV113" s="5"/>
      <c r="WW113" s="5"/>
      <c r="WX113" s="5"/>
      <c r="WY113" s="5"/>
      <c r="WZ113" s="5"/>
      <c r="XA113" s="5"/>
      <c r="XB113" s="5"/>
      <c r="XC113" s="5"/>
      <c r="XD113" s="5"/>
      <c r="XE113" s="5"/>
      <c r="XF113" s="5"/>
      <c r="XG113" s="5"/>
      <c r="XH113" s="5"/>
      <c r="XI113" s="5"/>
      <c r="XJ113" s="5"/>
      <c r="XK113" s="5"/>
      <c r="XL113" s="5"/>
      <c r="XM113" s="5"/>
      <c r="XN113" s="5"/>
      <c r="XO113" s="5"/>
      <c r="XP113" s="5"/>
      <c r="XQ113" s="5"/>
      <c r="XR113" s="5"/>
      <c r="XS113" s="5"/>
      <c r="XT113" s="5"/>
      <c r="XU113" s="5"/>
      <c r="XV113" s="5"/>
      <c r="XW113" s="5"/>
      <c r="XX113" s="5"/>
      <c r="XY113" s="5"/>
      <c r="XZ113" s="5"/>
      <c r="YA113" s="5"/>
      <c r="YB113" s="5"/>
      <c r="YC113" s="5"/>
      <c r="YD113" s="5"/>
      <c r="YE113" s="5"/>
      <c r="YF113" s="5"/>
      <c r="YG113" s="5"/>
      <c r="YH113" s="5"/>
      <c r="YI113" s="5"/>
      <c r="YJ113" s="5"/>
      <c r="YK113" s="5"/>
      <c r="YL113" s="5"/>
      <c r="YM113" s="5"/>
      <c r="YN113" s="5"/>
      <c r="YO113" s="5"/>
      <c r="YP113" s="5"/>
      <c r="YQ113" s="5"/>
      <c r="YR113" s="5"/>
      <c r="YS113" s="5"/>
      <c r="YT113" s="5"/>
      <c r="YU113" s="5"/>
      <c r="YV113" s="5"/>
      <c r="YW113" s="5"/>
      <c r="YX113" s="5"/>
      <c r="YY113" s="5"/>
      <c r="YZ113" s="5"/>
    </row>
    <row r="114" spans="1:676">
      <c r="A114" s="7">
        <v>104</v>
      </c>
      <c r="B114" s="7" t="s">
        <v>273</v>
      </c>
      <c r="C114" s="10" t="s">
        <v>274</v>
      </c>
      <c r="D114" s="7" t="s">
        <v>48</v>
      </c>
      <c r="E114" s="7" t="s">
        <v>167</v>
      </c>
      <c r="F114" s="7" t="s">
        <v>168</v>
      </c>
      <c r="G114" s="7"/>
      <c r="H114" s="7" t="s">
        <v>43</v>
      </c>
      <c r="I114" s="11">
        <v>2</v>
      </c>
      <c r="J114" s="11">
        <v>3</v>
      </c>
      <c r="K114" s="11">
        <v>0</v>
      </c>
      <c r="L114" s="11">
        <v>4.659999999999998</v>
      </c>
      <c r="M114" s="11">
        <v>0</v>
      </c>
      <c r="N114" s="11">
        <v>0</v>
      </c>
      <c r="O114" s="11">
        <v>0.58</v>
      </c>
      <c r="P114" s="11">
        <v>0</v>
      </c>
      <c r="Q114" s="11">
        <v>5.239999999999998</v>
      </c>
      <c r="R114" s="11">
        <v>77.35999999999997</v>
      </c>
      <c r="S114" s="11">
        <v>82.59999999999997</v>
      </c>
      <c r="T114" s="11">
        <v>2</v>
      </c>
      <c r="U114" s="11">
        <v>3</v>
      </c>
      <c r="V114" s="11">
        <v>77.59999999999997</v>
      </c>
      <c r="W114" s="13">
        <v>24</v>
      </c>
      <c r="X114" s="13">
        <v>36</v>
      </c>
      <c r="Y114" s="13" t="str">
        <f>MIN(W114,S114)</f>
        <v>0</v>
      </c>
      <c r="Z114" s="13" t="str">
        <f>MIN(X114,(S114-Y114))</f>
        <v>0</v>
      </c>
      <c r="AA114" s="13" t="str">
        <f>S114-SUM(Y114,Z114)</f>
        <v>0</v>
      </c>
      <c r="AB114" s="15"/>
      <c r="AC114" s="15"/>
      <c r="AD114" s="1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  <c r="MN114" s="5"/>
      <c r="MO114" s="5"/>
      <c r="MP114" s="5"/>
      <c r="MQ114" s="5"/>
      <c r="MR114" s="5"/>
      <c r="MS114" s="5"/>
      <c r="MT114" s="5"/>
      <c r="MU114" s="5"/>
      <c r="MV114" s="5"/>
      <c r="MW114" s="5"/>
      <c r="MX114" s="5"/>
      <c r="MY114" s="5"/>
      <c r="MZ114" s="5"/>
      <c r="NA114" s="5"/>
      <c r="NB114" s="5"/>
      <c r="NC114" s="5"/>
      <c r="ND114" s="5"/>
      <c r="NE114" s="5"/>
      <c r="NF114" s="5"/>
      <c r="NG114" s="5"/>
      <c r="NH114" s="5"/>
      <c r="NI114" s="5"/>
      <c r="NJ114" s="5"/>
      <c r="NK114" s="5"/>
      <c r="NL114" s="5"/>
      <c r="NM114" s="5"/>
      <c r="NN114" s="5"/>
      <c r="NO114" s="5"/>
      <c r="NP114" s="5"/>
      <c r="NQ114" s="5"/>
      <c r="NR114" s="5"/>
      <c r="NS114" s="5"/>
      <c r="NT114" s="5"/>
      <c r="NU114" s="5"/>
      <c r="NV114" s="5"/>
      <c r="NW114" s="5"/>
      <c r="NX114" s="5"/>
      <c r="NY114" s="5"/>
      <c r="NZ114" s="5"/>
      <c r="OA114" s="5"/>
      <c r="OB114" s="5"/>
      <c r="OC114" s="5"/>
      <c r="OD114" s="5"/>
      <c r="OE114" s="5"/>
      <c r="OF114" s="5"/>
      <c r="OG114" s="5"/>
      <c r="OH114" s="5"/>
      <c r="OI114" s="5"/>
      <c r="OJ114" s="5"/>
      <c r="OK114" s="5"/>
      <c r="OL114" s="5"/>
      <c r="OM114" s="5"/>
      <c r="ON114" s="5"/>
      <c r="OO114" s="5"/>
      <c r="OP114" s="5"/>
      <c r="OQ114" s="5"/>
      <c r="OR114" s="5"/>
      <c r="OS114" s="5"/>
      <c r="OT114" s="5"/>
      <c r="OU114" s="5"/>
      <c r="OV114" s="5"/>
      <c r="OW114" s="5"/>
      <c r="OX114" s="5"/>
      <c r="OY114" s="5"/>
      <c r="OZ114" s="5"/>
      <c r="PA114" s="5"/>
      <c r="PB114" s="5"/>
      <c r="PC114" s="5"/>
      <c r="PD114" s="5"/>
      <c r="PE114" s="5"/>
      <c r="PF114" s="5"/>
      <c r="PG114" s="5"/>
      <c r="PH114" s="5"/>
      <c r="PI114" s="5"/>
      <c r="PJ114" s="5"/>
      <c r="PK114" s="5"/>
      <c r="PL114" s="5"/>
      <c r="PM114" s="5"/>
      <c r="PN114" s="5"/>
      <c r="PO114" s="5"/>
      <c r="PP114" s="5"/>
      <c r="PQ114" s="5"/>
      <c r="PR114" s="5"/>
      <c r="PS114" s="5"/>
      <c r="PT114" s="5"/>
      <c r="PU114" s="5"/>
      <c r="PV114" s="5"/>
      <c r="PW114" s="5"/>
      <c r="PX114" s="5"/>
      <c r="PY114" s="5"/>
      <c r="PZ114" s="5"/>
      <c r="QA114" s="5"/>
      <c r="QB114" s="5"/>
      <c r="QC114" s="5"/>
      <c r="QD114" s="5"/>
      <c r="QE114" s="5"/>
      <c r="QF114" s="5"/>
      <c r="QG114" s="5"/>
      <c r="QH114" s="5"/>
      <c r="QI114" s="5"/>
      <c r="QJ114" s="5"/>
      <c r="QK114" s="5"/>
      <c r="QL114" s="5"/>
      <c r="QM114" s="5"/>
      <c r="QN114" s="5"/>
      <c r="QO114" s="5"/>
      <c r="QP114" s="5"/>
      <c r="QQ114" s="5"/>
      <c r="QR114" s="5"/>
      <c r="QS114" s="5"/>
      <c r="QT114" s="5"/>
      <c r="QU114" s="5"/>
      <c r="QV114" s="5"/>
      <c r="QW114" s="5"/>
      <c r="QX114" s="5"/>
      <c r="QY114" s="5"/>
      <c r="QZ114" s="5"/>
      <c r="RA114" s="5"/>
      <c r="RB114" s="5"/>
      <c r="RC114" s="5"/>
      <c r="RD114" s="5"/>
      <c r="RE114" s="5"/>
      <c r="RF114" s="5"/>
      <c r="RG114" s="5"/>
      <c r="RH114" s="5"/>
      <c r="RI114" s="5"/>
      <c r="RJ114" s="5"/>
      <c r="RK114" s="5"/>
      <c r="RL114" s="5"/>
      <c r="RM114" s="5"/>
      <c r="RN114" s="5"/>
      <c r="RO114" s="5"/>
      <c r="RP114" s="5"/>
      <c r="RQ114" s="5"/>
      <c r="RR114" s="5"/>
      <c r="RS114" s="5"/>
      <c r="RT114" s="5"/>
      <c r="RU114" s="5"/>
      <c r="RV114" s="5"/>
      <c r="RW114" s="5"/>
      <c r="RX114" s="5"/>
      <c r="RY114" s="5"/>
      <c r="RZ114" s="5"/>
      <c r="SA114" s="5"/>
      <c r="SB114" s="5"/>
      <c r="SC114" s="5"/>
      <c r="SD114" s="5"/>
      <c r="SE114" s="5"/>
      <c r="SF114" s="5"/>
      <c r="SG114" s="5"/>
      <c r="SH114" s="5"/>
      <c r="SI114" s="5"/>
      <c r="SJ114" s="5"/>
      <c r="SK114" s="5"/>
      <c r="SL114" s="5"/>
      <c r="SM114" s="5"/>
      <c r="SN114" s="5"/>
      <c r="SO114" s="5"/>
      <c r="SP114" s="5"/>
      <c r="SQ114" s="5"/>
      <c r="SR114" s="5"/>
      <c r="SS114" s="5"/>
      <c r="ST114" s="5"/>
      <c r="SU114" s="5"/>
      <c r="SV114" s="5"/>
      <c r="SW114" s="5"/>
      <c r="SX114" s="5"/>
      <c r="SY114" s="5"/>
      <c r="SZ114" s="5"/>
      <c r="TA114" s="5"/>
      <c r="TB114" s="5"/>
      <c r="TC114" s="5"/>
      <c r="TD114" s="5"/>
      <c r="TE114" s="5"/>
      <c r="TF114" s="5"/>
      <c r="TG114" s="5"/>
      <c r="TH114" s="5"/>
      <c r="TI114" s="5"/>
      <c r="TJ114" s="5"/>
      <c r="TK114" s="5"/>
      <c r="TL114" s="5"/>
      <c r="TM114" s="5"/>
      <c r="TN114" s="5"/>
      <c r="TO114" s="5"/>
      <c r="TP114" s="5"/>
      <c r="TQ114" s="5"/>
      <c r="TR114" s="5"/>
      <c r="TS114" s="5"/>
      <c r="TT114" s="5"/>
      <c r="TU114" s="5"/>
      <c r="TV114" s="5"/>
      <c r="TW114" s="5"/>
      <c r="TX114" s="5"/>
      <c r="TY114" s="5"/>
      <c r="TZ114" s="5"/>
      <c r="UA114" s="5"/>
      <c r="UB114" s="5"/>
      <c r="UC114" s="5"/>
      <c r="UD114" s="5"/>
      <c r="UE114" s="5"/>
      <c r="UF114" s="5"/>
      <c r="UG114" s="5"/>
      <c r="UH114" s="5"/>
      <c r="UI114" s="5"/>
      <c r="UJ114" s="5"/>
      <c r="UK114" s="5"/>
      <c r="UL114" s="5"/>
      <c r="UM114" s="5"/>
      <c r="UN114" s="5"/>
      <c r="UO114" s="5"/>
      <c r="UP114" s="5"/>
      <c r="UQ114" s="5"/>
      <c r="UR114" s="5"/>
      <c r="US114" s="5"/>
      <c r="UT114" s="5"/>
      <c r="UU114" s="5"/>
      <c r="UV114" s="5"/>
      <c r="UW114" s="5"/>
      <c r="UX114" s="5"/>
      <c r="UY114" s="5"/>
      <c r="UZ114" s="5"/>
      <c r="VA114" s="5"/>
      <c r="VB114" s="5"/>
      <c r="VC114" s="5"/>
      <c r="VD114" s="5"/>
      <c r="VE114" s="5"/>
      <c r="VF114" s="5"/>
      <c r="VG114" s="5"/>
      <c r="VH114" s="5"/>
      <c r="VI114" s="5"/>
      <c r="VJ114" s="5"/>
      <c r="VK114" s="5"/>
      <c r="VL114" s="5"/>
      <c r="VM114" s="5"/>
      <c r="VN114" s="5"/>
      <c r="VO114" s="5"/>
      <c r="VP114" s="5"/>
      <c r="VQ114" s="5"/>
      <c r="VR114" s="5"/>
      <c r="VS114" s="5"/>
      <c r="VT114" s="5"/>
      <c r="VU114" s="5"/>
      <c r="VV114" s="5"/>
      <c r="VW114" s="5"/>
      <c r="VX114" s="5"/>
      <c r="VY114" s="5"/>
      <c r="VZ114" s="5"/>
      <c r="WA114" s="5"/>
      <c r="WB114" s="5"/>
      <c r="WC114" s="5"/>
      <c r="WD114" s="5"/>
      <c r="WE114" s="5"/>
      <c r="WF114" s="5"/>
      <c r="WG114" s="5"/>
      <c r="WH114" s="5"/>
      <c r="WI114" s="5"/>
      <c r="WJ114" s="5"/>
      <c r="WK114" s="5"/>
      <c r="WL114" s="5"/>
      <c r="WM114" s="5"/>
      <c r="WN114" s="5"/>
      <c r="WO114" s="5"/>
      <c r="WP114" s="5"/>
      <c r="WQ114" s="5"/>
      <c r="WR114" s="5"/>
      <c r="WS114" s="5"/>
      <c r="WT114" s="5"/>
      <c r="WU114" s="5"/>
      <c r="WV114" s="5"/>
      <c r="WW114" s="5"/>
      <c r="WX114" s="5"/>
      <c r="WY114" s="5"/>
      <c r="WZ114" s="5"/>
      <c r="XA114" s="5"/>
      <c r="XB114" s="5"/>
      <c r="XC114" s="5"/>
      <c r="XD114" s="5"/>
      <c r="XE114" s="5"/>
      <c r="XF114" s="5"/>
      <c r="XG114" s="5"/>
      <c r="XH114" s="5"/>
      <c r="XI114" s="5"/>
      <c r="XJ114" s="5"/>
      <c r="XK114" s="5"/>
      <c r="XL114" s="5"/>
      <c r="XM114" s="5"/>
      <c r="XN114" s="5"/>
      <c r="XO114" s="5"/>
      <c r="XP114" s="5"/>
      <c r="XQ114" s="5"/>
      <c r="XR114" s="5"/>
      <c r="XS114" s="5"/>
      <c r="XT114" s="5"/>
      <c r="XU114" s="5"/>
      <c r="XV114" s="5"/>
      <c r="XW114" s="5"/>
      <c r="XX114" s="5"/>
      <c r="XY114" s="5"/>
      <c r="XZ114" s="5"/>
      <c r="YA114" s="5"/>
      <c r="YB114" s="5"/>
      <c r="YC114" s="5"/>
      <c r="YD114" s="5"/>
      <c r="YE114" s="5"/>
      <c r="YF114" s="5"/>
      <c r="YG114" s="5"/>
      <c r="YH114" s="5"/>
      <c r="YI114" s="5"/>
      <c r="YJ114" s="5"/>
      <c r="YK114" s="5"/>
      <c r="YL114" s="5"/>
      <c r="YM114" s="5"/>
      <c r="YN114" s="5"/>
      <c r="YO114" s="5"/>
      <c r="YP114" s="5"/>
      <c r="YQ114" s="5"/>
      <c r="YR114" s="5"/>
      <c r="YS114" s="5"/>
      <c r="YT114" s="5"/>
      <c r="YU114" s="5"/>
      <c r="YV114" s="5"/>
      <c r="YW114" s="5"/>
      <c r="YX114" s="5"/>
      <c r="YY114" s="5"/>
      <c r="YZ114" s="5"/>
    </row>
    <row r="115" spans="1:676">
      <c r="A115" s="7">
        <v>105</v>
      </c>
      <c r="B115" s="7" t="s">
        <v>275</v>
      </c>
      <c r="C115" s="10" t="s">
        <v>276</v>
      </c>
      <c r="D115" s="7" t="s">
        <v>48</v>
      </c>
      <c r="E115" s="7" t="s">
        <v>178</v>
      </c>
      <c r="F115" s="7" t="s">
        <v>168</v>
      </c>
      <c r="G115" s="7"/>
      <c r="H115" s="7" t="s">
        <v>43</v>
      </c>
      <c r="I115" s="11">
        <v>2</v>
      </c>
      <c r="J115" s="11">
        <v>3</v>
      </c>
      <c r="K115" s="11">
        <v>0</v>
      </c>
      <c r="L115" s="11">
        <v>5.059999999999996</v>
      </c>
      <c r="M115" s="11">
        <v>0</v>
      </c>
      <c r="N115" s="11">
        <v>0</v>
      </c>
      <c r="O115" s="11">
        <v>1.52</v>
      </c>
      <c r="P115" s="11">
        <v>2.85</v>
      </c>
      <c r="Q115" s="11">
        <v>9.429999999999994</v>
      </c>
      <c r="R115" s="11">
        <v>102.47</v>
      </c>
      <c r="S115" s="11">
        <v>111.9</v>
      </c>
      <c r="T115" s="11">
        <v>2</v>
      </c>
      <c r="U115" s="11">
        <v>3</v>
      </c>
      <c r="V115" s="11">
        <v>106.9</v>
      </c>
      <c r="W115" s="13">
        <v>24</v>
      </c>
      <c r="X115" s="13">
        <v>36</v>
      </c>
      <c r="Y115" s="13" t="str">
        <f>MIN(W115,S115)</f>
        <v>0</v>
      </c>
      <c r="Z115" s="13" t="str">
        <f>MIN(X115,(S115-Y115))</f>
        <v>0</v>
      </c>
      <c r="AA115" s="13" t="str">
        <f>S115-SUM(Y115,Z115)</f>
        <v>0</v>
      </c>
      <c r="AB115" s="15"/>
      <c r="AC115" s="15"/>
      <c r="AD115" s="1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  <c r="MN115" s="5"/>
      <c r="MO115" s="5"/>
      <c r="MP115" s="5"/>
      <c r="MQ115" s="5"/>
      <c r="MR115" s="5"/>
      <c r="MS115" s="5"/>
      <c r="MT115" s="5"/>
      <c r="MU115" s="5"/>
      <c r="MV115" s="5"/>
      <c r="MW115" s="5"/>
      <c r="MX115" s="5"/>
      <c r="MY115" s="5"/>
      <c r="MZ115" s="5"/>
      <c r="NA115" s="5"/>
      <c r="NB115" s="5"/>
      <c r="NC115" s="5"/>
      <c r="ND115" s="5"/>
      <c r="NE115" s="5"/>
      <c r="NF115" s="5"/>
      <c r="NG115" s="5"/>
      <c r="NH115" s="5"/>
      <c r="NI115" s="5"/>
      <c r="NJ115" s="5"/>
      <c r="NK115" s="5"/>
      <c r="NL115" s="5"/>
      <c r="NM115" s="5"/>
      <c r="NN115" s="5"/>
      <c r="NO115" s="5"/>
      <c r="NP115" s="5"/>
      <c r="NQ115" s="5"/>
      <c r="NR115" s="5"/>
      <c r="NS115" s="5"/>
      <c r="NT115" s="5"/>
      <c r="NU115" s="5"/>
      <c r="NV115" s="5"/>
      <c r="NW115" s="5"/>
      <c r="NX115" s="5"/>
      <c r="NY115" s="5"/>
      <c r="NZ115" s="5"/>
      <c r="OA115" s="5"/>
      <c r="OB115" s="5"/>
      <c r="OC115" s="5"/>
      <c r="OD115" s="5"/>
      <c r="OE115" s="5"/>
      <c r="OF115" s="5"/>
      <c r="OG115" s="5"/>
      <c r="OH115" s="5"/>
      <c r="OI115" s="5"/>
      <c r="OJ115" s="5"/>
      <c r="OK115" s="5"/>
      <c r="OL115" s="5"/>
      <c r="OM115" s="5"/>
      <c r="ON115" s="5"/>
      <c r="OO115" s="5"/>
      <c r="OP115" s="5"/>
      <c r="OQ115" s="5"/>
      <c r="OR115" s="5"/>
      <c r="OS115" s="5"/>
      <c r="OT115" s="5"/>
      <c r="OU115" s="5"/>
      <c r="OV115" s="5"/>
      <c r="OW115" s="5"/>
      <c r="OX115" s="5"/>
      <c r="OY115" s="5"/>
      <c r="OZ115" s="5"/>
      <c r="PA115" s="5"/>
      <c r="PB115" s="5"/>
      <c r="PC115" s="5"/>
      <c r="PD115" s="5"/>
      <c r="PE115" s="5"/>
      <c r="PF115" s="5"/>
      <c r="PG115" s="5"/>
      <c r="PH115" s="5"/>
      <c r="PI115" s="5"/>
      <c r="PJ115" s="5"/>
      <c r="PK115" s="5"/>
      <c r="PL115" s="5"/>
      <c r="PM115" s="5"/>
      <c r="PN115" s="5"/>
      <c r="PO115" s="5"/>
      <c r="PP115" s="5"/>
      <c r="PQ115" s="5"/>
      <c r="PR115" s="5"/>
      <c r="PS115" s="5"/>
      <c r="PT115" s="5"/>
      <c r="PU115" s="5"/>
      <c r="PV115" s="5"/>
      <c r="PW115" s="5"/>
      <c r="PX115" s="5"/>
      <c r="PY115" s="5"/>
      <c r="PZ115" s="5"/>
      <c r="QA115" s="5"/>
      <c r="QB115" s="5"/>
      <c r="QC115" s="5"/>
      <c r="QD115" s="5"/>
      <c r="QE115" s="5"/>
      <c r="QF115" s="5"/>
      <c r="QG115" s="5"/>
      <c r="QH115" s="5"/>
      <c r="QI115" s="5"/>
      <c r="QJ115" s="5"/>
      <c r="QK115" s="5"/>
      <c r="QL115" s="5"/>
      <c r="QM115" s="5"/>
      <c r="QN115" s="5"/>
      <c r="QO115" s="5"/>
      <c r="QP115" s="5"/>
      <c r="QQ115" s="5"/>
      <c r="QR115" s="5"/>
      <c r="QS115" s="5"/>
      <c r="QT115" s="5"/>
      <c r="QU115" s="5"/>
      <c r="QV115" s="5"/>
      <c r="QW115" s="5"/>
      <c r="QX115" s="5"/>
      <c r="QY115" s="5"/>
      <c r="QZ115" s="5"/>
      <c r="RA115" s="5"/>
      <c r="RB115" s="5"/>
      <c r="RC115" s="5"/>
      <c r="RD115" s="5"/>
      <c r="RE115" s="5"/>
      <c r="RF115" s="5"/>
      <c r="RG115" s="5"/>
      <c r="RH115" s="5"/>
      <c r="RI115" s="5"/>
      <c r="RJ115" s="5"/>
      <c r="RK115" s="5"/>
      <c r="RL115" s="5"/>
      <c r="RM115" s="5"/>
      <c r="RN115" s="5"/>
      <c r="RO115" s="5"/>
      <c r="RP115" s="5"/>
      <c r="RQ115" s="5"/>
      <c r="RR115" s="5"/>
      <c r="RS115" s="5"/>
      <c r="RT115" s="5"/>
      <c r="RU115" s="5"/>
      <c r="RV115" s="5"/>
      <c r="RW115" s="5"/>
      <c r="RX115" s="5"/>
      <c r="RY115" s="5"/>
      <c r="RZ115" s="5"/>
      <c r="SA115" s="5"/>
      <c r="SB115" s="5"/>
      <c r="SC115" s="5"/>
      <c r="SD115" s="5"/>
      <c r="SE115" s="5"/>
      <c r="SF115" s="5"/>
      <c r="SG115" s="5"/>
      <c r="SH115" s="5"/>
      <c r="SI115" s="5"/>
      <c r="SJ115" s="5"/>
      <c r="SK115" s="5"/>
      <c r="SL115" s="5"/>
      <c r="SM115" s="5"/>
      <c r="SN115" s="5"/>
      <c r="SO115" s="5"/>
      <c r="SP115" s="5"/>
      <c r="SQ115" s="5"/>
      <c r="SR115" s="5"/>
      <c r="SS115" s="5"/>
      <c r="ST115" s="5"/>
      <c r="SU115" s="5"/>
      <c r="SV115" s="5"/>
      <c r="SW115" s="5"/>
      <c r="SX115" s="5"/>
      <c r="SY115" s="5"/>
      <c r="SZ115" s="5"/>
      <c r="TA115" s="5"/>
      <c r="TB115" s="5"/>
      <c r="TC115" s="5"/>
      <c r="TD115" s="5"/>
      <c r="TE115" s="5"/>
      <c r="TF115" s="5"/>
      <c r="TG115" s="5"/>
      <c r="TH115" s="5"/>
      <c r="TI115" s="5"/>
      <c r="TJ115" s="5"/>
      <c r="TK115" s="5"/>
      <c r="TL115" s="5"/>
      <c r="TM115" s="5"/>
      <c r="TN115" s="5"/>
      <c r="TO115" s="5"/>
      <c r="TP115" s="5"/>
      <c r="TQ115" s="5"/>
      <c r="TR115" s="5"/>
      <c r="TS115" s="5"/>
      <c r="TT115" s="5"/>
      <c r="TU115" s="5"/>
      <c r="TV115" s="5"/>
      <c r="TW115" s="5"/>
      <c r="TX115" s="5"/>
      <c r="TY115" s="5"/>
      <c r="TZ115" s="5"/>
      <c r="UA115" s="5"/>
      <c r="UB115" s="5"/>
      <c r="UC115" s="5"/>
      <c r="UD115" s="5"/>
      <c r="UE115" s="5"/>
      <c r="UF115" s="5"/>
      <c r="UG115" s="5"/>
      <c r="UH115" s="5"/>
      <c r="UI115" s="5"/>
      <c r="UJ115" s="5"/>
      <c r="UK115" s="5"/>
      <c r="UL115" s="5"/>
      <c r="UM115" s="5"/>
      <c r="UN115" s="5"/>
      <c r="UO115" s="5"/>
      <c r="UP115" s="5"/>
      <c r="UQ115" s="5"/>
      <c r="UR115" s="5"/>
      <c r="US115" s="5"/>
      <c r="UT115" s="5"/>
      <c r="UU115" s="5"/>
      <c r="UV115" s="5"/>
      <c r="UW115" s="5"/>
      <c r="UX115" s="5"/>
      <c r="UY115" s="5"/>
      <c r="UZ115" s="5"/>
      <c r="VA115" s="5"/>
      <c r="VB115" s="5"/>
      <c r="VC115" s="5"/>
      <c r="VD115" s="5"/>
      <c r="VE115" s="5"/>
      <c r="VF115" s="5"/>
      <c r="VG115" s="5"/>
      <c r="VH115" s="5"/>
      <c r="VI115" s="5"/>
      <c r="VJ115" s="5"/>
      <c r="VK115" s="5"/>
      <c r="VL115" s="5"/>
      <c r="VM115" s="5"/>
      <c r="VN115" s="5"/>
      <c r="VO115" s="5"/>
      <c r="VP115" s="5"/>
      <c r="VQ115" s="5"/>
      <c r="VR115" s="5"/>
      <c r="VS115" s="5"/>
      <c r="VT115" s="5"/>
      <c r="VU115" s="5"/>
      <c r="VV115" s="5"/>
      <c r="VW115" s="5"/>
      <c r="VX115" s="5"/>
      <c r="VY115" s="5"/>
      <c r="VZ115" s="5"/>
      <c r="WA115" s="5"/>
      <c r="WB115" s="5"/>
      <c r="WC115" s="5"/>
      <c r="WD115" s="5"/>
      <c r="WE115" s="5"/>
      <c r="WF115" s="5"/>
      <c r="WG115" s="5"/>
      <c r="WH115" s="5"/>
      <c r="WI115" s="5"/>
      <c r="WJ115" s="5"/>
      <c r="WK115" s="5"/>
      <c r="WL115" s="5"/>
      <c r="WM115" s="5"/>
      <c r="WN115" s="5"/>
      <c r="WO115" s="5"/>
      <c r="WP115" s="5"/>
      <c r="WQ115" s="5"/>
      <c r="WR115" s="5"/>
      <c r="WS115" s="5"/>
      <c r="WT115" s="5"/>
      <c r="WU115" s="5"/>
      <c r="WV115" s="5"/>
      <c r="WW115" s="5"/>
      <c r="WX115" s="5"/>
      <c r="WY115" s="5"/>
      <c r="WZ115" s="5"/>
      <c r="XA115" s="5"/>
      <c r="XB115" s="5"/>
      <c r="XC115" s="5"/>
      <c r="XD115" s="5"/>
      <c r="XE115" s="5"/>
      <c r="XF115" s="5"/>
      <c r="XG115" s="5"/>
      <c r="XH115" s="5"/>
      <c r="XI115" s="5"/>
      <c r="XJ115" s="5"/>
      <c r="XK115" s="5"/>
      <c r="XL115" s="5"/>
      <c r="XM115" s="5"/>
      <c r="XN115" s="5"/>
      <c r="XO115" s="5"/>
      <c r="XP115" s="5"/>
      <c r="XQ115" s="5"/>
      <c r="XR115" s="5"/>
      <c r="XS115" s="5"/>
      <c r="XT115" s="5"/>
      <c r="XU115" s="5"/>
      <c r="XV115" s="5"/>
      <c r="XW115" s="5"/>
      <c r="XX115" s="5"/>
      <c r="XY115" s="5"/>
      <c r="XZ115" s="5"/>
      <c r="YA115" s="5"/>
      <c r="YB115" s="5"/>
      <c r="YC115" s="5"/>
      <c r="YD115" s="5"/>
      <c r="YE115" s="5"/>
      <c r="YF115" s="5"/>
      <c r="YG115" s="5"/>
      <c r="YH115" s="5"/>
      <c r="YI115" s="5"/>
      <c r="YJ115" s="5"/>
      <c r="YK115" s="5"/>
      <c r="YL115" s="5"/>
      <c r="YM115" s="5"/>
      <c r="YN115" s="5"/>
      <c r="YO115" s="5"/>
      <c r="YP115" s="5"/>
      <c r="YQ115" s="5"/>
      <c r="YR115" s="5"/>
      <c r="YS115" s="5"/>
      <c r="YT115" s="5"/>
      <c r="YU115" s="5"/>
      <c r="YV115" s="5"/>
      <c r="YW115" s="5"/>
      <c r="YX115" s="5"/>
      <c r="YY115" s="5"/>
      <c r="YZ115" s="5"/>
    </row>
    <row r="116" spans="1:676">
      <c r="A116" s="7">
        <v>106</v>
      </c>
      <c r="B116" s="7" t="s">
        <v>277</v>
      </c>
      <c r="C116" s="10" t="s">
        <v>278</v>
      </c>
      <c r="D116" s="7" t="s">
        <v>40</v>
      </c>
      <c r="E116" s="7" t="s">
        <v>167</v>
      </c>
      <c r="F116" s="7" t="s">
        <v>168</v>
      </c>
      <c r="G116" s="7"/>
      <c r="H116" s="7" t="s">
        <v>43</v>
      </c>
      <c r="I116" s="11">
        <v>2</v>
      </c>
      <c r="J116" s="11">
        <v>3</v>
      </c>
      <c r="K116" s="11">
        <v>0</v>
      </c>
      <c r="L116" s="11">
        <v>3.54</v>
      </c>
      <c r="M116" s="11">
        <v>0.08</v>
      </c>
      <c r="N116" s="11">
        <v>0</v>
      </c>
      <c r="O116" s="11">
        <v>2.35</v>
      </c>
      <c r="P116" s="11">
        <v>0</v>
      </c>
      <c r="Q116" s="11">
        <v>5.97</v>
      </c>
      <c r="R116" s="11">
        <v>58.03999999999999</v>
      </c>
      <c r="S116" s="11">
        <v>64.00999999999999</v>
      </c>
      <c r="T116" s="11">
        <v>2</v>
      </c>
      <c r="U116" s="11">
        <v>3</v>
      </c>
      <c r="V116" s="11">
        <v>59.00999999999999</v>
      </c>
      <c r="W116" s="13">
        <v>24</v>
      </c>
      <c r="X116" s="13">
        <v>36</v>
      </c>
      <c r="Y116" s="13" t="str">
        <f>MIN(W116,S116)</f>
        <v>0</v>
      </c>
      <c r="Z116" s="13" t="str">
        <f>MIN(X116,(S116-Y116))</f>
        <v>0</v>
      </c>
      <c r="AA116" s="13" t="str">
        <f>S116-SUM(Y116,Z116)</f>
        <v>0</v>
      </c>
      <c r="AB116" s="15"/>
      <c r="AC116" s="15"/>
      <c r="AD116" s="1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/>
      <c r="JW116" s="5"/>
      <c r="JX116" s="5"/>
      <c r="JY116" s="5"/>
      <c r="JZ116" s="5"/>
      <c r="KA116" s="5"/>
      <c r="KB116" s="5"/>
      <c r="KC116" s="5"/>
      <c r="KD116" s="5"/>
      <c r="KE116" s="5"/>
      <c r="KF116" s="5"/>
      <c r="KG116" s="5"/>
      <c r="KH116" s="5"/>
      <c r="KI116" s="5"/>
      <c r="KJ116" s="5"/>
      <c r="KK116" s="5"/>
      <c r="KL116" s="5"/>
      <c r="KM116" s="5"/>
      <c r="KN116" s="5"/>
      <c r="KO116" s="5"/>
      <c r="KP116" s="5"/>
      <c r="KQ116" s="5"/>
      <c r="KR116" s="5"/>
      <c r="KS116" s="5"/>
      <c r="KT116" s="5"/>
      <c r="KU116" s="5"/>
      <c r="KV116" s="5"/>
      <c r="KW116" s="5"/>
      <c r="KX116" s="5"/>
      <c r="KY116" s="5"/>
      <c r="KZ116" s="5"/>
      <c r="LA116" s="5"/>
      <c r="LB116" s="5"/>
      <c r="LC116" s="5"/>
      <c r="LD116" s="5"/>
      <c r="LE116" s="5"/>
      <c r="LF116" s="5"/>
      <c r="LG116" s="5"/>
      <c r="LH116" s="5"/>
      <c r="LI116" s="5"/>
      <c r="LJ116" s="5"/>
      <c r="LK116" s="5"/>
      <c r="LL116" s="5"/>
      <c r="LM116" s="5"/>
      <c r="LN116" s="5"/>
      <c r="LO116" s="5"/>
      <c r="LP116" s="5"/>
      <c r="LQ116" s="5"/>
      <c r="LR116" s="5"/>
      <c r="LS116" s="5"/>
      <c r="LT116" s="5"/>
      <c r="LU116" s="5"/>
      <c r="LV116" s="5"/>
      <c r="LW116" s="5"/>
      <c r="LX116" s="5"/>
      <c r="LY116" s="5"/>
      <c r="LZ116" s="5"/>
      <c r="MA116" s="5"/>
      <c r="MB116" s="5"/>
      <c r="MC116" s="5"/>
      <c r="MD116" s="5"/>
      <c r="ME116" s="5"/>
      <c r="MF116" s="5"/>
      <c r="MG116" s="5"/>
      <c r="MH116" s="5"/>
      <c r="MI116" s="5"/>
      <c r="MJ116" s="5"/>
      <c r="MK116" s="5"/>
      <c r="ML116" s="5"/>
      <c r="MM116" s="5"/>
      <c r="MN116" s="5"/>
      <c r="MO116" s="5"/>
      <c r="MP116" s="5"/>
      <c r="MQ116" s="5"/>
      <c r="MR116" s="5"/>
      <c r="MS116" s="5"/>
      <c r="MT116" s="5"/>
      <c r="MU116" s="5"/>
      <c r="MV116" s="5"/>
      <c r="MW116" s="5"/>
      <c r="MX116" s="5"/>
      <c r="MY116" s="5"/>
      <c r="MZ116" s="5"/>
      <c r="NA116" s="5"/>
      <c r="NB116" s="5"/>
      <c r="NC116" s="5"/>
      <c r="ND116" s="5"/>
      <c r="NE116" s="5"/>
      <c r="NF116" s="5"/>
      <c r="NG116" s="5"/>
      <c r="NH116" s="5"/>
      <c r="NI116" s="5"/>
      <c r="NJ116" s="5"/>
      <c r="NK116" s="5"/>
      <c r="NL116" s="5"/>
      <c r="NM116" s="5"/>
      <c r="NN116" s="5"/>
      <c r="NO116" s="5"/>
      <c r="NP116" s="5"/>
      <c r="NQ116" s="5"/>
      <c r="NR116" s="5"/>
      <c r="NS116" s="5"/>
      <c r="NT116" s="5"/>
      <c r="NU116" s="5"/>
      <c r="NV116" s="5"/>
      <c r="NW116" s="5"/>
      <c r="NX116" s="5"/>
      <c r="NY116" s="5"/>
      <c r="NZ116" s="5"/>
      <c r="OA116" s="5"/>
      <c r="OB116" s="5"/>
      <c r="OC116" s="5"/>
      <c r="OD116" s="5"/>
      <c r="OE116" s="5"/>
      <c r="OF116" s="5"/>
      <c r="OG116" s="5"/>
      <c r="OH116" s="5"/>
      <c r="OI116" s="5"/>
      <c r="OJ116" s="5"/>
      <c r="OK116" s="5"/>
      <c r="OL116" s="5"/>
      <c r="OM116" s="5"/>
      <c r="ON116" s="5"/>
      <c r="OO116" s="5"/>
      <c r="OP116" s="5"/>
      <c r="OQ116" s="5"/>
      <c r="OR116" s="5"/>
      <c r="OS116" s="5"/>
      <c r="OT116" s="5"/>
      <c r="OU116" s="5"/>
      <c r="OV116" s="5"/>
      <c r="OW116" s="5"/>
      <c r="OX116" s="5"/>
      <c r="OY116" s="5"/>
      <c r="OZ116" s="5"/>
      <c r="PA116" s="5"/>
      <c r="PB116" s="5"/>
      <c r="PC116" s="5"/>
      <c r="PD116" s="5"/>
      <c r="PE116" s="5"/>
      <c r="PF116" s="5"/>
      <c r="PG116" s="5"/>
      <c r="PH116" s="5"/>
      <c r="PI116" s="5"/>
      <c r="PJ116" s="5"/>
      <c r="PK116" s="5"/>
      <c r="PL116" s="5"/>
      <c r="PM116" s="5"/>
      <c r="PN116" s="5"/>
      <c r="PO116" s="5"/>
      <c r="PP116" s="5"/>
      <c r="PQ116" s="5"/>
      <c r="PR116" s="5"/>
      <c r="PS116" s="5"/>
      <c r="PT116" s="5"/>
      <c r="PU116" s="5"/>
      <c r="PV116" s="5"/>
      <c r="PW116" s="5"/>
      <c r="PX116" s="5"/>
      <c r="PY116" s="5"/>
      <c r="PZ116" s="5"/>
      <c r="QA116" s="5"/>
      <c r="QB116" s="5"/>
      <c r="QC116" s="5"/>
      <c r="QD116" s="5"/>
      <c r="QE116" s="5"/>
      <c r="QF116" s="5"/>
      <c r="QG116" s="5"/>
      <c r="QH116" s="5"/>
      <c r="QI116" s="5"/>
      <c r="QJ116" s="5"/>
      <c r="QK116" s="5"/>
      <c r="QL116" s="5"/>
      <c r="QM116" s="5"/>
      <c r="QN116" s="5"/>
      <c r="QO116" s="5"/>
      <c r="QP116" s="5"/>
      <c r="QQ116" s="5"/>
      <c r="QR116" s="5"/>
      <c r="QS116" s="5"/>
      <c r="QT116" s="5"/>
      <c r="QU116" s="5"/>
      <c r="QV116" s="5"/>
      <c r="QW116" s="5"/>
      <c r="QX116" s="5"/>
      <c r="QY116" s="5"/>
      <c r="QZ116" s="5"/>
      <c r="RA116" s="5"/>
      <c r="RB116" s="5"/>
      <c r="RC116" s="5"/>
      <c r="RD116" s="5"/>
      <c r="RE116" s="5"/>
      <c r="RF116" s="5"/>
      <c r="RG116" s="5"/>
      <c r="RH116" s="5"/>
      <c r="RI116" s="5"/>
      <c r="RJ116" s="5"/>
      <c r="RK116" s="5"/>
      <c r="RL116" s="5"/>
      <c r="RM116" s="5"/>
      <c r="RN116" s="5"/>
      <c r="RO116" s="5"/>
      <c r="RP116" s="5"/>
      <c r="RQ116" s="5"/>
      <c r="RR116" s="5"/>
      <c r="RS116" s="5"/>
      <c r="RT116" s="5"/>
      <c r="RU116" s="5"/>
      <c r="RV116" s="5"/>
      <c r="RW116" s="5"/>
      <c r="RX116" s="5"/>
      <c r="RY116" s="5"/>
      <c r="RZ116" s="5"/>
      <c r="SA116" s="5"/>
      <c r="SB116" s="5"/>
      <c r="SC116" s="5"/>
      <c r="SD116" s="5"/>
      <c r="SE116" s="5"/>
      <c r="SF116" s="5"/>
      <c r="SG116" s="5"/>
      <c r="SH116" s="5"/>
      <c r="SI116" s="5"/>
      <c r="SJ116" s="5"/>
      <c r="SK116" s="5"/>
      <c r="SL116" s="5"/>
      <c r="SM116" s="5"/>
      <c r="SN116" s="5"/>
      <c r="SO116" s="5"/>
      <c r="SP116" s="5"/>
      <c r="SQ116" s="5"/>
      <c r="SR116" s="5"/>
      <c r="SS116" s="5"/>
      <c r="ST116" s="5"/>
      <c r="SU116" s="5"/>
      <c r="SV116" s="5"/>
      <c r="SW116" s="5"/>
      <c r="SX116" s="5"/>
      <c r="SY116" s="5"/>
      <c r="SZ116" s="5"/>
      <c r="TA116" s="5"/>
      <c r="TB116" s="5"/>
      <c r="TC116" s="5"/>
      <c r="TD116" s="5"/>
      <c r="TE116" s="5"/>
      <c r="TF116" s="5"/>
      <c r="TG116" s="5"/>
      <c r="TH116" s="5"/>
      <c r="TI116" s="5"/>
      <c r="TJ116" s="5"/>
      <c r="TK116" s="5"/>
      <c r="TL116" s="5"/>
      <c r="TM116" s="5"/>
      <c r="TN116" s="5"/>
      <c r="TO116" s="5"/>
      <c r="TP116" s="5"/>
      <c r="TQ116" s="5"/>
      <c r="TR116" s="5"/>
      <c r="TS116" s="5"/>
      <c r="TT116" s="5"/>
      <c r="TU116" s="5"/>
      <c r="TV116" s="5"/>
      <c r="TW116" s="5"/>
      <c r="TX116" s="5"/>
      <c r="TY116" s="5"/>
      <c r="TZ116" s="5"/>
      <c r="UA116" s="5"/>
      <c r="UB116" s="5"/>
      <c r="UC116" s="5"/>
      <c r="UD116" s="5"/>
      <c r="UE116" s="5"/>
      <c r="UF116" s="5"/>
      <c r="UG116" s="5"/>
      <c r="UH116" s="5"/>
      <c r="UI116" s="5"/>
      <c r="UJ116" s="5"/>
      <c r="UK116" s="5"/>
      <c r="UL116" s="5"/>
      <c r="UM116" s="5"/>
      <c r="UN116" s="5"/>
      <c r="UO116" s="5"/>
      <c r="UP116" s="5"/>
      <c r="UQ116" s="5"/>
      <c r="UR116" s="5"/>
      <c r="US116" s="5"/>
      <c r="UT116" s="5"/>
      <c r="UU116" s="5"/>
      <c r="UV116" s="5"/>
      <c r="UW116" s="5"/>
      <c r="UX116" s="5"/>
      <c r="UY116" s="5"/>
      <c r="UZ116" s="5"/>
      <c r="VA116" s="5"/>
      <c r="VB116" s="5"/>
      <c r="VC116" s="5"/>
      <c r="VD116" s="5"/>
      <c r="VE116" s="5"/>
      <c r="VF116" s="5"/>
      <c r="VG116" s="5"/>
      <c r="VH116" s="5"/>
      <c r="VI116" s="5"/>
      <c r="VJ116" s="5"/>
      <c r="VK116" s="5"/>
      <c r="VL116" s="5"/>
      <c r="VM116" s="5"/>
      <c r="VN116" s="5"/>
      <c r="VO116" s="5"/>
      <c r="VP116" s="5"/>
      <c r="VQ116" s="5"/>
      <c r="VR116" s="5"/>
      <c r="VS116" s="5"/>
      <c r="VT116" s="5"/>
      <c r="VU116" s="5"/>
      <c r="VV116" s="5"/>
      <c r="VW116" s="5"/>
      <c r="VX116" s="5"/>
      <c r="VY116" s="5"/>
      <c r="VZ116" s="5"/>
      <c r="WA116" s="5"/>
      <c r="WB116" s="5"/>
      <c r="WC116" s="5"/>
      <c r="WD116" s="5"/>
      <c r="WE116" s="5"/>
      <c r="WF116" s="5"/>
      <c r="WG116" s="5"/>
      <c r="WH116" s="5"/>
      <c r="WI116" s="5"/>
      <c r="WJ116" s="5"/>
      <c r="WK116" s="5"/>
      <c r="WL116" s="5"/>
      <c r="WM116" s="5"/>
      <c r="WN116" s="5"/>
      <c r="WO116" s="5"/>
      <c r="WP116" s="5"/>
      <c r="WQ116" s="5"/>
      <c r="WR116" s="5"/>
      <c r="WS116" s="5"/>
      <c r="WT116" s="5"/>
      <c r="WU116" s="5"/>
      <c r="WV116" s="5"/>
      <c r="WW116" s="5"/>
      <c r="WX116" s="5"/>
      <c r="WY116" s="5"/>
      <c r="WZ116" s="5"/>
      <c r="XA116" s="5"/>
      <c r="XB116" s="5"/>
      <c r="XC116" s="5"/>
      <c r="XD116" s="5"/>
      <c r="XE116" s="5"/>
      <c r="XF116" s="5"/>
      <c r="XG116" s="5"/>
      <c r="XH116" s="5"/>
      <c r="XI116" s="5"/>
      <c r="XJ116" s="5"/>
      <c r="XK116" s="5"/>
      <c r="XL116" s="5"/>
      <c r="XM116" s="5"/>
      <c r="XN116" s="5"/>
      <c r="XO116" s="5"/>
      <c r="XP116" s="5"/>
      <c r="XQ116" s="5"/>
      <c r="XR116" s="5"/>
      <c r="XS116" s="5"/>
      <c r="XT116" s="5"/>
      <c r="XU116" s="5"/>
      <c r="XV116" s="5"/>
      <c r="XW116" s="5"/>
      <c r="XX116" s="5"/>
      <c r="XY116" s="5"/>
      <c r="XZ116" s="5"/>
      <c r="YA116" s="5"/>
      <c r="YB116" s="5"/>
      <c r="YC116" s="5"/>
      <c r="YD116" s="5"/>
      <c r="YE116" s="5"/>
      <c r="YF116" s="5"/>
      <c r="YG116" s="5"/>
      <c r="YH116" s="5"/>
      <c r="YI116" s="5"/>
      <c r="YJ116" s="5"/>
      <c r="YK116" s="5"/>
      <c r="YL116" s="5"/>
      <c r="YM116" s="5"/>
      <c r="YN116" s="5"/>
      <c r="YO116" s="5"/>
      <c r="YP116" s="5"/>
      <c r="YQ116" s="5"/>
      <c r="YR116" s="5"/>
      <c r="YS116" s="5"/>
      <c r="YT116" s="5"/>
      <c r="YU116" s="5"/>
      <c r="YV116" s="5"/>
      <c r="YW116" s="5"/>
      <c r="YX116" s="5"/>
      <c r="YY116" s="5"/>
      <c r="YZ116" s="5"/>
    </row>
    <row r="117" spans="1:676">
      <c r="A117" s="7">
        <v>107</v>
      </c>
      <c r="B117" s="7" t="s">
        <v>279</v>
      </c>
      <c r="C117" s="10" t="s">
        <v>280</v>
      </c>
      <c r="D117" s="7" t="s">
        <v>60</v>
      </c>
      <c r="E117" s="7" t="s">
        <v>178</v>
      </c>
      <c r="F117" s="7" t="s">
        <v>168</v>
      </c>
      <c r="G117" s="7"/>
      <c r="H117" s="7" t="s">
        <v>43</v>
      </c>
      <c r="I117" s="11">
        <v>2</v>
      </c>
      <c r="J117" s="11">
        <v>3</v>
      </c>
      <c r="K117" s="11">
        <v>0</v>
      </c>
      <c r="L117" s="11">
        <v>5.22</v>
      </c>
      <c r="M117" s="11">
        <v>0</v>
      </c>
      <c r="N117" s="11">
        <v>0</v>
      </c>
      <c r="O117" s="11">
        <v>0.63</v>
      </c>
      <c r="P117" s="11">
        <v>0</v>
      </c>
      <c r="Q117" s="11">
        <v>5.85</v>
      </c>
      <c r="R117" s="11">
        <v>71.33999999999999</v>
      </c>
      <c r="S117" s="11">
        <v>77.18999999999998</v>
      </c>
      <c r="T117" s="11">
        <v>2</v>
      </c>
      <c r="U117" s="11">
        <v>3</v>
      </c>
      <c r="V117" s="11">
        <v>72.18999999999998</v>
      </c>
      <c r="W117" s="13">
        <v>24</v>
      </c>
      <c r="X117" s="13">
        <v>36</v>
      </c>
      <c r="Y117" s="13" t="str">
        <f>MIN(W117,S117)</f>
        <v>0</v>
      </c>
      <c r="Z117" s="13" t="str">
        <f>MIN(X117,(S117-Y117))</f>
        <v>0</v>
      </c>
      <c r="AA117" s="13" t="str">
        <f>S117-SUM(Y117,Z117)</f>
        <v>0</v>
      </c>
      <c r="AB117" s="15"/>
      <c r="AC117" s="15"/>
      <c r="AD117" s="1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5"/>
      <c r="LB117" s="5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5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  <c r="ML117" s="5"/>
      <c r="MM117" s="5"/>
      <c r="MN117" s="5"/>
      <c r="MO117" s="5"/>
      <c r="MP117" s="5"/>
      <c r="MQ117" s="5"/>
      <c r="MR117" s="5"/>
      <c r="MS117" s="5"/>
      <c r="MT117" s="5"/>
      <c r="MU117" s="5"/>
      <c r="MV117" s="5"/>
      <c r="MW117" s="5"/>
      <c r="MX117" s="5"/>
      <c r="MY117" s="5"/>
      <c r="MZ117" s="5"/>
      <c r="NA117" s="5"/>
      <c r="NB117" s="5"/>
      <c r="NC117" s="5"/>
      <c r="ND117" s="5"/>
      <c r="NE117" s="5"/>
      <c r="NF117" s="5"/>
      <c r="NG117" s="5"/>
      <c r="NH117" s="5"/>
      <c r="NI117" s="5"/>
      <c r="NJ117" s="5"/>
      <c r="NK117" s="5"/>
      <c r="NL117" s="5"/>
      <c r="NM117" s="5"/>
      <c r="NN117" s="5"/>
      <c r="NO117" s="5"/>
      <c r="NP117" s="5"/>
      <c r="NQ117" s="5"/>
      <c r="NR117" s="5"/>
      <c r="NS117" s="5"/>
      <c r="NT117" s="5"/>
      <c r="NU117" s="5"/>
      <c r="NV117" s="5"/>
      <c r="NW117" s="5"/>
      <c r="NX117" s="5"/>
      <c r="NY117" s="5"/>
      <c r="NZ117" s="5"/>
      <c r="OA117" s="5"/>
      <c r="OB117" s="5"/>
      <c r="OC117" s="5"/>
      <c r="OD117" s="5"/>
      <c r="OE117" s="5"/>
      <c r="OF117" s="5"/>
      <c r="OG117" s="5"/>
      <c r="OH117" s="5"/>
      <c r="OI117" s="5"/>
      <c r="OJ117" s="5"/>
      <c r="OK117" s="5"/>
      <c r="OL117" s="5"/>
      <c r="OM117" s="5"/>
      <c r="ON117" s="5"/>
      <c r="OO117" s="5"/>
      <c r="OP117" s="5"/>
      <c r="OQ117" s="5"/>
      <c r="OR117" s="5"/>
      <c r="OS117" s="5"/>
      <c r="OT117" s="5"/>
      <c r="OU117" s="5"/>
      <c r="OV117" s="5"/>
      <c r="OW117" s="5"/>
      <c r="OX117" s="5"/>
      <c r="OY117" s="5"/>
      <c r="OZ117" s="5"/>
      <c r="PA117" s="5"/>
      <c r="PB117" s="5"/>
      <c r="PC117" s="5"/>
      <c r="PD117" s="5"/>
      <c r="PE117" s="5"/>
      <c r="PF117" s="5"/>
      <c r="PG117" s="5"/>
      <c r="PH117" s="5"/>
      <c r="PI117" s="5"/>
      <c r="PJ117" s="5"/>
      <c r="PK117" s="5"/>
      <c r="PL117" s="5"/>
      <c r="PM117" s="5"/>
      <c r="PN117" s="5"/>
      <c r="PO117" s="5"/>
      <c r="PP117" s="5"/>
      <c r="PQ117" s="5"/>
      <c r="PR117" s="5"/>
      <c r="PS117" s="5"/>
      <c r="PT117" s="5"/>
      <c r="PU117" s="5"/>
      <c r="PV117" s="5"/>
      <c r="PW117" s="5"/>
      <c r="PX117" s="5"/>
      <c r="PY117" s="5"/>
      <c r="PZ117" s="5"/>
      <c r="QA117" s="5"/>
      <c r="QB117" s="5"/>
      <c r="QC117" s="5"/>
      <c r="QD117" s="5"/>
      <c r="QE117" s="5"/>
      <c r="QF117" s="5"/>
      <c r="QG117" s="5"/>
      <c r="QH117" s="5"/>
      <c r="QI117" s="5"/>
      <c r="QJ117" s="5"/>
      <c r="QK117" s="5"/>
      <c r="QL117" s="5"/>
      <c r="QM117" s="5"/>
      <c r="QN117" s="5"/>
      <c r="QO117" s="5"/>
      <c r="QP117" s="5"/>
      <c r="QQ117" s="5"/>
      <c r="QR117" s="5"/>
      <c r="QS117" s="5"/>
      <c r="QT117" s="5"/>
      <c r="QU117" s="5"/>
      <c r="QV117" s="5"/>
      <c r="QW117" s="5"/>
      <c r="QX117" s="5"/>
      <c r="QY117" s="5"/>
      <c r="QZ117" s="5"/>
      <c r="RA117" s="5"/>
      <c r="RB117" s="5"/>
      <c r="RC117" s="5"/>
      <c r="RD117" s="5"/>
      <c r="RE117" s="5"/>
      <c r="RF117" s="5"/>
      <c r="RG117" s="5"/>
      <c r="RH117" s="5"/>
      <c r="RI117" s="5"/>
      <c r="RJ117" s="5"/>
      <c r="RK117" s="5"/>
      <c r="RL117" s="5"/>
      <c r="RM117" s="5"/>
      <c r="RN117" s="5"/>
      <c r="RO117" s="5"/>
      <c r="RP117" s="5"/>
      <c r="RQ117" s="5"/>
      <c r="RR117" s="5"/>
      <c r="RS117" s="5"/>
      <c r="RT117" s="5"/>
      <c r="RU117" s="5"/>
      <c r="RV117" s="5"/>
      <c r="RW117" s="5"/>
      <c r="RX117" s="5"/>
      <c r="RY117" s="5"/>
      <c r="RZ117" s="5"/>
      <c r="SA117" s="5"/>
      <c r="SB117" s="5"/>
      <c r="SC117" s="5"/>
      <c r="SD117" s="5"/>
      <c r="SE117" s="5"/>
      <c r="SF117" s="5"/>
      <c r="SG117" s="5"/>
      <c r="SH117" s="5"/>
      <c r="SI117" s="5"/>
      <c r="SJ117" s="5"/>
      <c r="SK117" s="5"/>
      <c r="SL117" s="5"/>
      <c r="SM117" s="5"/>
      <c r="SN117" s="5"/>
      <c r="SO117" s="5"/>
      <c r="SP117" s="5"/>
      <c r="SQ117" s="5"/>
      <c r="SR117" s="5"/>
      <c r="SS117" s="5"/>
      <c r="ST117" s="5"/>
      <c r="SU117" s="5"/>
      <c r="SV117" s="5"/>
      <c r="SW117" s="5"/>
      <c r="SX117" s="5"/>
      <c r="SY117" s="5"/>
      <c r="SZ117" s="5"/>
      <c r="TA117" s="5"/>
      <c r="TB117" s="5"/>
      <c r="TC117" s="5"/>
      <c r="TD117" s="5"/>
      <c r="TE117" s="5"/>
      <c r="TF117" s="5"/>
      <c r="TG117" s="5"/>
      <c r="TH117" s="5"/>
      <c r="TI117" s="5"/>
      <c r="TJ117" s="5"/>
      <c r="TK117" s="5"/>
      <c r="TL117" s="5"/>
      <c r="TM117" s="5"/>
      <c r="TN117" s="5"/>
      <c r="TO117" s="5"/>
      <c r="TP117" s="5"/>
      <c r="TQ117" s="5"/>
      <c r="TR117" s="5"/>
      <c r="TS117" s="5"/>
      <c r="TT117" s="5"/>
      <c r="TU117" s="5"/>
      <c r="TV117" s="5"/>
      <c r="TW117" s="5"/>
      <c r="TX117" s="5"/>
      <c r="TY117" s="5"/>
      <c r="TZ117" s="5"/>
      <c r="UA117" s="5"/>
      <c r="UB117" s="5"/>
      <c r="UC117" s="5"/>
      <c r="UD117" s="5"/>
      <c r="UE117" s="5"/>
      <c r="UF117" s="5"/>
      <c r="UG117" s="5"/>
      <c r="UH117" s="5"/>
      <c r="UI117" s="5"/>
      <c r="UJ117" s="5"/>
      <c r="UK117" s="5"/>
      <c r="UL117" s="5"/>
      <c r="UM117" s="5"/>
      <c r="UN117" s="5"/>
      <c r="UO117" s="5"/>
      <c r="UP117" s="5"/>
      <c r="UQ117" s="5"/>
      <c r="UR117" s="5"/>
      <c r="US117" s="5"/>
      <c r="UT117" s="5"/>
      <c r="UU117" s="5"/>
      <c r="UV117" s="5"/>
      <c r="UW117" s="5"/>
      <c r="UX117" s="5"/>
      <c r="UY117" s="5"/>
      <c r="UZ117" s="5"/>
      <c r="VA117" s="5"/>
      <c r="VB117" s="5"/>
      <c r="VC117" s="5"/>
      <c r="VD117" s="5"/>
      <c r="VE117" s="5"/>
      <c r="VF117" s="5"/>
      <c r="VG117" s="5"/>
      <c r="VH117" s="5"/>
      <c r="VI117" s="5"/>
      <c r="VJ117" s="5"/>
      <c r="VK117" s="5"/>
      <c r="VL117" s="5"/>
      <c r="VM117" s="5"/>
      <c r="VN117" s="5"/>
      <c r="VO117" s="5"/>
      <c r="VP117" s="5"/>
      <c r="VQ117" s="5"/>
      <c r="VR117" s="5"/>
      <c r="VS117" s="5"/>
      <c r="VT117" s="5"/>
      <c r="VU117" s="5"/>
      <c r="VV117" s="5"/>
      <c r="VW117" s="5"/>
      <c r="VX117" s="5"/>
      <c r="VY117" s="5"/>
      <c r="VZ117" s="5"/>
      <c r="WA117" s="5"/>
      <c r="WB117" s="5"/>
      <c r="WC117" s="5"/>
      <c r="WD117" s="5"/>
      <c r="WE117" s="5"/>
      <c r="WF117" s="5"/>
      <c r="WG117" s="5"/>
      <c r="WH117" s="5"/>
      <c r="WI117" s="5"/>
      <c r="WJ117" s="5"/>
      <c r="WK117" s="5"/>
      <c r="WL117" s="5"/>
      <c r="WM117" s="5"/>
      <c r="WN117" s="5"/>
      <c r="WO117" s="5"/>
      <c r="WP117" s="5"/>
      <c r="WQ117" s="5"/>
      <c r="WR117" s="5"/>
      <c r="WS117" s="5"/>
      <c r="WT117" s="5"/>
      <c r="WU117" s="5"/>
      <c r="WV117" s="5"/>
      <c r="WW117" s="5"/>
      <c r="WX117" s="5"/>
      <c r="WY117" s="5"/>
      <c r="WZ117" s="5"/>
      <c r="XA117" s="5"/>
      <c r="XB117" s="5"/>
      <c r="XC117" s="5"/>
      <c r="XD117" s="5"/>
      <c r="XE117" s="5"/>
      <c r="XF117" s="5"/>
      <c r="XG117" s="5"/>
      <c r="XH117" s="5"/>
      <c r="XI117" s="5"/>
      <c r="XJ117" s="5"/>
      <c r="XK117" s="5"/>
      <c r="XL117" s="5"/>
      <c r="XM117" s="5"/>
      <c r="XN117" s="5"/>
      <c r="XO117" s="5"/>
      <c r="XP117" s="5"/>
      <c r="XQ117" s="5"/>
      <c r="XR117" s="5"/>
      <c r="XS117" s="5"/>
      <c r="XT117" s="5"/>
      <c r="XU117" s="5"/>
      <c r="XV117" s="5"/>
      <c r="XW117" s="5"/>
      <c r="XX117" s="5"/>
      <c r="XY117" s="5"/>
      <c r="XZ117" s="5"/>
      <c r="YA117" s="5"/>
      <c r="YB117" s="5"/>
      <c r="YC117" s="5"/>
      <c r="YD117" s="5"/>
      <c r="YE117" s="5"/>
      <c r="YF117" s="5"/>
      <c r="YG117" s="5"/>
      <c r="YH117" s="5"/>
      <c r="YI117" s="5"/>
      <c r="YJ117" s="5"/>
      <c r="YK117" s="5"/>
      <c r="YL117" s="5"/>
      <c r="YM117" s="5"/>
      <c r="YN117" s="5"/>
      <c r="YO117" s="5"/>
      <c r="YP117" s="5"/>
      <c r="YQ117" s="5"/>
      <c r="YR117" s="5"/>
      <c r="YS117" s="5"/>
      <c r="YT117" s="5"/>
      <c r="YU117" s="5"/>
      <c r="YV117" s="5"/>
      <c r="YW117" s="5"/>
      <c r="YX117" s="5"/>
      <c r="YY117" s="5"/>
      <c r="YZ117" s="5"/>
    </row>
    <row r="118" spans="1:676">
      <c r="A118" s="7">
        <v>108</v>
      </c>
      <c r="B118" s="7" t="s">
        <v>281</v>
      </c>
      <c r="C118" s="10" t="s">
        <v>282</v>
      </c>
      <c r="D118" s="7" t="s">
        <v>60</v>
      </c>
      <c r="E118" s="7" t="s">
        <v>178</v>
      </c>
      <c r="F118" s="7" t="s">
        <v>283</v>
      </c>
      <c r="G118" s="7"/>
      <c r="H118" s="7" t="s">
        <v>43</v>
      </c>
      <c r="I118" s="11">
        <v>2</v>
      </c>
      <c r="J118" s="11">
        <v>0</v>
      </c>
      <c r="K118" s="11">
        <v>0</v>
      </c>
      <c r="L118" s="11">
        <v>0.68</v>
      </c>
      <c r="M118" s="11">
        <v>0</v>
      </c>
      <c r="N118" s="11">
        <v>0</v>
      </c>
      <c r="O118" s="11">
        <v>1</v>
      </c>
      <c r="P118" s="11">
        <v>0</v>
      </c>
      <c r="Q118" s="11">
        <v>1.68</v>
      </c>
      <c r="R118" s="11">
        <v>44.94</v>
      </c>
      <c r="S118" s="11">
        <v>46.62</v>
      </c>
      <c r="T118" s="11">
        <v>2</v>
      </c>
      <c r="U118" s="11">
        <v>0</v>
      </c>
      <c r="V118" s="11">
        <v>44.62</v>
      </c>
      <c r="W118" s="13">
        <v>24</v>
      </c>
      <c r="X118" s="13">
        <v>0</v>
      </c>
      <c r="Y118" s="13" t="str">
        <f>MIN(W118,S118)</f>
        <v>0</v>
      </c>
      <c r="Z118" s="13" t="str">
        <f>MIN(X118,(S118-Y118))</f>
        <v>0</v>
      </c>
      <c r="AA118" s="13" t="str">
        <f>S118-SUM(Y118,Z118)</f>
        <v>0</v>
      </c>
      <c r="AB118" s="15"/>
      <c r="AC118" s="15"/>
      <c r="AD118" s="1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/>
      <c r="KB118" s="5"/>
      <c r="KC118" s="5"/>
      <c r="KD118" s="5"/>
      <c r="KE118" s="5"/>
      <c r="KF118" s="5"/>
      <c r="KG118" s="5"/>
      <c r="KH118" s="5"/>
      <c r="KI118" s="5"/>
      <c r="KJ118" s="5"/>
      <c r="KK118" s="5"/>
      <c r="KL118" s="5"/>
      <c r="KM118" s="5"/>
      <c r="KN118" s="5"/>
      <c r="KO118" s="5"/>
      <c r="KP118" s="5"/>
      <c r="KQ118" s="5"/>
      <c r="KR118" s="5"/>
      <c r="KS118" s="5"/>
      <c r="KT118" s="5"/>
      <c r="KU118" s="5"/>
      <c r="KV118" s="5"/>
      <c r="KW118" s="5"/>
      <c r="KX118" s="5"/>
      <c r="KY118" s="5"/>
      <c r="KZ118" s="5"/>
      <c r="LA118" s="5"/>
      <c r="LB118" s="5"/>
      <c r="LC118" s="5"/>
      <c r="LD118" s="5"/>
      <c r="LE118" s="5"/>
      <c r="LF118" s="5"/>
      <c r="LG118" s="5"/>
      <c r="LH118" s="5"/>
      <c r="LI118" s="5"/>
      <c r="LJ118" s="5"/>
      <c r="LK118" s="5"/>
      <c r="LL118" s="5"/>
      <c r="LM118" s="5"/>
      <c r="LN118" s="5"/>
      <c r="LO118" s="5"/>
      <c r="LP118" s="5"/>
      <c r="LQ118" s="5"/>
      <c r="LR118" s="5"/>
      <c r="LS118" s="5"/>
      <c r="LT118" s="5"/>
      <c r="LU118" s="5"/>
      <c r="LV118" s="5"/>
      <c r="LW118" s="5"/>
      <c r="LX118" s="5"/>
      <c r="LY118" s="5"/>
      <c r="LZ118" s="5"/>
      <c r="MA118" s="5"/>
      <c r="MB118" s="5"/>
      <c r="MC118" s="5"/>
      <c r="MD118" s="5"/>
      <c r="ME118" s="5"/>
      <c r="MF118" s="5"/>
      <c r="MG118" s="5"/>
      <c r="MH118" s="5"/>
      <c r="MI118" s="5"/>
      <c r="MJ118" s="5"/>
      <c r="MK118" s="5"/>
      <c r="ML118" s="5"/>
      <c r="MM118" s="5"/>
      <c r="MN118" s="5"/>
      <c r="MO118" s="5"/>
      <c r="MP118" s="5"/>
      <c r="MQ118" s="5"/>
      <c r="MR118" s="5"/>
      <c r="MS118" s="5"/>
      <c r="MT118" s="5"/>
      <c r="MU118" s="5"/>
      <c r="MV118" s="5"/>
      <c r="MW118" s="5"/>
      <c r="MX118" s="5"/>
      <c r="MY118" s="5"/>
      <c r="MZ118" s="5"/>
      <c r="NA118" s="5"/>
      <c r="NB118" s="5"/>
      <c r="NC118" s="5"/>
      <c r="ND118" s="5"/>
      <c r="NE118" s="5"/>
      <c r="NF118" s="5"/>
      <c r="NG118" s="5"/>
      <c r="NH118" s="5"/>
      <c r="NI118" s="5"/>
      <c r="NJ118" s="5"/>
      <c r="NK118" s="5"/>
      <c r="NL118" s="5"/>
      <c r="NM118" s="5"/>
      <c r="NN118" s="5"/>
      <c r="NO118" s="5"/>
      <c r="NP118" s="5"/>
      <c r="NQ118" s="5"/>
      <c r="NR118" s="5"/>
      <c r="NS118" s="5"/>
      <c r="NT118" s="5"/>
      <c r="NU118" s="5"/>
      <c r="NV118" s="5"/>
      <c r="NW118" s="5"/>
      <c r="NX118" s="5"/>
      <c r="NY118" s="5"/>
      <c r="NZ118" s="5"/>
      <c r="OA118" s="5"/>
      <c r="OB118" s="5"/>
      <c r="OC118" s="5"/>
      <c r="OD118" s="5"/>
      <c r="OE118" s="5"/>
      <c r="OF118" s="5"/>
      <c r="OG118" s="5"/>
      <c r="OH118" s="5"/>
      <c r="OI118" s="5"/>
      <c r="OJ118" s="5"/>
      <c r="OK118" s="5"/>
      <c r="OL118" s="5"/>
      <c r="OM118" s="5"/>
      <c r="ON118" s="5"/>
      <c r="OO118" s="5"/>
      <c r="OP118" s="5"/>
      <c r="OQ118" s="5"/>
      <c r="OR118" s="5"/>
      <c r="OS118" s="5"/>
      <c r="OT118" s="5"/>
      <c r="OU118" s="5"/>
      <c r="OV118" s="5"/>
      <c r="OW118" s="5"/>
      <c r="OX118" s="5"/>
      <c r="OY118" s="5"/>
      <c r="OZ118" s="5"/>
      <c r="PA118" s="5"/>
      <c r="PB118" s="5"/>
      <c r="PC118" s="5"/>
      <c r="PD118" s="5"/>
      <c r="PE118" s="5"/>
      <c r="PF118" s="5"/>
      <c r="PG118" s="5"/>
      <c r="PH118" s="5"/>
      <c r="PI118" s="5"/>
      <c r="PJ118" s="5"/>
      <c r="PK118" s="5"/>
      <c r="PL118" s="5"/>
      <c r="PM118" s="5"/>
      <c r="PN118" s="5"/>
      <c r="PO118" s="5"/>
      <c r="PP118" s="5"/>
      <c r="PQ118" s="5"/>
      <c r="PR118" s="5"/>
      <c r="PS118" s="5"/>
      <c r="PT118" s="5"/>
      <c r="PU118" s="5"/>
      <c r="PV118" s="5"/>
      <c r="PW118" s="5"/>
      <c r="PX118" s="5"/>
      <c r="PY118" s="5"/>
      <c r="PZ118" s="5"/>
      <c r="QA118" s="5"/>
      <c r="QB118" s="5"/>
      <c r="QC118" s="5"/>
      <c r="QD118" s="5"/>
      <c r="QE118" s="5"/>
      <c r="QF118" s="5"/>
      <c r="QG118" s="5"/>
      <c r="QH118" s="5"/>
      <c r="QI118" s="5"/>
      <c r="QJ118" s="5"/>
      <c r="QK118" s="5"/>
      <c r="QL118" s="5"/>
      <c r="QM118" s="5"/>
      <c r="QN118" s="5"/>
      <c r="QO118" s="5"/>
      <c r="QP118" s="5"/>
      <c r="QQ118" s="5"/>
      <c r="QR118" s="5"/>
      <c r="QS118" s="5"/>
      <c r="QT118" s="5"/>
      <c r="QU118" s="5"/>
      <c r="QV118" s="5"/>
      <c r="QW118" s="5"/>
      <c r="QX118" s="5"/>
      <c r="QY118" s="5"/>
      <c r="QZ118" s="5"/>
      <c r="RA118" s="5"/>
      <c r="RB118" s="5"/>
      <c r="RC118" s="5"/>
      <c r="RD118" s="5"/>
      <c r="RE118" s="5"/>
      <c r="RF118" s="5"/>
      <c r="RG118" s="5"/>
      <c r="RH118" s="5"/>
      <c r="RI118" s="5"/>
      <c r="RJ118" s="5"/>
      <c r="RK118" s="5"/>
      <c r="RL118" s="5"/>
      <c r="RM118" s="5"/>
      <c r="RN118" s="5"/>
      <c r="RO118" s="5"/>
      <c r="RP118" s="5"/>
      <c r="RQ118" s="5"/>
      <c r="RR118" s="5"/>
      <c r="RS118" s="5"/>
      <c r="RT118" s="5"/>
      <c r="RU118" s="5"/>
      <c r="RV118" s="5"/>
      <c r="RW118" s="5"/>
      <c r="RX118" s="5"/>
      <c r="RY118" s="5"/>
      <c r="RZ118" s="5"/>
      <c r="SA118" s="5"/>
      <c r="SB118" s="5"/>
      <c r="SC118" s="5"/>
      <c r="SD118" s="5"/>
      <c r="SE118" s="5"/>
      <c r="SF118" s="5"/>
      <c r="SG118" s="5"/>
      <c r="SH118" s="5"/>
      <c r="SI118" s="5"/>
      <c r="SJ118" s="5"/>
      <c r="SK118" s="5"/>
      <c r="SL118" s="5"/>
      <c r="SM118" s="5"/>
      <c r="SN118" s="5"/>
      <c r="SO118" s="5"/>
      <c r="SP118" s="5"/>
      <c r="SQ118" s="5"/>
      <c r="SR118" s="5"/>
      <c r="SS118" s="5"/>
      <c r="ST118" s="5"/>
      <c r="SU118" s="5"/>
      <c r="SV118" s="5"/>
      <c r="SW118" s="5"/>
      <c r="SX118" s="5"/>
      <c r="SY118" s="5"/>
      <c r="SZ118" s="5"/>
      <c r="TA118" s="5"/>
      <c r="TB118" s="5"/>
      <c r="TC118" s="5"/>
      <c r="TD118" s="5"/>
      <c r="TE118" s="5"/>
      <c r="TF118" s="5"/>
      <c r="TG118" s="5"/>
      <c r="TH118" s="5"/>
      <c r="TI118" s="5"/>
      <c r="TJ118" s="5"/>
      <c r="TK118" s="5"/>
      <c r="TL118" s="5"/>
      <c r="TM118" s="5"/>
      <c r="TN118" s="5"/>
      <c r="TO118" s="5"/>
      <c r="TP118" s="5"/>
      <c r="TQ118" s="5"/>
      <c r="TR118" s="5"/>
      <c r="TS118" s="5"/>
      <c r="TT118" s="5"/>
      <c r="TU118" s="5"/>
      <c r="TV118" s="5"/>
      <c r="TW118" s="5"/>
      <c r="TX118" s="5"/>
      <c r="TY118" s="5"/>
      <c r="TZ118" s="5"/>
      <c r="UA118" s="5"/>
      <c r="UB118" s="5"/>
      <c r="UC118" s="5"/>
      <c r="UD118" s="5"/>
      <c r="UE118" s="5"/>
      <c r="UF118" s="5"/>
      <c r="UG118" s="5"/>
      <c r="UH118" s="5"/>
      <c r="UI118" s="5"/>
      <c r="UJ118" s="5"/>
      <c r="UK118" s="5"/>
      <c r="UL118" s="5"/>
      <c r="UM118" s="5"/>
      <c r="UN118" s="5"/>
      <c r="UO118" s="5"/>
      <c r="UP118" s="5"/>
      <c r="UQ118" s="5"/>
      <c r="UR118" s="5"/>
      <c r="US118" s="5"/>
      <c r="UT118" s="5"/>
      <c r="UU118" s="5"/>
      <c r="UV118" s="5"/>
      <c r="UW118" s="5"/>
      <c r="UX118" s="5"/>
      <c r="UY118" s="5"/>
      <c r="UZ118" s="5"/>
      <c r="VA118" s="5"/>
      <c r="VB118" s="5"/>
      <c r="VC118" s="5"/>
      <c r="VD118" s="5"/>
      <c r="VE118" s="5"/>
      <c r="VF118" s="5"/>
      <c r="VG118" s="5"/>
      <c r="VH118" s="5"/>
      <c r="VI118" s="5"/>
      <c r="VJ118" s="5"/>
      <c r="VK118" s="5"/>
      <c r="VL118" s="5"/>
      <c r="VM118" s="5"/>
      <c r="VN118" s="5"/>
      <c r="VO118" s="5"/>
      <c r="VP118" s="5"/>
      <c r="VQ118" s="5"/>
      <c r="VR118" s="5"/>
      <c r="VS118" s="5"/>
      <c r="VT118" s="5"/>
      <c r="VU118" s="5"/>
      <c r="VV118" s="5"/>
      <c r="VW118" s="5"/>
      <c r="VX118" s="5"/>
      <c r="VY118" s="5"/>
      <c r="VZ118" s="5"/>
      <c r="WA118" s="5"/>
      <c r="WB118" s="5"/>
      <c r="WC118" s="5"/>
      <c r="WD118" s="5"/>
      <c r="WE118" s="5"/>
      <c r="WF118" s="5"/>
      <c r="WG118" s="5"/>
      <c r="WH118" s="5"/>
      <c r="WI118" s="5"/>
      <c r="WJ118" s="5"/>
      <c r="WK118" s="5"/>
      <c r="WL118" s="5"/>
      <c r="WM118" s="5"/>
      <c r="WN118" s="5"/>
      <c r="WO118" s="5"/>
      <c r="WP118" s="5"/>
      <c r="WQ118" s="5"/>
      <c r="WR118" s="5"/>
      <c r="WS118" s="5"/>
      <c r="WT118" s="5"/>
      <c r="WU118" s="5"/>
      <c r="WV118" s="5"/>
      <c r="WW118" s="5"/>
      <c r="WX118" s="5"/>
      <c r="WY118" s="5"/>
      <c r="WZ118" s="5"/>
      <c r="XA118" s="5"/>
      <c r="XB118" s="5"/>
      <c r="XC118" s="5"/>
      <c r="XD118" s="5"/>
      <c r="XE118" s="5"/>
      <c r="XF118" s="5"/>
      <c r="XG118" s="5"/>
      <c r="XH118" s="5"/>
      <c r="XI118" s="5"/>
      <c r="XJ118" s="5"/>
      <c r="XK118" s="5"/>
      <c r="XL118" s="5"/>
      <c r="XM118" s="5"/>
      <c r="XN118" s="5"/>
      <c r="XO118" s="5"/>
      <c r="XP118" s="5"/>
      <c r="XQ118" s="5"/>
      <c r="XR118" s="5"/>
      <c r="XS118" s="5"/>
      <c r="XT118" s="5"/>
      <c r="XU118" s="5"/>
      <c r="XV118" s="5"/>
      <c r="XW118" s="5"/>
      <c r="XX118" s="5"/>
      <c r="XY118" s="5"/>
      <c r="XZ118" s="5"/>
      <c r="YA118" s="5"/>
      <c r="YB118" s="5"/>
      <c r="YC118" s="5"/>
      <c r="YD118" s="5"/>
      <c r="YE118" s="5"/>
      <c r="YF118" s="5"/>
      <c r="YG118" s="5"/>
      <c r="YH118" s="5"/>
      <c r="YI118" s="5"/>
      <c r="YJ118" s="5"/>
      <c r="YK118" s="5"/>
      <c r="YL118" s="5"/>
      <c r="YM118" s="5"/>
      <c r="YN118" s="5"/>
      <c r="YO118" s="5"/>
      <c r="YP118" s="5"/>
      <c r="YQ118" s="5"/>
      <c r="YR118" s="5"/>
      <c r="YS118" s="5"/>
      <c r="YT118" s="5"/>
      <c r="YU118" s="5"/>
      <c r="YV118" s="5"/>
      <c r="YW118" s="5"/>
      <c r="YX118" s="5"/>
      <c r="YY118" s="5"/>
      <c r="YZ118" s="5"/>
    </row>
    <row r="119" spans="1:676">
      <c r="A119" s="7">
        <v>109</v>
      </c>
      <c r="B119" s="7" t="s">
        <v>284</v>
      </c>
      <c r="C119" s="10" t="s">
        <v>285</v>
      </c>
      <c r="D119" s="7" t="s">
        <v>48</v>
      </c>
      <c r="E119" s="7" t="s">
        <v>175</v>
      </c>
      <c r="F119" s="7" t="s">
        <v>286</v>
      </c>
      <c r="G119" s="7"/>
      <c r="H119" s="7"/>
      <c r="I119" s="11">
        <v>2</v>
      </c>
      <c r="J119" s="11">
        <v>3</v>
      </c>
      <c r="K119" s="11">
        <v>0</v>
      </c>
      <c r="L119" s="11">
        <v>4.289999999999999</v>
      </c>
      <c r="M119" s="11">
        <v>0</v>
      </c>
      <c r="N119" s="11">
        <v>0</v>
      </c>
      <c r="O119" s="11">
        <v>0.9299999999999999</v>
      </c>
      <c r="P119" s="11">
        <v>0</v>
      </c>
      <c r="Q119" s="11">
        <v>5.219999999999999</v>
      </c>
      <c r="R119" s="11">
        <v>95.09999999999995</v>
      </c>
      <c r="S119" s="11">
        <v>100.32</v>
      </c>
      <c r="T119" s="11">
        <v>2</v>
      </c>
      <c r="U119" s="11">
        <v>3</v>
      </c>
      <c r="V119" s="11">
        <v>95.31999999999995</v>
      </c>
      <c r="W119" s="13">
        <v>24</v>
      </c>
      <c r="X119" s="13">
        <v>36</v>
      </c>
      <c r="Y119" s="13" t="str">
        <f>MIN(W119,S119)</f>
        <v>0</v>
      </c>
      <c r="Z119" s="13" t="str">
        <f>MIN(X119,(S119-Y119))</f>
        <v>0</v>
      </c>
      <c r="AA119" s="13" t="str">
        <f>S119-SUM(Y119,Z119)</f>
        <v>0</v>
      </c>
      <c r="AB119" s="15"/>
      <c r="AC119" s="15"/>
      <c r="AD119" s="1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/>
      <c r="JG119" s="5"/>
      <c r="JH119" s="5"/>
      <c r="JI119" s="5"/>
      <c r="JJ119" s="5"/>
      <c r="JK119" s="5"/>
      <c r="JL119" s="5"/>
      <c r="JM119" s="5"/>
      <c r="JN119" s="5"/>
      <c r="JO119" s="5"/>
      <c r="JP119" s="5"/>
      <c r="JQ119" s="5"/>
      <c r="JR119" s="5"/>
      <c r="JS119" s="5"/>
      <c r="JT119" s="5"/>
      <c r="JU119" s="5"/>
      <c r="JV119" s="5"/>
      <c r="JW119" s="5"/>
      <c r="JX119" s="5"/>
      <c r="JY119" s="5"/>
      <c r="JZ119" s="5"/>
      <c r="KA119" s="5"/>
      <c r="KB119" s="5"/>
      <c r="KC119" s="5"/>
      <c r="KD119" s="5"/>
      <c r="KE119" s="5"/>
      <c r="KF119" s="5"/>
      <c r="KG119" s="5"/>
      <c r="KH119" s="5"/>
      <c r="KI119" s="5"/>
      <c r="KJ119" s="5"/>
      <c r="KK119" s="5"/>
      <c r="KL119" s="5"/>
      <c r="KM119" s="5"/>
      <c r="KN119" s="5"/>
      <c r="KO119" s="5"/>
      <c r="KP119" s="5"/>
      <c r="KQ119" s="5"/>
      <c r="KR119" s="5"/>
      <c r="KS119" s="5"/>
      <c r="KT119" s="5"/>
      <c r="KU119" s="5"/>
      <c r="KV119" s="5"/>
      <c r="KW119" s="5"/>
      <c r="KX119" s="5"/>
      <c r="KY119" s="5"/>
      <c r="KZ119" s="5"/>
      <c r="LA119" s="5"/>
      <c r="LB119" s="5"/>
      <c r="LC119" s="5"/>
      <c r="LD119" s="5"/>
      <c r="LE119" s="5"/>
      <c r="LF119" s="5"/>
      <c r="LG119" s="5"/>
      <c r="LH119" s="5"/>
      <c r="LI119" s="5"/>
      <c r="LJ119" s="5"/>
      <c r="LK119" s="5"/>
      <c r="LL119" s="5"/>
      <c r="LM119" s="5"/>
      <c r="LN119" s="5"/>
      <c r="LO119" s="5"/>
      <c r="LP119" s="5"/>
      <c r="LQ119" s="5"/>
      <c r="LR119" s="5"/>
      <c r="LS119" s="5"/>
      <c r="LT119" s="5"/>
      <c r="LU119" s="5"/>
      <c r="LV119" s="5"/>
      <c r="LW119" s="5"/>
      <c r="LX119" s="5"/>
      <c r="LY119" s="5"/>
      <c r="LZ119" s="5"/>
      <c r="MA119" s="5"/>
      <c r="MB119" s="5"/>
      <c r="MC119" s="5"/>
      <c r="MD119" s="5"/>
      <c r="ME119" s="5"/>
      <c r="MF119" s="5"/>
      <c r="MG119" s="5"/>
      <c r="MH119" s="5"/>
      <c r="MI119" s="5"/>
      <c r="MJ119" s="5"/>
      <c r="MK119" s="5"/>
      <c r="ML119" s="5"/>
      <c r="MM119" s="5"/>
      <c r="MN119" s="5"/>
      <c r="MO119" s="5"/>
      <c r="MP119" s="5"/>
      <c r="MQ119" s="5"/>
      <c r="MR119" s="5"/>
      <c r="MS119" s="5"/>
      <c r="MT119" s="5"/>
      <c r="MU119" s="5"/>
      <c r="MV119" s="5"/>
      <c r="MW119" s="5"/>
      <c r="MX119" s="5"/>
      <c r="MY119" s="5"/>
      <c r="MZ119" s="5"/>
      <c r="NA119" s="5"/>
      <c r="NB119" s="5"/>
      <c r="NC119" s="5"/>
      <c r="ND119" s="5"/>
      <c r="NE119" s="5"/>
      <c r="NF119" s="5"/>
      <c r="NG119" s="5"/>
      <c r="NH119" s="5"/>
      <c r="NI119" s="5"/>
      <c r="NJ119" s="5"/>
      <c r="NK119" s="5"/>
      <c r="NL119" s="5"/>
      <c r="NM119" s="5"/>
      <c r="NN119" s="5"/>
      <c r="NO119" s="5"/>
      <c r="NP119" s="5"/>
      <c r="NQ119" s="5"/>
      <c r="NR119" s="5"/>
      <c r="NS119" s="5"/>
      <c r="NT119" s="5"/>
      <c r="NU119" s="5"/>
      <c r="NV119" s="5"/>
      <c r="NW119" s="5"/>
      <c r="NX119" s="5"/>
      <c r="NY119" s="5"/>
      <c r="NZ119" s="5"/>
      <c r="OA119" s="5"/>
      <c r="OB119" s="5"/>
      <c r="OC119" s="5"/>
      <c r="OD119" s="5"/>
      <c r="OE119" s="5"/>
      <c r="OF119" s="5"/>
      <c r="OG119" s="5"/>
      <c r="OH119" s="5"/>
      <c r="OI119" s="5"/>
      <c r="OJ119" s="5"/>
      <c r="OK119" s="5"/>
      <c r="OL119" s="5"/>
      <c r="OM119" s="5"/>
      <c r="ON119" s="5"/>
      <c r="OO119" s="5"/>
      <c r="OP119" s="5"/>
      <c r="OQ119" s="5"/>
      <c r="OR119" s="5"/>
      <c r="OS119" s="5"/>
      <c r="OT119" s="5"/>
      <c r="OU119" s="5"/>
      <c r="OV119" s="5"/>
      <c r="OW119" s="5"/>
      <c r="OX119" s="5"/>
      <c r="OY119" s="5"/>
      <c r="OZ119" s="5"/>
      <c r="PA119" s="5"/>
      <c r="PB119" s="5"/>
      <c r="PC119" s="5"/>
      <c r="PD119" s="5"/>
      <c r="PE119" s="5"/>
      <c r="PF119" s="5"/>
      <c r="PG119" s="5"/>
      <c r="PH119" s="5"/>
      <c r="PI119" s="5"/>
      <c r="PJ119" s="5"/>
      <c r="PK119" s="5"/>
      <c r="PL119" s="5"/>
      <c r="PM119" s="5"/>
      <c r="PN119" s="5"/>
      <c r="PO119" s="5"/>
      <c r="PP119" s="5"/>
      <c r="PQ119" s="5"/>
      <c r="PR119" s="5"/>
      <c r="PS119" s="5"/>
      <c r="PT119" s="5"/>
      <c r="PU119" s="5"/>
      <c r="PV119" s="5"/>
      <c r="PW119" s="5"/>
      <c r="PX119" s="5"/>
      <c r="PY119" s="5"/>
      <c r="PZ119" s="5"/>
      <c r="QA119" s="5"/>
      <c r="QB119" s="5"/>
      <c r="QC119" s="5"/>
      <c r="QD119" s="5"/>
      <c r="QE119" s="5"/>
      <c r="QF119" s="5"/>
      <c r="QG119" s="5"/>
      <c r="QH119" s="5"/>
      <c r="QI119" s="5"/>
      <c r="QJ119" s="5"/>
      <c r="QK119" s="5"/>
      <c r="QL119" s="5"/>
      <c r="QM119" s="5"/>
      <c r="QN119" s="5"/>
      <c r="QO119" s="5"/>
      <c r="QP119" s="5"/>
      <c r="QQ119" s="5"/>
      <c r="QR119" s="5"/>
      <c r="QS119" s="5"/>
      <c r="QT119" s="5"/>
      <c r="QU119" s="5"/>
      <c r="QV119" s="5"/>
      <c r="QW119" s="5"/>
      <c r="QX119" s="5"/>
      <c r="QY119" s="5"/>
      <c r="QZ119" s="5"/>
      <c r="RA119" s="5"/>
      <c r="RB119" s="5"/>
      <c r="RC119" s="5"/>
      <c r="RD119" s="5"/>
      <c r="RE119" s="5"/>
      <c r="RF119" s="5"/>
      <c r="RG119" s="5"/>
      <c r="RH119" s="5"/>
      <c r="RI119" s="5"/>
      <c r="RJ119" s="5"/>
      <c r="RK119" s="5"/>
      <c r="RL119" s="5"/>
      <c r="RM119" s="5"/>
      <c r="RN119" s="5"/>
      <c r="RO119" s="5"/>
      <c r="RP119" s="5"/>
      <c r="RQ119" s="5"/>
      <c r="RR119" s="5"/>
      <c r="RS119" s="5"/>
      <c r="RT119" s="5"/>
      <c r="RU119" s="5"/>
      <c r="RV119" s="5"/>
      <c r="RW119" s="5"/>
      <c r="RX119" s="5"/>
      <c r="RY119" s="5"/>
      <c r="RZ119" s="5"/>
      <c r="SA119" s="5"/>
      <c r="SB119" s="5"/>
      <c r="SC119" s="5"/>
      <c r="SD119" s="5"/>
      <c r="SE119" s="5"/>
      <c r="SF119" s="5"/>
      <c r="SG119" s="5"/>
      <c r="SH119" s="5"/>
      <c r="SI119" s="5"/>
      <c r="SJ119" s="5"/>
      <c r="SK119" s="5"/>
      <c r="SL119" s="5"/>
      <c r="SM119" s="5"/>
      <c r="SN119" s="5"/>
      <c r="SO119" s="5"/>
      <c r="SP119" s="5"/>
      <c r="SQ119" s="5"/>
      <c r="SR119" s="5"/>
      <c r="SS119" s="5"/>
      <c r="ST119" s="5"/>
      <c r="SU119" s="5"/>
      <c r="SV119" s="5"/>
      <c r="SW119" s="5"/>
      <c r="SX119" s="5"/>
      <c r="SY119" s="5"/>
      <c r="SZ119" s="5"/>
      <c r="TA119" s="5"/>
      <c r="TB119" s="5"/>
      <c r="TC119" s="5"/>
      <c r="TD119" s="5"/>
      <c r="TE119" s="5"/>
      <c r="TF119" s="5"/>
      <c r="TG119" s="5"/>
      <c r="TH119" s="5"/>
      <c r="TI119" s="5"/>
      <c r="TJ119" s="5"/>
      <c r="TK119" s="5"/>
      <c r="TL119" s="5"/>
      <c r="TM119" s="5"/>
      <c r="TN119" s="5"/>
      <c r="TO119" s="5"/>
      <c r="TP119" s="5"/>
      <c r="TQ119" s="5"/>
      <c r="TR119" s="5"/>
      <c r="TS119" s="5"/>
      <c r="TT119" s="5"/>
      <c r="TU119" s="5"/>
      <c r="TV119" s="5"/>
      <c r="TW119" s="5"/>
      <c r="TX119" s="5"/>
      <c r="TY119" s="5"/>
      <c r="TZ119" s="5"/>
      <c r="UA119" s="5"/>
      <c r="UB119" s="5"/>
      <c r="UC119" s="5"/>
      <c r="UD119" s="5"/>
      <c r="UE119" s="5"/>
      <c r="UF119" s="5"/>
      <c r="UG119" s="5"/>
      <c r="UH119" s="5"/>
      <c r="UI119" s="5"/>
      <c r="UJ119" s="5"/>
      <c r="UK119" s="5"/>
      <c r="UL119" s="5"/>
      <c r="UM119" s="5"/>
      <c r="UN119" s="5"/>
      <c r="UO119" s="5"/>
      <c r="UP119" s="5"/>
      <c r="UQ119" s="5"/>
      <c r="UR119" s="5"/>
      <c r="US119" s="5"/>
      <c r="UT119" s="5"/>
      <c r="UU119" s="5"/>
      <c r="UV119" s="5"/>
      <c r="UW119" s="5"/>
      <c r="UX119" s="5"/>
      <c r="UY119" s="5"/>
      <c r="UZ119" s="5"/>
      <c r="VA119" s="5"/>
      <c r="VB119" s="5"/>
      <c r="VC119" s="5"/>
      <c r="VD119" s="5"/>
      <c r="VE119" s="5"/>
      <c r="VF119" s="5"/>
      <c r="VG119" s="5"/>
      <c r="VH119" s="5"/>
      <c r="VI119" s="5"/>
      <c r="VJ119" s="5"/>
      <c r="VK119" s="5"/>
      <c r="VL119" s="5"/>
      <c r="VM119" s="5"/>
      <c r="VN119" s="5"/>
      <c r="VO119" s="5"/>
      <c r="VP119" s="5"/>
      <c r="VQ119" s="5"/>
      <c r="VR119" s="5"/>
      <c r="VS119" s="5"/>
      <c r="VT119" s="5"/>
      <c r="VU119" s="5"/>
      <c r="VV119" s="5"/>
      <c r="VW119" s="5"/>
      <c r="VX119" s="5"/>
      <c r="VY119" s="5"/>
      <c r="VZ119" s="5"/>
      <c r="WA119" s="5"/>
      <c r="WB119" s="5"/>
      <c r="WC119" s="5"/>
      <c r="WD119" s="5"/>
      <c r="WE119" s="5"/>
      <c r="WF119" s="5"/>
      <c r="WG119" s="5"/>
      <c r="WH119" s="5"/>
      <c r="WI119" s="5"/>
      <c r="WJ119" s="5"/>
      <c r="WK119" s="5"/>
      <c r="WL119" s="5"/>
      <c r="WM119" s="5"/>
      <c r="WN119" s="5"/>
      <c r="WO119" s="5"/>
      <c r="WP119" s="5"/>
      <c r="WQ119" s="5"/>
      <c r="WR119" s="5"/>
      <c r="WS119" s="5"/>
      <c r="WT119" s="5"/>
      <c r="WU119" s="5"/>
      <c r="WV119" s="5"/>
      <c r="WW119" s="5"/>
      <c r="WX119" s="5"/>
      <c r="WY119" s="5"/>
      <c r="WZ119" s="5"/>
      <c r="XA119" s="5"/>
      <c r="XB119" s="5"/>
      <c r="XC119" s="5"/>
      <c r="XD119" s="5"/>
      <c r="XE119" s="5"/>
      <c r="XF119" s="5"/>
      <c r="XG119" s="5"/>
      <c r="XH119" s="5"/>
      <c r="XI119" s="5"/>
      <c r="XJ119" s="5"/>
      <c r="XK119" s="5"/>
      <c r="XL119" s="5"/>
      <c r="XM119" s="5"/>
      <c r="XN119" s="5"/>
      <c r="XO119" s="5"/>
      <c r="XP119" s="5"/>
      <c r="XQ119" s="5"/>
      <c r="XR119" s="5"/>
      <c r="XS119" s="5"/>
      <c r="XT119" s="5"/>
      <c r="XU119" s="5"/>
      <c r="XV119" s="5"/>
      <c r="XW119" s="5"/>
      <c r="XX119" s="5"/>
      <c r="XY119" s="5"/>
      <c r="XZ119" s="5"/>
      <c r="YA119" s="5"/>
      <c r="YB119" s="5"/>
      <c r="YC119" s="5"/>
      <c r="YD119" s="5"/>
      <c r="YE119" s="5"/>
      <c r="YF119" s="5"/>
      <c r="YG119" s="5"/>
      <c r="YH119" s="5"/>
      <c r="YI119" s="5"/>
      <c r="YJ119" s="5"/>
      <c r="YK119" s="5"/>
      <c r="YL119" s="5"/>
      <c r="YM119" s="5"/>
      <c r="YN119" s="5"/>
      <c r="YO119" s="5"/>
      <c r="YP119" s="5"/>
      <c r="YQ119" s="5"/>
      <c r="YR119" s="5"/>
      <c r="YS119" s="5"/>
      <c r="YT119" s="5"/>
      <c r="YU119" s="5"/>
      <c r="YV119" s="5"/>
      <c r="YW119" s="5"/>
      <c r="YX119" s="5"/>
      <c r="YY119" s="5"/>
      <c r="YZ119" s="5"/>
    </row>
    <row r="120" spans="1:676">
      <c r="A120" s="7">
        <v>110</v>
      </c>
      <c r="B120" s="7" t="s">
        <v>287</v>
      </c>
      <c r="C120" s="10" t="s">
        <v>288</v>
      </c>
      <c r="D120" s="7" t="s">
        <v>48</v>
      </c>
      <c r="E120" s="7" t="s">
        <v>167</v>
      </c>
      <c r="F120" s="7" t="s">
        <v>283</v>
      </c>
      <c r="G120" s="7"/>
      <c r="H120" s="7" t="s">
        <v>43</v>
      </c>
      <c r="I120" s="11">
        <v>2</v>
      </c>
      <c r="J120" s="11">
        <v>0</v>
      </c>
      <c r="K120" s="11">
        <v>0</v>
      </c>
      <c r="L120" s="11">
        <v>0</v>
      </c>
      <c r="M120" s="11">
        <v>0</v>
      </c>
      <c r="N120" s="11">
        <v>0</v>
      </c>
      <c r="O120" s="11">
        <v>0.05</v>
      </c>
      <c r="P120" s="11">
        <v>0</v>
      </c>
      <c r="Q120" s="11">
        <v>0.05</v>
      </c>
      <c r="R120" s="11">
        <v>0.5499999999999999</v>
      </c>
      <c r="S120" s="11">
        <v>0.6</v>
      </c>
      <c r="T120" s="11">
        <v>0.6</v>
      </c>
      <c r="U120" s="11">
        <v>0</v>
      </c>
      <c r="V120" s="11">
        <v>0</v>
      </c>
      <c r="W120" s="13">
        <v>24</v>
      </c>
      <c r="X120" s="13">
        <v>0</v>
      </c>
      <c r="Y120" s="13" t="str">
        <f>MIN(W120,S120)</f>
        <v>0</v>
      </c>
      <c r="Z120" s="13" t="str">
        <f>MIN(X120,(S120-Y120))</f>
        <v>0</v>
      </c>
      <c r="AA120" s="13" t="str">
        <f>S120-SUM(Y120,Z120)</f>
        <v>0</v>
      </c>
      <c r="AB120" s="15"/>
      <c r="AC120" s="15"/>
      <c r="AD120" s="1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  <c r="IX120" s="5"/>
      <c r="IY120" s="5"/>
      <c r="IZ120" s="5"/>
      <c r="JA120" s="5"/>
      <c r="JB120" s="5"/>
      <c r="JC120" s="5"/>
      <c r="JD120" s="5"/>
      <c r="JE120" s="5"/>
      <c r="JF120" s="5"/>
      <c r="JG120" s="5"/>
      <c r="JH120" s="5"/>
      <c r="JI120" s="5"/>
      <c r="JJ120" s="5"/>
      <c r="JK120" s="5"/>
      <c r="JL120" s="5"/>
      <c r="JM120" s="5"/>
      <c r="JN120" s="5"/>
      <c r="JO120" s="5"/>
      <c r="JP120" s="5"/>
      <c r="JQ120" s="5"/>
      <c r="JR120" s="5"/>
      <c r="JS120" s="5"/>
      <c r="JT120" s="5"/>
      <c r="JU120" s="5"/>
      <c r="JV120" s="5"/>
      <c r="JW120" s="5"/>
      <c r="JX120" s="5"/>
      <c r="JY120" s="5"/>
      <c r="JZ120" s="5"/>
      <c r="KA120" s="5"/>
      <c r="KB120" s="5"/>
      <c r="KC120" s="5"/>
      <c r="KD120" s="5"/>
      <c r="KE120" s="5"/>
      <c r="KF120" s="5"/>
      <c r="KG120" s="5"/>
      <c r="KH120" s="5"/>
      <c r="KI120" s="5"/>
      <c r="KJ120" s="5"/>
      <c r="KK120" s="5"/>
      <c r="KL120" s="5"/>
      <c r="KM120" s="5"/>
      <c r="KN120" s="5"/>
      <c r="KO120" s="5"/>
      <c r="KP120" s="5"/>
      <c r="KQ120" s="5"/>
      <c r="KR120" s="5"/>
      <c r="KS120" s="5"/>
      <c r="KT120" s="5"/>
      <c r="KU120" s="5"/>
      <c r="KV120" s="5"/>
      <c r="KW120" s="5"/>
      <c r="KX120" s="5"/>
      <c r="KY120" s="5"/>
      <c r="KZ120" s="5"/>
      <c r="LA120" s="5"/>
      <c r="LB120" s="5"/>
      <c r="LC120" s="5"/>
      <c r="LD120" s="5"/>
      <c r="LE120" s="5"/>
      <c r="LF120" s="5"/>
      <c r="LG120" s="5"/>
      <c r="LH120" s="5"/>
      <c r="LI120" s="5"/>
      <c r="LJ120" s="5"/>
      <c r="LK120" s="5"/>
      <c r="LL120" s="5"/>
      <c r="LM120" s="5"/>
      <c r="LN120" s="5"/>
      <c r="LO120" s="5"/>
      <c r="LP120" s="5"/>
      <c r="LQ120" s="5"/>
      <c r="LR120" s="5"/>
      <c r="LS120" s="5"/>
      <c r="LT120" s="5"/>
      <c r="LU120" s="5"/>
      <c r="LV120" s="5"/>
      <c r="LW120" s="5"/>
      <c r="LX120" s="5"/>
      <c r="LY120" s="5"/>
      <c r="LZ120" s="5"/>
      <c r="MA120" s="5"/>
      <c r="MB120" s="5"/>
      <c r="MC120" s="5"/>
      <c r="MD120" s="5"/>
      <c r="ME120" s="5"/>
      <c r="MF120" s="5"/>
      <c r="MG120" s="5"/>
      <c r="MH120" s="5"/>
      <c r="MI120" s="5"/>
      <c r="MJ120" s="5"/>
      <c r="MK120" s="5"/>
      <c r="ML120" s="5"/>
      <c r="MM120" s="5"/>
      <c r="MN120" s="5"/>
      <c r="MO120" s="5"/>
      <c r="MP120" s="5"/>
      <c r="MQ120" s="5"/>
      <c r="MR120" s="5"/>
      <c r="MS120" s="5"/>
      <c r="MT120" s="5"/>
      <c r="MU120" s="5"/>
      <c r="MV120" s="5"/>
      <c r="MW120" s="5"/>
      <c r="MX120" s="5"/>
      <c r="MY120" s="5"/>
      <c r="MZ120" s="5"/>
      <c r="NA120" s="5"/>
      <c r="NB120" s="5"/>
      <c r="NC120" s="5"/>
      <c r="ND120" s="5"/>
      <c r="NE120" s="5"/>
      <c r="NF120" s="5"/>
      <c r="NG120" s="5"/>
      <c r="NH120" s="5"/>
      <c r="NI120" s="5"/>
      <c r="NJ120" s="5"/>
      <c r="NK120" s="5"/>
      <c r="NL120" s="5"/>
      <c r="NM120" s="5"/>
      <c r="NN120" s="5"/>
      <c r="NO120" s="5"/>
      <c r="NP120" s="5"/>
      <c r="NQ120" s="5"/>
      <c r="NR120" s="5"/>
      <c r="NS120" s="5"/>
      <c r="NT120" s="5"/>
      <c r="NU120" s="5"/>
      <c r="NV120" s="5"/>
      <c r="NW120" s="5"/>
      <c r="NX120" s="5"/>
      <c r="NY120" s="5"/>
      <c r="NZ120" s="5"/>
      <c r="OA120" s="5"/>
      <c r="OB120" s="5"/>
      <c r="OC120" s="5"/>
      <c r="OD120" s="5"/>
      <c r="OE120" s="5"/>
      <c r="OF120" s="5"/>
      <c r="OG120" s="5"/>
      <c r="OH120" s="5"/>
      <c r="OI120" s="5"/>
      <c r="OJ120" s="5"/>
      <c r="OK120" s="5"/>
      <c r="OL120" s="5"/>
      <c r="OM120" s="5"/>
      <c r="ON120" s="5"/>
      <c r="OO120" s="5"/>
      <c r="OP120" s="5"/>
      <c r="OQ120" s="5"/>
      <c r="OR120" s="5"/>
      <c r="OS120" s="5"/>
      <c r="OT120" s="5"/>
      <c r="OU120" s="5"/>
      <c r="OV120" s="5"/>
      <c r="OW120" s="5"/>
      <c r="OX120" s="5"/>
      <c r="OY120" s="5"/>
      <c r="OZ120" s="5"/>
      <c r="PA120" s="5"/>
      <c r="PB120" s="5"/>
      <c r="PC120" s="5"/>
      <c r="PD120" s="5"/>
      <c r="PE120" s="5"/>
      <c r="PF120" s="5"/>
      <c r="PG120" s="5"/>
      <c r="PH120" s="5"/>
      <c r="PI120" s="5"/>
      <c r="PJ120" s="5"/>
      <c r="PK120" s="5"/>
      <c r="PL120" s="5"/>
      <c r="PM120" s="5"/>
      <c r="PN120" s="5"/>
      <c r="PO120" s="5"/>
      <c r="PP120" s="5"/>
      <c r="PQ120" s="5"/>
      <c r="PR120" s="5"/>
      <c r="PS120" s="5"/>
      <c r="PT120" s="5"/>
      <c r="PU120" s="5"/>
      <c r="PV120" s="5"/>
      <c r="PW120" s="5"/>
      <c r="PX120" s="5"/>
      <c r="PY120" s="5"/>
      <c r="PZ120" s="5"/>
      <c r="QA120" s="5"/>
      <c r="QB120" s="5"/>
      <c r="QC120" s="5"/>
      <c r="QD120" s="5"/>
      <c r="QE120" s="5"/>
      <c r="QF120" s="5"/>
      <c r="QG120" s="5"/>
      <c r="QH120" s="5"/>
      <c r="QI120" s="5"/>
      <c r="QJ120" s="5"/>
      <c r="QK120" s="5"/>
      <c r="QL120" s="5"/>
      <c r="QM120" s="5"/>
      <c r="QN120" s="5"/>
      <c r="QO120" s="5"/>
      <c r="QP120" s="5"/>
      <c r="QQ120" s="5"/>
      <c r="QR120" s="5"/>
      <c r="QS120" s="5"/>
      <c r="QT120" s="5"/>
      <c r="QU120" s="5"/>
      <c r="QV120" s="5"/>
      <c r="QW120" s="5"/>
      <c r="QX120" s="5"/>
      <c r="QY120" s="5"/>
      <c r="QZ120" s="5"/>
      <c r="RA120" s="5"/>
      <c r="RB120" s="5"/>
      <c r="RC120" s="5"/>
      <c r="RD120" s="5"/>
      <c r="RE120" s="5"/>
      <c r="RF120" s="5"/>
      <c r="RG120" s="5"/>
      <c r="RH120" s="5"/>
      <c r="RI120" s="5"/>
      <c r="RJ120" s="5"/>
      <c r="RK120" s="5"/>
      <c r="RL120" s="5"/>
      <c r="RM120" s="5"/>
      <c r="RN120" s="5"/>
      <c r="RO120" s="5"/>
      <c r="RP120" s="5"/>
      <c r="RQ120" s="5"/>
      <c r="RR120" s="5"/>
      <c r="RS120" s="5"/>
      <c r="RT120" s="5"/>
      <c r="RU120" s="5"/>
      <c r="RV120" s="5"/>
      <c r="RW120" s="5"/>
      <c r="RX120" s="5"/>
      <c r="RY120" s="5"/>
      <c r="RZ120" s="5"/>
      <c r="SA120" s="5"/>
      <c r="SB120" s="5"/>
      <c r="SC120" s="5"/>
      <c r="SD120" s="5"/>
      <c r="SE120" s="5"/>
      <c r="SF120" s="5"/>
      <c r="SG120" s="5"/>
      <c r="SH120" s="5"/>
      <c r="SI120" s="5"/>
      <c r="SJ120" s="5"/>
      <c r="SK120" s="5"/>
      <c r="SL120" s="5"/>
      <c r="SM120" s="5"/>
      <c r="SN120" s="5"/>
      <c r="SO120" s="5"/>
      <c r="SP120" s="5"/>
      <c r="SQ120" s="5"/>
      <c r="SR120" s="5"/>
      <c r="SS120" s="5"/>
      <c r="ST120" s="5"/>
      <c r="SU120" s="5"/>
      <c r="SV120" s="5"/>
      <c r="SW120" s="5"/>
      <c r="SX120" s="5"/>
      <c r="SY120" s="5"/>
      <c r="SZ120" s="5"/>
      <c r="TA120" s="5"/>
      <c r="TB120" s="5"/>
      <c r="TC120" s="5"/>
      <c r="TD120" s="5"/>
      <c r="TE120" s="5"/>
      <c r="TF120" s="5"/>
      <c r="TG120" s="5"/>
      <c r="TH120" s="5"/>
      <c r="TI120" s="5"/>
      <c r="TJ120" s="5"/>
      <c r="TK120" s="5"/>
      <c r="TL120" s="5"/>
      <c r="TM120" s="5"/>
      <c r="TN120" s="5"/>
      <c r="TO120" s="5"/>
      <c r="TP120" s="5"/>
      <c r="TQ120" s="5"/>
      <c r="TR120" s="5"/>
      <c r="TS120" s="5"/>
      <c r="TT120" s="5"/>
      <c r="TU120" s="5"/>
      <c r="TV120" s="5"/>
      <c r="TW120" s="5"/>
      <c r="TX120" s="5"/>
      <c r="TY120" s="5"/>
      <c r="TZ120" s="5"/>
      <c r="UA120" s="5"/>
      <c r="UB120" s="5"/>
      <c r="UC120" s="5"/>
      <c r="UD120" s="5"/>
      <c r="UE120" s="5"/>
      <c r="UF120" s="5"/>
      <c r="UG120" s="5"/>
      <c r="UH120" s="5"/>
      <c r="UI120" s="5"/>
      <c r="UJ120" s="5"/>
      <c r="UK120" s="5"/>
      <c r="UL120" s="5"/>
      <c r="UM120" s="5"/>
      <c r="UN120" s="5"/>
      <c r="UO120" s="5"/>
      <c r="UP120" s="5"/>
      <c r="UQ120" s="5"/>
      <c r="UR120" s="5"/>
      <c r="US120" s="5"/>
      <c r="UT120" s="5"/>
      <c r="UU120" s="5"/>
      <c r="UV120" s="5"/>
      <c r="UW120" s="5"/>
      <c r="UX120" s="5"/>
      <c r="UY120" s="5"/>
      <c r="UZ120" s="5"/>
      <c r="VA120" s="5"/>
      <c r="VB120" s="5"/>
      <c r="VC120" s="5"/>
      <c r="VD120" s="5"/>
      <c r="VE120" s="5"/>
      <c r="VF120" s="5"/>
      <c r="VG120" s="5"/>
      <c r="VH120" s="5"/>
      <c r="VI120" s="5"/>
      <c r="VJ120" s="5"/>
      <c r="VK120" s="5"/>
      <c r="VL120" s="5"/>
      <c r="VM120" s="5"/>
      <c r="VN120" s="5"/>
      <c r="VO120" s="5"/>
      <c r="VP120" s="5"/>
      <c r="VQ120" s="5"/>
      <c r="VR120" s="5"/>
      <c r="VS120" s="5"/>
      <c r="VT120" s="5"/>
      <c r="VU120" s="5"/>
      <c r="VV120" s="5"/>
      <c r="VW120" s="5"/>
      <c r="VX120" s="5"/>
      <c r="VY120" s="5"/>
      <c r="VZ120" s="5"/>
      <c r="WA120" s="5"/>
      <c r="WB120" s="5"/>
      <c r="WC120" s="5"/>
      <c r="WD120" s="5"/>
      <c r="WE120" s="5"/>
      <c r="WF120" s="5"/>
      <c r="WG120" s="5"/>
      <c r="WH120" s="5"/>
      <c r="WI120" s="5"/>
      <c r="WJ120" s="5"/>
      <c r="WK120" s="5"/>
      <c r="WL120" s="5"/>
      <c r="WM120" s="5"/>
      <c r="WN120" s="5"/>
      <c r="WO120" s="5"/>
      <c r="WP120" s="5"/>
      <c r="WQ120" s="5"/>
      <c r="WR120" s="5"/>
      <c r="WS120" s="5"/>
      <c r="WT120" s="5"/>
      <c r="WU120" s="5"/>
      <c r="WV120" s="5"/>
      <c r="WW120" s="5"/>
      <c r="WX120" s="5"/>
      <c r="WY120" s="5"/>
      <c r="WZ120" s="5"/>
      <c r="XA120" s="5"/>
      <c r="XB120" s="5"/>
      <c r="XC120" s="5"/>
      <c r="XD120" s="5"/>
      <c r="XE120" s="5"/>
      <c r="XF120" s="5"/>
      <c r="XG120" s="5"/>
      <c r="XH120" s="5"/>
      <c r="XI120" s="5"/>
      <c r="XJ120" s="5"/>
      <c r="XK120" s="5"/>
      <c r="XL120" s="5"/>
      <c r="XM120" s="5"/>
      <c r="XN120" s="5"/>
      <c r="XO120" s="5"/>
      <c r="XP120" s="5"/>
      <c r="XQ120" s="5"/>
      <c r="XR120" s="5"/>
      <c r="XS120" s="5"/>
      <c r="XT120" s="5"/>
      <c r="XU120" s="5"/>
      <c r="XV120" s="5"/>
      <c r="XW120" s="5"/>
      <c r="XX120" s="5"/>
      <c r="XY120" s="5"/>
      <c r="XZ120" s="5"/>
      <c r="YA120" s="5"/>
      <c r="YB120" s="5"/>
      <c r="YC120" s="5"/>
      <c r="YD120" s="5"/>
      <c r="YE120" s="5"/>
      <c r="YF120" s="5"/>
      <c r="YG120" s="5"/>
      <c r="YH120" s="5"/>
      <c r="YI120" s="5"/>
      <c r="YJ120" s="5"/>
      <c r="YK120" s="5"/>
      <c r="YL120" s="5"/>
      <c r="YM120" s="5"/>
      <c r="YN120" s="5"/>
      <c r="YO120" s="5"/>
      <c r="YP120" s="5"/>
      <c r="YQ120" s="5"/>
      <c r="YR120" s="5"/>
      <c r="YS120" s="5"/>
      <c r="YT120" s="5"/>
      <c r="YU120" s="5"/>
      <c r="YV120" s="5"/>
      <c r="YW120" s="5"/>
      <c r="YX120" s="5"/>
      <c r="YY120" s="5"/>
      <c r="YZ120" s="5"/>
    </row>
    <row r="121" spans="1:676">
      <c r="A121" s="7">
        <v>111</v>
      </c>
      <c r="B121" s="7" t="s">
        <v>289</v>
      </c>
      <c r="C121" s="10" t="s">
        <v>290</v>
      </c>
      <c r="D121" s="7" t="s">
        <v>48</v>
      </c>
      <c r="E121" s="7" t="s">
        <v>175</v>
      </c>
      <c r="F121" s="7" t="s">
        <v>291</v>
      </c>
      <c r="G121" s="7"/>
      <c r="H121" s="7" t="s">
        <v>43</v>
      </c>
      <c r="I121" s="11">
        <v>2</v>
      </c>
      <c r="J121" s="11">
        <v>3</v>
      </c>
      <c r="K121" s="11">
        <v>0</v>
      </c>
      <c r="L121" s="11">
        <v>3.96</v>
      </c>
      <c r="M121" s="11">
        <v>0</v>
      </c>
      <c r="N121" s="11">
        <v>0</v>
      </c>
      <c r="O121" s="11">
        <v>1.6</v>
      </c>
      <c r="P121" s="11">
        <v>0</v>
      </c>
      <c r="Q121" s="11">
        <v>5.56</v>
      </c>
      <c r="R121" s="11">
        <v>79.91999999999997</v>
      </c>
      <c r="S121" s="11">
        <v>85.47999999999998</v>
      </c>
      <c r="T121" s="11">
        <v>2</v>
      </c>
      <c r="U121" s="11">
        <v>3</v>
      </c>
      <c r="V121" s="11">
        <v>80.47999999999998</v>
      </c>
      <c r="W121" s="13">
        <v>24</v>
      </c>
      <c r="X121" s="13">
        <v>36</v>
      </c>
      <c r="Y121" s="13" t="str">
        <f>MIN(W121,S121)</f>
        <v>0</v>
      </c>
      <c r="Z121" s="13" t="str">
        <f>MIN(X121,(S121-Y121))</f>
        <v>0</v>
      </c>
      <c r="AA121" s="13" t="str">
        <f>S121-SUM(Y121,Z121)</f>
        <v>0</v>
      </c>
      <c r="AB121" s="15"/>
      <c r="AC121" s="15"/>
      <c r="AD121" s="1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  <c r="IW121" s="5"/>
      <c r="IX121" s="5"/>
      <c r="IY121" s="5"/>
      <c r="IZ121" s="5"/>
      <c r="JA121" s="5"/>
      <c r="JB121" s="5"/>
      <c r="JC121" s="5"/>
      <c r="JD121" s="5"/>
      <c r="JE121" s="5"/>
      <c r="JF121" s="5"/>
      <c r="JG121" s="5"/>
      <c r="JH121" s="5"/>
      <c r="JI121" s="5"/>
      <c r="JJ121" s="5"/>
      <c r="JK121" s="5"/>
      <c r="JL121" s="5"/>
      <c r="JM121" s="5"/>
      <c r="JN121" s="5"/>
      <c r="JO121" s="5"/>
      <c r="JP121" s="5"/>
      <c r="JQ121" s="5"/>
      <c r="JR121" s="5"/>
      <c r="JS121" s="5"/>
      <c r="JT121" s="5"/>
      <c r="JU121" s="5"/>
      <c r="JV121" s="5"/>
      <c r="JW121" s="5"/>
      <c r="JX121" s="5"/>
      <c r="JY121" s="5"/>
      <c r="JZ121" s="5"/>
      <c r="KA121" s="5"/>
      <c r="KB121" s="5"/>
      <c r="KC121" s="5"/>
      <c r="KD121" s="5"/>
      <c r="KE121" s="5"/>
      <c r="KF121" s="5"/>
      <c r="KG121" s="5"/>
      <c r="KH121" s="5"/>
      <c r="KI121" s="5"/>
      <c r="KJ121" s="5"/>
      <c r="KK121" s="5"/>
      <c r="KL121" s="5"/>
      <c r="KM121" s="5"/>
      <c r="KN121" s="5"/>
      <c r="KO121" s="5"/>
      <c r="KP121" s="5"/>
      <c r="KQ121" s="5"/>
      <c r="KR121" s="5"/>
      <c r="KS121" s="5"/>
      <c r="KT121" s="5"/>
      <c r="KU121" s="5"/>
      <c r="KV121" s="5"/>
      <c r="KW121" s="5"/>
      <c r="KX121" s="5"/>
      <c r="KY121" s="5"/>
      <c r="KZ121" s="5"/>
      <c r="LA121" s="5"/>
      <c r="LB121" s="5"/>
      <c r="LC121" s="5"/>
      <c r="LD121" s="5"/>
      <c r="LE121" s="5"/>
      <c r="LF121" s="5"/>
      <c r="LG121" s="5"/>
      <c r="LH121" s="5"/>
      <c r="LI121" s="5"/>
      <c r="LJ121" s="5"/>
      <c r="LK121" s="5"/>
      <c r="LL121" s="5"/>
      <c r="LM121" s="5"/>
      <c r="LN121" s="5"/>
      <c r="LO121" s="5"/>
      <c r="LP121" s="5"/>
      <c r="LQ121" s="5"/>
      <c r="LR121" s="5"/>
      <c r="LS121" s="5"/>
      <c r="LT121" s="5"/>
      <c r="LU121" s="5"/>
      <c r="LV121" s="5"/>
      <c r="LW121" s="5"/>
      <c r="LX121" s="5"/>
      <c r="LY121" s="5"/>
      <c r="LZ121" s="5"/>
      <c r="MA121" s="5"/>
      <c r="MB121" s="5"/>
      <c r="MC121" s="5"/>
      <c r="MD121" s="5"/>
      <c r="ME121" s="5"/>
      <c r="MF121" s="5"/>
      <c r="MG121" s="5"/>
      <c r="MH121" s="5"/>
      <c r="MI121" s="5"/>
      <c r="MJ121" s="5"/>
      <c r="MK121" s="5"/>
      <c r="ML121" s="5"/>
      <c r="MM121" s="5"/>
      <c r="MN121" s="5"/>
      <c r="MO121" s="5"/>
      <c r="MP121" s="5"/>
      <c r="MQ121" s="5"/>
      <c r="MR121" s="5"/>
      <c r="MS121" s="5"/>
      <c r="MT121" s="5"/>
      <c r="MU121" s="5"/>
      <c r="MV121" s="5"/>
      <c r="MW121" s="5"/>
      <c r="MX121" s="5"/>
      <c r="MY121" s="5"/>
      <c r="MZ121" s="5"/>
      <c r="NA121" s="5"/>
      <c r="NB121" s="5"/>
      <c r="NC121" s="5"/>
      <c r="ND121" s="5"/>
      <c r="NE121" s="5"/>
      <c r="NF121" s="5"/>
      <c r="NG121" s="5"/>
      <c r="NH121" s="5"/>
      <c r="NI121" s="5"/>
      <c r="NJ121" s="5"/>
      <c r="NK121" s="5"/>
      <c r="NL121" s="5"/>
      <c r="NM121" s="5"/>
      <c r="NN121" s="5"/>
      <c r="NO121" s="5"/>
      <c r="NP121" s="5"/>
      <c r="NQ121" s="5"/>
      <c r="NR121" s="5"/>
      <c r="NS121" s="5"/>
      <c r="NT121" s="5"/>
      <c r="NU121" s="5"/>
      <c r="NV121" s="5"/>
      <c r="NW121" s="5"/>
      <c r="NX121" s="5"/>
      <c r="NY121" s="5"/>
      <c r="NZ121" s="5"/>
      <c r="OA121" s="5"/>
      <c r="OB121" s="5"/>
      <c r="OC121" s="5"/>
      <c r="OD121" s="5"/>
      <c r="OE121" s="5"/>
      <c r="OF121" s="5"/>
      <c r="OG121" s="5"/>
      <c r="OH121" s="5"/>
      <c r="OI121" s="5"/>
      <c r="OJ121" s="5"/>
      <c r="OK121" s="5"/>
      <c r="OL121" s="5"/>
      <c r="OM121" s="5"/>
      <c r="ON121" s="5"/>
      <c r="OO121" s="5"/>
      <c r="OP121" s="5"/>
      <c r="OQ121" s="5"/>
      <c r="OR121" s="5"/>
      <c r="OS121" s="5"/>
      <c r="OT121" s="5"/>
      <c r="OU121" s="5"/>
      <c r="OV121" s="5"/>
      <c r="OW121" s="5"/>
      <c r="OX121" s="5"/>
      <c r="OY121" s="5"/>
      <c r="OZ121" s="5"/>
      <c r="PA121" s="5"/>
      <c r="PB121" s="5"/>
      <c r="PC121" s="5"/>
      <c r="PD121" s="5"/>
      <c r="PE121" s="5"/>
      <c r="PF121" s="5"/>
      <c r="PG121" s="5"/>
      <c r="PH121" s="5"/>
      <c r="PI121" s="5"/>
      <c r="PJ121" s="5"/>
      <c r="PK121" s="5"/>
      <c r="PL121" s="5"/>
      <c r="PM121" s="5"/>
      <c r="PN121" s="5"/>
      <c r="PO121" s="5"/>
      <c r="PP121" s="5"/>
      <c r="PQ121" s="5"/>
      <c r="PR121" s="5"/>
      <c r="PS121" s="5"/>
      <c r="PT121" s="5"/>
      <c r="PU121" s="5"/>
      <c r="PV121" s="5"/>
      <c r="PW121" s="5"/>
      <c r="PX121" s="5"/>
      <c r="PY121" s="5"/>
      <c r="PZ121" s="5"/>
      <c r="QA121" s="5"/>
      <c r="QB121" s="5"/>
      <c r="QC121" s="5"/>
      <c r="QD121" s="5"/>
      <c r="QE121" s="5"/>
      <c r="QF121" s="5"/>
      <c r="QG121" s="5"/>
      <c r="QH121" s="5"/>
      <c r="QI121" s="5"/>
      <c r="QJ121" s="5"/>
      <c r="QK121" s="5"/>
      <c r="QL121" s="5"/>
      <c r="QM121" s="5"/>
      <c r="QN121" s="5"/>
      <c r="QO121" s="5"/>
      <c r="QP121" s="5"/>
      <c r="QQ121" s="5"/>
      <c r="QR121" s="5"/>
      <c r="QS121" s="5"/>
      <c r="QT121" s="5"/>
      <c r="QU121" s="5"/>
      <c r="QV121" s="5"/>
      <c r="QW121" s="5"/>
      <c r="QX121" s="5"/>
      <c r="QY121" s="5"/>
      <c r="QZ121" s="5"/>
      <c r="RA121" s="5"/>
      <c r="RB121" s="5"/>
      <c r="RC121" s="5"/>
      <c r="RD121" s="5"/>
      <c r="RE121" s="5"/>
      <c r="RF121" s="5"/>
      <c r="RG121" s="5"/>
      <c r="RH121" s="5"/>
      <c r="RI121" s="5"/>
      <c r="RJ121" s="5"/>
      <c r="RK121" s="5"/>
      <c r="RL121" s="5"/>
      <c r="RM121" s="5"/>
      <c r="RN121" s="5"/>
      <c r="RO121" s="5"/>
      <c r="RP121" s="5"/>
      <c r="RQ121" s="5"/>
      <c r="RR121" s="5"/>
      <c r="RS121" s="5"/>
      <c r="RT121" s="5"/>
      <c r="RU121" s="5"/>
      <c r="RV121" s="5"/>
      <c r="RW121" s="5"/>
      <c r="RX121" s="5"/>
      <c r="RY121" s="5"/>
      <c r="RZ121" s="5"/>
      <c r="SA121" s="5"/>
      <c r="SB121" s="5"/>
      <c r="SC121" s="5"/>
      <c r="SD121" s="5"/>
      <c r="SE121" s="5"/>
      <c r="SF121" s="5"/>
      <c r="SG121" s="5"/>
      <c r="SH121" s="5"/>
      <c r="SI121" s="5"/>
      <c r="SJ121" s="5"/>
      <c r="SK121" s="5"/>
      <c r="SL121" s="5"/>
      <c r="SM121" s="5"/>
      <c r="SN121" s="5"/>
      <c r="SO121" s="5"/>
      <c r="SP121" s="5"/>
      <c r="SQ121" s="5"/>
      <c r="SR121" s="5"/>
      <c r="SS121" s="5"/>
      <c r="ST121" s="5"/>
      <c r="SU121" s="5"/>
      <c r="SV121" s="5"/>
      <c r="SW121" s="5"/>
      <c r="SX121" s="5"/>
      <c r="SY121" s="5"/>
      <c r="SZ121" s="5"/>
      <c r="TA121" s="5"/>
      <c r="TB121" s="5"/>
      <c r="TC121" s="5"/>
      <c r="TD121" s="5"/>
      <c r="TE121" s="5"/>
      <c r="TF121" s="5"/>
      <c r="TG121" s="5"/>
      <c r="TH121" s="5"/>
      <c r="TI121" s="5"/>
      <c r="TJ121" s="5"/>
      <c r="TK121" s="5"/>
      <c r="TL121" s="5"/>
      <c r="TM121" s="5"/>
      <c r="TN121" s="5"/>
      <c r="TO121" s="5"/>
      <c r="TP121" s="5"/>
      <c r="TQ121" s="5"/>
      <c r="TR121" s="5"/>
      <c r="TS121" s="5"/>
      <c r="TT121" s="5"/>
      <c r="TU121" s="5"/>
      <c r="TV121" s="5"/>
      <c r="TW121" s="5"/>
      <c r="TX121" s="5"/>
      <c r="TY121" s="5"/>
      <c r="TZ121" s="5"/>
      <c r="UA121" s="5"/>
      <c r="UB121" s="5"/>
      <c r="UC121" s="5"/>
      <c r="UD121" s="5"/>
      <c r="UE121" s="5"/>
      <c r="UF121" s="5"/>
      <c r="UG121" s="5"/>
      <c r="UH121" s="5"/>
      <c r="UI121" s="5"/>
      <c r="UJ121" s="5"/>
      <c r="UK121" s="5"/>
      <c r="UL121" s="5"/>
      <c r="UM121" s="5"/>
      <c r="UN121" s="5"/>
      <c r="UO121" s="5"/>
      <c r="UP121" s="5"/>
      <c r="UQ121" s="5"/>
      <c r="UR121" s="5"/>
      <c r="US121" s="5"/>
      <c r="UT121" s="5"/>
      <c r="UU121" s="5"/>
      <c r="UV121" s="5"/>
      <c r="UW121" s="5"/>
      <c r="UX121" s="5"/>
      <c r="UY121" s="5"/>
      <c r="UZ121" s="5"/>
      <c r="VA121" s="5"/>
      <c r="VB121" s="5"/>
      <c r="VC121" s="5"/>
      <c r="VD121" s="5"/>
      <c r="VE121" s="5"/>
      <c r="VF121" s="5"/>
      <c r="VG121" s="5"/>
      <c r="VH121" s="5"/>
      <c r="VI121" s="5"/>
      <c r="VJ121" s="5"/>
      <c r="VK121" s="5"/>
      <c r="VL121" s="5"/>
      <c r="VM121" s="5"/>
      <c r="VN121" s="5"/>
      <c r="VO121" s="5"/>
      <c r="VP121" s="5"/>
      <c r="VQ121" s="5"/>
      <c r="VR121" s="5"/>
      <c r="VS121" s="5"/>
      <c r="VT121" s="5"/>
      <c r="VU121" s="5"/>
      <c r="VV121" s="5"/>
      <c r="VW121" s="5"/>
      <c r="VX121" s="5"/>
      <c r="VY121" s="5"/>
      <c r="VZ121" s="5"/>
      <c r="WA121" s="5"/>
      <c r="WB121" s="5"/>
      <c r="WC121" s="5"/>
      <c r="WD121" s="5"/>
      <c r="WE121" s="5"/>
      <c r="WF121" s="5"/>
      <c r="WG121" s="5"/>
      <c r="WH121" s="5"/>
      <c r="WI121" s="5"/>
      <c r="WJ121" s="5"/>
      <c r="WK121" s="5"/>
      <c r="WL121" s="5"/>
      <c r="WM121" s="5"/>
      <c r="WN121" s="5"/>
      <c r="WO121" s="5"/>
      <c r="WP121" s="5"/>
      <c r="WQ121" s="5"/>
      <c r="WR121" s="5"/>
      <c r="WS121" s="5"/>
      <c r="WT121" s="5"/>
      <c r="WU121" s="5"/>
      <c r="WV121" s="5"/>
      <c r="WW121" s="5"/>
      <c r="WX121" s="5"/>
      <c r="WY121" s="5"/>
      <c r="WZ121" s="5"/>
      <c r="XA121" s="5"/>
      <c r="XB121" s="5"/>
      <c r="XC121" s="5"/>
      <c r="XD121" s="5"/>
      <c r="XE121" s="5"/>
      <c r="XF121" s="5"/>
      <c r="XG121" s="5"/>
      <c r="XH121" s="5"/>
      <c r="XI121" s="5"/>
      <c r="XJ121" s="5"/>
      <c r="XK121" s="5"/>
      <c r="XL121" s="5"/>
      <c r="XM121" s="5"/>
      <c r="XN121" s="5"/>
      <c r="XO121" s="5"/>
      <c r="XP121" s="5"/>
      <c r="XQ121" s="5"/>
      <c r="XR121" s="5"/>
      <c r="XS121" s="5"/>
      <c r="XT121" s="5"/>
      <c r="XU121" s="5"/>
      <c r="XV121" s="5"/>
      <c r="XW121" s="5"/>
      <c r="XX121" s="5"/>
      <c r="XY121" s="5"/>
      <c r="XZ121" s="5"/>
      <c r="YA121" s="5"/>
      <c r="YB121" s="5"/>
      <c r="YC121" s="5"/>
      <c r="YD121" s="5"/>
      <c r="YE121" s="5"/>
      <c r="YF121" s="5"/>
      <c r="YG121" s="5"/>
      <c r="YH121" s="5"/>
      <c r="YI121" s="5"/>
      <c r="YJ121" s="5"/>
      <c r="YK121" s="5"/>
      <c r="YL121" s="5"/>
      <c r="YM121" s="5"/>
      <c r="YN121" s="5"/>
      <c r="YO121" s="5"/>
      <c r="YP121" s="5"/>
      <c r="YQ121" s="5"/>
      <c r="YR121" s="5"/>
      <c r="YS121" s="5"/>
      <c r="YT121" s="5"/>
      <c r="YU121" s="5"/>
      <c r="YV121" s="5"/>
      <c r="YW121" s="5"/>
      <c r="YX121" s="5"/>
      <c r="YY121" s="5"/>
      <c r="YZ121" s="5"/>
    </row>
    <row r="122" spans="1:676">
      <c r="A122" s="7">
        <v>112</v>
      </c>
      <c r="B122" s="7" t="s">
        <v>292</v>
      </c>
      <c r="C122" s="10" t="s">
        <v>293</v>
      </c>
      <c r="D122" s="7" t="s">
        <v>60</v>
      </c>
      <c r="E122" s="7" t="s">
        <v>167</v>
      </c>
      <c r="F122" s="7" t="s">
        <v>283</v>
      </c>
      <c r="G122" s="7"/>
      <c r="H122" s="7" t="s">
        <v>43</v>
      </c>
      <c r="I122" s="11">
        <v>2</v>
      </c>
      <c r="J122" s="11">
        <v>0</v>
      </c>
      <c r="K122" s="11">
        <v>0</v>
      </c>
      <c r="L122" s="11">
        <v>0</v>
      </c>
      <c r="M122" s="11">
        <v>0</v>
      </c>
      <c r="N122" s="11">
        <v>0</v>
      </c>
      <c r="O122" s="11">
        <v>0</v>
      </c>
      <c r="P122" s="11">
        <v>0</v>
      </c>
      <c r="Q122" s="11">
        <v>0</v>
      </c>
      <c r="R122" s="11">
        <v>0.39</v>
      </c>
      <c r="S122" s="11">
        <v>0.39</v>
      </c>
      <c r="T122" s="11">
        <v>0.39</v>
      </c>
      <c r="U122" s="11">
        <v>0</v>
      </c>
      <c r="V122" s="11">
        <v>0</v>
      </c>
      <c r="W122" s="13">
        <v>24</v>
      </c>
      <c r="X122" s="13">
        <v>0</v>
      </c>
      <c r="Y122" s="13" t="str">
        <f>MIN(W122,S122)</f>
        <v>0</v>
      </c>
      <c r="Z122" s="13" t="str">
        <f>MIN(X122,(S122-Y122))</f>
        <v>0</v>
      </c>
      <c r="AA122" s="13" t="str">
        <f>S122-SUM(Y122,Z122)</f>
        <v>0</v>
      </c>
      <c r="AB122" s="15"/>
      <c r="AC122" s="15"/>
      <c r="AD122" s="1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  <c r="IX122" s="5"/>
      <c r="IY122" s="5"/>
      <c r="IZ122" s="5"/>
      <c r="JA122" s="5"/>
      <c r="JB122" s="5"/>
      <c r="JC122" s="5"/>
      <c r="JD122" s="5"/>
      <c r="JE122" s="5"/>
      <c r="JF122" s="5"/>
      <c r="JG122" s="5"/>
      <c r="JH122" s="5"/>
      <c r="JI122" s="5"/>
      <c r="JJ122" s="5"/>
      <c r="JK122" s="5"/>
      <c r="JL122" s="5"/>
      <c r="JM122" s="5"/>
      <c r="JN122" s="5"/>
      <c r="JO122" s="5"/>
      <c r="JP122" s="5"/>
      <c r="JQ122" s="5"/>
      <c r="JR122" s="5"/>
      <c r="JS122" s="5"/>
      <c r="JT122" s="5"/>
      <c r="JU122" s="5"/>
      <c r="JV122" s="5"/>
      <c r="JW122" s="5"/>
      <c r="JX122" s="5"/>
      <c r="JY122" s="5"/>
      <c r="JZ122" s="5"/>
      <c r="KA122" s="5"/>
      <c r="KB122" s="5"/>
      <c r="KC122" s="5"/>
      <c r="KD122" s="5"/>
      <c r="KE122" s="5"/>
      <c r="KF122" s="5"/>
      <c r="KG122" s="5"/>
      <c r="KH122" s="5"/>
      <c r="KI122" s="5"/>
      <c r="KJ122" s="5"/>
      <c r="KK122" s="5"/>
      <c r="KL122" s="5"/>
      <c r="KM122" s="5"/>
      <c r="KN122" s="5"/>
      <c r="KO122" s="5"/>
      <c r="KP122" s="5"/>
      <c r="KQ122" s="5"/>
      <c r="KR122" s="5"/>
      <c r="KS122" s="5"/>
      <c r="KT122" s="5"/>
      <c r="KU122" s="5"/>
      <c r="KV122" s="5"/>
      <c r="KW122" s="5"/>
      <c r="KX122" s="5"/>
      <c r="KY122" s="5"/>
      <c r="KZ122" s="5"/>
      <c r="LA122" s="5"/>
      <c r="LB122" s="5"/>
      <c r="LC122" s="5"/>
      <c r="LD122" s="5"/>
      <c r="LE122" s="5"/>
      <c r="LF122" s="5"/>
      <c r="LG122" s="5"/>
      <c r="LH122" s="5"/>
      <c r="LI122" s="5"/>
      <c r="LJ122" s="5"/>
      <c r="LK122" s="5"/>
      <c r="LL122" s="5"/>
      <c r="LM122" s="5"/>
      <c r="LN122" s="5"/>
      <c r="LO122" s="5"/>
      <c r="LP122" s="5"/>
      <c r="LQ122" s="5"/>
      <c r="LR122" s="5"/>
      <c r="LS122" s="5"/>
      <c r="LT122" s="5"/>
      <c r="LU122" s="5"/>
      <c r="LV122" s="5"/>
      <c r="LW122" s="5"/>
      <c r="LX122" s="5"/>
      <c r="LY122" s="5"/>
      <c r="LZ122" s="5"/>
      <c r="MA122" s="5"/>
      <c r="MB122" s="5"/>
      <c r="MC122" s="5"/>
      <c r="MD122" s="5"/>
      <c r="ME122" s="5"/>
      <c r="MF122" s="5"/>
      <c r="MG122" s="5"/>
      <c r="MH122" s="5"/>
      <c r="MI122" s="5"/>
      <c r="MJ122" s="5"/>
      <c r="MK122" s="5"/>
      <c r="ML122" s="5"/>
      <c r="MM122" s="5"/>
      <c r="MN122" s="5"/>
      <c r="MO122" s="5"/>
      <c r="MP122" s="5"/>
      <c r="MQ122" s="5"/>
      <c r="MR122" s="5"/>
      <c r="MS122" s="5"/>
      <c r="MT122" s="5"/>
      <c r="MU122" s="5"/>
      <c r="MV122" s="5"/>
      <c r="MW122" s="5"/>
      <c r="MX122" s="5"/>
      <c r="MY122" s="5"/>
      <c r="MZ122" s="5"/>
      <c r="NA122" s="5"/>
      <c r="NB122" s="5"/>
      <c r="NC122" s="5"/>
      <c r="ND122" s="5"/>
      <c r="NE122" s="5"/>
      <c r="NF122" s="5"/>
      <c r="NG122" s="5"/>
      <c r="NH122" s="5"/>
      <c r="NI122" s="5"/>
      <c r="NJ122" s="5"/>
      <c r="NK122" s="5"/>
      <c r="NL122" s="5"/>
      <c r="NM122" s="5"/>
      <c r="NN122" s="5"/>
      <c r="NO122" s="5"/>
      <c r="NP122" s="5"/>
      <c r="NQ122" s="5"/>
      <c r="NR122" s="5"/>
      <c r="NS122" s="5"/>
      <c r="NT122" s="5"/>
      <c r="NU122" s="5"/>
      <c r="NV122" s="5"/>
      <c r="NW122" s="5"/>
      <c r="NX122" s="5"/>
      <c r="NY122" s="5"/>
      <c r="NZ122" s="5"/>
      <c r="OA122" s="5"/>
      <c r="OB122" s="5"/>
      <c r="OC122" s="5"/>
      <c r="OD122" s="5"/>
      <c r="OE122" s="5"/>
      <c r="OF122" s="5"/>
      <c r="OG122" s="5"/>
      <c r="OH122" s="5"/>
      <c r="OI122" s="5"/>
      <c r="OJ122" s="5"/>
      <c r="OK122" s="5"/>
      <c r="OL122" s="5"/>
      <c r="OM122" s="5"/>
      <c r="ON122" s="5"/>
      <c r="OO122" s="5"/>
      <c r="OP122" s="5"/>
      <c r="OQ122" s="5"/>
      <c r="OR122" s="5"/>
      <c r="OS122" s="5"/>
      <c r="OT122" s="5"/>
      <c r="OU122" s="5"/>
      <c r="OV122" s="5"/>
      <c r="OW122" s="5"/>
      <c r="OX122" s="5"/>
      <c r="OY122" s="5"/>
      <c r="OZ122" s="5"/>
      <c r="PA122" s="5"/>
      <c r="PB122" s="5"/>
      <c r="PC122" s="5"/>
      <c r="PD122" s="5"/>
      <c r="PE122" s="5"/>
      <c r="PF122" s="5"/>
      <c r="PG122" s="5"/>
      <c r="PH122" s="5"/>
      <c r="PI122" s="5"/>
      <c r="PJ122" s="5"/>
      <c r="PK122" s="5"/>
      <c r="PL122" s="5"/>
      <c r="PM122" s="5"/>
      <c r="PN122" s="5"/>
      <c r="PO122" s="5"/>
      <c r="PP122" s="5"/>
      <c r="PQ122" s="5"/>
      <c r="PR122" s="5"/>
      <c r="PS122" s="5"/>
      <c r="PT122" s="5"/>
      <c r="PU122" s="5"/>
      <c r="PV122" s="5"/>
      <c r="PW122" s="5"/>
      <c r="PX122" s="5"/>
      <c r="PY122" s="5"/>
      <c r="PZ122" s="5"/>
      <c r="QA122" s="5"/>
      <c r="QB122" s="5"/>
      <c r="QC122" s="5"/>
      <c r="QD122" s="5"/>
      <c r="QE122" s="5"/>
      <c r="QF122" s="5"/>
      <c r="QG122" s="5"/>
      <c r="QH122" s="5"/>
      <c r="QI122" s="5"/>
      <c r="QJ122" s="5"/>
      <c r="QK122" s="5"/>
      <c r="QL122" s="5"/>
      <c r="QM122" s="5"/>
      <c r="QN122" s="5"/>
      <c r="QO122" s="5"/>
      <c r="QP122" s="5"/>
      <c r="QQ122" s="5"/>
      <c r="QR122" s="5"/>
      <c r="QS122" s="5"/>
      <c r="QT122" s="5"/>
      <c r="QU122" s="5"/>
      <c r="QV122" s="5"/>
      <c r="QW122" s="5"/>
      <c r="QX122" s="5"/>
      <c r="QY122" s="5"/>
      <c r="QZ122" s="5"/>
      <c r="RA122" s="5"/>
      <c r="RB122" s="5"/>
      <c r="RC122" s="5"/>
      <c r="RD122" s="5"/>
      <c r="RE122" s="5"/>
      <c r="RF122" s="5"/>
      <c r="RG122" s="5"/>
      <c r="RH122" s="5"/>
      <c r="RI122" s="5"/>
      <c r="RJ122" s="5"/>
      <c r="RK122" s="5"/>
      <c r="RL122" s="5"/>
      <c r="RM122" s="5"/>
      <c r="RN122" s="5"/>
      <c r="RO122" s="5"/>
      <c r="RP122" s="5"/>
      <c r="RQ122" s="5"/>
      <c r="RR122" s="5"/>
      <c r="RS122" s="5"/>
      <c r="RT122" s="5"/>
      <c r="RU122" s="5"/>
      <c r="RV122" s="5"/>
      <c r="RW122" s="5"/>
      <c r="RX122" s="5"/>
      <c r="RY122" s="5"/>
      <c r="RZ122" s="5"/>
      <c r="SA122" s="5"/>
      <c r="SB122" s="5"/>
      <c r="SC122" s="5"/>
      <c r="SD122" s="5"/>
      <c r="SE122" s="5"/>
      <c r="SF122" s="5"/>
      <c r="SG122" s="5"/>
      <c r="SH122" s="5"/>
      <c r="SI122" s="5"/>
      <c r="SJ122" s="5"/>
      <c r="SK122" s="5"/>
      <c r="SL122" s="5"/>
      <c r="SM122" s="5"/>
      <c r="SN122" s="5"/>
      <c r="SO122" s="5"/>
      <c r="SP122" s="5"/>
      <c r="SQ122" s="5"/>
      <c r="SR122" s="5"/>
      <c r="SS122" s="5"/>
      <c r="ST122" s="5"/>
      <c r="SU122" s="5"/>
      <c r="SV122" s="5"/>
      <c r="SW122" s="5"/>
      <c r="SX122" s="5"/>
      <c r="SY122" s="5"/>
      <c r="SZ122" s="5"/>
      <c r="TA122" s="5"/>
      <c r="TB122" s="5"/>
      <c r="TC122" s="5"/>
      <c r="TD122" s="5"/>
      <c r="TE122" s="5"/>
      <c r="TF122" s="5"/>
      <c r="TG122" s="5"/>
      <c r="TH122" s="5"/>
      <c r="TI122" s="5"/>
      <c r="TJ122" s="5"/>
      <c r="TK122" s="5"/>
      <c r="TL122" s="5"/>
      <c r="TM122" s="5"/>
      <c r="TN122" s="5"/>
      <c r="TO122" s="5"/>
      <c r="TP122" s="5"/>
      <c r="TQ122" s="5"/>
      <c r="TR122" s="5"/>
      <c r="TS122" s="5"/>
      <c r="TT122" s="5"/>
      <c r="TU122" s="5"/>
      <c r="TV122" s="5"/>
      <c r="TW122" s="5"/>
      <c r="TX122" s="5"/>
      <c r="TY122" s="5"/>
      <c r="TZ122" s="5"/>
      <c r="UA122" s="5"/>
      <c r="UB122" s="5"/>
      <c r="UC122" s="5"/>
      <c r="UD122" s="5"/>
      <c r="UE122" s="5"/>
      <c r="UF122" s="5"/>
      <c r="UG122" s="5"/>
      <c r="UH122" s="5"/>
      <c r="UI122" s="5"/>
      <c r="UJ122" s="5"/>
      <c r="UK122" s="5"/>
      <c r="UL122" s="5"/>
      <c r="UM122" s="5"/>
      <c r="UN122" s="5"/>
      <c r="UO122" s="5"/>
      <c r="UP122" s="5"/>
      <c r="UQ122" s="5"/>
      <c r="UR122" s="5"/>
      <c r="US122" s="5"/>
      <c r="UT122" s="5"/>
      <c r="UU122" s="5"/>
      <c r="UV122" s="5"/>
      <c r="UW122" s="5"/>
      <c r="UX122" s="5"/>
      <c r="UY122" s="5"/>
      <c r="UZ122" s="5"/>
      <c r="VA122" s="5"/>
      <c r="VB122" s="5"/>
      <c r="VC122" s="5"/>
      <c r="VD122" s="5"/>
      <c r="VE122" s="5"/>
      <c r="VF122" s="5"/>
      <c r="VG122" s="5"/>
      <c r="VH122" s="5"/>
      <c r="VI122" s="5"/>
      <c r="VJ122" s="5"/>
      <c r="VK122" s="5"/>
      <c r="VL122" s="5"/>
      <c r="VM122" s="5"/>
      <c r="VN122" s="5"/>
      <c r="VO122" s="5"/>
      <c r="VP122" s="5"/>
      <c r="VQ122" s="5"/>
      <c r="VR122" s="5"/>
      <c r="VS122" s="5"/>
      <c r="VT122" s="5"/>
      <c r="VU122" s="5"/>
      <c r="VV122" s="5"/>
      <c r="VW122" s="5"/>
      <c r="VX122" s="5"/>
      <c r="VY122" s="5"/>
      <c r="VZ122" s="5"/>
      <c r="WA122" s="5"/>
      <c r="WB122" s="5"/>
      <c r="WC122" s="5"/>
      <c r="WD122" s="5"/>
      <c r="WE122" s="5"/>
      <c r="WF122" s="5"/>
      <c r="WG122" s="5"/>
      <c r="WH122" s="5"/>
      <c r="WI122" s="5"/>
      <c r="WJ122" s="5"/>
      <c r="WK122" s="5"/>
      <c r="WL122" s="5"/>
      <c r="WM122" s="5"/>
      <c r="WN122" s="5"/>
      <c r="WO122" s="5"/>
      <c r="WP122" s="5"/>
      <c r="WQ122" s="5"/>
      <c r="WR122" s="5"/>
      <c r="WS122" s="5"/>
      <c r="WT122" s="5"/>
      <c r="WU122" s="5"/>
      <c r="WV122" s="5"/>
      <c r="WW122" s="5"/>
      <c r="WX122" s="5"/>
      <c r="WY122" s="5"/>
      <c r="WZ122" s="5"/>
      <c r="XA122" s="5"/>
      <c r="XB122" s="5"/>
      <c r="XC122" s="5"/>
      <c r="XD122" s="5"/>
      <c r="XE122" s="5"/>
      <c r="XF122" s="5"/>
      <c r="XG122" s="5"/>
      <c r="XH122" s="5"/>
      <c r="XI122" s="5"/>
      <c r="XJ122" s="5"/>
      <c r="XK122" s="5"/>
      <c r="XL122" s="5"/>
      <c r="XM122" s="5"/>
      <c r="XN122" s="5"/>
      <c r="XO122" s="5"/>
      <c r="XP122" s="5"/>
      <c r="XQ122" s="5"/>
      <c r="XR122" s="5"/>
      <c r="XS122" s="5"/>
      <c r="XT122" s="5"/>
      <c r="XU122" s="5"/>
      <c r="XV122" s="5"/>
      <c r="XW122" s="5"/>
      <c r="XX122" s="5"/>
      <c r="XY122" s="5"/>
      <c r="XZ122" s="5"/>
      <c r="YA122" s="5"/>
      <c r="YB122" s="5"/>
      <c r="YC122" s="5"/>
      <c r="YD122" s="5"/>
      <c r="YE122" s="5"/>
      <c r="YF122" s="5"/>
      <c r="YG122" s="5"/>
      <c r="YH122" s="5"/>
      <c r="YI122" s="5"/>
      <c r="YJ122" s="5"/>
      <c r="YK122" s="5"/>
      <c r="YL122" s="5"/>
      <c r="YM122" s="5"/>
      <c r="YN122" s="5"/>
      <c r="YO122" s="5"/>
      <c r="YP122" s="5"/>
      <c r="YQ122" s="5"/>
      <c r="YR122" s="5"/>
      <c r="YS122" s="5"/>
      <c r="YT122" s="5"/>
      <c r="YU122" s="5"/>
      <c r="YV122" s="5"/>
      <c r="YW122" s="5"/>
      <c r="YX122" s="5"/>
      <c r="YY122" s="5"/>
      <c r="YZ122" s="5"/>
    </row>
    <row r="123" spans="1:676">
      <c r="A123" s="7">
        <v>113</v>
      </c>
      <c r="B123" s="7" t="s">
        <v>294</v>
      </c>
      <c r="C123" s="10" t="s">
        <v>295</v>
      </c>
      <c r="D123" s="7" t="s">
        <v>60</v>
      </c>
      <c r="E123" s="7" t="s">
        <v>175</v>
      </c>
      <c r="F123" s="7" t="s">
        <v>283</v>
      </c>
      <c r="G123" s="7"/>
      <c r="H123" s="7"/>
      <c r="I123" s="11">
        <v>2</v>
      </c>
      <c r="J123" s="11">
        <v>0</v>
      </c>
      <c r="K123" s="11">
        <v>0</v>
      </c>
      <c r="L123" s="11">
        <v>0</v>
      </c>
      <c r="M123" s="11">
        <v>0</v>
      </c>
      <c r="N123" s="11">
        <v>0</v>
      </c>
      <c r="O123" s="11">
        <v>0.18</v>
      </c>
      <c r="P123" s="11">
        <v>0</v>
      </c>
      <c r="Q123" s="11">
        <v>0.18</v>
      </c>
      <c r="R123" s="11">
        <v>6.759999999999997</v>
      </c>
      <c r="S123" s="11">
        <v>6.939999999999997</v>
      </c>
      <c r="T123" s="11">
        <v>2</v>
      </c>
      <c r="U123" s="11">
        <v>0</v>
      </c>
      <c r="V123" s="11">
        <v>4.939999999999997</v>
      </c>
      <c r="W123" s="13">
        <v>24</v>
      </c>
      <c r="X123" s="13">
        <v>0</v>
      </c>
      <c r="Y123" s="13" t="str">
        <f>MIN(W123,S123)</f>
        <v>0</v>
      </c>
      <c r="Z123" s="13" t="str">
        <f>MIN(X123,(S123-Y123))</f>
        <v>0</v>
      </c>
      <c r="AA123" s="13" t="str">
        <f>S123-SUM(Y123,Z123)</f>
        <v>0</v>
      </c>
      <c r="AB123" s="15"/>
      <c r="AC123" s="15"/>
      <c r="AD123" s="1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5"/>
      <c r="IE123" s="5"/>
      <c r="IF123" s="5"/>
      <c r="IG123" s="5"/>
      <c r="IH123" s="5"/>
      <c r="II123" s="5"/>
      <c r="IJ123" s="5"/>
      <c r="IK123" s="5"/>
      <c r="IL123" s="5"/>
      <c r="IM123" s="5"/>
      <c r="IN123" s="5"/>
      <c r="IO123" s="5"/>
      <c r="IP123" s="5"/>
      <c r="IQ123" s="5"/>
      <c r="IR123" s="5"/>
      <c r="IS123" s="5"/>
      <c r="IT123" s="5"/>
      <c r="IU123" s="5"/>
      <c r="IV123" s="5"/>
      <c r="IW123" s="5"/>
      <c r="IX123" s="5"/>
      <c r="IY123" s="5"/>
      <c r="IZ123" s="5"/>
      <c r="JA123" s="5"/>
      <c r="JB123" s="5"/>
      <c r="JC123" s="5"/>
      <c r="JD123" s="5"/>
      <c r="JE123" s="5"/>
      <c r="JF123" s="5"/>
      <c r="JG123" s="5"/>
      <c r="JH123" s="5"/>
      <c r="JI123" s="5"/>
      <c r="JJ123" s="5"/>
      <c r="JK123" s="5"/>
      <c r="JL123" s="5"/>
      <c r="JM123" s="5"/>
      <c r="JN123" s="5"/>
      <c r="JO123" s="5"/>
      <c r="JP123" s="5"/>
      <c r="JQ123" s="5"/>
      <c r="JR123" s="5"/>
      <c r="JS123" s="5"/>
      <c r="JT123" s="5"/>
      <c r="JU123" s="5"/>
      <c r="JV123" s="5"/>
      <c r="JW123" s="5"/>
      <c r="JX123" s="5"/>
      <c r="JY123" s="5"/>
      <c r="JZ123" s="5"/>
      <c r="KA123" s="5"/>
      <c r="KB123" s="5"/>
      <c r="KC123" s="5"/>
      <c r="KD123" s="5"/>
      <c r="KE123" s="5"/>
      <c r="KF123" s="5"/>
      <c r="KG123" s="5"/>
      <c r="KH123" s="5"/>
      <c r="KI123" s="5"/>
      <c r="KJ123" s="5"/>
      <c r="KK123" s="5"/>
      <c r="KL123" s="5"/>
      <c r="KM123" s="5"/>
      <c r="KN123" s="5"/>
      <c r="KO123" s="5"/>
      <c r="KP123" s="5"/>
      <c r="KQ123" s="5"/>
      <c r="KR123" s="5"/>
      <c r="KS123" s="5"/>
      <c r="KT123" s="5"/>
      <c r="KU123" s="5"/>
      <c r="KV123" s="5"/>
      <c r="KW123" s="5"/>
      <c r="KX123" s="5"/>
      <c r="KY123" s="5"/>
      <c r="KZ123" s="5"/>
      <c r="LA123" s="5"/>
      <c r="LB123" s="5"/>
      <c r="LC123" s="5"/>
      <c r="LD123" s="5"/>
      <c r="LE123" s="5"/>
      <c r="LF123" s="5"/>
      <c r="LG123" s="5"/>
      <c r="LH123" s="5"/>
      <c r="LI123" s="5"/>
      <c r="LJ123" s="5"/>
      <c r="LK123" s="5"/>
      <c r="LL123" s="5"/>
      <c r="LM123" s="5"/>
      <c r="LN123" s="5"/>
      <c r="LO123" s="5"/>
      <c r="LP123" s="5"/>
      <c r="LQ123" s="5"/>
      <c r="LR123" s="5"/>
      <c r="LS123" s="5"/>
      <c r="LT123" s="5"/>
      <c r="LU123" s="5"/>
      <c r="LV123" s="5"/>
      <c r="LW123" s="5"/>
      <c r="LX123" s="5"/>
      <c r="LY123" s="5"/>
      <c r="LZ123" s="5"/>
      <c r="MA123" s="5"/>
      <c r="MB123" s="5"/>
      <c r="MC123" s="5"/>
      <c r="MD123" s="5"/>
      <c r="ME123" s="5"/>
      <c r="MF123" s="5"/>
      <c r="MG123" s="5"/>
      <c r="MH123" s="5"/>
      <c r="MI123" s="5"/>
      <c r="MJ123" s="5"/>
      <c r="MK123" s="5"/>
      <c r="ML123" s="5"/>
      <c r="MM123" s="5"/>
      <c r="MN123" s="5"/>
      <c r="MO123" s="5"/>
      <c r="MP123" s="5"/>
      <c r="MQ123" s="5"/>
      <c r="MR123" s="5"/>
      <c r="MS123" s="5"/>
      <c r="MT123" s="5"/>
      <c r="MU123" s="5"/>
      <c r="MV123" s="5"/>
      <c r="MW123" s="5"/>
      <c r="MX123" s="5"/>
      <c r="MY123" s="5"/>
      <c r="MZ123" s="5"/>
      <c r="NA123" s="5"/>
      <c r="NB123" s="5"/>
      <c r="NC123" s="5"/>
      <c r="ND123" s="5"/>
      <c r="NE123" s="5"/>
      <c r="NF123" s="5"/>
      <c r="NG123" s="5"/>
      <c r="NH123" s="5"/>
      <c r="NI123" s="5"/>
      <c r="NJ123" s="5"/>
      <c r="NK123" s="5"/>
      <c r="NL123" s="5"/>
      <c r="NM123" s="5"/>
      <c r="NN123" s="5"/>
      <c r="NO123" s="5"/>
      <c r="NP123" s="5"/>
      <c r="NQ123" s="5"/>
      <c r="NR123" s="5"/>
      <c r="NS123" s="5"/>
      <c r="NT123" s="5"/>
      <c r="NU123" s="5"/>
      <c r="NV123" s="5"/>
      <c r="NW123" s="5"/>
      <c r="NX123" s="5"/>
      <c r="NY123" s="5"/>
      <c r="NZ123" s="5"/>
      <c r="OA123" s="5"/>
      <c r="OB123" s="5"/>
      <c r="OC123" s="5"/>
      <c r="OD123" s="5"/>
      <c r="OE123" s="5"/>
      <c r="OF123" s="5"/>
      <c r="OG123" s="5"/>
      <c r="OH123" s="5"/>
      <c r="OI123" s="5"/>
      <c r="OJ123" s="5"/>
      <c r="OK123" s="5"/>
      <c r="OL123" s="5"/>
      <c r="OM123" s="5"/>
      <c r="ON123" s="5"/>
      <c r="OO123" s="5"/>
      <c r="OP123" s="5"/>
      <c r="OQ123" s="5"/>
      <c r="OR123" s="5"/>
      <c r="OS123" s="5"/>
      <c r="OT123" s="5"/>
      <c r="OU123" s="5"/>
      <c r="OV123" s="5"/>
      <c r="OW123" s="5"/>
      <c r="OX123" s="5"/>
      <c r="OY123" s="5"/>
      <c r="OZ123" s="5"/>
      <c r="PA123" s="5"/>
      <c r="PB123" s="5"/>
      <c r="PC123" s="5"/>
      <c r="PD123" s="5"/>
      <c r="PE123" s="5"/>
      <c r="PF123" s="5"/>
      <c r="PG123" s="5"/>
      <c r="PH123" s="5"/>
      <c r="PI123" s="5"/>
      <c r="PJ123" s="5"/>
      <c r="PK123" s="5"/>
      <c r="PL123" s="5"/>
      <c r="PM123" s="5"/>
      <c r="PN123" s="5"/>
      <c r="PO123" s="5"/>
      <c r="PP123" s="5"/>
      <c r="PQ123" s="5"/>
      <c r="PR123" s="5"/>
      <c r="PS123" s="5"/>
      <c r="PT123" s="5"/>
      <c r="PU123" s="5"/>
      <c r="PV123" s="5"/>
      <c r="PW123" s="5"/>
      <c r="PX123" s="5"/>
      <c r="PY123" s="5"/>
      <c r="PZ123" s="5"/>
      <c r="QA123" s="5"/>
      <c r="QB123" s="5"/>
      <c r="QC123" s="5"/>
      <c r="QD123" s="5"/>
      <c r="QE123" s="5"/>
      <c r="QF123" s="5"/>
      <c r="QG123" s="5"/>
      <c r="QH123" s="5"/>
      <c r="QI123" s="5"/>
      <c r="QJ123" s="5"/>
      <c r="QK123" s="5"/>
      <c r="QL123" s="5"/>
      <c r="QM123" s="5"/>
      <c r="QN123" s="5"/>
      <c r="QO123" s="5"/>
      <c r="QP123" s="5"/>
      <c r="QQ123" s="5"/>
      <c r="QR123" s="5"/>
      <c r="QS123" s="5"/>
      <c r="QT123" s="5"/>
      <c r="QU123" s="5"/>
      <c r="QV123" s="5"/>
      <c r="QW123" s="5"/>
      <c r="QX123" s="5"/>
      <c r="QY123" s="5"/>
      <c r="QZ123" s="5"/>
      <c r="RA123" s="5"/>
      <c r="RB123" s="5"/>
      <c r="RC123" s="5"/>
      <c r="RD123" s="5"/>
      <c r="RE123" s="5"/>
      <c r="RF123" s="5"/>
      <c r="RG123" s="5"/>
      <c r="RH123" s="5"/>
      <c r="RI123" s="5"/>
      <c r="RJ123" s="5"/>
      <c r="RK123" s="5"/>
      <c r="RL123" s="5"/>
      <c r="RM123" s="5"/>
      <c r="RN123" s="5"/>
      <c r="RO123" s="5"/>
      <c r="RP123" s="5"/>
      <c r="RQ123" s="5"/>
      <c r="RR123" s="5"/>
      <c r="RS123" s="5"/>
      <c r="RT123" s="5"/>
      <c r="RU123" s="5"/>
      <c r="RV123" s="5"/>
      <c r="RW123" s="5"/>
      <c r="RX123" s="5"/>
      <c r="RY123" s="5"/>
      <c r="RZ123" s="5"/>
      <c r="SA123" s="5"/>
      <c r="SB123" s="5"/>
      <c r="SC123" s="5"/>
      <c r="SD123" s="5"/>
      <c r="SE123" s="5"/>
      <c r="SF123" s="5"/>
      <c r="SG123" s="5"/>
      <c r="SH123" s="5"/>
      <c r="SI123" s="5"/>
      <c r="SJ123" s="5"/>
      <c r="SK123" s="5"/>
      <c r="SL123" s="5"/>
      <c r="SM123" s="5"/>
      <c r="SN123" s="5"/>
      <c r="SO123" s="5"/>
      <c r="SP123" s="5"/>
      <c r="SQ123" s="5"/>
      <c r="SR123" s="5"/>
      <c r="SS123" s="5"/>
      <c r="ST123" s="5"/>
      <c r="SU123" s="5"/>
      <c r="SV123" s="5"/>
      <c r="SW123" s="5"/>
      <c r="SX123" s="5"/>
      <c r="SY123" s="5"/>
      <c r="SZ123" s="5"/>
      <c r="TA123" s="5"/>
      <c r="TB123" s="5"/>
      <c r="TC123" s="5"/>
      <c r="TD123" s="5"/>
      <c r="TE123" s="5"/>
      <c r="TF123" s="5"/>
      <c r="TG123" s="5"/>
      <c r="TH123" s="5"/>
      <c r="TI123" s="5"/>
      <c r="TJ123" s="5"/>
      <c r="TK123" s="5"/>
      <c r="TL123" s="5"/>
      <c r="TM123" s="5"/>
      <c r="TN123" s="5"/>
      <c r="TO123" s="5"/>
      <c r="TP123" s="5"/>
      <c r="TQ123" s="5"/>
      <c r="TR123" s="5"/>
      <c r="TS123" s="5"/>
      <c r="TT123" s="5"/>
      <c r="TU123" s="5"/>
      <c r="TV123" s="5"/>
      <c r="TW123" s="5"/>
      <c r="TX123" s="5"/>
      <c r="TY123" s="5"/>
      <c r="TZ123" s="5"/>
      <c r="UA123" s="5"/>
      <c r="UB123" s="5"/>
      <c r="UC123" s="5"/>
      <c r="UD123" s="5"/>
      <c r="UE123" s="5"/>
      <c r="UF123" s="5"/>
      <c r="UG123" s="5"/>
      <c r="UH123" s="5"/>
      <c r="UI123" s="5"/>
      <c r="UJ123" s="5"/>
      <c r="UK123" s="5"/>
      <c r="UL123" s="5"/>
      <c r="UM123" s="5"/>
      <c r="UN123" s="5"/>
      <c r="UO123" s="5"/>
      <c r="UP123" s="5"/>
      <c r="UQ123" s="5"/>
      <c r="UR123" s="5"/>
      <c r="US123" s="5"/>
      <c r="UT123" s="5"/>
      <c r="UU123" s="5"/>
      <c r="UV123" s="5"/>
      <c r="UW123" s="5"/>
      <c r="UX123" s="5"/>
      <c r="UY123" s="5"/>
      <c r="UZ123" s="5"/>
      <c r="VA123" s="5"/>
      <c r="VB123" s="5"/>
      <c r="VC123" s="5"/>
      <c r="VD123" s="5"/>
      <c r="VE123" s="5"/>
      <c r="VF123" s="5"/>
      <c r="VG123" s="5"/>
      <c r="VH123" s="5"/>
      <c r="VI123" s="5"/>
      <c r="VJ123" s="5"/>
      <c r="VK123" s="5"/>
      <c r="VL123" s="5"/>
      <c r="VM123" s="5"/>
      <c r="VN123" s="5"/>
      <c r="VO123" s="5"/>
      <c r="VP123" s="5"/>
      <c r="VQ123" s="5"/>
      <c r="VR123" s="5"/>
      <c r="VS123" s="5"/>
      <c r="VT123" s="5"/>
      <c r="VU123" s="5"/>
      <c r="VV123" s="5"/>
      <c r="VW123" s="5"/>
      <c r="VX123" s="5"/>
      <c r="VY123" s="5"/>
      <c r="VZ123" s="5"/>
      <c r="WA123" s="5"/>
      <c r="WB123" s="5"/>
      <c r="WC123" s="5"/>
      <c r="WD123" s="5"/>
      <c r="WE123" s="5"/>
      <c r="WF123" s="5"/>
      <c r="WG123" s="5"/>
      <c r="WH123" s="5"/>
      <c r="WI123" s="5"/>
      <c r="WJ123" s="5"/>
      <c r="WK123" s="5"/>
      <c r="WL123" s="5"/>
      <c r="WM123" s="5"/>
      <c r="WN123" s="5"/>
      <c r="WO123" s="5"/>
      <c r="WP123" s="5"/>
      <c r="WQ123" s="5"/>
      <c r="WR123" s="5"/>
      <c r="WS123" s="5"/>
      <c r="WT123" s="5"/>
      <c r="WU123" s="5"/>
      <c r="WV123" s="5"/>
      <c r="WW123" s="5"/>
      <c r="WX123" s="5"/>
      <c r="WY123" s="5"/>
      <c r="WZ123" s="5"/>
      <c r="XA123" s="5"/>
      <c r="XB123" s="5"/>
      <c r="XC123" s="5"/>
      <c r="XD123" s="5"/>
      <c r="XE123" s="5"/>
      <c r="XF123" s="5"/>
      <c r="XG123" s="5"/>
      <c r="XH123" s="5"/>
      <c r="XI123" s="5"/>
      <c r="XJ123" s="5"/>
      <c r="XK123" s="5"/>
      <c r="XL123" s="5"/>
      <c r="XM123" s="5"/>
      <c r="XN123" s="5"/>
      <c r="XO123" s="5"/>
      <c r="XP123" s="5"/>
      <c r="XQ123" s="5"/>
      <c r="XR123" s="5"/>
      <c r="XS123" s="5"/>
      <c r="XT123" s="5"/>
      <c r="XU123" s="5"/>
      <c r="XV123" s="5"/>
      <c r="XW123" s="5"/>
      <c r="XX123" s="5"/>
      <c r="XY123" s="5"/>
      <c r="XZ123" s="5"/>
      <c r="YA123" s="5"/>
      <c r="YB123" s="5"/>
      <c r="YC123" s="5"/>
      <c r="YD123" s="5"/>
      <c r="YE123" s="5"/>
      <c r="YF123" s="5"/>
      <c r="YG123" s="5"/>
      <c r="YH123" s="5"/>
      <c r="YI123" s="5"/>
      <c r="YJ123" s="5"/>
      <c r="YK123" s="5"/>
      <c r="YL123" s="5"/>
      <c r="YM123" s="5"/>
      <c r="YN123" s="5"/>
      <c r="YO123" s="5"/>
      <c r="YP123" s="5"/>
      <c r="YQ123" s="5"/>
      <c r="YR123" s="5"/>
      <c r="YS123" s="5"/>
      <c r="YT123" s="5"/>
      <c r="YU123" s="5"/>
      <c r="YV123" s="5"/>
      <c r="YW123" s="5"/>
      <c r="YX123" s="5"/>
      <c r="YY123" s="5"/>
      <c r="YZ123" s="5"/>
    </row>
    <row r="124" spans="1:676">
      <c r="A124" s="7">
        <v>114</v>
      </c>
      <c r="B124" s="7" t="s">
        <v>296</v>
      </c>
      <c r="C124" s="10" t="s">
        <v>297</v>
      </c>
      <c r="D124" s="7" t="s">
        <v>40</v>
      </c>
      <c r="E124" s="7" t="s">
        <v>175</v>
      </c>
      <c r="F124" s="7" t="s">
        <v>291</v>
      </c>
      <c r="G124" s="7"/>
      <c r="H124" s="7"/>
      <c r="I124" s="11">
        <v>2</v>
      </c>
      <c r="J124" s="11">
        <v>3</v>
      </c>
      <c r="K124" s="11">
        <v>0</v>
      </c>
      <c r="L124" s="11">
        <v>3.03</v>
      </c>
      <c r="M124" s="11">
        <v>0</v>
      </c>
      <c r="N124" s="11">
        <v>0</v>
      </c>
      <c r="O124" s="11">
        <v>1.28</v>
      </c>
      <c r="P124" s="11">
        <v>0</v>
      </c>
      <c r="Q124" s="11">
        <v>4.31</v>
      </c>
      <c r="R124" s="11">
        <v>63.28999999999998</v>
      </c>
      <c r="S124" s="11">
        <v>67.59999999999998</v>
      </c>
      <c r="T124" s="11">
        <v>2</v>
      </c>
      <c r="U124" s="11">
        <v>3</v>
      </c>
      <c r="V124" s="11">
        <v>62.59999999999998</v>
      </c>
      <c r="W124" s="13">
        <v>24</v>
      </c>
      <c r="X124" s="13">
        <v>36</v>
      </c>
      <c r="Y124" s="13" t="str">
        <f>MIN(W124,S124)</f>
        <v>0</v>
      </c>
      <c r="Z124" s="13" t="str">
        <f>MIN(X124,(S124-Y124))</f>
        <v>0</v>
      </c>
      <c r="AA124" s="13" t="str">
        <f>S124-SUM(Y124,Z124)</f>
        <v>0</v>
      </c>
      <c r="AB124" s="15"/>
      <c r="AC124" s="15"/>
      <c r="AD124" s="1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  <c r="FW124" s="5"/>
      <c r="FX124" s="5"/>
      <c r="FY124" s="5"/>
      <c r="FZ124" s="5"/>
      <c r="GA124" s="5"/>
      <c r="GB124" s="5"/>
      <c r="GC124" s="5"/>
      <c r="GD124" s="5"/>
      <c r="GE124" s="5"/>
      <c r="GF124" s="5"/>
      <c r="GG124" s="5"/>
      <c r="GH124" s="5"/>
      <c r="GI124" s="5"/>
      <c r="GJ124" s="5"/>
      <c r="GK124" s="5"/>
      <c r="GL124" s="5"/>
      <c r="GM124" s="5"/>
      <c r="GN124" s="5"/>
      <c r="GO124" s="5"/>
      <c r="GP124" s="5"/>
      <c r="GQ124" s="5"/>
      <c r="GR124" s="5"/>
      <c r="GS124" s="5"/>
      <c r="GT124" s="5"/>
      <c r="GU124" s="5"/>
      <c r="GV124" s="5"/>
      <c r="GW124" s="5"/>
      <c r="GX124" s="5"/>
      <c r="GY124" s="5"/>
      <c r="GZ124" s="5"/>
      <c r="HA124" s="5"/>
      <c r="HB124" s="5"/>
      <c r="HC124" s="5"/>
      <c r="HD124" s="5"/>
      <c r="HE124" s="5"/>
      <c r="HF124" s="5"/>
      <c r="HG124" s="5"/>
      <c r="HH124" s="5"/>
      <c r="HI124" s="5"/>
      <c r="HJ124" s="5"/>
      <c r="HK124" s="5"/>
      <c r="HL124" s="5"/>
      <c r="HM124" s="5"/>
      <c r="HN124" s="5"/>
      <c r="HO124" s="5"/>
      <c r="HP124" s="5"/>
      <c r="HQ124" s="5"/>
      <c r="HR124" s="5"/>
      <c r="HS124" s="5"/>
      <c r="HT124" s="5"/>
      <c r="HU124" s="5"/>
      <c r="HV124" s="5"/>
      <c r="HW124" s="5"/>
      <c r="HX124" s="5"/>
      <c r="HY124" s="5"/>
      <c r="HZ124" s="5"/>
      <c r="IA124" s="5"/>
      <c r="IB124" s="5"/>
      <c r="IC124" s="5"/>
      <c r="ID124" s="5"/>
      <c r="IE124" s="5"/>
      <c r="IF124" s="5"/>
      <c r="IG124" s="5"/>
      <c r="IH124" s="5"/>
      <c r="II124" s="5"/>
      <c r="IJ124" s="5"/>
      <c r="IK124" s="5"/>
      <c r="IL124" s="5"/>
      <c r="IM124" s="5"/>
      <c r="IN124" s="5"/>
      <c r="IO124" s="5"/>
      <c r="IP124" s="5"/>
      <c r="IQ124" s="5"/>
      <c r="IR124" s="5"/>
      <c r="IS124" s="5"/>
      <c r="IT124" s="5"/>
      <c r="IU124" s="5"/>
      <c r="IV124" s="5"/>
      <c r="IW124" s="5"/>
      <c r="IX124" s="5"/>
      <c r="IY124" s="5"/>
      <c r="IZ124" s="5"/>
      <c r="JA124" s="5"/>
      <c r="JB124" s="5"/>
      <c r="JC124" s="5"/>
      <c r="JD124" s="5"/>
      <c r="JE124" s="5"/>
      <c r="JF124" s="5"/>
      <c r="JG124" s="5"/>
      <c r="JH124" s="5"/>
      <c r="JI124" s="5"/>
      <c r="JJ124" s="5"/>
      <c r="JK124" s="5"/>
      <c r="JL124" s="5"/>
      <c r="JM124" s="5"/>
      <c r="JN124" s="5"/>
      <c r="JO124" s="5"/>
      <c r="JP124" s="5"/>
      <c r="JQ124" s="5"/>
      <c r="JR124" s="5"/>
      <c r="JS124" s="5"/>
      <c r="JT124" s="5"/>
      <c r="JU124" s="5"/>
      <c r="JV124" s="5"/>
      <c r="JW124" s="5"/>
      <c r="JX124" s="5"/>
      <c r="JY124" s="5"/>
      <c r="JZ124" s="5"/>
      <c r="KA124" s="5"/>
      <c r="KB124" s="5"/>
      <c r="KC124" s="5"/>
      <c r="KD124" s="5"/>
      <c r="KE124" s="5"/>
      <c r="KF124" s="5"/>
      <c r="KG124" s="5"/>
      <c r="KH124" s="5"/>
      <c r="KI124" s="5"/>
      <c r="KJ124" s="5"/>
      <c r="KK124" s="5"/>
      <c r="KL124" s="5"/>
      <c r="KM124" s="5"/>
      <c r="KN124" s="5"/>
      <c r="KO124" s="5"/>
      <c r="KP124" s="5"/>
      <c r="KQ124" s="5"/>
      <c r="KR124" s="5"/>
      <c r="KS124" s="5"/>
      <c r="KT124" s="5"/>
      <c r="KU124" s="5"/>
      <c r="KV124" s="5"/>
      <c r="KW124" s="5"/>
      <c r="KX124" s="5"/>
      <c r="KY124" s="5"/>
      <c r="KZ124" s="5"/>
      <c r="LA124" s="5"/>
      <c r="LB124" s="5"/>
      <c r="LC124" s="5"/>
      <c r="LD124" s="5"/>
      <c r="LE124" s="5"/>
      <c r="LF124" s="5"/>
      <c r="LG124" s="5"/>
      <c r="LH124" s="5"/>
      <c r="LI124" s="5"/>
      <c r="LJ124" s="5"/>
      <c r="LK124" s="5"/>
      <c r="LL124" s="5"/>
      <c r="LM124" s="5"/>
      <c r="LN124" s="5"/>
      <c r="LO124" s="5"/>
      <c r="LP124" s="5"/>
      <c r="LQ124" s="5"/>
      <c r="LR124" s="5"/>
      <c r="LS124" s="5"/>
      <c r="LT124" s="5"/>
      <c r="LU124" s="5"/>
      <c r="LV124" s="5"/>
      <c r="LW124" s="5"/>
      <c r="LX124" s="5"/>
      <c r="LY124" s="5"/>
      <c r="LZ124" s="5"/>
      <c r="MA124" s="5"/>
      <c r="MB124" s="5"/>
      <c r="MC124" s="5"/>
      <c r="MD124" s="5"/>
      <c r="ME124" s="5"/>
      <c r="MF124" s="5"/>
      <c r="MG124" s="5"/>
      <c r="MH124" s="5"/>
      <c r="MI124" s="5"/>
      <c r="MJ124" s="5"/>
      <c r="MK124" s="5"/>
      <c r="ML124" s="5"/>
      <c r="MM124" s="5"/>
      <c r="MN124" s="5"/>
      <c r="MO124" s="5"/>
      <c r="MP124" s="5"/>
      <c r="MQ124" s="5"/>
      <c r="MR124" s="5"/>
      <c r="MS124" s="5"/>
      <c r="MT124" s="5"/>
      <c r="MU124" s="5"/>
      <c r="MV124" s="5"/>
      <c r="MW124" s="5"/>
      <c r="MX124" s="5"/>
      <c r="MY124" s="5"/>
      <c r="MZ124" s="5"/>
      <c r="NA124" s="5"/>
      <c r="NB124" s="5"/>
      <c r="NC124" s="5"/>
      <c r="ND124" s="5"/>
      <c r="NE124" s="5"/>
      <c r="NF124" s="5"/>
      <c r="NG124" s="5"/>
      <c r="NH124" s="5"/>
      <c r="NI124" s="5"/>
      <c r="NJ124" s="5"/>
      <c r="NK124" s="5"/>
      <c r="NL124" s="5"/>
      <c r="NM124" s="5"/>
      <c r="NN124" s="5"/>
      <c r="NO124" s="5"/>
      <c r="NP124" s="5"/>
      <c r="NQ124" s="5"/>
      <c r="NR124" s="5"/>
      <c r="NS124" s="5"/>
      <c r="NT124" s="5"/>
      <c r="NU124" s="5"/>
      <c r="NV124" s="5"/>
      <c r="NW124" s="5"/>
      <c r="NX124" s="5"/>
      <c r="NY124" s="5"/>
      <c r="NZ124" s="5"/>
      <c r="OA124" s="5"/>
      <c r="OB124" s="5"/>
      <c r="OC124" s="5"/>
      <c r="OD124" s="5"/>
      <c r="OE124" s="5"/>
      <c r="OF124" s="5"/>
      <c r="OG124" s="5"/>
      <c r="OH124" s="5"/>
      <c r="OI124" s="5"/>
      <c r="OJ124" s="5"/>
      <c r="OK124" s="5"/>
      <c r="OL124" s="5"/>
      <c r="OM124" s="5"/>
      <c r="ON124" s="5"/>
      <c r="OO124" s="5"/>
      <c r="OP124" s="5"/>
      <c r="OQ124" s="5"/>
      <c r="OR124" s="5"/>
      <c r="OS124" s="5"/>
      <c r="OT124" s="5"/>
      <c r="OU124" s="5"/>
      <c r="OV124" s="5"/>
      <c r="OW124" s="5"/>
      <c r="OX124" s="5"/>
      <c r="OY124" s="5"/>
      <c r="OZ124" s="5"/>
      <c r="PA124" s="5"/>
      <c r="PB124" s="5"/>
      <c r="PC124" s="5"/>
      <c r="PD124" s="5"/>
      <c r="PE124" s="5"/>
      <c r="PF124" s="5"/>
      <c r="PG124" s="5"/>
      <c r="PH124" s="5"/>
      <c r="PI124" s="5"/>
      <c r="PJ124" s="5"/>
      <c r="PK124" s="5"/>
      <c r="PL124" s="5"/>
      <c r="PM124" s="5"/>
      <c r="PN124" s="5"/>
      <c r="PO124" s="5"/>
      <c r="PP124" s="5"/>
      <c r="PQ124" s="5"/>
      <c r="PR124" s="5"/>
      <c r="PS124" s="5"/>
      <c r="PT124" s="5"/>
      <c r="PU124" s="5"/>
      <c r="PV124" s="5"/>
      <c r="PW124" s="5"/>
      <c r="PX124" s="5"/>
      <c r="PY124" s="5"/>
      <c r="PZ124" s="5"/>
      <c r="QA124" s="5"/>
      <c r="QB124" s="5"/>
      <c r="QC124" s="5"/>
      <c r="QD124" s="5"/>
      <c r="QE124" s="5"/>
      <c r="QF124" s="5"/>
      <c r="QG124" s="5"/>
      <c r="QH124" s="5"/>
      <c r="QI124" s="5"/>
      <c r="QJ124" s="5"/>
      <c r="QK124" s="5"/>
      <c r="QL124" s="5"/>
      <c r="QM124" s="5"/>
      <c r="QN124" s="5"/>
      <c r="QO124" s="5"/>
      <c r="QP124" s="5"/>
      <c r="QQ124" s="5"/>
      <c r="QR124" s="5"/>
      <c r="QS124" s="5"/>
      <c r="QT124" s="5"/>
      <c r="QU124" s="5"/>
      <c r="QV124" s="5"/>
      <c r="QW124" s="5"/>
      <c r="QX124" s="5"/>
      <c r="QY124" s="5"/>
      <c r="QZ124" s="5"/>
      <c r="RA124" s="5"/>
      <c r="RB124" s="5"/>
      <c r="RC124" s="5"/>
      <c r="RD124" s="5"/>
      <c r="RE124" s="5"/>
      <c r="RF124" s="5"/>
      <c r="RG124" s="5"/>
      <c r="RH124" s="5"/>
      <c r="RI124" s="5"/>
      <c r="RJ124" s="5"/>
      <c r="RK124" s="5"/>
      <c r="RL124" s="5"/>
      <c r="RM124" s="5"/>
      <c r="RN124" s="5"/>
      <c r="RO124" s="5"/>
      <c r="RP124" s="5"/>
      <c r="RQ124" s="5"/>
      <c r="RR124" s="5"/>
      <c r="RS124" s="5"/>
      <c r="RT124" s="5"/>
      <c r="RU124" s="5"/>
      <c r="RV124" s="5"/>
      <c r="RW124" s="5"/>
      <c r="RX124" s="5"/>
      <c r="RY124" s="5"/>
      <c r="RZ124" s="5"/>
      <c r="SA124" s="5"/>
      <c r="SB124" s="5"/>
      <c r="SC124" s="5"/>
      <c r="SD124" s="5"/>
      <c r="SE124" s="5"/>
      <c r="SF124" s="5"/>
      <c r="SG124" s="5"/>
      <c r="SH124" s="5"/>
      <c r="SI124" s="5"/>
      <c r="SJ124" s="5"/>
      <c r="SK124" s="5"/>
      <c r="SL124" s="5"/>
      <c r="SM124" s="5"/>
      <c r="SN124" s="5"/>
      <c r="SO124" s="5"/>
      <c r="SP124" s="5"/>
      <c r="SQ124" s="5"/>
      <c r="SR124" s="5"/>
      <c r="SS124" s="5"/>
      <c r="ST124" s="5"/>
      <c r="SU124" s="5"/>
      <c r="SV124" s="5"/>
      <c r="SW124" s="5"/>
      <c r="SX124" s="5"/>
      <c r="SY124" s="5"/>
      <c r="SZ124" s="5"/>
      <c r="TA124" s="5"/>
      <c r="TB124" s="5"/>
      <c r="TC124" s="5"/>
      <c r="TD124" s="5"/>
      <c r="TE124" s="5"/>
      <c r="TF124" s="5"/>
      <c r="TG124" s="5"/>
      <c r="TH124" s="5"/>
      <c r="TI124" s="5"/>
      <c r="TJ124" s="5"/>
      <c r="TK124" s="5"/>
      <c r="TL124" s="5"/>
      <c r="TM124" s="5"/>
      <c r="TN124" s="5"/>
      <c r="TO124" s="5"/>
      <c r="TP124" s="5"/>
      <c r="TQ124" s="5"/>
      <c r="TR124" s="5"/>
      <c r="TS124" s="5"/>
      <c r="TT124" s="5"/>
      <c r="TU124" s="5"/>
      <c r="TV124" s="5"/>
      <c r="TW124" s="5"/>
      <c r="TX124" s="5"/>
      <c r="TY124" s="5"/>
      <c r="TZ124" s="5"/>
      <c r="UA124" s="5"/>
      <c r="UB124" s="5"/>
      <c r="UC124" s="5"/>
      <c r="UD124" s="5"/>
      <c r="UE124" s="5"/>
      <c r="UF124" s="5"/>
      <c r="UG124" s="5"/>
      <c r="UH124" s="5"/>
      <c r="UI124" s="5"/>
      <c r="UJ124" s="5"/>
      <c r="UK124" s="5"/>
      <c r="UL124" s="5"/>
      <c r="UM124" s="5"/>
      <c r="UN124" s="5"/>
      <c r="UO124" s="5"/>
      <c r="UP124" s="5"/>
      <c r="UQ124" s="5"/>
      <c r="UR124" s="5"/>
      <c r="US124" s="5"/>
      <c r="UT124" s="5"/>
      <c r="UU124" s="5"/>
      <c r="UV124" s="5"/>
      <c r="UW124" s="5"/>
      <c r="UX124" s="5"/>
      <c r="UY124" s="5"/>
      <c r="UZ124" s="5"/>
      <c r="VA124" s="5"/>
      <c r="VB124" s="5"/>
      <c r="VC124" s="5"/>
      <c r="VD124" s="5"/>
      <c r="VE124" s="5"/>
      <c r="VF124" s="5"/>
      <c r="VG124" s="5"/>
      <c r="VH124" s="5"/>
      <c r="VI124" s="5"/>
      <c r="VJ124" s="5"/>
      <c r="VK124" s="5"/>
      <c r="VL124" s="5"/>
      <c r="VM124" s="5"/>
      <c r="VN124" s="5"/>
      <c r="VO124" s="5"/>
      <c r="VP124" s="5"/>
      <c r="VQ124" s="5"/>
      <c r="VR124" s="5"/>
      <c r="VS124" s="5"/>
      <c r="VT124" s="5"/>
      <c r="VU124" s="5"/>
      <c r="VV124" s="5"/>
      <c r="VW124" s="5"/>
      <c r="VX124" s="5"/>
      <c r="VY124" s="5"/>
      <c r="VZ124" s="5"/>
      <c r="WA124" s="5"/>
      <c r="WB124" s="5"/>
      <c r="WC124" s="5"/>
      <c r="WD124" s="5"/>
      <c r="WE124" s="5"/>
      <c r="WF124" s="5"/>
      <c r="WG124" s="5"/>
      <c r="WH124" s="5"/>
      <c r="WI124" s="5"/>
      <c r="WJ124" s="5"/>
      <c r="WK124" s="5"/>
      <c r="WL124" s="5"/>
      <c r="WM124" s="5"/>
      <c r="WN124" s="5"/>
      <c r="WO124" s="5"/>
      <c r="WP124" s="5"/>
      <c r="WQ124" s="5"/>
      <c r="WR124" s="5"/>
      <c r="WS124" s="5"/>
      <c r="WT124" s="5"/>
      <c r="WU124" s="5"/>
      <c r="WV124" s="5"/>
      <c r="WW124" s="5"/>
      <c r="WX124" s="5"/>
      <c r="WY124" s="5"/>
      <c r="WZ124" s="5"/>
      <c r="XA124" s="5"/>
      <c r="XB124" s="5"/>
      <c r="XC124" s="5"/>
      <c r="XD124" s="5"/>
      <c r="XE124" s="5"/>
      <c r="XF124" s="5"/>
      <c r="XG124" s="5"/>
      <c r="XH124" s="5"/>
      <c r="XI124" s="5"/>
      <c r="XJ124" s="5"/>
      <c r="XK124" s="5"/>
      <c r="XL124" s="5"/>
      <c r="XM124" s="5"/>
      <c r="XN124" s="5"/>
      <c r="XO124" s="5"/>
      <c r="XP124" s="5"/>
      <c r="XQ124" s="5"/>
      <c r="XR124" s="5"/>
      <c r="XS124" s="5"/>
      <c r="XT124" s="5"/>
      <c r="XU124" s="5"/>
      <c r="XV124" s="5"/>
      <c r="XW124" s="5"/>
      <c r="XX124" s="5"/>
      <c r="XY124" s="5"/>
      <c r="XZ124" s="5"/>
      <c r="YA124" s="5"/>
      <c r="YB124" s="5"/>
      <c r="YC124" s="5"/>
      <c r="YD124" s="5"/>
      <c r="YE124" s="5"/>
      <c r="YF124" s="5"/>
      <c r="YG124" s="5"/>
      <c r="YH124" s="5"/>
      <c r="YI124" s="5"/>
      <c r="YJ124" s="5"/>
      <c r="YK124" s="5"/>
      <c r="YL124" s="5"/>
      <c r="YM124" s="5"/>
      <c r="YN124" s="5"/>
      <c r="YO124" s="5"/>
      <c r="YP124" s="5"/>
      <c r="YQ124" s="5"/>
      <c r="YR124" s="5"/>
      <c r="YS124" s="5"/>
      <c r="YT124" s="5"/>
      <c r="YU124" s="5"/>
      <c r="YV124" s="5"/>
      <c r="YW124" s="5"/>
      <c r="YX124" s="5"/>
      <c r="YY124" s="5"/>
      <c r="YZ124" s="5"/>
    </row>
    <row r="125" spans="1:676">
      <c r="A125" s="7">
        <v>115</v>
      </c>
      <c r="B125" s="7" t="s">
        <v>298</v>
      </c>
      <c r="C125" s="10" t="s">
        <v>299</v>
      </c>
      <c r="D125" s="7" t="s">
        <v>40</v>
      </c>
      <c r="E125" s="7" t="s">
        <v>175</v>
      </c>
      <c r="F125" s="7" t="s">
        <v>286</v>
      </c>
      <c r="G125" s="7"/>
      <c r="H125" s="7"/>
      <c r="I125" s="11">
        <v>2</v>
      </c>
      <c r="J125" s="11">
        <v>3</v>
      </c>
      <c r="K125" s="11">
        <v>0</v>
      </c>
      <c r="L125" s="11">
        <v>0.8100000000000001</v>
      </c>
      <c r="M125" s="11">
        <v>0</v>
      </c>
      <c r="N125" s="11">
        <v>0</v>
      </c>
      <c r="O125" s="11">
        <v>1.18</v>
      </c>
      <c r="P125" s="11">
        <v>0</v>
      </c>
      <c r="Q125" s="11">
        <v>1.99</v>
      </c>
      <c r="R125" s="11">
        <v>35.36</v>
      </c>
      <c r="S125" s="11">
        <v>37.35</v>
      </c>
      <c r="T125" s="11">
        <v>2</v>
      </c>
      <c r="U125" s="11">
        <v>3</v>
      </c>
      <c r="V125" s="11">
        <v>32.35</v>
      </c>
      <c r="W125" s="13">
        <v>24</v>
      </c>
      <c r="X125" s="13">
        <v>36</v>
      </c>
      <c r="Y125" s="13" t="str">
        <f>MIN(W125,S125)</f>
        <v>0</v>
      </c>
      <c r="Z125" s="13" t="str">
        <f>MIN(X125,(S125-Y125))</f>
        <v>0</v>
      </c>
      <c r="AA125" s="13" t="str">
        <f>S125-SUM(Y125,Z125)</f>
        <v>0</v>
      </c>
      <c r="AB125" s="15"/>
      <c r="AC125" s="15"/>
      <c r="AD125" s="1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  <c r="GB125" s="5"/>
      <c r="GC125" s="5"/>
      <c r="GD125" s="5"/>
      <c r="GE125" s="5"/>
      <c r="GF125" s="5"/>
      <c r="GG125" s="5"/>
      <c r="GH125" s="5"/>
      <c r="GI125" s="5"/>
      <c r="GJ125" s="5"/>
      <c r="GK125" s="5"/>
      <c r="GL125" s="5"/>
      <c r="GM125" s="5"/>
      <c r="GN125" s="5"/>
      <c r="GO125" s="5"/>
      <c r="GP125" s="5"/>
      <c r="GQ125" s="5"/>
      <c r="GR125" s="5"/>
      <c r="GS125" s="5"/>
      <c r="GT125" s="5"/>
      <c r="GU125" s="5"/>
      <c r="GV125" s="5"/>
      <c r="GW125" s="5"/>
      <c r="GX125" s="5"/>
      <c r="GY125" s="5"/>
      <c r="GZ125" s="5"/>
      <c r="HA125" s="5"/>
      <c r="HB125" s="5"/>
      <c r="HC125" s="5"/>
      <c r="HD125" s="5"/>
      <c r="HE125" s="5"/>
      <c r="HF125" s="5"/>
      <c r="HG125" s="5"/>
      <c r="HH125" s="5"/>
      <c r="HI125" s="5"/>
      <c r="HJ125" s="5"/>
      <c r="HK125" s="5"/>
      <c r="HL125" s="5"/>
      <c r="HM125" s="5"/>
      <c r="HN125" s="5"/>
      <c r="HO125" s="5"/>
      <c r="HP125" s="5"/>
      <c r="HQ125" s="5"/>
      <c r="HR125" s="5"/>
      <c r="HS125" s="5"/>
      <c r="HT125" s="5"/>
      <c r="HU125" s="5"/>
      <c r="HV125" s="5"/>
      <c r="HW125" s="5"/>
      <c r="HX125" s="5"/>
      <c r="HY125" s="5"/>
      <c r="HZ125" s="5"/>
      <c r="IA125" s="5"/>
      <c r="IB125" s="5"/>
      <c r="IC125" s="5"/>
      <c r="ID125" s="5"/>
      <c r="IE125" s="5"/>
      <c r="IF125" s="5"/>
      <c r="IG125" s="5"/>
      <c r="IH125" s="5"/>
      <c r="II125" s="5"/>
      <c r="IJ125" s="5"/>
      <c r="IK125" s="5"/>
      <c r="IL125" s="5"/>
      <c r="IM125" s="5"/>
      <c r="IN125" s="5"/>
      <c r="IO125" s="5"/>
      <c r="IP125" s="5"/>
      <c r="IQ125" s="5"/>
      <c r="IR125" s="5"/>
      <c r="IS125" s="5"/>
      <c r="IT125" s="5"/>
      <c r="IU125" s="5"/>
      <c r="IV125" s="5"/>
      <c r="IW125" s="5"/>
      <c r="IX125" s="5"/>
      <c r="IY125" s="5"/>
      <c r="IZ125" s="5"/>
      <c r="JA125" s="5"/>
      <c r="JB125" s="5"/>
      <c r="JC125" s="5"/>
      <c r="JD125" s="5"/>
      <c r="JE125" s="5"/>
      <c r="JF125" s="5"/>
      <c r="JG125" s="5"/>
      <c r="JH125" s="5"/>
      <c r="JI125" s="5"/>
      <c r="JJ125" s="5"/>
      <c r="JK125" s="5"/>
      <c r="JL125" s="5"/>
      <c r="JM125" s="5"/>
      <c r="JN125" s="5"/>
      <c r="JO125" s="5"/>
      <c r="JP125" s="5"/>
      <c r="JQ125" s="5"/>
      <c r="JR125" s="5"/>
      <c r="JS125" s="5"/>
      <c r="JT125" s="5"/>
      <c r="JU125" s="5"/>
      <c r="JV125" s="5"/>
      <c r="JW125" s="5"/>
      <c r="JX125" s="5"/>
      <c r="JY125" s="5"/>
      <c r="JZ125" s="5"/>
      <c r="KA125" s="5"/>
      <c r="KB125" s="5"/>
      <c r="KC125" s="5"/>
      <c r="KD125" s="5"/>
      <c r="KE125" s="5"/>
      <c r="KF125" s="5"/>
      <c r="KG125" s="5"/>
      <c r="KH125" s="5"/>
      <c r="KI125" s="5"/>
      <c r="KJ125" s="5"/>
      <c r="KK125" s="5"/>
      <c r="KL125" s="5"/>
      <c r="KM125" s="5"/>
      <c r="KN125" s="5"/>
      <c r="KO125" s="5"/>
      <c r="KP125" s="5"/>
      <c r="KQ125" s="5"/>
      <c r="KR125" s="5"/>
      <c r="KS125" s="5"/>
      <c r="KT125" s="5"/>
      <c r="KU125" s="5"/>
      <c r="KV125" s="5"/>
      <c r="KW125" s="5"/>
      <c r="KX125" s="5"/>
      <c r="KY125" s="5"/>
      <c r="KZ125" s="5"/>
      <c r="LA125" s="5"/>
      <c r="LB125" s="5"/>
      <c r="LC125" s="5"/>
      <c r="LD125" s="5"/>
      <c r="LE125" s="5"/>
      <c r="LF125" s="5"/>
      <c r="LG125" s="5"/>
      <c r="LH125" s="5"/>
      <c r="LI125" s="5"/>
      <c r="LJ125" s="5"/>
      <c r="LK125" s="5"/>
      <c r="LL125" s="5"/>
      <c r="LM125" s="5"/>
      <c r="LN125" s="5"/>
      <c r="LO125" s="5"/>
      <c r="LP125" s="5"/>
      <c r="LQ125" s="5"/>
      <c r="LR125" s="5"/>
      <c r="LS125" s="5"/>
      <c r="LT125" s="5"/>
      <c r="LU125" s="5"/>
      <c r="LV125" s="5"/>
      <c r="LW125" s="5"/>
      <c r="LX125" s="5"/>
      <c r="LY125" s="5"/>
      <c r="LZ125" s="5"/>
      <c r="MA125" s="5"/>
      <c r="MB125" s="5"/>
      <c r="MC125" s="5"/>
      <c r="MD125" s="5"/>
      <c r="ME125" s="5"/>
      <c r="MF125" s="5"/>
      <c r="MG125" s="5"/>
      <c r="MH125" s="5"/>
      <c r="MI125" s="5"/>
      <c r="MJ125" s="5"/>
      <c r="MK125" s="5"/>
      <c r="ML125" s="5"/>
      <c r="MM125" s="5"/>
      <c r="MN125" s="5"/>
      <c r="MO125" s="5"/>
      <c r="MP125" s="5"/>
      <c r="MQ125" s="5"/>
      <c r="MR125" s="5"/>
      <c r="MS125" s="5"/>
      <c r="MT125" s="5"/>
      <c r="MU125" s="5"/>
      <c r="MV125" s="5"/>
      <c r="MW125" s="5"/>
      <c r="MX125" s="5"/>
      <c r="MY125" s="5"/>
      <c r="MZ125" s="5"/>
      <c r="NA125" s="5"/>
      <c r="NB125" s="5"/>
      <c r="NC125" s="5"/>
      <c r="ND125" s="5"/>
      <c r="NE125" s="5"/>
      <c r="NF125" s="5"/>
      <c r="NG125" s="5"/>
      <c r="NH125" s="5"/>
      <c r="NI125" s="5"/>
      <c r="NJ125" s="5"/>
      <c r="NK125" s="5"/>
      <c r="NL125" s="5"/>
      <c r="NM125" s="5"/>
      <c r="NN125" s="5"/>
      <c r="NO125" s="5"/>
      <c r="NP125" s="5"/>
      <c r="NQ125" s="5"/>
      <c r="NR125" s="5"/>
      <c r="NS125" s="5"/>
      <c r="NT125" s="5"/>
      <c r="NU125" s="5"/>
      <c r="NV125" s="5"/>
      <c r="NW125" s="5"/>
      <c r="NX125" s="5"/>
      <c r="NY125" s="5"/>
      <c r="NZ125" s="5"/>
      <c r="OA125" s="5"/>
      <c r="OB125" s="5"/>
      <c r="OC125" s="5"/>
      <c r="OD125" s="5"/>
      <c r="OE125" s="5"/>
      <c r="OF125" s="5"/>
      <c r="OG125" s="5"/>
      <c r="OH125" s="5"/>
      <c r="OI125" s="5"/>
      <c r="OJ125" s="5"/>
      <c r="OK125" s="5"/>
      <c r="OL125" s="5"/>
      <c r="OM125" s="5"/>
      <c r="ON125" s="5"/>
      <c r="OO125" s="5"/>
      <c r="OP125" s="5"/>
      <c r="OQ125" s="5"/>
      <c r="OR125" s="5"/>
      <c r="OS125" s="5"/>
      <c r="OT125" s="5"/>
      <c r="OU125" s="5"/>
      <c r="OV125" s="5"/>
      <c r="OW125" s="5"/>
      <c r="OX125" s="5"/>
      <c r="OY125" s="5"/>
      <c r="OZ125" s="5"/>
      <c r="PA125" s="5"/>
      <c r="PB125" s="5"/>
      <c r="PC125" s="5"/>
      <c r="PD125" s="5"/>
      <c r="PE125" s="5"/>
      <c r="PF125" s="5"/>
      <c r="PG125" s="5"/>
      <c r="PH125" s="5"/>
      <c r="PI125" s="5"/>
      <c r="PJ125" s="5"/>
      <c r="PK125" s="5"/>
      <c r="PL125" s="5"/>
      <c r="PM125" s="5"/>
      <c r="PN125" s="5"/>
      <c r="PO125" s="5"/>
      <c r="PP125" s="5"/>
      <c r="PQ125" s="5"/>
      <c r="PR125" s="5"/>
      <c r="PS125" s="5"/>
      <c r="PT125" s="5"/>
      <c r="PU125" s="5"/>
      <c r="PV125" s="5"/>
      <c r="PW125" s="5"/>
      <c r="PX125" s="5"/>
      <c r="PY125" s="5"/>
      <c r="PZ125" s="5"/>
      <c r="QA125" s="5"/>
      <c r="QB125" s="5"/>
      <c r="QC125" s="5"/>
      <c r="QD125" s="5"/>
      <c r="QE125" s="5"/>
      <c r="QF125" s="5"/>
      <c r="QG125" s="5"/>
      <c r="QH125" s="5"/>
      <c r="QI125" s="5"/>
      <c r="QJ125" s="5"/>
      <c r="QK125" s="5"/>
      <c r="QL125" s="5"/>
      <c r="QM125" s="5"/>
      <c r="QN125" s="5"/>
      <c r="QO125" s="5"/>
      <c r="QP125" s="5"/>
      <c r="QQ125" s="5"/>
      <c r="QR125" s="5"/>
      <c r="QS125" s="5"/>
      <c r="QT125" s="5"/>
      <c r="QU125" s="5"/>
      <c r="QV125" s="5"/>
      <c r="QW125" s="5"/>
      <c r="QX125" s="5"/>
      <c r="QY125" s="5"/>
      <c r="QZ125" s="5"/>
      <c r="RA125" s="5"/>
      <c r="RB125" s="5"/>
      <c r="RC125" s="5"/>
      <c r="RD125" s="5"/>
      <c r="RE125" s="5"/>
      <c r="RF125" s="5"/>
      <c r="RG125" s="5"/>
      <c r="RH125" s="5"/>
      <c r="RI125" s="5"/>
      <c r="RJ125" s="5"/>
      <c r="RK125" s="5"/>
      <c r="RL125" s="5"/>
      <c r="RM125" s="5"/>
      <c r="RN125" s="5"/>
      <c r="RO125" s="5"/>
      <c r="RP125" s="5"/>
      <c r="RQ125" s="5"/>
      <c r="RR125" s="5"/>
      <c r="RS125" s="5"/>
      <c r="RT125" s="5"/>
      <c r="RU125" s="5"/>
      <c r="RV125" s="5"/>
      <c r="RW125" s="5"/>
      <c r="RX125" s="5"/>
      <c r="RY125" s="5"/>
      <c r="RZ125" s="5"/>
      <c r="SA125" s="5"/>
      <c r="SB125" s="5"/>
      <c r="SC125" s="5"/>
      <c r="SD125" s="5"/>
      <c r="SE125" s="5"/>
      <c r="SF125" s="5"/>
      <c r="SG125" s="5"/>
      <c r="SH125" s="5"/>
      <c r="SI125" s="5"/>
      <c r="SJ125" s="5"/>
      <c r="SK125" s="5"/>
      <c r="SL125" s="5"/>
      <c r="SM125" s="5"/>
      <c r="SN125" s="5"/>
      <c r="SO125" s="5"/>
      <c r="SP125" s="5"/>
      <c r="SQ125" s="5"/>
      <c r="SR125" s="5"/>
      <c r="SS125" s="5"/>
      <c r="ST125" s="5"/>
      <c r="SU125" s="5"/>
      <c r="SV125" s="5"/>
      <c r="SW125" s="5"/>
      <c r="SX125" s="5"/>
      <c r="SY125" s="5"/>
      <c r="SZ125" s="5"/>
      <c r="TA125" s="5"/>
      <c r="TB125" s="5"/>
      <c r="TC125" s="5"/>
      <c r="TD125" s="5"/>
      <c r="TE125" s="5"/>
      <c r="TF125" s="5"/>
      <c r="TG125" s="5"/>
      <c r="TH125" s="5"/>
      <c r="TI125" s="5"/>
      <c r="TJ125" s="5"/>
      <c r="TK125" s="5"/>
      <c r="TL125" s="5"/>
      <c r="TM125" s="5"/>
      <c r="TN125" s="5"/>
      <c r="TO125" s="5"/>
      <c r="TP125" s="5"/>
      <c r="TQ125" s="5"/>
      <c r="TR125" s="5"/>
      <c r="TS125" s="5"/>
      <c r="TT125" s="5"/>
      <c r="TU125" s="5"/>
      <c r="TV125" s="5"/>
      <c r="TW125" s="5"/>
      <c r="TX125" s="5"/>
      <c r="TY125" s="5"/>
      <c r="TZ125" s="5"/>
      <c r="UA125" s="5"/>
      <c r="UB125" s="5"/>
      <c r="UC125" s="5"/>
      <c r="UD125" s="5"/>
      <c r="UE125" s="5"/>
      <c r="UF125" s="5"/>
      <c r="UG125" s="5"/>
      <c r="UH125" s="5"/>
      <c r="UI125" s="5"/>
      <c r="UJ125" s="5"/>
      <c r="UK125" s="5"/>
      <c r="UL125" s="5"/>
      <c r="UM125" s="5"/>
      <c r="UN125" s="5"/>
      <c r="UO125" s="5"/>
      <c r="UP125" s="5"/>
      <c r="UQ125" s="5"/>
      <c r="UR125" s="5"/>
      <c r="US125" s="5"/>
      <c r="UT125" s="5"/>
      <c r="UU125" s="5"/>
      <c r="UV125" s="5"/>
      <c r="UW125" s="5"/>
      <c r="UX125" s="5"/>
      <c r="UY125" s="5"/>
      <c r="UZ125" s="5"/>
      <c r="VA125" s="5"/>
      <c r="VB125" s="5"/>
      <c r="VC125" s="5"/>
      <c r="VD125" s="5"/>
      <c r="VE125" s="5"/>
      <c r="VF125" s="5"/>
      <c r="VG125" s="5"/>
      <c r="VH125" s="5"/>
      <c r="VI125" s="5"/>
      <c r="VJ125" s="5"/>
      <c r="VK125" s="5"/>
      <c r="VL125" s="5"/>
      <c r="VM125" s="5"/>
      <c r="VN125" s="5"/>
      <c r="VO125" s="5"/>
      <c r="VP125" s="5"/>
      <c r="VQ125" s="5"/>
      <c r="VR125" s="5"/>
      <c r="VS125" s="5"/>
      <c r="VT125" s="5"/>
      <c r="VU125" s="5"/>
      <c r="VV125" s="5"/>
      <c r="VW125" s="5"/>
      <c r="VX125" s="5"/>
      <c r="VY125" s="5"/>
      <c r="VZ125" s="5"/>
      <c r="WA125" s="5"/>
      <c r="WB125" s="5"/>
      <c r="WC125" s="5"/>
      <c r="WD125" s="5"/>
      <c r="WE125" s="5"/>
      <c r="WF125" s="5"/>
      <c r="WG125" s="5"/>
      <c r="WH125" s="5"/>
      <c r="WI125" s="5"/>
      <c r="WJ125" s="5"/>
      <c r="WK125" s="5"/>
      <c r="WL125" s="5"/>
      <c r="WM125" s="5"/>
      <c r="WN125" s="5"/>
      <c r="WO125" s="5"/>
      <c r="WP125" s="5"/>
      <c r="WQ125" s="5"/>
      <c r="WR125" s="5"/>
      <c r="WS125" s="5"/>
      <c r="WT125" s="5"/>
      <c r="WU125" s="5"/>
      <c r="WV125" s="5"/>
      <c r="WW125" s="5"/>
      <c r="WX125" s="5"/>
      <c r="WY125" s="5"/>
      <c r="WZ125" s="5"/>
      <c r="XA125" s="5"/>
      <c r="XB125" s="5"/>
      <c r="XC125" s="5"/>
      <c r="XD125" s="5"/>
      <c r="XE125" s="5"/>
      <c r="XF125" s="5"/>
      <c r="XG125" s="5"/>
      <c r="XH125" s="5"/>
      <c r="XI125" s="5"/>
      <c r="XJ125" s="5"/>
      <c r="XK125" s="5"/>
      <c r="XL125" s="5"/>
      <c r="XM125" s="5"/>
      <c r="XN125" s="5"/>
      <c r="XO125" s="5"/>
      <c r="XP125" s="5"/>
      <c r="XQ125" s="5"/>
      <c r="XR125" s="5"/>
      <c r="XS125" s="5"/>
      <c r="XT125" s="5"/>
      <c r="XU125" s="5"/>
      <c r="XV125" s="5"/>
      <c r="XW125" s="5"/>
      <c r="XX125" s="5"/>
      <c r="XY125" s="5"/>
      <c r="XZ125" s="5"/>
      <c r="YA125" s="5"/>
      <c r="YB125" s="5"/>
      <c r="YC125" s="5"/>
      <c r="YD125" s="5"/>
      <c r="YE125" s="5"/>
      <c r="YF125" s="5"/>
      <c r="YG125" s="5"/>
      <c r="YH125" s="5"/>
      <c r="YI125" s="5"/>
      <c r="YJ125" s="5"/>
      <c r="YK125" s="5"/>
      <c r="YL125" s="5"/>
      <c r="YM125" s="5"/>
      <c r="YN125" s="5"/>
      <c r="YO125" s="5"/>
      <c r="YP125" s="5"/>
      <c r="YQ125" s="5"/>
      <c r="YR125" s="5"/>
      <c r="YS125" s="5"/>
      <c r="YT125" s="5"/>
      <c r="YU125" s="5"/>
      <c r="YV125" s="5"/>
      <c r="YW125" s="5"/>
      <c r="YX125" s="5"/>
      <c r="YY125" s="5"/>
      <c r="YZ125" s="5"/>
    </row>
    <row r="126" spans="1:676">
      <c r="A126" s="7">
        <v>116</v>
      </c>
      <c r="B126" s="7" t="s">
        <v>300</v>
      </c>
      <c r="C126" s="10" t="s">
        <v>301</v>
      </c>
      <c r="D126" s="7" t="s">
        <v>40</v>
      </c>
      <c r="E126" s="7" t="s">
        <v>175</v>
      </c>
      <c r="F126" s="7" t="s">
        <v>291</v>
      </c>
      <c r="G126" s="7"/>
      <c r="H126" s="7" t="s">
        <v>43</v>
      </c>
      <c r="I126" s="11">
        <v>2</v>
      </c>
      <c r="J126" s="11">
        <v>3</v>
      </c>
      <c r="K126" s="11">
        <v>0</v>
      </c>
      <c r="L126" s="11">
        <v>3.140000000000001</v>
      </c>
      <c r="M126" s="11">
        <v>0</v>
      </c>
      <c r="N126" s="11">
        <v>0</v>
      </c>
      <c r="O126" s="11">
        <v>0.52</v>
      </c>
      <c r="P126" s="11">
        <v>0</v>
      </c>
      <c r="Q126" s="11">
        <v>3.660000000000001</v>
      </c>
      <c r="R126" s="11">
        <v>64.49999999999997</v>
      </c>
      <c r="S126" s="11">
        <v>68.15999999999997</v>
      </c>
      <c r="T126" s="11">
        <v>2</v>
      </c>
      <c r="U126" s="11">
        <v>3</v>
      </c>
      <c r="V126" s="11">
        <v>63.15999999999997</v>
      </c>
      <c r="W126" s="13">
        <v>24</v>
      </c>
      <c r="X126" s="13">
        <v>36</v>
      </c>
      <c r="Y126" s="13" t="str">
        <f>MIN(W126,S126)</f>
        <v>0</v>
      </c>
      <c r="Z126" s="13" t="str">
        <f>MIN(X126,(S126-Y126))</f>
        <v>0</v>
      </c>
      <c r="AA126" s="13" t="str">
        <f>S126-SUM(Y126,Z126)</f>
        <v>0</v>
      </c>
      <c r="AB126" s="15"/>
      <c r="AC126" s="15"/>
      <c r="AD126" s="1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  <c r="GB126" s="5"/>
      <c r="GC126" s="5"/>
      <c r="GD126" s="5"/>
      <c r="GE126" s="5"/>
      <c r="GF126" s="5"/>
      <c r="GG126" s="5"/>
      <c r="GH126" s="5"/>
      <c r="GI126" s="5"/>
      <c r="GJ126" s="5"/>
      <c r="GK126" s="5"/>
      <c r="GL126" s="5"/>
      <c r="GM126" s="5"/>
      <c r="GN126" s="5"/>
      <c r="GO126" s="5"/>
      <c r="GP126" s="5"/>
      <c r="GQ126" s="5"/>
      <c r="GR126" s="5"/>
      <c r="GS126" s="5"/>
      <c r="GT126" s="5"/>
      <c r="GU126" s="5"/>
      <c r="GV126" s="5"/>
      <c r="GW126" s="5"/>
      <c r="GX126" s="5"/>
      <c r="GY126" s="5"/>
      <c r="GZ126" s="5"/>
      <c r="HA126" s="5"/>
      <c r="HB126" s="5"/>
      <c r="HC126" s="5"/>
      <c r="HD126" s="5"/>
      <c r="HE126" s="5"/>
      <c r="HF126" s="5"/>
      <c r="HG126" s="5"/>
      <c r="HH126" s="5"/>
      <c r="HI126" s="5"/>
      <c r="HJ126" s="5"/>
      <c r="HK126" s="5"/>
      <c r="HL126" s="5"/>
      <c r="HM126" s="5"/>
      <c r="HN126" s="5"/>
      <c r="HO126" s="5"/>
      <c r="HP126" s="5"/>
      <c r="HQ126" s="5"/>
      <c r="HR126" s="5"/>
      <c r="HS126" s="5"/>
      <c r="HT126" s="5"/>
      <c r="HU126" s="5"/>
      <c r="HV126" s="5"/>
      <c r="HW126" s="5"/>
      <c r="HX126" s="5"/>
      <c r="HY126" s="5"/>
      <c r="HZ126" s="5"/>
      <c r="IA126" s="5"/>
      <c r="IB126" s="5"/>
      <c r="IC126" s="5"/>
      <c r="ID126" s="5"/>
      <c r="IE126" s="5"/>
      <c r="IF126" s="5"/>
      <c r="IG126" s="5"/>
      <c r="IH126" s="5"/>
      <c r="II126" s="5"/>
      <c r="IJ126" s="5"/>
      <c r="IK126" s="5"/>
      <c r="IL126" s="5"/>
      <c r="IM126" s="5"/>
      <c r="IN126" s="5"/>
      <c r="IO126" s="5"/>
      <c r="IP126" s="5"/>
      <c r="IQ126" s="5"/>
      <c r="IR126" s="5"/>
      <c r="IS126" s="5"/>
      <c r="IT126" s="5"/>
      <c r="IU126" s="5"/>
      <c r="IV126" s="5"/>
      <c r="IW126" s="5"/>
      <c r="IX126" s="5"/>
      <c r="IY126" s="5"/>
      <c r="IZ126" s="5"/>
      <c r="JA126" s="5"/>
      <c r="JB126" s="5"/>
      <c r="JC126" s="5"/>
      <c r="JD126" s="5"/>
      <c r="JE126" s="5"/>
      <c r="JF126" s="5"/>
      <c r="JG126" s="5"/>
      <c r="JH126" s="5"/>
      <c r="JI126" s="5"/>
      <c r="JJ126" s="5"/>
      <c r="JK126" s="5"/>
      <c r="JL126" s="5"/>
      <c r="JM126" s="5"/>
      <c r="JN126" s="5"/>
      <c r="JO126" s="5"/>
      <c r="JP126" s="5"/>
      <c r="JQ126" s="5"/>
      <c r="JR126" s="5"/>
      <c r="JS126" s="5"/>
      <c r="JT126" s="5"/>
      <c r="JU126" s="5"/>
      <c r="JV126" s="5"/>
      <c r="JW126" s="5"/>
      <c r="JX126" s="5"/>
      <c r="JY126" s="5"/>
      <c r="JZ126" s="5"/>
      <c r="KA126" s="5"/>
      <c r="KB126" s="5"/>
      <c r="KC126" s="5"/>
      <c r="KD126" s="5"/>
      <c r="KE126" s="5"/>
      <c r="KF126" s="5"/>
      <c r="KG126" s="5"/>
      <c r="KH126" s="5"/>
      <c r="KI126" s="5"/>
      <c r="KJ126" s="5"/>
      <c r="KK126" s="5"/>
      <c r="KL126" s="5"/>
      <c r="KM126" s="5"/>
      <c r="KN126" s="5"/>
      <c r="KO126" s="5"/>
      <c r="KP126" s="5"/>
      <c r="KQ126" s="5"/>
      <c r="KR126" s="5"/>
      <c r="KS126" s="5"/>
      <c r="KT126" s="5"/>
      <c r="KU126" s="5"/>
      <c r="KV126" s="5"/>
      <c r="KW126" s="5"/>
      <c r="KX126" s="5"/>
      <c r="KY126" s="5"/>
      <c r="KZ126" s="5"/>
      <c r="LA126" s="5"/>
      <c r="LB126" s="5"/>
      <c r="LC126" s="5"/>
      <c r="LD126" s="5"/>
      <c r="LE126" s="5"/>
      <c r="LF126" s="5"/>
      <c r="LG126" s="5"/>
      <c r="LH126" s="5"/>
      <c r="LI126" s="5"/>
      <c r="LJ126" s="5"/>
      <c r="LK126" s="5"/>
      <c r="LL126" s="5"/>
      <c r="LM126" s="5"/>
      <c r="LN126" s="5"/>
      <c r="LO126" s="5"/>
      <c r="LP126" s="5"/>
      <c r="LQ126" s="5"/>
      <c r="LR126" s="5"/>
      <c r="LS126" s="5"/>
      <c r="LT126" s="5"/>
      <c r="LU126" s="5"/>
      <c r="LV126" s="5"/>
      <c r="LW126" s="5"/>
      <c r="LX126" s="5"/>
      <c r="LY126" s="5"/>
      <c r="LZ126" s="5"/>
      <c r="MA126" s="5"/>
      <c r="MB126" s="5"/>
      <c r="MC126" s="5"/>
      <c r="MD126" s="5"/>
      <c r="ME126" s="5"/>
      <c r="MF126" s="5"/>
      <c r="MG126" s="5"/>
      <c r="MH126" s="5"/>
      <c r="MI126" s="5"/>
      <c r="MJ126" s="5"/>
      <c r="MK126" s="5"/>
      <c r="ML126" s="5"/>
      <c r="MM126" s="5"/>
      <c r="MN126" s="5"/>
      <c r="MO126" s="5"/>
      <c r="MP126" s="5"/>
      <c r="MQ126" s="5"/>
      <c r="MR126" s="5"/>
      <c r="MS126" s="5"/>
      <c r="MT126" s="5"/>
      <c r="MU126" s="5"/>
      <c r="MV126" s="5"/>
      <c r="MW126" s="5"/>
      <c r="MX126" s="5"/>
      <c r="MY126" s="5"/>
      <c r="MZ126" s="5"/>
      <c r="NA126" s="5"/>
      <c r="NB126" s="5"/>
      <c r="NC126" s="5"/>
      <c r="ND126" s="5"/>
      <c r="NE126" s="5"/>
      <c r="NF126" s="5"/>
      <c r="NG126" s="5"/>
      <c r="NH126" s="5"/>
      <c r="NI126" s="5"/>
      <c r="NJ126" s="5"/>
      <c r="NK126" s="5"/>
      <c r="NL126" s="5"/>
      <c r="NM126" s="5"/>
      <c r="NN126" s="5"/>
      <c r="NO126" s="5"/>
      <c r="NP126" s="5"/>
      <c r="NQ126" s="5"/>
      <c r="NR126" s="5"/>
      <c r="NS126" s="5"/>
      <c r="NT126" s="5"/>
      <c r="NU126" s="5"/>
      <c r="NV126" s="5"/>
      <c r="NW126" s="5"/>
      <c r="NX126" s="5"/>
      <c r="NY126" s="5"/>
      <c r="NZ126" s="5"/>
      <c r="OA126" s="5"/>
      <c r="OB126" s="5"/>
      <c r="OC126" s="5"/>
      <c r="OD126" s="5"/>
      <c r="OE126" s="5"/>
      <c r="OF126" s="5"/>
      <c r="OG126" s="5"/>
      <c r="OH126" s="5"/>
      <c r="OI126" s="5"/>
      <c r="OJ126" s="5"/>
      <c r="OK126" s="5"/>
      <c r="OL126" s="5"/>
      <c r="OM126" s="5"/>
      <c r="ON126" s="5"/>
      <c r="OO126" s="5"/>
      <c r="OP126" s="5"/>
      <c r="OQ126" s="5"/>
      <c r="OR126" s="5"/>
      <c r="OS126" s="5"/>
      <c r="OT126" s="5"/>
      <c r="OU126" s="5"/>
      <c r="OV126" s="5"/>
      <c r="OW126" s="5"/>
      <c r="OX126" s="5"/>
      <c r="OY126" s="5"/>
      <c r="OZ126" s="5"/>
      <c r="PA126" s="5"/>
      <c r="PB126" s="5"/>
      <c r="PC126" s="5"/>
      <c r="PD126" s="5"/>
      <c r="PE126" s="5"/>
      <c r="PF126" s="5"/>
      <c r="PG126" s="5"/>
      <c r="PH126" s="5"/>
      <c r="PI126" s="5"/>
      <c r="PJ126" s="5"/>
      <c r="PK126" s="5"/>
      <c r="PL126" s="5"/>
      <c r="PM126" s="5"/>
      <c r="PN126" s="5"/>
      <c r="PO126" s="5"/>
      <c r="PP126" s="5"/>
      <c r="PQ126" s="5"/>
      <c r="PR126" s="5"/>
      <c r="PS126" s="5"/>
      <c r="PT126" s="5"/>
      <c r="PU126" s="5"/>
      <c r="PV126" s="5"/>
      <c r="PW126" s="5"/>
      <c r="PX126" s="5"/>
      <c r="PY126" s="5"/>
      <c r="PZ126" s="5"/>
      <c r="QA126" s="5"/>
      <c r="QB126" s="5"/>
      <c r="QC126" s="5"/>
      <c r="QD126" s="5"/>
      <c r="QE126" s="5"/>
      <c r="QF126" s="5"/>
      <c r="QG126" s="5"/>
      <c r="QH126" s="5"/>
      <c r="QI126" s="5"/>
      <c r="QJ126" s="5"/>
      <c r="QK126" s="5"/>
      <c r="QL126" s="5"/>
      <c r="QM126" s="5"/>
      <c r="QN126" s="5"/>
      <c r="QO126" s="5"/>
      <c r="QP126" s="5"/>
      <c r="QQ126" s="5"/>
      <c r="QR126" s="5"/>
      <c r="QS126" s="5"/>
      <c r="QT126" s="5"/>
      <c r="QU126" s="5"/>
      <c r="QV126" s="5"/>
      <c r="QW126" s="5"/>
      <c r="QX126" s="5"/>
      <c r="QY126" s="5"/>
      <c r="QZ126" s="5"/>
      <c r="RA126" s="5"/>
      <c r="RB126" s="5"/>
      <c r="RC126" s="5"/>
      <c r="RD126" s="5"/>
      <c r="RE126" s="5"/>
      <c r="RF126" s="5"/>
      <c r="RG126" s="5"/>
      <c r="RH126" s="5"/>
      <c r="RI126" s="5"/>
      <c r="RJ126" s="5"/>
      <c r="RK126" s="5"/>
      <c r="RL126" s="5"/>
      <c r="RM126" s="5"/>
      <c r="RN126" s="5"/>
      <c r="RO126" s="5"/>
      <c r="RP126" s="5"/>
      <c r="RQ126" s="5"/>
      <c r="RR126" s="5"/>
      <c r="RS126" s="5"/>
      <c r="RT126" s="5"/>
      <c r="RU126" s="5"/>
      <c r="RV126" s="5"/>
      <c r="RW126" s="5"/>
      <c r="RX126" s="5"/>
      <c r="RY126" s="5"/>
      <c r="RZ126" s="5"/>
      <c r="SA126" s="5"/>
      <c r="SB126" s="5"/>
      <c r="SC126" s="5"/>
      <c r="SD126" s="5"/>
      <c r="SE126" s="5"/>
      <c r="SF126" s="5"/>
      <c r="SG126" s="5"/>
      <c r="SH126" s="5"/>
      <c r="SI126" s="5"/>
      <c r="SJ126" s="5"/>
      <c r="SK126" s="5"/>
      <c r="SL126" s="5"/>
      <c r="SM126" s="5"/>
      <c r="SN126" s="5"/>
      <c r="SO126" s="5"/>
      <c r="SP126" s="5"/>
      <c r="SQ126" s="5"/>
      <c r="SR126" s="5"/>
      <c r="SS126" s="5"/>
      <c r="ST126" s="5"/>
      <c r="SU126" s="5"/>
      <c r="SV126" s="5"/>
      <c r="SW126" s="5"/>
      <c r="SX126" s="5"/>
      <c r="SY126" s="5"/>
      <c r="SZ126" s="5"/>
      <c r="TA126" s="5"/>
      <c r="TB126" s="5"/>
      <c r="TC126" s="5"/>
      <c r="TD126" s="5"/>
      <c r="TE126" s="5"/>
      <c r="TF126" s="5"/>
      <c r="TG126" s="5"/>
      <c r="TH126" s="5"/>
      <c r="TI126" s="5"/>
      <c r="TJ126" s="5"/>
      <c r="TK126" s="5"/>
      <c r="TL126" s="5"/>
      <c r="TM126" s="5"/>
      <c r="TN126" s="5"/>
      <c r="TO126" s="5"/>
      <c r="TP126" s="5"/>
      <c r="TQ126" s="5"/>
      <c r="TR126" s="5"/>
      <c r="TS126" s="5"/>
      <c r="TT126" s="5"/>
      <c r="TU126" s="5"/>
      <c r="TV126" s="5"/>
      <c r="TW126" s="5"/>
      <c r="TX126" s="5"/>
      <c r="TY126" s="5"/>
      <c r="TZ126" s="5"/>
      <c r="UA126" s="5"/>
      <c r="UB126" s="5"/>
      <c r="UC126" s="5"/>
      <c r="UD126" s="5"/>
      <c r="UE126" s="5"/>
      <c r="UF126" s="5"/>
      <c r="UG126" s="5"/>
      <c r="UH126" s="5"/>
      <c r="UI126" s="5"/>
      <c r="UJ126" s="5"/>
      <c r="UK126" s="5"/>
      <c r="UL126" s="5"/>
      <c r="UM126" s="5"/>
      <c r="UN126" s="5"/>
      <c r="UO126" s="5"/>
      <c r="UP126" s="5"/>
      <c r="UQ126" s="5"/>
      <c r="UR126" s="5"/>
      <c r="US126" s="5"/>
      <c r="UT126" s="5"/>
      <c r="UU126" s="5"/>
      <c r="UV126" s="5"/>
      <c r="UW126" s="5"/>
      <c r="UX126" s="5"/>
      <c r="UY126" s="5"/>
      <c r="UZ126" s="5"/>
      <c r="VA126" s="5"/>
      <c r="VB126" s="5"/>
      <c r="VC126" s="5"/>
      <c r="VD126" s="5"/>
      <c r="VE126" s="5"/>
      <c r="VF126" s="5"/>
      <c r="VG126" s="5"/>
      <c r="VH126" s="5"/>
      <c r="VI126" s="5"/>
      <c r="VJ126" s="5"/>
      <c r="VK126" s="5"/>
      <c r="VL126" s="5"/>
      <c r="VM126" s="5"/>
      <c r="VN126" s="5"/>
      <c r="VO126" s="5"/>
      <c r="VP126" s="5"/>
      <c r="VQ126" s="5"/>
      <c r="VR126" s="5"/>
      <c r="VS126" s="5"/>
      <c r="VT126" s="5"/>
      <c r="VU126" s="5"/>
      <c r="VV126" s="5"/>
      <c r="VW126" s="5"/>
      <c r="VX126" s="5"/>
      <c r="VY126" s="5"/>
      <c r="VZ126" s="5"/>
      <c r="WA126" s="5"/>
      <c r="WB126" s="5"/>
      <c r="WC126" s="5"/>
      <c r="WD126" s="5"/>
      <c r="WE126" s="5"/>
      <c r="WF126" s="5"/>
      <c r="WG126" s="5"/>
      <c r="WH126" s="5"/>
      <c r="WI126" s="5"/>
      <c r="WJ126" s="5"/>
      <c r="WK126" s="5"/>
      <c r="WL126" s="5"/>
      <c r="WM126" s="5"/>
      <c r="WN126" s="5"/>
      <c r="WO126" s="5"/>
      <c r="WP126" s="5"/>
      <c r="WQ126" s="5"/>
      <c r="WR126" s="5"/>
      <c r="WS126" s="5"/>
      <c r="WT126" s="5"/>
      <c r="WU126" s="5"/>
      <c r="WV126" s="5"/>
      <c r="WW126" s="5"/>
      <c r="WX126" s="5"/>
      <c r="WY126" s="5"/>
      <c r="WZ126" s="5"/>
      <c r="XA126" s="5"/>
      <c r="XB126" s="5"/>
      <c r="XC126" s="5"/>
      <c r="XD126" s="5"/>
      <c r="XE126" s="5"/>
      <c r="XF126" s="5"/>
      <c r="XG126" s="5"/>
      <c r="XH126" s="5"/>
      <c r="XI126" s="5"/>
      <c r="XJ126" s="5"/>
      <c r="XK126" s="5"/>
      <c r="XL126" s="5"/>
      <c r="XM126" s="5"/>
      <c r="XN126" s="5"/>
      <c r="XO126" s="5"/>
      <c r="XP126" s="5"/>
      <c r="XQ126" s="5"/>
      <c r="XR126" s="5"/>
      <c r="XS126" s="5"/>
      <c r="XT126" s="5"/>
      <c r="XU126" s="5"/>
      <c r="XV126" s="5"/>
      <c r="XW126" s="5"/>
      <c r="XX126" s="5"/>
      <c r="XY126" s="5"/>
      <c r="XZ126" s="5"/>
      <c r="YA126" s="5"/>
      <c r="YB126" s="5"/>
      <c r="YC126" s="5"/>
      <c r="YD126" s="5"/>
      <c r="YE126" s="5"/>
      <c r="YF126" s="5"/>
      <c r="YG126" s="5"/>
      <c r="YH126" s="5"/>
      <c r="YI126" s="5"/>
      <c r="YJ126" s="5"/>
      <c r="YK126" s="5"/>
      <c r="YL126" s="5"/>
      <c r="YM126" s="5"/>
      <c r="YN126" s="5"/>
      <c r="YO126" s="5"/>
      <c r="YP126" s="5"/>
      <c r="YQ126" s="5"/>
      <c r="YR126" s="5"/>
      <c r="YS126" s="5"/>
      <c r="YT126" s="5"/>
      <c r="YU126" s="5"/>
      <c r="YV126" s="5"/>
      <c r="YW126" s="5"/>
      <c r="YX126" s="5"/>
      <c r="YY126" s="5"/>
      <c r="YZ126" s="5"/>
    </row>
    <row r="127" spans="1:676">
      <c r="A127" s="7">
        <v>117</v>
      </c>
      <c r="B127" s="7" t="s">
        <v>302</v>
      </c>
      <c r="C127" s="10" t="s">
        <v>303</v>
      </c>
      <c r="D127" s="7" t="s">
        <v>48</v>
      </c>
      <c r="E127" s="7" t="s">
        <v>175</v>
      </c>
      <c r="F127" s="7" t="s">
        <v>286</v>
      </c>
      <c r="G127" s="7"/>
      <c r="H127" s="7"/>
      <c r="I127" s="11">
        <v>2</v>
      </c>
      <c r="J127" s="11">
        <v>3</v>
      </c>
      <c r="K127" s="11">
        <v>0</v>
      </c>
      <c r="L127" s="11">
        <v>1.59</v>
      </c>
      <c r="M127" s="11">
        <v>0</v>
      </c>
      <c r="N127" s="11">
        <v>0</v>
      </c>
      <c r="O127" s="11">
        <v>0.7</v>
      </c>
      <c r="P127" s="11">
        <v>0</v>
      </c>
      <c r="Q127" s="11">
        <v>2.29</v>
      </c>
      <c r="R127" s="11">
        <v>51.52999999999999</v>
      </c>
      <c r="S127" s="11">
        <v>53.81999999999999</v>
      </c>
      <c r="T127" s="11">
        <v>2</v>
      </c>
      <c r="U127" s="11">
        <v>3</v>
      </c>
      <c r="V127" s="11">
        <v>48.81999999999999</v>
      </c>
      <c r="W127" s="13">
        <v>24</v>
      </c>
      <c r="X127" s="13">
        <v>36</v>
      </c>
      <c r="Y127" s="13" t="str">
        <f>MIN(W127,S127)</f>
        <v>0</v>
      </c>
      <c r="Z127" s="13" t="str">
        <f>MIN(X127,(S127-Y127))</f>
        <v>0</v>
      </c>
      <c r="AA127" s="13" t="str">
        <f>S127-SUM(Y127,Z127)</f>
        <v>0</v>
      </c>
      <c r="AB127" s="15"/>
      <c r="AC127" s="15"/>
      <c r="AD127" s="1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5"/>
      <c r="FX127" s="5"/>
      <c r="FY127" s="5"/>
      <c r="FZ127" s="5"/>
      <c r="GA127" s="5"/>
      <c r="GB127" s="5"/>
      <c r="GC127" s="5"/>
      <c r="GD127" s="5"/>
      <c r="GE127" s="5"/>
      <c r="GF127" s="5"/>
      <c r="GG127" s="5"/>
      <c r="GH127" s="5"/>
      <c r="GI127" s="5"/>
      <c r="GJ127" s="5"/>
      <c r="GK127" s="5"/>
      <c r="GL127" s="5"/>
      <c r="GM127" s="5"/>
      <c r="GN127" s="5"/>
      <c r="GO127" s="5"/>
      <c r="GP127" s="5"/>
      <c r="GQ127" s="5"/>
      <c r="GR127" s="5"/>
      <c r="GS127" s="5"/>
      <c r="GT127" s="5"/>
      <c r="GU127" s="5"/>
      <c r="GV127" s="5"/>
      <c r="GW127" s="5"/>
      <c r="GX127" s="5"/>
      <c r="GY127" s="5"/>
      <c r="GZ127" s="5"/>
      <c r="HA127" s="5"/>
      <c r="HB127" s="5"/>
      <c r="HC127" s="5"/>
      <c r="HD127" s="5"/>
      <c r="HE127" s="5"/>
      <c r="HF127" s="5"/>
      <c r="HG127" s="5"/>
      <c r="HH127" s="5"/>
      <c r="HI127" s="5"/>
      <c r="HJ127" s="5"/>
      <c r="HK127" s="5"/>
      <c r="HL127" s="5"/>
      <c r="HM127" s="5"/>
      <c r="HN127" s="5"/>
      <c r="HO127" s="5"/>
      <c r="HP127" s="5"/>
      <c r="HQ127" s="5"/>
      <c r="HR127" s="5"/>
      <c r="HS127" s="5"/>
      <c r="HT127" s="5"/>
      <c r="HU127" s="5"/>
      <c r="HV127" s="5"/>
      <c r="HW127" s="5"/>
      <c r="HX127" s="5"/>
      <c r="HY127" s="5"/>
      <c r="HZ127" s="5"/>
      <c r="IA127" s="5"/>
      <c r="IB127" s="5"/>
      <c r="IC127" s="5"/>
      <c r="ID127" s="5"/>
      <c r="IE127" s="5"/>
      <c r="IF127" s="5"/>
      <c r="IG127" s="5"/>
      <c r="IH127" s="5"/>
      <c r="II127" s="5"/>
      <c r="IJ127" s="5"/>
      <c r="IK127" s="5"/>
      <c r="IL127" s="5"/>
      <c r="IM127" s="5"/>
      <c r="IN127" s="5"/>
      <c r="IO127" s="5"/>
      <c r="IP127" s="5"/>
      <c r="IQ127" s="5"/>
      <c r="IR127" s="5"/>
      <c r="IS127" s="5"/>
      <c r="IT127" s="5"/>
      <c r="IU127" s="5"/>
      <c r="IV127" s="5"/>
      <c r="IW127" s="5"/>
      <c r="IX127" s="5"/>
      <c r="IY127" s="5"/>
      <c r="IZ127" s="5"/>
      <c r="JA127" s="5"/>
      <c r="JB127" s="5"/>
      <c r="JC127" s="5"/>
      <c r="JD127" s="5"/>
      <c r="JE127" s="5"/>
      <c r="JF127" s="5"/>
      <c r="JG127" s="5"/>
      <c r="JH127" s="5"/>
      <c r="JI127" s="5"/>
      <c r="JJ127" s="5"/>
      <c r="JK127" s="5"/>
      <c r="JL127" s="5"/>
      <c r="JM127" s="5"/>
      <c r="JN127" s="5"/>
      <c r="JO127" s="5"/>
      <c r="JP127" s="5"/>
      <c r="JQ127" s="5"/>
      <c r="JR127" s="5"/>
      <c r="JS127" s="5"/>
      <c r="JT127" s="5"/>
      <c r="JU127" s="5"/>
      <c r="JV127" s="5"/>
      <c r="JW127" s="5"/>
      <c r="JX127" s="5"/>
      <c r="JY127" s="5"/>
      <c r="JZ127" s="5"/>
      <c r="KA127" s="5"/>
      <c r="KB127" s="5"/>
      <c r="KC127" s="5"/>
      <c r="KD127" s="5"/>
      <c r="KE127" s="5"/>
      <c r="KF127" s="5"/>
      <c r="KG127" s="5"/>
      <c r="KH127" s="5"/>
      <c r="KI127" s="5"/>
      <c r="KJ127" s="5"/>
      <c r="KK127" s="5"/>
      <c r="KL127" s="5"/>
      <c r="KM127" s="5"/>
      <c r="KN127" s="5"/>
      <c r="KO127" s="5"/>
      <c r="KP127" s="5"/>
      <c r="KQ127" s="5"/>
      <c r="KR127" s="5"/>
      <c r="KS127" s="5"/>
      <c r="KT127" s="5"/>
      <c r="KU127" s="5"/>
      <c r="KV127" s="5"/>
      <c r="KW127" s="5"/>
      <c r="KX127" s="5"/>
      <c r="KY127" s="5"/>
      <c r="KZ127" s="5"/>
      <c r="LA127" s="5"/>
      <c r="LB127" s="5"/>
      <c r="LC127" s="5"/>
      <c r="LD127" s="5"/>
      <c r="LE127" s="5"/>
      <c r="LF127" s="5"/>
      <c r="LG127" s="5"/>
      <c r="LH127" s="5"/>
      <c r="LI127" s="5"/>
      <c r="LJ127" s="5"/>
      <c r="LK127" s="5"/>
      <c r="LL127" s="5"/>
      <c r="LM127" s="5"/>
      <c r="LN127" s="5"/>
      <c r="LO127" s="5"/>
      <c r="LP127" s="5"/>
      <c r="LQ127" s="5"/>
      <c r="LR127" s="5"/>
      <c r="LS127" s="5"/>
      <c r="LT127" s="5"/>
      <c r="LU127" s="5"/>
      <c r="LV127" s="5"/>
      <c r="LW127" s="5"/>
      <c r="LX127" s="5"/>
      <c r="LY127" s="5"/>
      <c r="LZ127" s="5"/>
      <c r="MA127" s="5"/>
      <c r="MB127" s="5"/>
      <c r="MC127" s="5"/>
      <c r="MD127" s="5"/>
      <c r="ME127" s="5"/>
      <c r="MF127" s="5"/>
      <c r="MG127" s="5"/>
      <c r="MH127" s="5"/>
      <c r="MI127" s="5"/>
      <c r="MJ127" s="5"/>
      <c r="MK127" s="5"/>
      <c r="ML127" s="5"/>
      <c r="MM127" s="5"/>
      <c r="MN127" s="5"/>
      <c r="MO127" s="5"/>
      <c r="MP127" s="5"/>
      <c r="MQ127" s="5"/>
      <c r="MR127" s="5"/>
      <c r="MS127" s="5"/>
      <c r="MT127" s="5"/>
      <c r="MU127" s="5"/>
      <c r="MV127" s="5"/>
      <c r="MW127" s="5"/>
      <c r="MX127" s="5"/>
      <c r="MY127" s="5"/>
      <c r="MZ127" s="5"/>
      <c r="NA127" s="5"/>
      <c r="NB127" s="5"/>
      <c r="NC127" s="5"/>
      <c r="ND127" s="5"/>
      <c r="NE127" s="5"/>
      <c r="NF127" s="5"/>
      <c r="NG127" s="5"/>
      <c r="NH127" s="5"/>
      <c r="NI127" s="5"/>
      <c r="NJ127" s="5"/>
      <c r="NK127" s="5"/>
      <c r="NL127" s="5"/>
      <c r="NM127" s="5"/>
      <c r="NN127" s="5"/>
      <c r="NO127" s="5"/>
      <c r="NP127" s="5"/>
      <c r="NQ127" s="5"/>
      <c r="NR127" s="5"/>
      <c r="NS127" s="5"/>
      <c r="NT127" s="5"/>
      <c r="NU127" s="5"/>
      <c r="NV127" s="5"/>
      <c r="NW127" s="5"/>
      <c r="NX127" s="5"/>
      <c r="NY127" s="5"/>
      <c r="NZ127" s="5"/>
      <c r="OA127" s="5"/>
      <c r="OB127" s="5"/>
      <c r="OC127" s="5"/>
      <c r="OD127" s="5"/>
      <c r="OE127" s="5"/>
      <c r="OF127" s="5"/>
      <c r="OG127" s="5"/>
      <c r="OH127" s="5"/>
      <c r="OI127" s="5"/>
      <c r="OJ127" s="5"/>
      <c r="OK127" s="5"/>
      <c r="OL127" s="5"/>
      <c r="OM127" s="5"/>
      <c r="ON127" s="5"/>
      <c r="OO127" s="5"/>
      <c r="OP127" s="5"/>
      <c r="OQ127" s="5"/>
      <c r="OR127" s="5"/>
      <c r="OS127" s="5"/>
      <c r="OT127" s="5"/>
      <c r="OU127" s="5"/>
      <c r="OV127" s="5"/>
      <c r="OW127" s="5"/>
      <c r="OX127" s="5"/>
      <c r="OY127" s="5"/>
      <c r="OZ127" s="5"/>
      <c r="PA127" s="5"/>
      <c r="PB127" s="5"/>
      <c r="PC127" s="5"/>
      <c r="PD127" s="5"/>
      <c r="PE127" s="5"/>
      <c r="PF127" s="5"/>
      <c r="PG127" s="5"/>
      <c r="PH127" s="5"/>
      <c r="PI127" s="5"/>
      <c r="PJ127" s="5"/>
      <c r="PK127" s="5"/>
      <c r="PL127" s="5"/>
      <c r="PM127" s="5"/>
      <c r="PN127" s="5"/>
      <c r="PO127" s="5"/>
      <c r="PP127" s="5"/>
      <c r="PQ127" s="5"/>
      <c r="PR127" s="5"/>
      <c r="PS127" s="5"/>
      <c r="PT127" s="5"/>
      <c r="PU127" s="5"/>
      <c r="PV127" s="5"/>
      <c r="PW127" s="5"/>
      <c r="PX127" s="5"/>
      <c r="PY127" s="5"/>
      <c r="PZ127" s="5"/>
      <c r="QA127" s="5"/>
      <c r="QB127" s="5"/>
      <c r="QC127" s="5"/>
      <c r="QD127" s="5"/>
      <c r="QE127" s="5"/>
      <c r="QF127" s="5"/>
      <c r="QG127" s="5"/>
      <c r="QH127" s="5"/>
      <c r="QI127" s="5"/>
      <c r="QJ127" s="5"/>
      <c r="QK127" s="5"/>
      <c r="QL127" s="5"/>
      <c r="QM127" s="5"/>
      <c r="QN127" s="5"/>
      <c r="QO127" s="5"/>
      <c r="QP127" s="5"/>
      <c r="QQ127" s="5"/>
      <c r="QR127" s="5"/>
      <c r="QS127" s="5"/>
      <c r="QT127" s="5"/>
      <c r="QU127" s="5"/>
      <c r="QV127" s="5"/>
      <c r="QW127" s="5"/>
      <c r="QX127" s="5"/>
      <c r="QY127" s="5"/>
      <c r="QZ127" s="5"/>
      <c r="RA127" s="5"/>
      <c r="RB127" s="5"/>
      <c r="RC127" s="5"/>
      <c r="RD127" s="5"/>
      <c r="RE127" s="5"/>
      <c r="RF127" s="5"/>
      <c r="RG127" s="5"/>
      <c r="RH127" s="5"/>
      <c r="RI127" s="5"/>
      <c r="RJ127" s="5"/>
      <c r="RK127" s="5"/>
      <c r="RL127" s="5"/>
      <c r="RM127" s="5"/>
      <c r="RN127" s="5"/>
      <c r="RO127" s="5"/>
      <c r="RP127" s="5"/>
      <c r="RQ127" s="5"/>
      <c r="RR127" s="5"/>
      <c r="RS127" s="5"/>
      <c r="RT127" s="5"/>
      <c r="RU127" s="5"/>
      <c r="RV127" s="5"/>
      <c r="RW127" s="5"/>
      <c r="RX127" s="5"/>
      <c r="RY127" s="5"/>
      <c r="RZ127" s="5"/>
      <c r="SA127" s="5"/>
      <c r="SB127" s="5"/>
      <c r="SC127" s="5"/>
      <c r="SD127" s="5"/>
      <c r="SE127" s="5"/>
      <c r="SF127" s="5"/>
      <c r="SG127" s="5"/>
      <c r="SH127" s="5"/>
      <c r="SI127" s="5"/>
      <c r="SJ127" s="5"/>
      <c r="SK127" s="5"/>
      <c r="SL127" s="5"/>
      <c r="SM127" s="5"/>
      <c r="SN127" s="5"/>
      <c r="SO127" s="5"/>
      <c r="SP127" s="5"/>
      <c r="SQ127" s="5"/>
      <c r="SR127" s="5"/>
      <c r="SS127" s="5"/>
      <c r="ST127" s="5"/>
      <c r="SU127" s="5"/>
      <c r="SV127" s="5"/>
      <c r="SW127" s="5"/>
      <c r="SX127" s="5"/>
      <c r="SY127" s="5"/>
      <c r="SZ127" s="5"/>
      <c r="TA127" s="5"/>
      <c r="TB127" s="5"/>
      <c r="TC127" s="5"/>
      <c r="TD127" s="5"/>
      <c r="TE127" s="5"/>
      <c r="TF127" s="5"/>
      <c r="TG127" s="5"/>
      <c r="TH127" s="5"/>
      <c r="TI127" s="5"/>
      <c r="TJ127" s="5"/>
      <c r="TK127" s="5"/>
      <c r="TL127" s="5"/>
      <c r="TM127" s="5"/>
      <c r="TN127" s="5"/>
      <c r="TO127" s="5"/>
      <c r="TP127" s="5"/>
      <c r="TQ127" s="5"/>
      <c r="TR127" s="5"/>
      <c r="TS127" s="5"/>
      <c r="TT127" s="5"/>
      <c r="TU127" s="5"/>
      <c r="TV127" s="5"/>
      <c r="TW127" s="5"/>
      <c r="TX127" s="5"/>
      <c r="TY127" s="5"/>
      <c r="TZ127" s="5"/>
      <c r="UA127" s="5"/>
      <c r="UB127" s="5"/>
      <c r="UC127" s="5"/>
      <c r="UD127" s="5"/>
      <c r="UE127" s="5"/>
      <c r="UF127" s="5"/>
      <c r="UG127" s="5"/>
      <c r="UH127" s="5"/>
      <c r="UI127" s="5"/>
      <c r="UJ127" s="5"/>
      <c r="UK127" s="5"/>
      <c r="UL127" s="5"/>
      <c r="UM127" s="5"/>
      <c r="UN127" s="5"/>
      <c r="UO127" s="5"/>
      <c r="UP127" s="5"/>
      <c r="UQ127" s="5"/>
      <c r="UR127" s="5"/>
      <c r="US127" s="5"/>
      <c r="UT127" s="5"/>
      <c r="UU127" s="5"/>
      <c r="UV127" s="5"/>
      <c r="UW127" s="5"/>
      <c r="UX127" s="5"/>
      <c r="UY127" s="5"/>
      <c r="UZ127" s="5"/>
      <c r="VA127" s="5"/>
      <c r="VB127" s="5"/>
      <c r="VC127" s="5"/>
      <c r="VD127" s="5"/>
      <c r="VE127" s="5"/>
      <c r="VF127" s="5"/>
      <c r="VG127" s="5"/>
      <c r="VH127" s="5"/>
      <c r="VI127" s="5"/>
      <c r="VJ127" s="5"/>
      <c r="VK127" s="5"/>
      <c r="VL127" s="5"/>
      <c r="VM127" s="5"/>
      <c r="VN127" s="5"/>
      <c r="VO127" s="5"/>
      <c r="VP127" s="5"/>
      <c r="VQ127" s="5"/>
      <c r="VR127" s="5"/>
      <c r="VS127" s="5"/>
      <c r="VT127" s="5"/>
      <c r="VU127" s="5"/>
      <c r="VV127" s="5"/>
      <c r="VW127" s="5"/>
      <c r="VX127" s="5"/>
      <c r="VY127" s="5"/>
      <c r="VZ127" s="5"/>
      <c r="WA127" s="5"/>
      <c r="WB127" s="5"/>
      <c r="WC127" s="5"/>
      <c r="WD127" s="5"/>
      <c r="WE127" s="5"/>
      <c r="WF127" s="5"/>
      <c r="WG127" s="5"/>
      <c r="WH127" s="5"/>
      <c r="WI127" s="5"/>
      <c r="WJ127" s="5"/>
      <c r="WK127" s="5"/>
      <c r="WL127" s="5"/>
      <c r="WM127" s="5"/>
      <c r="WN127" s="5"/>
      <c r="WO127" s="5"/>
      <c r="WP127" s="5"/>
      <c r="WQ127" s="5"/>
      <c r="WR127" s="5"/>
      <c r="WS127" s="5"/>
      <c r="WT127" s="5"/>
      <c r="WU127" s="5"/>
      <c r="WV127" s="5"/>
      <c r="WW127" s="5"/>
      <c r="WX127" s="5"/>
      <c r="WY127" s="5"/>
      <c r="WZ127" s="5"/>
      <c r="XA127" s="5"/>
      <c r="XB127" s="5"/>
      <c r="XC127" s="5"/>
      <c r="XD127" s="5"/>
      <c r="XE127" s="5"/>
      <c r="XF127" s="5"/>
      <c r="XG127" s="5"/>
      <c r="XH127" s="5"/>
      <c r="XI127" s="5"/>
      <c r="XJ127" s="5"/>
      <c r="XK127" s="5"/>
      <c r="XL127" s="5"/>
      <c r="XM127" s="5"/>
      <c r="XN127" s="5"/>
      <c r="XO127" s="5"/>
      <c r="XP127" s="5"/>
      <c r="XQ127" s="5"/>
      <c r="XR127" s="5"/>
      <c r="XS127" s="5"/>
      <c r="XT127" s="5"/>
      <c r="XU127" s="5"/>
      <c r="XV127" s="5"/>
      <c r="XW127" s="5"/>
      <c r="XX127" s="5"/>
      <c r="XY127" s="5"/>
      <c r="XZ127" s="5"/>
      <c r="YA127" s="5"/>
      <c r="YB127" s="5"/>
      <c r="YC127" s="5"/>
      <c r="YD127" s="5"/>
      <c r="YE127" s="5"/>
      <c r="YF127" s="5"/>
      <c r="YG127" s="5"/>
      <c r="YH127" s="5"/>
      <c r="YI127" s="5"/>
      <c r="YJ127" s="5"/>
      <c r="YK127" s="5"/>
      <c r="YL127" s="5"/>
      <c r="YM127" s="5"/>
      <c r="YN127" s="5"/>
      <c r="YO127" s="5"/>
      <c r="YP127" s="5"/>
      <c r="YQ127" s="5"/>
      <c r="YR127" s="5"/>
      <c r="YS127" s="5"/>
      <c r="YT127" s="5"/>
      <c r="YU127" s="5"/>
      <c r="YV127" s="5"/>
      <c r="YW127" s="5"/>
      <c r="YX127" s="5"/>
      <c r="YY127" s="5"/>
      <c r="YZ127" s="5"/>
    </row>
    <row r="128" spans="1:676">
      <c r="A128" s="7">
        <v>118</v>
      </c>
      <c r="B128" s="7" t="s">
        <v>304</v>
      </c>
      <c r="C128" s="10" t="s">
        <v>305</v>
      </c>
      <c r="D128" s="7" t="s">
        <v>48</v>
      </c>
      <c r="E128" s="7" t="s">
        <v>175</v>
      </c>
      <c r="F128" s="7" t="s">
        <v>291</v>
      </c>
      <c r="G128" s="7"/>
      <c r="H128" s="7"/>
      <c r="I128" s="11">
        <v>2</v>
      </c>
      <c r="J128" s="11">
        <v>3</v>
      </c>
      <c r="K128" s="11">
        <v>0</v>
      </c>
      <c r="L128" s="11">
        <v>4.69</v>
      </c>
      <c r="M128" s="11">
        <v>0</v>
      </c>
      <c r="N128" s="11">
        <v>0</v>
      </c>
      <c r="O128" s="11">
        <v>1.06</v>
      </c>
      <c r="P128" s="11">
        <v>0.95</v>
      </c>
      <c r="Q128" s="11">
        <v>6.699999999999999</v>
      </c>
      <c r="R128" s="11">
        <v>87.51999999999998</v>
      </c>
      <c r="S128" s="11">
        <v>94.21999999999998</v>
      </c>
      <c r="T128" s="11">
        <v>2</v>
      </c>
      <c r="U128" s="11">
        <v>3</v>
      </c>
      <c r="V128" s="11">
        <v>89.21999999999998</v>
      </c>
      <c r="W128" s="13">
        <v>24</v>
      </c>
      <c r="X128" s="13">
        <v>36</v>
      </c>
      <c r="Y128" s="13" t="str">
        <f>MIN(W128,S128)</f>
        <v>0</v>
      </c>
      <c r="Z128" s="13" t="str">
        <f>MIN(X128,(S128-Y128))</f>
        <v>0</v>
      </c>
      <c r="AA128" s="13" t="str">
        <f>S128-SUM(Y128,Z128)</f>
        <v>0</v>
      </c>
      <c r="AB128" s="15"/>
      <c r="AC128" s="15"/>
      <c r="AD128" s="1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/>
      <c r="FK128" s="5"/>
      <c r="FL128" s="5"/>
      <c r="FM128" s="5"/>
      <c r="FN128" s="5"/>
      <c r="FO128" s="5"/>
      <c r="FP128" s="5"/>
      <c r="FQ128" s="5"/>
      <c r="FR128" s="5"/>
      <c r="FS128" s="5"/>
      <c r="FT128" s="5"/>
      <c r="FU128" s="5"/>
      <c r="FV128" s="5"/>
      <c r="FW128" s="5"/>
      <c r="FX128" s="5"/>
      <c r="FY128" s="5"/>
      <c r="FZ128" s="5"/>
      <c r="GA128" s="5"/>
      <c r="GB128" s="5"/>
      <c r="GC128" s="5"/>
      <c r="GD128" s="5"/>
      <c r="GE128" s="5"/>
      <c r="GF128" s="5"/>
      <c r="GG128" s="5"/>
      <c r="GH128" s="5"/>
      <c r="GI128" s="5"/>
      <c r="GJ128" s="5"/>
      <c r="GK128" s="5"/>
      <c r="GL128" s="5"/>
      <c r="GM128" s="5"/>
      <c r="GN128" s="5"/>
      <c r="GO128" s="5"/>
      <c r="GP128" s="5"/>
      <c r="GQ128" s="5"/>
      <c r="GR128" s="5"/>
      <c r="GS128" s="5"/>
      <c r="GT128" s="5"/>
      <c r="GU128" s="5"/>
      <c r="GV128" s="5"/>
      <c r="GW128" s="5"/>
      <c r="GX128" s="5"/>
      <c r="GY128" s="5"/>
      <c r="GZ128" s="5"/>
      <c r="HA128" s="5"/>
      <c r="HB128" s="5"/>
      <c r="HC128" s="5"/>
      <c r="HD128" s="5"/>
      <c r="HE128" s="5"/>
      <c r="HF128" s="5"/>
      <c r="HG128" s="5"/>
      <c r="HH128" s="5"/>
      <c r="HI128" s="5"/>
      <c r="HJ128" s="5"/>
      <c r="HK128" s="5"/>
      <c r="HL128" s="5"/>
      <c r="HM128" s="5"/>
      <c r="HN128" s="5"/>
      <c r="HO128" s="5"/>
      <c r="HP128" s="5"/>
      <c r="HQ128" s="5"/>
      <c r="HR128" s="5"/>
      <c r="HS128" s="5"/>
      <c r="HT128" s="5"/>
      <c r="HU128" s="5"/>
      <c r="HV128" s="5"/>
      <c r="HW128" s="5"/>
      <c r="HX128" s="5"/>
      <c r="HY128" s="5"/>
      <c r="HZ128" s="5"/>
      <c r="IA128" s="5"/>
      <c r="IB128" s="5"/>
      <c r="IC128" s="5"/>
      <c r="ID128" s="5"/>
      <c r="IE128" s="5"/>
      <c r="IF128" s="5"/>
      <c r="IG128" s="5"/>
      <c r="IH128" s="5"/>
      <c r="II128" s="5"/>
      <c r="IJ128" s="5"/>
      <c r="IK128" s="5"/>
      <c r="IL128" s="5"/>
      <c r="IM128" s="5"/>
      <c r="IN128" s="5"/>
      <c r="IO128" s="5"/>
      <c r="IP128" s="5"/>
      <c r="IQ128" s="5"/>
      <c r="IR128" s="5"/>
      <c r="IS128" s="5"/>
      <c r="IT128" s="5"/>
      <c r="IU128" s="5"/>
      <c r="IV128" s="5"/>
      <c r="IW128" s="5"/>
      <c r="IX128" s="5"/>
      <c r="IY128" s="5"/>
      <c r="IZ128" s="5"/>
      <c r="JA128" s="5"/>
      <c r="JB128" s="5"/>
      <c r="JC128" s="5"/>
      <c r="JD128" s="5"/>
      <c r="JE128" s="5"/>
      <c r="JF128" s="5"/>
      <c r="JG128" s="5"/>
      <c r="JH128" s="5"/>
      <c r="JI128" s="5"/>
      <c r="JJ128" s="5"/>
      <c r="JK128" s="5"/>
      <c r="JL128" s="5"/>
      <c r="JM128" s="5"/>
      <c r="JN128" s="5"/>
      <c r="JO128" s="5"/>
      <c r="JP128" s="5"/>
      <c r="JQ128" s="5"/>
      <c r="JR128" s="5"/>
      <c r="JS128" s="5"/>
      <c r="JT128" s="5"/>
      <c r="JU128" s="5"/>
      <c r="JV128" s="5"/>
      <c r="JW128" s="5"/>
      <c r="JX128" s="5"/>
      <c r="JY128" s="5"/>
      <c r="JZ128" s="5"/>
      <c r="KA128" s="5"/>
      <c r="KB128" s="5"/>
      <c r="KC128" s="5"/>
      <c r="KD128" s="5"/>
      <c r="KE128" s="5"/>
      <c r="KF128" s="5"/>
      <c r="KG128" s="5"/>
      <c r="KH128" s="5"/>
      <c r="KI128" s="5"/>
      <c r="KJ128" s="5"/>
      <c r="KK128" s="5"/>
      <c r="KL128" s="5"/>
      <c r="KM128" s="5"/>
      <c r="KN128" s="5"/>
      <c r="KO128" s="5"/>
      <c r="KP128" s="5"/>
      <c r="KQ128" s="5"/>
      <c r="KR128" s="5"/>
      <c r="KS128" s="5"/>
      <c r="KT128" s="5"/>
      <c r="KU128" s="5"/>
      <c r="KV128" s="5"/>
      <c r="KW128" s="5"/>
      <c r="KX128" s="5"/>
      <c r="KY128" s="5"/>
      <c r="KZ128" s="5"/>
      <c r="LA128" s="5"/>
      <c r="LB128" s="5"/>
      <c r="LC128" s="5"/>
      <c r="LD128" s="5"/>
      <c r="LE128" s="5"/>
      <c r="LF128" s="5"/>
      <c r="LG128" s="5"/>
      <c r="LH128" s="5"/>
      <c r="LI128" s="5"/>
      <c r="LJ128" s="5"/>
      <c r="LK128" s="5"/>
      <c r="LL128" s="5"/>
      <c r="LM128" s="5"/>
      <c r="LN128" s="5"/>
      <c r="LO128" s="5"/>
      <c r="LP128" s="5"/>
      <c r="LQ128" s="5"/>
      <c r="LR128" s="5"/>
      <c r="LS128" s="5"/>
      <c r="LT128" s="5"/>
      <c r="LU128" s="5"/>
      <c r="LV128" s="5"/>
      <c r="LW128" s="5"/>
      <c r="LX128" s="5"/>
      <c r="LY128" s="5"/>
      <c r="LZ128" s="5"/>
      <c r="MA128" s="5"/>
      <c r="MB128" s="5"/>
      <c r="MC128" s="5"/>
      <c r="MD128" s="5"/>
      <c r="ME128" s="5"/>
      <c r="MF128" s="5"/>
      <c r="MG128" s="5"/>
      <c r="MH128" s="5"/>
      <c r="MI128" s="5"/>
      <c r="MJ128" s="5"/>
      <c r="MK128" s="5"/>
      <c r="ML128" s="5"/>
      <c r="MM128" s="5"/>
      <c r="MN128" s="5"/>
      <c r="MO128" s="5"/>
      <c r="MP128" s="5"/>
      <c r="MQ128" s="5"/>
      <c r="MR128" s="5"/>
      <c r="MS128" s="5"/>
      <c r="MT128" s="5"/>
      <c r="MU128" s="5"/>
      <c r="MV128" s="5"/>
      <c r="MW128" s="5"/>
      <c r="MX128" s="5"/>
      <c r="MY128" s="5"/>
      <c r="MZ128" s="5"/>
      <c r="NA128" s="5"/>
      <c r="NB128" s="5"/>
      <c r="NC128" s="5"/>
      <c r="ND128" s="5"/>
      <c r="NE128" s="5"/>
      <c r="NF128" s="5"/>
      <c r="NG128" s="5"/>
      <c r="NH128" s="5"/>
      <c r="NI128" s="5"/>
      <c r="NJ128" s="5"/>
      <c r="NK128" s="5"/>
      <c r="NL128" s="5"/>
      <c r="NM128" s="5"/>
      <c r="NN128" s="5"/>
      <c r="NO128" s="5"/>
      <c r="NP128" s="5"/>
      <c r="NQ128" s="5"/>
      <c r="NR128" s="5"/>
      <c r="NS128" s="5"/>
      <c r="NT128" s="5"/>
      <c r="NU128" s="5"/>
      <c r="NV128" s="5"/>
      <c r="NW128" s="5"/>
      <c r="NX128" s="5"/>
      <c r="NY128" s="5"/>
      <c r="NZ128" s="5"/>
      <c r="OA128" s="5"/>
      <c r="OB128" s="5"/>
      <c r="OC128" s="5"/>
      <c r="OD128" s="5"/>
      <c r="OE128" s="5"/>
      <c r="OF128" s="5"/>
      <c r="OG128" s="5"/>
      <c r="OH128" s="5"/>
      <c r="OI128" s="5"/>
      <c r="OJ128" s="5"/>
      <c r="OK128" s="5"/>
      <c r="OL128" s="5"/>
      <c r="OM128" s="5"/>
      <c r="ON128" s="5"/>
      <c r="OO128" s="5"/>
      <c r="OP128" s="5"/>
      <c r="OQ128" s="5"/>
      <c r="OR128" s="5"/>
      <c r="OS128" s="5"/>
      <c r="OT128" s="5"/>
      <c r="OU128" s="5"/>
      <c r="OV128" s="5"/>
      <c r="OW128" s="5"/>
      <c r="OX128" s="5"/>
      <c r="OY128" s="5"/>
      <c r="OZ128" s="5"/>
      <c r="PA128" s="5"/>
      <c r="PB128" s="5"/>
      <c r="PC128" s="5"/>
      <c r="PD128" s="5"/>
      <c r="PE128" s="5"/>
      <c r="PF128" s="5"/>
      <c r="PG128" s="5"/>
      <c r="PH128" s="5"/>
      <c r="PI128" s="5"/>
      <c r="PJ128" s="5"/>
      <c r="PK128" s="5"/>
      <c r="PL128" s="5"/>
      <c r="PM128" s="5"/>
      <c r="PN128" s="5"/>
      <c r="PO128" s="5"/>
      <c r="PP128" s="5"/>
      <c r="PQ128" s="5"/>
      <c r="PR128" s="5"/>
      <c r="PS128" s="5"/>
      <c r="PT128" s="5"/>
      <c r="PU128" s="5"/>
      <c r="PV128" s="5"/>
      <c r="PW128" s="5"/>
      <c r="PX128" s="5"/>
      <c r="PY128" s="5"/>
      <c r="PZ128" s="5"/>
      <c r="QA128" s="5"/>
      <c r="QB128" s="5"/>
      <c r="QC128" s="5"/>
      <c r="QD128" s="5"/>
      <c r="QE128" s="5"/>
      <c r="QF128" s="5"/>
      <c r="QG128" s="5"/>
      <c r="QH128" s="5"/>
      <c r="QI128" s="5"/>
      <c r="QJ128" s="5"/>
      <c r="QK128" s="5"/>
      <c r="QL128" s="5"/>
      <c r="QM128" s="5"/>
      <c r="QN128" s="5"/>
      <c r="QO128" s="5"/>
      <c r="QP128" s="5"/>
      <c r="QQ128" s="5"/>
      <c r="QR128" s="5"/>
      <c r="QS128" s="5"/>
      <c r="QT128" s="5"/>
      <c r="QU128" s="5"/>
      <c r="QV128" s="5"/>
      <c r="QW128" s="5"/>
      <c r="QX128" s="5"/>
      <c r="QY128" s="5"/>
      <c r="QZ128" s="5"/>
      <c r="RA128" s="5"/>
      <c r="RB128" s="5"/>
      <c r="RC128" s="5"/>
      <c r="RD128" s="5"/>
      <c r="RE128" s="5"/>
      <c r="RF128" s="5"/>
      <c r="RG128" s="5"/>
      <c r="RH128" s="5"/>
      <c r="RI128" s="5"/>
      <c r="RJ128" s="5"/>
      <c r="RK128" s="5"/>
      <c r="RL128" s="5"/>
      <c r="RM128" s="5"/>
      <c r="RN128" s="5"/>
      <c r="RO128" s="5"/>
      <c r="RP128" s="5"/>
      <c r="RQ128" s="5"/>
      <c r="RR128" s="5"/>
      <c r="RS128" s="5"/>
      <c r="RT128" s="5"/>
      <c r="RU128" s="5"/>
      <c r="RV128" s="5"/>
      <c r="RW128" s="5"/>
      <c r="RX128" s="5"/>
      <c r="RY128" s="5"/>
      <c r="RZ128" s="5"/>
      <c r="SA128" s="5"/>
      <c r="SB128" s="5"/>
      <c r="SC128" s="5"/>
      <c r="SD128" s="5"/>
      <c r="SE128" s="5"/>
      <c r="SF128" s="5"/>
      <c r="SG128" s="5"/>
      <c r="SH128" s="5"/>
      <c r="SI128" s="5"/>
      <c r="SJ128" s="5"/>
      <c r="SK128" s="5"/>
      <c r="SL128" s="5"/>
      <c r="SM128" s="5"/>
      <c r="SN128" s="5"/>
      <c r="SO128" s="5"/>
      <c r="SP128" s="5"/>
      <c r="SQ128" s="5"/>
      <c r="SR128" s="5"/>
      <c r="SS128" s="5"/>
      <c r="ST128" s="5"/>
      <c r="SU128" s="5"/>
      <c r="SV128" s="5"/>
      <c r="SW128" s="5"/>
      <c r="SX128" s="5"/>
      <c r="SY128" s="5"/>
      <c r="SZ128" s="5"/>
      <c r="TA128" s="5"/>
      <c r="TB128" s="5"/>
      <c r="TC128" s="5"/>
      <c r="TD128" s="5"/>
      <c r="TE128" s="5"/>
      <c r="TF128" s="5"/>
      <c r="TG128" s="5"/>
      <c r="TH128" s="5"/>
      <c r="TI128" s="5"/>
      <c r="TJ128" s="5"/>
      <c r="TK128" s="5"/>
      <c r="TL128" s="5"/>
      <c r="TM128" s="5"/>
      <c r="TN128" s="5"/>
      <c r="TO128" s="5"/>
      <c r="TP128" s="5"/>
      <c r="TQ128" s="5"/>
      <c r="TR128" s="5"/>
      <c r="TS128" s="5"/>
      <c r="TT128" s="5"/>
      <c r="TU128" s="5"/>
      <c r="TV128" s="5"/>
      <c r="TW128" s="5"/>
      <c r="TX128" s="5"/>
      <c r="TY128" s="5"/>
      <c r="TZ128" s="5"/>
      <c r="UA128" s="5"/>
      <c r="UB128" s="5"/>
      <c r="UC128" s="5"/>
      <c r="UD128" s="5"/>
      <c r="UE128" s="5"/>
      <c r="UF128" s="5"/>
      <c r="UG128" s="5"/>
      <c r="UH128" s="5"/>
      <c r="UI128" s="5"/>
      <c r="UJ128" s="5"/>
      <c r="UK128" s="5"/>
      <c r="UL128" s="5"/>
      <c r="UM128" s="5"/>
      <c r="UN128" s="5"/>
      <c r="UO128" s="5"/>
      <c r="UP128" s="5"/>
      <c r="UQ128" s="5"/>
      <c r="UR128" s="5"/>
      <c r="US128" s="5"/>
      <c r="UT128" s="5"/>
      <c r="UU128" s="5"/>
      <c r="UV128" s="5"/>
      <c r="UW128" s="5"/>
      <c r="UX128" s="5"/>
      <c r="UY128" s="5"/>
      <c r="UZ128" s="5"/>
      <c r="VA128" s="5"/>
      <c r="VB128" s="5"/>
      <c r="VC128" s="5"/>
      <c r="VD128" s="5"/>
      <c r="VE128" s="5"/>
      <c r="VF128" s="5"/>
      <c r="VG128" s="5"/>
      <c r="VH128" s="5"/>
      <c r="VI128" s="5"/>
      <c r="VJ128" s="5"/>
      <c r="VK128" s="5"/>
      <c r="VL128" s="5"/>
      <c r="VM128" s="5"/>
      <c r="VN128" s="5"/>
      <c r="VO128" s="5"/>
      <c r="VP128" s="5"/>
      <c r="VQ128" s="5"/>
      <c r="VR128" s="5"/>
      <c r="VS128" s="5"/>
      <c r="VT128" s="5"/>
      <c r="VU128" s="5"/>
      <c r="VV128" s="5"/>
      <c r="VW128" s="5"/>
      <c r="VX128" s="5"/>
      <c r="VY128" s="5"/>
      <c r="VZ128" s="5"/>
      <c r="WA128" s="5"/>
      <c r="WB128" s="5"/>
      <c r="WC128" s="5"/>
      <c r="WD128" s="5"/>
      <c r="WE128" s="5"/>
      <c r="WF128" s="5"/>
      <c r="WG128" s="5"/>
      <c r="WH128" s="5"/>
      <c r="WI128" s="5"/>
      <c r="WJ128" s="5"/>
      <c r="WK128" s="5"/>
      <c r="WL128" s="5"/>
      <c r="WM128" s="5"/>
      <c r="WN128" s="5"/>
      <c r="WO128" s="5"/>
      <c r="WP128" s="5"/>
      <c r="WQ128" s="5"/>
      <c r="WR128" s="5"/>
      <c r="WS128" s="5"/>
      <c r="WT128" s="5"/>
      <c r="WU128" s="5"/>
      <c r="WV128" s="5"/>
      <c r="WW128" s="5"/>
      <c r="WX128" s="5"/>
      <c r="WY128" s="5"/>
      <c r="WZ128" s="5"/>
      <c r="XA128" s="5"/>
      <c r="XB128" s="5"/>
      <c r="XC128" s="5"/>
      <c r="XD128" s="5"/>
      <c r="XE128" s="5"/>
      <c r="XF128" s="5"/>
      <c r="XG128" s="5"/>
      <c r="XH128" s="5"/>
      <c r="XI128" s="5"/>
      <c r="XJ128" s="5"/>
      <c r="XK128" s="5"/>
      <c r="XL128" s="5"/>
      <c r="XM128" s="5"/>
      <c r="XN128" s="5"/>
      <c r="XO128" s="5"/>
      <c r="XP128" s="5"/>
      <c r="XQ128" s="5"/>
      <c r="XR128" s="5"/>
      <c r="XS128" s="5"/>
      <c r="XT128" s="5"/>
      <c r="XU128" s="5"/>
      <c r="XV128" s="5"/>
      <c r="XW128" s="5"/>
      <c r="XX128" s="5"/>
      <c r="XY128" s="5"/>
      <c r="XZ128" s="5"/>
      <c r="YA128" s="5"/>
      <c r="YB128" s="5"/>
      <c r="YC128" s="5"/>
      <c r="YD128" s="5"/>
      <c r="YE128" s="5"/>
      <c r="YF128" s="5"/>
      <c r="YG128" s="5"/>
      <c r="YH128" s="5"/>
      <c r="YI128" s="5"/>
      <c r="YJ128" s="5"/>
      <c r="YK128" s="5"/>
      <c r="YL128" s="5"/>
      <c r="YM128" s="5"/>
      <c r="YN128" s="5"/>
      <c r="YO128" s="5"/>
      <c r="YP128" s="5"/>
      <c r="YQ128" s="5"/>
      <c r="YR128" s="5"/>
      <c r="YS128" s="5"/>
      <c r="YT128" s="5"/>
      <c r="YU128" s="5"/>
      <c r="YV128" s="5"/>
      <c r="YW128" s="5"/>
      <c r="YX128" s="5"/>
      <c r="YY128" s="5"/>
      <c r="YZ128" s="5"/>
    </row>
    <row r="129" spans="1:676">
      <c r="A129" s="7">
        <v>119</v>
      </c>
      <c r="B129" s="7" t="s">
        <v>306</v>
      </c>
      <c r="C129" s="10" t="s">
        <v>307</v>
      </c>
      <c r="D129" s="7" t="s">
        <v>48</v>
      </c>
      <c r="E129" s="7" t="s">
        <v>167</v>
      </c>
      <c r="F129" s="7" t="s">
        <v>308</v>
      </c>
      <c r="G129" s="7"/>
      <c r="H129" s="7"/>
      <c r="I129" s="11">
        <v>2</v>
      </c>
      <c r="J129" s="11">
        <v>3</v>
      </c>
      <c r="K129" s="11">
        <v>0</v>
      </c>
      <c r="L129" s="11">
        <v>4.249999999999999</v>
      </c>
      <c r="M129" s="11">
        <v>0</v>
      </c>
      <c r="N129" s="11">
        <v>0</v>
      </c>
      <c r="O129" s="11">
        <v>0.9899999999999999</v>
      </c>
      <c r="P129" s="11">
        <v>0</v>
      </c>
      <c r="Q129" s="11">
        <v>5.239999999999999</v>
      </c>
      <c r="R129" s="11">
        <v>9.789999999999999</v>
      </c>
      <c r="S129" s="11">
        <v>15.03</v>
      </c>
      <c r="T129" s="11">
        <v>2</v>
      </c>
      <c r="U129" s="11">
        <v>3</v>
      </c>
      <c r="V129" s="11">
        <v>10.03</v>
      </c>
      <c r="W129" s="13">
        <v>24</v>
      </c>
      <c r="X129" s="13">
        <v>36</v>
      </c>
      <c r="Y129" s="13" t="str">
        <f>MIN(W129,S129)</f>
        <v>0</v>
      </c>
      <c r="Z129" s="13" t="str">
        <f>MIN(X129,(S129-Y129))</f>
        <v>0</v>
      </c>
      <c r="AA129" s="13" t="str">
        <f>S129-SUM(Y129,Z129)</f>
        <v>0</v>
      </c>
      <c r="AB129" s="15"/>
      <c r="AC129" s="15"/>
      <c r="AD129" s="1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K129" s="5"/>
      <c r="FL129" s="5"/>
      <c r="FM129" s="5"/>
      <c r="FN129" s="5"/>
      <c r="FO129" s="5"/>
      <c r="FP129" s="5"/>
      <c r="FQ129" s="5"/>
      <c r="FR129" s="5"/>
      <c r="FS129" s="5"/>
      <c r="FT129" s="5"/>
      <c r="FU129" s="5"/>
      <c r="FV129" s="5"/>
      <c r="FW129" s="5"/>
      <c r="FX129" s="5"/>
      <c r="FY129" s="5"/>
      <c r="FZ129" s="5"/>
      <c r="GA129" s="5"/>
      <c r="GB129" s="5"/>
      <c r="GC129" s="5"/>
      <c r="GD129" s="5"/>
      <c r="GE129" s="5"/>
      <c r="GF129" s="5"/>
      <c r="GG129" s="5"/>
      <c r="GH129" s="5"/>
      <c r="GI129" s="5"/>
      <c r="GJ129" s="5"/>
      <c r="GK129" s="5"/>
      <c r="GL129" s="5"/>
      <c r="GM129" s="5"/>
      <c r="GN129" s="5"/>
      <c r="GO129" s="5"/>
      <c r="GP129" s="5"/>
      <c r="GQ129" s="5"/>
      <c r="GR129" s="5"/>
      <c r="GS129" s="5"/>
      <c r="GT129" s="5"/>
      <c r="GU129" s="5"/>
      <c r="GV129" s="5"/>
      <c r="GW129" s="5"/>
      <c r="GX129" s="5"/>
      <c r="GY129" s="5"/>
      <c r="GZ129" s="5"/>
      <c r="HA129" s="5"/>
      <c r="HB129" s="5"/>
      <c r="HC129" s="5"/>
      <c r="HD129" s="5"/>
      <c r="HE129" s="5"/>
      <c r="HF129" s="5"/>
      <c r="HG129" s="5"/>
      <c r="HH129" s="5"/>
      <c r="HI129" s="5"/>
      <c r="HJ129" s="5"/>
      <c r="HK129" s="5"/>
      <c r="HL129" s="5"/>
      <c r="HM129" s="5"/>
      <c r="HN129" s="5"/>
      <c r="HO129" s="5"/>
      <c r="HP129" s="5"/>
      <c r="HQ129" s="5"/>
      <c r="HR129" s="5"/>
      <c r="HS129" s="5"/>
      <c r="HT129" s="5"/>
      <c r="HU129" s="5"/>
      <c r="HV129" s="5"/>
      <c r="HW129" s="5"/>
      <c r="HX129" s="5"/>
      <c r="HY129" s="5"/>
      <c r="HZ129" s="5"/>
      <c r="IA129" s="5"/>
      <c r="IB129" s="5"/>
      <c r="IC129" s="5"/>
      <c r="ID129" s="5"/>
      <c r="IE129" s="5"/>
      <c r="IF129" s="5"/>
      <c r="IG129" s="5"/>
      <c r="IH129" s="5"/>
      <c r="II129" s="5"/>
      <c r="IJ129" s="5"/>
      <c r="IK129" s="5"/>
      <c r="IL129" s="5"/>
      <c r="IM129" s="5"/>
      <c r="IN129" s="5"/>
      <c r="IO129" s="5"/>
      <c r="IP129" s="5"/>
      <c r="IQ129" s="5"/>
      <c r="IR129" s="5"/>
      <c r="IS129" s="5"/>
      <c r="IT129" s="5"/>
      <c r="IU129" s="5"/>
      <c r="IV129" s="5"/>
      <c r="IW129" s="5"/>
      <c r="IX129" s="5"/>
      <c r="IY129" s="5"/>
      <c r="IZ129" s="5"/>
      <c r="JA129" s="5"/>
      <c r="JB129" s="5"/>
      <c r="JC129" s="5"/>
      <c r="JD129" s="5"/>
      <c r="JE129" s="5"/>
      <c r="JF129" s="5"/>
      <c r="JG129" s="5"/>
      <c r="JH129" s="5"/>
      <c r="JI129" s="5"/>
      <c r="JJ129" s="5"/>
      <c r="JK129" s="5"/>
      <c r="JL129" s="5"/>
      <c r="JM129" s="5"/>
      <c r="JN129" s="5"/>
      <c r="JO129" s="5"/>
      <c r="JP129" s="5"/>
      <c r="JQ129" s="5"/>
      <c r="JR129" s="5"/>
      <c r="JS129" s="5"/>
      <c r="JT129" s="5"/>
      <c r="JU129" s="5"/>
      <c r="JV129" s="5"/>
      <c r="JW129" s="5"/>
      <c r="JX129" s="5"/>
      <c r="JY129" s="5"/>
      <c r="JZ129" s="5"/>
      <c r="KA129" s="5"/>
      <c r="KB129" s="5"/>
      <c r="KC129" s="5"/>
      <c r="KD129" s="5"/>
      <c r="KE129" s="5"/>
      <c r="KF129" s="5"/>
      <c r="KG129" s="5"/>
      <c r="KH129" s="5"/>
      <c r="KI129" s="5"/>
      <c r="KJ129" s="5"/>
      <c r="KK129" s="5"/>
      <c r="KL129" s="5"/>
      <c r="KM129" s="5"/>
      <c r="KN129" s="5"/>
      <c r="KO129" s="5"/>
      <c r="KP129" s="5"/>
      <c r="KQ129" s="5"/>
      <c r="KR129" s="5"/>
      <c r="KS129" s="5"/>
      <c r="KT129" s="5"/>
      <c r="KU129" s="5"/>
      <c r="KV129" s="5"/>
      <c r="KW129" s="5"/>
      <c r="KX129" s="5"/>
      <c r="KY129" s="5"/>
      <c r="KZ129" s="5"/>
      <c r="LA129" s="5"/>
      <c r="LB129" s="5"/>
      <c r="LC129" s="5"/>
      <c r="LD129" s="5"/>
      <c r="LE129" s="5"/>
      <c r="LF129" s="5"/>
      <c r="LG129" s="5"/>
      <c r="LH129" s="5"/>
      <c r="LI129" s="5"/>
      <c r="LJ129" s="5"/>
      <c r="LK129" s="5"/>
      <c r="LL129" s="5"/>
      <c r="LM129" s="5"/>
      <c r="LN129" s="5"/>
      <c r="LO129" s="5"/>
      <c r="LP129" s="5"/>
      <c r="LQ129" s="5"/>
      <c r="LR129" s="5"/>
      <c r="LS129" s="5"/>
      <c r="LT129" s="5"/>
      <c r="LU129" s="5"/>
      <c r="LV129" s="5"/>
      <c r="LW129" s="5"/>
      <c r="LX129" s="5"/>
      <c r="LY129" s="5"/>
      <c r="LZ129" s="5"/>
      <c r="MA129" s="5"/>
      <c r="MB129" s="5"/>
      <c r="MC129" s="5"/>
      <c r="MD129" s="5"/>
      <c r="ME129" s="5"/>
      <c r="MF129" s="5"/>
      <c r="MG129" s="5"/>
      <c r="MH129" s="5"/>
      <c r="MI129" s="5"/>
      <c r="MJ129" s="5"/>
      <c r="MK129" s="5"/>
      <c r="ML129" s="5"/>
      <c r="MM129" s="5"/>
      <c r="MN129" s="5"/>
      <c r="MO129" s="5"/>
      <c r="MP129" s="5"/>
      <c r="MQ129" s="5"/>
      <c r="MR129" s="5"/>
      <c r="MS129" s="5"/>
      <c r="MT129" s="5"/>
      <c r="MU129" s="5"/>
      <c r="MV129" s="5"/>
      <c r="MW129" s="5"/>
      <c r="MX129" s="5"/>
      <c r="MY129" s="5"/>
      <c r="MZ129" s="5"/>
      <c r="NA129" s="5"/>
      <c r="NB129" s="5"/>
      <c r="NC129" s="5"/>
      <c r="ND129" s="5"/>
      <c r="NE129" s="5"/>
      <c r="NF129" s="5"/>
      <c r="NG129" s="5"/>
      <c r="NH129" s="5"/>
      <c r="NI129" s="5"/>
      <c r="NJ129" s="5"/>
      <c r="NK129" s="5"/>
      <c r="NL129" s="5"/>
      <c r="NM129" s="5"/>
      <c r="NN129" s="5"/>
      <c r="NO129" s="5"/>
      <c r="NP129" s="5"/>
      <c r="NQ129" s="5"/>
      <c r="NR129" s="5"/>
      <c r="NS129" s="5"/>
      <c r="NT129" s="5"/>
      <c r="NU129" s="5"/>
      <c r="NV129" s="5"/>
      <c r="NW129" s="5"/>
      <c r="NX129" s="5"/>
      <c r="NY129" s="5"/>
      <c r="NZ129" s="5"/>
      <c r="OA129" s="5"/>
      <c r="OB129" s="5"/>
      <c r="OC129" s="5"/>
      <c r="OD129" s="5"/>
      <c r="OE129" s="5"/>
      <c r="OF129" s="5"/>
      <c r="OG129" s="5"/>
      <c r="OH129" s="5"/>
      <c r="OI129" s="5"/>
      <c r="OJ129" s="5"/>
      <c r="OK129" s="5"/>
      <c r="OL129" s="5"/>
      <c r="OM129" s="5"/>
      <c r="ON129" s="5"/>
      <c r="OO129" s="5"/>
      <c r="OP129" s="5"/>
      <c r="OQ129" s="5"/>
      <c r="OR129" s="5"/>
      <c r="OS129" s="5"/>
      <c r="OT129" s="5"/>
      <c r="OU129" s="5"/>
      <c r="OV129" s="5"/>
      <c r="OW129" s="5"/>
      <c r="OX129" s="5"/>
      <c r="OY129" s="5"/>
      <c r="OZ129" s="5"/>
      <c r="PA129" s="5"/>
      <c r="PB129" s="5"/>
      <c r="PC129" s="5"/>
      <c r="PD129" s="5"/>
      <c r="PE129" s="5"/>
      <c r="PF129" s="5"/>
      <c r="PG129" s="5"/>
      <c r="PH129" s="5"/>
      <c r="PI129" s="5"/>
      <c r="PJ129" s="5"/>
      <c r="PK129" s="5"/>
      <c r="PL129" s="5"/>
      <c r="PM129" s="5"/>
      <c r="PN129" s="5"/>
      <c r="PO129" s="5"/>
      <c r="PP129" s="5"/>
      <c r="PQ129" s="5"/>
      <c r="PR129" s="5"/>
      <c r="PS129" s="5"/>
      <c r="PT129" s="5"/>
      <c r="PU129" s="5"/>
      <c r="PV129" s="5"/>
      <c r="PW129" s="5"/>
      <c r="PX129" s="5"/>
      <c r="PY129" s="5"/>
      <c r="PZ129" s="5"/>
      <c r="QA129" s="5"/>
      <c r="QB129" s="5"/>
      <c r="QC129" s="5"/>
      <c r="QD129" s="5"/>
      <c r="QE129" s="5"/>
      <c r="QF129" s="5"/>
      <c r="QG129" s="5"/>
      <c r="QH129" s="5"/>
      <c r="QI129" s="5"/>
      <c r="QJ129" s="5"/>
      <c r="QK129" s="5"/>
      <c r="QL129" s="5"/>
      <c r="QM129" s="5"/>
      <c r="QN129" s="5"/>
      <c r="QO129" s="5"/>
      <c r="QP129" s="5"/>
      <c r="QQ129" s="5"/>
      <c r="QR129" s="5"/>
      <c r="QS129" s="5"/>
      <c r="QT129" s="5"/>
      <c r="QU129" s="5"/>
      <c r="QV129" s="5"/>
      <c r="QW129" s="5"/>
      <c r="QX129" s="5"/>
      <c r="QY129" s="5"/>
      <c r="QZ129" s="5"/>
      <c r="RA129" s="5"/>
      <c r="RB129" s="5"/>
      <c r="RC129" s="5"/>
      <c r="RD129" s="5"/>
      <c r="RE129" s="5"/>
      <c r="RF129" s="5"/>
      <c r="RG129" s="5"/>
      <c r="RH129" s="5"/>
      <c r="RI129" s="5"/>
      <c r="RJ129" s="5"/>
      <c r="RK129" s="5"/>
      <c r="RL129" s="5"/>
      <c r="RM129" s="5"/>
      <c r="RN129" s="5"/>
      <c r="RO129" s="5"/>
      <c r="RP129" s="5"/>
      <c r="RQ129" s="5"/>
      <c r="RR129" s="5"/>
      <c r="RS129" s="5"/>
      <c r="RT129" s="5"/>
      <c r="RU129" s="5"/>
      <c r="RV129" s="5"/>
      <c r="RW129" s="5"/>
      <c r="RX129" s="5"/>
      <c r="RY129" s="5"/>
      <c r="RZ129" s="5"/>
      <c r="SA129" s="5"/>
      <c r="SB129" s="5"/>
      <c r="SC129" s="5"/>
      <c r="SD129" s="5"/>
      <c r="SE129" s="5"/>
      <c r="SF129" s="5"/>
      <c r="SG129" s="5"/>
      <c r="SH129" s="5"/>
      <c r="SI129" s="5"/>
      <c r="SJ129" s="5"/>
      <c r="SK129" s="5"/>
      <c r="SL129" s="5"/>
      <c r="SM129" s="5"/>
      <c r="SN129" s="5"/>
      <c r="SO129" s="5"/>
      <c r="SP129" s="5"/>
      <c r="SQ129" s="5"/>
      <c r="SR129" s="5"/>
      <c r="SS129" s="5"/>
      <c r="ST129" s="5"/>
      <c r="SU129" s="5"/>
      <c r="SV129" s="5"/>
      <c r="SW129" s="5"/>
      <c r="SX129" s="5"/>
      <c r="SY129" s="5"/>
      <c r="SZ129" s="5"/>
      <c r="TA129" s="5"/>
      <c r="TB129" s="5"/>
      <c r="TC129" s="5"/>
      <c r="TD129" s="5"/>
      <c r="TE129" s="5"/>
      <c r="TF129" s="5"/>
      <c r="TG129" s="5"/>
      <c r="TH129" s="5"/>
      <c r="TI129" s="5"/>
      <c r="TJ129" s="5"/>
      <c r="TK129" s="5"/>
      <c r="TL129" s="5"/>
      <c r="TM129" s="5"/>
      <c r="TN129" s="5"/>
      <c r="TO129" s="5"/>
      <c r="TP129" s="5"/>
      <c r="TQ129" s="5"/>
      <c r="TR129" s="5"/>
      <c r="TS129" s="5"/>
      <c r="TT129" s="5"/>
      <c r="TU129" s="5"/>
      <c r="TV129" s="5"/>
      <c r="TW129" s="5"/>
      <c r="TX129" s="5"/>
      <c r="TY129" s="5"/>
      <c r="TZ129" s="5"/>
      <c r="UA129" s="5"/>
      <c r="UB129" s="5"/>
      <c r="UC129" s="5"/>
      <c r="UD129" s="5"/>
      <c r="UE129" s="5"/>
      <c r="UF129" s="5"/>
      <c r="UG129" s="5"/>
      <c r="UH129" s="5"/>
      <c r="UI129" s="5"/>
      <c r="UJ129" s="5"/>
      <c r="UK129" s="5"/>
      <c r="UL129" s="5"/>
      <c r="UM129" s="5"/>
      <c r="UN129" s="5"/>
      <c r="UO129" s="5"/>
      <c r="UP129" s="5"/>
      <c r="UQ129" s="5"/>
      <c r="UR129" s="5"/>
      <c r="US129" s="5"/>
      <c r="UT129" s="5"/>
      <c r="UU129" s="5"/>
      <c r="UV129" s="5"/>
      <c r="UW129" s="5"/>
      <c r="UX129" s="5"/>
      <c r="UY129" s="5"/>
      <c r="UZ129" s="5"/>
      <c r="VA129" s="5"/>
      <c r="VB129" s="5"/>
      <c r="VC129" s="5"/>
      <c r="VD129" s="5"/>
      <c r="VE129" s="5"/>
      <c r="VF129" s="5"/>
      <c r="VG129" s="5"/>
      <c r="VH129" s="5"/>
      <c r="VI129" s="5"/>
      <c r="VJ129" s="5"/>
      <c r="VK129" s="5"/>
      <c r="VL129" s="5"/>
      <c r="VM129" s="5"/>
      <c r="VN129" s="5"/>
      <c r="VO129" s="5"/>
      <c r="VP129" s="5"/>
      <c r="VQ129" s="5"/>
      <c r="VR129" s="5"/>
      <c r="VS129" s="5"/>
      <c r="VT129" s="5"/>
      <c r="VU129" s="5"/>
      <c r="VV129" s="5"/>
      <c r="VW129" s="5"/>
      <c r="VX129" s="5"/>
      <c r="VY129" s="5"/>
      <c r="VZ129" s="5"/>
      <c r="WA129" s="5"/>
      <c r="WB129" s="5"/>
      <c r="WC129" s="5"/>
      <c r="WD129" s="5"/>
      <c r="WE129" s="5"/>
      <c r="WF129" s="5"/>
      <c r="WG129" s="5"/>
      <c r="WH129" s="5"/>
      <c r="WI129" s="5"/>
      <c r="WJ129" s="5"/>
      <c r="WK129" s="5"/>
      <c r="WL129" s="5"/>
      <c r="WM129" s="5"/>
      <c r="WN129" s="5"/>
      <c r="WO129" s="5"/>
      <c r="WP129" s="5"/>
      <c r="WQ129" s="5"/>
      <c r="WR129" s="5"/>
      <c r="WS129" s="5"/>
      <c r="WT129" s="5"/>
      <c r="WU129" s="5"/>
      <c r="WV129" s="5"/>
      <c r="WW129" s="5"/>
      <c r="WX129" s="5"/>
      <c r="WY129" s="5"/>
      <c r="WZ129" s="5"/>
      <c r="XA129" s="5"/>
      <c r="XB129" s="5"/>
      <c r="XC129" s="5"/>
      <c r="XD129" s="5"/>
      <c r="XE129" s="5"/>
      <c r="XF129" s="5"/>
      <c r="XG129" s="5"/>
      <c r="XH129" s="5"/>
      <c r="XI129" s="5"/>
      <c r="XJ129" s="5"/>
      <c r="XK129" s="5"/>
      <c r="XL129" s="5"/>
      <c r="XM129" s="5"/>
      <c r="XN129" s="5"/>
      <c r="XO129" s="5"/>
      <c r="XP129" s="5"/>
      <c r="XQ129" s="5"/>
      <c r="XR129" s="5"/>
      <c r="XS129" s="5"/>
      <c r="XT129" s="5"/>
      <c r="XU129" s="5"/>
      <c r="XV129" s="5"/>
      <c r="XW129" s="5"/>
      <c r="XX129" s="5"/>
      <c r="XY129" s="5"/>
      <c r="XZ129" s="5"/>
      <c r="YA129" s="5"/>
      <c r="YB129" s="5"/>
      <c r="YC129" s="5"/>
      <c r="YD129" s="5"/>
      <c r="YE129" s="5"/>
      <c r="YF129" s="5"/>
      <c r="YG129" s="5"/>
      <c r="YH129" s="5"/>
      <c r="YI129" s="5"/>
      <c r="YJ129" s="5"/>
      <c r="YK129" s="5"/>
      <c r="YL129" s="5"/>
      <c r="YM129" s="5"/>
      <c r="YN129" s="5"/>
      <c r="YO129" s="5"/>
      <c r="YP129" s="5"/>
      <c r="YQ129" s="5"/>
      <c r="YR129" s="5"/>
      <c r="YS129" s="5"/>
      <c r="YT129" s="5"/>
      <c r="YU129" s="5"/>
      <c r="YV129" s="5"/>
      <c r="YW129" s="5"/>
      <c r="YX129" s="5"/>
      <c r="YY129" s="5"/>
      <c r="YZ129" s="5"/>
    </row>
    <row r="130" spans="1:676">
      <c r="A130" s="7">
        <v>120</v>
      </c>
      <c r="B130" s="7" t="s">
        <v>309</v>
      </c>
      <c r="C130" s="10" t="s">
        <v>310</v>
      </c>
      <c r="D130" s="7" t="s">
        <v>48</v>
      </c>
      <c r="E130" s="7" t="s">
        <v>175</v>
      </c>
      <c r="F130" s="7" t="s">
        <v>286</v>
      </c>
      <c r="G130" s="7"/>
      <c r="H130" s="7"/>
      <c r="I130" s="11">
        <v>2</v>
      </c>
      <c r="J130" s="11">
        <v>3</v>
      </c>
      <c r="K130" s="11">
        <v>0</v>
      </c>
      <c r="L130" s="11">
        <v>2.56</v>
      </c>
      <c r="M130" s="11">
        <v>0</v>
      </c>
      <c r="N130" s="11">
        <v>0</v>
      </c>
      <c r="O130" s="11">
        <v>2.41</v>
      </c>
      <c r="P130" s="11">
        <v>0</v>
      </c>
      <c r="Q130" s="11">
        <v>4.969999999999999</v>
      </c>
      <c r="R130" s="11">
        <v>65.02999999999999</v>
      </c>
      <c r="S130" s="11">
        <v>69.99999999999999</v>
      </c>
      <c r="T130" s="11">
        <v>2</v>
      </c>
      <c r="U130" s="11">
        <v>3</v>
      </c>
      <c r="V130" s="11">
        <v>64.99999999999999</v>
      </c>
      <c r="W130" s="13">
        <v>24</v>
      </c>
      <c r="X130" s="13">
        <v>36</v>
      </c>
      <c r="Y130" s="13" t="str">
        <f>MIN(W130,S130)</f>
        <v>0</v>
      </c>
      <c r="Z130" s="13" t="str">
        <f>MIN(X130,(S130-Y130))</f>
        <v>0</v>
      </c>
      <c r="AA130" s="13" t="str">
        <f>S130-SUM(Y130,Z130)</f>
        <v>0</v>
      </c>
      <c r="AB130" s="15"/>
      <c r="AC130" s="15"/>
      <c r="AD130" s="1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  <c r="FW130" s="5"/>
      <c r="FX130" s="5"/>
      <c r="FY130" s="5"/>
      <c r="FZ130" s="5"/>
      <c r="GA130" s="5"/>
      <c r="GB130" s="5"/>
      <c r="GC130" s="5"/>
      <c r="GD130" s="5"/>
      <c r="GE130" s="5"/>
      <c r="GF130" s="5"/>
      <c r="GG130" s="5"/>
      <c r="GH130" s="5"/>
      <c r="GI130" s="5"/>
      <c r="GJ130" s="5"/>
      <c r="GK130" s="5"/>
      <c r="GL130" s="5"/>
      <c r="GM130" s="5"/>
      <c r="GN130" s="5"/>
      <c r="GO130" s="5"/>
      <c r="GP130" s="5"/>
      <c r="GQ130" s="5"/>
      <c r="GR130" s="5"/>
      <c r="GS130" s="5"/>
      <c r="GT130" s="5"/>
      <c r="GU130" s="5"/>
      <c r="GV130" s="5"/>
      <c r="GW130" s="5"/>
      <c r="GX130" s="5"/>
      <c r="GY130" s="5"/>
      <c r="GZ130" s="5"/>
      <c r="HA130" s="5"/>
      <c r="HB130" s="5"/>
      <c r="HC130" s="5"/>
      <c r="HD130" s="5"/>
      <c r="HE130" s="5"/>
      <c r="HF130" s="5"/>
      <c r="HG130" s="5"/>
      <c r="HH130" s="5"/>
      <c r="HI130" s="5"/>
      <c r="HJ130" s="5"/>
      <c r="HK130" s="5"/>
      <c r="HL130" s="5"/>
      <c r="HM130" s="5"/>
      <c r="HN130" s="5"/>
      <c r="HO130" s="5"/>
      <c r="HP130" s="5"/>
      <c r="HQ130" s="5"/>
      <c r="HR130" s="5"/>
      <c r="HS130" s="5"/>
      <c r="HT130" s="5"/>
      <c r="HU130" s="5"/>
      <c r="HV130" s="5"/>
      <c r="HW130" s="5"/>
      <c r="HX130" s="5"/>
      <c r="HY130" s="5"/>
      <c r="HZ130" s="5"/>
      <c r="IA130" s="5"/>
      <c r="IB130" s="5"/>
      <c r="IC130" s="5"/>
      <c r="ID130" s="5"/>
      <c r="IE130" s="5"/>
      <c r="IF130" s="5"/>
      <c r="IG130" s="5"/>
      <c r="IH130" s="5"/>
      <c r="II130" s="5"/>
      <c r="IJ130" s="5"/>
      <c r="IK130" s="5"/>
      <c r="IL130" s="5"/>
      <c r="IM130" s="5"/>
      <c r="IN130" s="5"/>
      <c r="IO130" s="5"/>
      <c r="IP130" s="5"/>
      <c r="IQ130" s="5"/>
      <c r="IR130" s="5"/>
      <c r="IS130" s="5"/>
      <c r="IT130" s="5"/>
      <c r="IU130" s="5"/>
      <c r="IV130" s="5"/>
      <c r="IW130" s="5"/>
      <c r="IX130" s="5"/>
      <c r="IY130" s="5"/>
      <c r="IZ130" s="5"/>
      <c r="JA130" s="5"/>
      <c r="JB130" s="5"/>
      <c r="JC130" s="5"/>
      <c r="JD130" s="5"/>
      <c r="JE130" s="5"/>
      <c r="JF130" s="5"/>
      <c r="JG130" s="5"/>
      <c r="JH130" s="5"/>
      <c r="JI130" s="5"/>
      <c r="JJ130" s="5"/>
      <c r="JK130" s="5"/>
      <c r="JL130" s="5"/>
      <c r="JM130" s="5"/>
      <c r="JN130" s="5"/>
      <c r="JO130" s="5"/>
      <c r="JP130" s="5"/>
      <c r="JQ130" s="5"/>
      <c r="JR130" s="5"/>
      <c r="JS130" s="5"/>
      <c r="JT130" s="5"/>
      <c r="JU130" s="5"/>
      <c r="JV130" s="5"/>
      <c r="JW130" s="5"/>
      <c r="JX130" s="5"/>
      <c r="JY130" s="5"/>
      <c r="JZ130" s="5"/>
      <c r="KA130" s="5"/>
      <c r="KB130" s="5"/>
      <c r="KC130" s="5"/>
      <c r="KD130" s="5"/>
      <c r="KE130" s="5"/>
      <c r="KF130" s="5"/>
      <c r="KG130" s="5"/>
      <c r="KH130" s="5"/>
      <c r="KI130" s="5"/>
      <c r="KJ130" s="5"/>
      <c r="KK130" s="5"/>
      <c r="KL130" s="5"/>
      <c r="KM130" s="5"/>
      <c r="KN130" s="5"/>
      <c r="KO130" s="5"/>
      <c r="KP130" s="5"/>
      <c r="KQ130" s="5"/>
      <c r="KR130" s="5"/>
      <c r="KS130" s="5"/>
      <c r="KT130" s="5"/>
      <c r="KU130" s="5"/>
      <c r="KV130" s="5"/>
      <c r="KW130" s="5"/>
      <c r="KX130" s="5"/>
      <c r="KY130" s="5"/>
      <c r="KZ130" s="5"/>
      <c r="LA130" s="5"/>
      <c r="LB130" s="5"/>
      <c r="LC130" s="5"/>
      <c r="LD130" s="5"/>
      <c r="LE130" s="5"/>
      <c r="LF130" s="5"/>
      <c r="LG130" s="5"/>
      <c r="LH130" s="5"/>
      <c r="LI130" s="5"/>
      <c r="LJ130" s="5"/>
      <c r="LK130" s="5"/>
      <c r="LL130" s="5"/>
      <c r="LM130" s="5"/>
      <c r="LN130" s="5"/>
      <c r="LO130" s="5"/>
      <c r="LP130" s="5"/>
      <c r="LQ130" s="5"/>
      <c r="LR130" s="5"/>
      <c r="LS130" s="5"/>
      <c r="LT130" s="5"/>
      <c r="LU130" s="5"/>
      <c r="LV130" s="5"/>
      <c r="LW130" s="5"/>
      <c r="LX130" s="5"/>
      <c r="LY130" s="5"/>
      <c r="LZ130" s="5"/>
      <c r="MA130" s="5"/>
      <c r="MB130" s="5"/>
      <c r="MC130" s="5"/>
      <c r="MD130" s="5"/>
      <c r="ME130" s="5"/>
      <c r="MF130" s="5"/>
      <c r="MG130" s="5"/>
      <c r="MH130" s="5"/>
      <c r="MI130" s="5"/>
      <c r="MJ130" s="5"/>
      <c r="MK130" s="5"/>
      <c r="ML130" s="5"/>
      <c r="MM130" s="5"/>
      <c r="MN130" s="5"/>
      <c r="MO130" s="5"/>
      <c r="MP130" s="5"/>
      <c r="MQ130" s="5"/>
      <c r="MR130" s="5"/>
      <c r="MS130" s="5"/>
      <c r="MT130" s="5"/>
      <c r="MU130" s="5"/>
      <c r="MV130" s="5"/>
      <c r="MW130" s="5"/>
      <c r="MX130" s="5"/>
      <c r="MY130" s="5"/>
      <c r="MZ130" s="5"/>
      <c r="NA130" s="5"/>
      <c r="NB130" s="5"/>
      <c r="NC130" s="5"/>
      <c r="ND130" s="5"/>
      <c r="NE130" s="5"/>
      <c r="NF130" s="5"/>
      <c r="NG130" s="5"/>
      <c r="NH130" s="5"/>
      <c r="NI130" s="5"/>
      <c r="NJ130" s="5"/>
      <c r="NK130" s="5"/>
      <c r="NL130" s="5"/>
      <c r="NM130" s="5"/>
      <c r="NN130" s="5"/>
      <c r="NO130" s="5"/>
      <c r="NP130" s="5"/>
      <c r="NQ130" s="5"/>
      <c r="NR130" s="5"/>
      <c r="NS130" s="5"/>
      <c r="NT130" s="5"/>
      <c r="NU130" s="5"/>
      <c r="NV130" s="5"/>
      <c r="NW130" s="5"/>
      <c r="NX130" s="5"/>
      <c r="NY130" s="5"/>
      <c r="NZ130" s="5"/>
      <c r="OA130" s="5"/>
      <c r="OB130" s="5"/>
      <c r="OC130" s="5"/>
      <c r="OD130" s="5"/>
      <c r="OE130" s="5"/>
      <c r="OF130" s="5"/>
      <c r="OG130" s="5"/>
      <c r="OH130" s="5"/>
      <c r="OI130" s="5"/>
      <c r="OJ130" s="5"/>
      <c r="OK130" s="5"/>
      <c r="OL130" s="5"/>
      <c r="OM130" s="5"/>
      <c r="ON130" s="5"/>
      <c r="OO130" s="5"/>
      <c r="OP130" s="5"/>
      <c r="OQ130" s="5"/>
      <c r="OR130" s="5"/>
      <c r="OS130" s="5"/>
      <c r="OT130" s="5"/>
      <c r="OU130" s="5"/>
      <c r="OV130" s="5"/>
      <c r="OW130" s="5"/>
      <c r="OX130" s="5"/>
      <c r="OY130" s="5"/>
      <c r="OZ130" s="5"/>
      <c r="PA130" s="5"/>
      <c r="PB130" s="5"/>
      <c r="PC130" s="5"/>
      <c r="PD130" s="5"/>
      <c r="PE130" s="5"/>
      <c r="PF130" s="5"/>
      <c r="PG130" s="5"/>
      <c r="PH130" s="5"/>
      <c r="PI130" s="5"/>
      <c r="PJ130" s="5"/>
      <c r="PK130" s="5"/>
      <c r="PL130" s="5"/>
      <c r="PM130" s="5"/>
      <c r="PN130" s="5"/>
      <c r="PO130" s="5"/>
      <c r="PP130" s="5"/>
      <c r="PQ130" s="5"/>
      <c r="PR130" s="5"/>
      <c r="PS130" s="5"/>
      <c r="PT130" s="5"/>
      <c r="PU130" s="5"/>
      <c r="PV130" s="5"/>
      <c r="PW130" s="5"/>
      <c r="PX130" s="5"/>
      <c r="PY130" s="5"/>
      <c r="PZ130" s="5"/>
      <c r="QA130" s="5"/>
      <c r="QB130" s="5"/>
      <c r="QC130" s="5"/>
      <c r="QD130" s="5"/>
      <c r="QE130" s="5"/>
      <c r="QF130" s="5"/>
      <c r="QG130" s="5"/>
      <c r="QH130" s="5"/>
      <c r="QI130" s="5"/>
      <c r="QJ130" s="5"/>
      <c r="QK130" s="5"/>
      <c r="QL130" s="5"/>
      <c r="QM130" s="5"/>
      <c r="QN130" s="5"/>
      <c r="QO130" s="5"/>
      <c r="QP130" s="5"/>
      <c r="QQ130" s="5"/>
      <c r="QR130" s="5"/>
      <c r="QS130" s="5"/>
      <c r="QT130" s="5"/>
      <c r="QU130" s="5"/>
      <c r="QV130" s="5"/>
      <c r="QW130" s="5"/>
      <c r="QX130" s="5"/>
      <c r="QY130" s="5"/>
      <c r="QZ130" s="5"/>
      <c r="RA130" s="5"/>
      <c r="RB130" s="5"/>
      <c r="RC130" s="5"/>
      <c r="RD130" s="5"/>
      <c r="RE130" s="5"/>
      <c r="RF130" s="5"/>
      <c r="RG130" s="5"/>
      <c r="RH130" s="5"/>
      <c r="RI130" s="5"/>
      <c r="RJ130" s="5"/>
      <c r="RK130" s="5"/>
      <c r="RL130" s="5"/>
      <c r="RM130" s="5"/>
      <c r="RN130" s="5"/>
      <c r="RO130" s="5"/>
      <c r="RP130" s="5"/>
      <c r="RQ130" s="5"/>
      <c r="RR130" s="5"/>
      <c r="RS130" s="5"/>
      <c r="RT130" s="5"/>
      <c r="RU130" s="5"/>
      <c r="RV130" s="5"/>
      <c r="RW130" s="5"/>
      <c r="RX130" s="5"/>
      <c r="RY130" s="5"/>
      <c r="RZ130" s="5"/>
      <c r="SA130" s="5"/>
      <c r="SB130" s="5"/>
      <c r="SC130" s="5"/>
      <c r="SD130" s="5"/>
      <c r="SE130" s="5"/>
      <c r="SF130" s="5"/>
      <c r="SG130" s="5"/>
      <c r="SH130" s="5"/>
      <c r="SI130" s="5"/>
      <c r="SJ130" s="5"/>
      <c r="SK130" s="5"/>
      <c r="SL130" s="5"/>
      <c r="SM130" s="5"/>
      <c r="SN130" s="5"/>
      <c r="SO130" s="5"/>
      <c r="SP130" s="5"/>
      <c r="SQ130" s="5"/>
      <c r="SR130" s="5"/>
      <c r="SS130" s="5"/>
      <c r="ST130" s="5"/>
      <c r="SU130" s="5"/>
      <c r="SV130" s="5"/>
      <c r="SW130" s="5"/>
      <c r="SX130" s="5"/>
      <c r="SY130" s="5"/>
      <c r="SZ130" s="5"/>
      <c r="TA130" s="5"/>
      <c r="TB130" s="5"/>
      <c r="TC130" s="5"/>
      <c r="TD130" s="5"/>
      <c r="TE130" s="5"/>
      <c r="TF130" s="5"/>
      <c r="TG130" s="5"/>
      <c r="TH130" s="5"/>
      <c r="TI130" s="5"/>
      <c r="TJ130" s="5"/>
      <c r="TK130" s="5"/>
      <c r="TL130" s="5"/>
      <c r="TM130" s="5"/>
      <c r="TN130" s="5"/>
      <c r="TO130" s="5"/>
      <c r="TP130" s="5"/>
      <c r="TQ130" s="5"/>
      <c r="TR130" s="5"/>
      <c r="TS130" s="5"/>
      <c r="TT130" s="5"/>
      <c r="TU130" s="5"/>
      <c r="TV130" s="5"/>
      <c r="TW130" s="5"/>
      <c r="TX130" s="5"/>
      <c r="TY130" s="5"/>
      <c r="TZ130" s="5"/>
      <c r="UA130" s="5"/>
      <c r="UB130" s="5"/>
      <c r="UC130" s="5"/>
      <c r="UD130" s="5"/>
      <c r="UE130" s="5"/>
      <c r="UF130" s="5"/>
      <c r="UG130" s="5"/>
      <c r="UH130" s="5"/>
      <c r="UI130" s="5"/>
      <c r="UJ130" s="5"/>
      <c r="UK130" s="5"/>
      <c r="UL130" s="5"/>
      <c r="UM130" s="5"/>
      <c r="UN130" s="5"/>
      <c r="UO130" s="5"/>
      <c r="UP130" s="5"/>
      <c r="UQ130" s="5"/>
      <c r="UR130" s="5"/>
      <c r="US130" s="5"/>
      <c r="UT130" s="5"/>
      <c r="UU130" s="5"/>
      <c r="UV130" s="5"/>
      <c r="UW130" s="5"/>
      <c r="UX130" s="5"/>
      <c r="UY130" s="5"/>
      <c r="UZ130" s="5"/>
      <c r="VA130" s="5"/>
      <c r="VB130" s="5"/>
      <c r="VC130" s="5"/>
      <c r="VD130" s="5"/>
      <c r="VE130" s="5"/>
      <c r="VF130" s="5"/>
      <c r="VG130" s="5"/>
      <c r="VH130" s="5"/>
      <c r="VI130" s="5"/>
      <c r="VJ130" s="5"/>
      <c r="VK130" s="5"/>
      <c r="VL130" s="5"/>
      <c r="VM130" s="5"/>
      <c r="VN130" s="5"/>
      <c r="VO130" s="5"/>
      <c r="VP130" s="5"/>
      <c r="VQ130" s="5"/>
      <c r="VR130" s="5"/>
      <c r="VS130" s="5"/>
      <c r="VT130" s="5"/>
      <c r="VU130" s="5"/>
      <c r="VV130" s="5"/>
      <c r="VW130" s="5"/>
      <c r="VX130" s="5"/>
      <c r="VY130" s="5"/>
      <c r="VZ130" s="5"/>
      <c r="WA130" s="5"/>
      <c r="WB130" s="5"/>
      <c r="WC130" s="5"/>
      <c r="WD130" s="5"/>
      <c r="WE130" s="5"/>
      <c r="WF130" s="5"/>
      <c r="WG130" s="5"/>
      <c r="WH130" s="5"/>
      <c r="WI130" s="5"/>
      <c r="WJ130" s="5"/>
      <c r="WK130" s="5"/>
      <c r="WL130" s="5"/>
      <c r="WM130" s="5"/>
      <c r="WN130" s="5"/>
      <c r="WO130" s="5"/>
      <c r="WP130" s="5"/>
      <c r="WQ130" s="5"/>
      <c r="WR130" s="5"/>
      <c r="WS130" s="5"/>
      <c r="WT130" s="5"/>
      <c r="WU130" s="5"/>
      <c r="WV130" s="5"/>
      <c r="WW130" s="5"/>
      <c r="WX130" s="5"/>
      <c r="WY130" s="5"/>
      <c r="WZ130" s="5"/>
      <c r="XA130" s="5"/>
      <c r="XB130" s="5"/>
      <c r="XC130" s="5"/>
      <c r="XD130" s="5"/>
      <c r="XE130" s="5"/>
      <c r="XF130" s="5"/>
      <c r="XG130" s="5"/>
      <c r="XH130" s="5"/>
      <c r="XI130" s="5"/>
      <c r="XJ130" s="5"/>
      <c r="XK130" s="5"/>
      <c r="XL130" s="5"/>
      <c r="XM130" s="5"/>
      <c r="XN130" s="5"/>
      <c r="XO130" s="5"/>
      <c r="XP130" s="5"/>
      <c r="XQ130" s="5"/>
      <c r="XR130" s="5"/>
      <c r="XS130" s="5"/>
      <c r="XT130" s="5"/>
      <c r="XU130" s="5"/>
      <c r="XV130" s="5"/>
      <c r="XW130" s="5"/>
      <c r="XX130" s="5"/>
      <c r="XY130" s="5"/>
      <c r="XZ130" s="5"/>
      <c r="YA130" s="5"/>
      <c r="YB130" s="5"/>
      <c r="YC130" s="5"/>
      <c r="YD130" s="5"/>
      <c r="YE130" s="5"/>
      <c r="YF130" s="5"/>
      <c r="YG130" s="5"/>
      <c r="YH130" s="5"/>
      <c r="YI130" s="5"/>
      <c r="YJ130" s="5"/>
      <c r="YK130" s="5"/>
      <c r="YL130" s="5"/>
      <c r="YM130" s="5"/>
      <c r="YN130" s="5"/>
      <c r="YO130" s="5"/>
      <c r="YP130" s="5"/>
      <c r="YQ130" s="5"/>
      <c r="YR130" s="5"/>
      <c r="YS130" s="5"/>
      <c r="YT130" s="5"/>
      <c r="YU130" s="5"/>
      <c r="YV130" s="5"/>
      <c r="YW130" s="5"/>
      <c r="YX130" s="5"/>
      <c r="YY130" s="5"/>
      <c r="YZ130" s="5"/>
    </row>
    <row r="131" spans="1:676">
      <c r="A131" s="7">
        <v>121</v>
      </c>
      <c r="B131" s="7" t="s">
        <v>311</v>
      </c>
      <c r="C131" s="10" t="s">
        <v>312</v>
      </c>
      <c r="D131" s="7" t="s">
        <v>60</v>
      </c>
      <c r="E131" s="7" t="s">
        <v>175</v>
      </c>
      <c r="F131" s="7" t="s">
        <v>283</v>
      </c>
      <c r="G131" s="7"/>
      <c r="H131" s="7" t="s">
        <v>43</v>
      </c>
      <c r="I131" s="11">
        <v>2</v>
      </c>
      <c r="J131" s="11">
        <v>0</v>
      </c>
      <c r="K131" s="11">
        <v>0</v>
      </c>
      <c r="L131" s="11">
        <v>2.04</v>
      </c>
      <c r="M131" s="11">
        <v>0</v>
      </c>
      <c r="N131" s="11">
        <v>0</v>
      </c>
      <c r="O131" s="11">
        <v>0.54</v>
      </c>
      <c r="P131" s="11">
        <v>0</v>
      </c>
      <c r="Q131" s="11">
        <v>2.58</v>
      </c>
      <c r="R131" s="11">
        <v>50.43999999999998</v>
      </c>
      <c r="S131" s="11">
        <v>53.01999999999998</v>
      </c>
      <c r="T131" s="11">
        <v>2</v>
      </c>
      <c r="U131" s="11">
        <v>0</v>
      </c>
      <c r="V131" s="11">
        <v>51.01999999999998</v>
      </c>
      <c r="W131" s="13">
        <v>24</v>
      </c>
      <c r="X131" s="13">
        <v>0</v>
      </c>
      <c r="Y131" s="13" t="str">
        <f>MIN(W131,S131)</f>
        <v>0</v>
      </c>
      <c r="Z131" s="13" t="str">
        <f>MIN(X131,(S131-Y131))</f>
        <v>0</v>
      </c>
      <c r="AA131" s="13" t="str">
        <f>S131-SUM(Y131,Z131)</f>
        <v>0</v>
      </c>
      <c r="AB131" s="15"/>
      <c r="AC131" s="15"/>
      <c r="AD131" s="1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/>
      <c r="FN131" s="5"/>
      <c r="FO131" s="5"/>
      <c r="FP131" s="5"/>
      <c r="FQ131" s="5"/>
      <c r="FR131" s="5"/>
      <c r="FS131" s="5"/>
      <c r="FT131" s="5"/>
      <c r="FU131" s="5"/>
      <c r="FV131" s="5"/>
      <c r="FW131" s="5"/>
      <c r="FX131" s="5"/>
      <c r="FY131" s="5"/>
      <c r="FZ131" s="5"/>
      <c r="GA131" s="5"/>
      <c r="GB131" s="5"/>
      <c r="GC131" s="5"/>
      <c r="GD131" s="5"/>
      <c r="GE131" s="5"/>
      <c r="GF131" s="5"/>
      <c r="GG131" s="5"/>
      <c r="GH131" s="5"/>
      <c r="GI131" s="5"/>
      <c r="GJ131" s="5"/>
      <c r="GK131" s="5"/>
      <c r="GL131" s="5"/>
      <c r="GM131" s="5"/>
      <c r="GN131" s="5"/>
      <c r="GO131" s="5"/>
      <c r="GP131" s="5"/>
      <c r="GQ131" s="5"/>
      <c r="GR131" s="5"/>
      <c r="GS131" s="5"/>
      <c r="GT131" s="5"/>
      <c r="GU131" s="5"/>
      <c r="GV131" s="5"/>
      <c r="GW131" s="5"/>
      <c r="GX131" s="5"/>
      <c r="GY131" s="5"/>
      <c r="GZ131" s="5"/>
      <c r="HA131" s="5"/>
      <c r="HB131" s="5"/>
      <c r="HC131" s="5"/>
      <c r="HD131" s="5"/>
      <c r="HE131" s="5"/>
      <c r="HF131" s="5"/>
      <c r="HG131" s="5"/>
      <c r="HH131" s="5"/>
      <c r="HI131" s="5"/>
      <c r="HJ131" s="5"/>
      <c r="HK131" s="5"/>
      <c r="HL131" s="5"/>
      <c r="HM131" s="5"/>
      <c r="HN131" s="5"/>
      <c r="HO131" s="5"/>
      <c r="HP131" s="5"/>
      <c r="HQ131" s="5"/>
      <c r="HR131" s="5"/>
      <c r="HS131" s="5"/>
      <c r="HT131" s="5"/>
      <c r="HU131" s="5"/>
      <c r="HV131" s="5"/>
      <c r="HW131" s="5"/>
      <c r="HX131" s="5"/>
      <c r="HY131" s="5"/>
      <c r="HZ131" s="5"/>
      <c r="IA131" s="5"/>
      <c r="IB131" s="5"/>
      <c r="IC131" s="5"/>
      <c r="ID131" s="5"/>
      <c r="IE131" s="5"/>
      <c r="IF131" s="5"/>
      <c r="IG131" s="5"/>
      <c r="IH131" s="5"/>
      <c r="II131" s="5"/>
      <c r="IJ131" s="5"/>
      <c r="IK131" s="5"/>
      <c r="IL131" s="5"/>
      <c r="IM131" s="5"/>
      <c r="IN131" s="5"/>
      <c r="IO131" s="5"/>
      <c r="IP131" s="5"/>
      <c r="IQ131" s="5"/>
      <c r="IR131" s="5"/>
      <c r="IS131" s="5"/>
      <c r="IT131" s="5"/>
      <c r="IU131" s="5"/>
      <c r="IV131" s="5"/>
      <c r="IW131" s="5"/>
      <c r="IX131" s="5"/>
      <c r="IY131" s="5"/>
      <c r="IZ131" s="5"/>
      <c r="JA131" s="5"/>
      <c r="JB131" s="5"/>
      <c r="JC131" s="5"/>
      <c r="JD131" s="5"/>
      <c r="JE131" s="5"/>
      <c r="JF131" s="5"/>
      <c r="JG131" s="5"/>
      <c r="JH131" s="5"/>
      <c r="JI131" s="5"/>
      <c r="JJ131" s="5"/>
      <c r="JK131" s="5"/>
      <c r="JL131" s="5"/>
      <c r="JM131" s="5"/>
      <c r="JN131" s="5"/>
      <c r="JO131" s="5"/>
      <c r="JP131" s="5"/>
      <c r="JQ131" s="5"/>
      <c r="JR131" s="5"/>
      <c r="JS131" s="5"/>
      <c r="JT131" s="5"/>
      <c r="JU131" s="5"/>
      <c r="JV131" s="5"/>
      <c r="JW131" s="5"/>
      <c r="JX131" s="5"/>
      <c r="JY131" s="5"/>
      <c r="JZ131" s="5"/>
      <c r="KA131" s="5"/>
      <c r="KB131" s="5"/>
      <c r="KC131" s="5"/>
      <c r="KD131" s="5"/>
      <c r="KE131" s="5"/>
      <c r="KF131" s="5"/>
      <c r="KG131" s="5"/>
      <c r="KH131" s="5"/>
      <c r="KI131" s="5"/>
      <c r="KJ131" s="5"/>
      <c r="KK131" s="5"/>
      <c r="KL131" s="5"/>
      <c r="KM131" s="5"/>
      <c r="KN131" s="5"/>
      <c r="KO131" s="5"/>
      <c r="KP131" s="5"/>
      <c r="KQ131" s="5"/>
      <c r="KR131" s="5"/>
      <c r="KS131" s="5"/>
      <c r="KT131" s="5"/>
      <c r="KU131" s="5"/>
      <c r="KV131" s="5"/>
      <c r="KW131" s="5"/>
      <c r="KX131" s="5"/>
      <c r="KY131" s="5"/>
      <c r="KZ131" s="5"/>
      <c r="LA131" s="5"/>
      <c r="LB131" s="5"/>
      <c r="LC131" s="5"/>
      <c r="LD131" s="5"/>
      <c r="LE131" s="5"/>
      <c r="LF131" s="5"/>
      <c r="LG131" s="5"/>
      <c r="LH131" s="5"/>
      <c r="LI131" s="5"/>
      <c r="LJ131" s="5"/>
      <c r="LK131" s="5"/>
      <c r="LL131" s="5"/>
      <c r="LM131" s="5"/>
      <c r="LN131" s="5"/>
      <c r="LO131" s="5"/>
      <c r="LP131" s="5"/>
      <c r="LQ131" s="5"/>
      <c r="LR131" s="5"/>
      <c r="LS131" s="5"/>
      <c r="LT131" s="5"/>
      <c r="LU131" s="5"/>
      <c r="LV131" s="5"/>
      <c r="LW131" s="5"/>
      <c r="LX131" s="5"/>
      <c r="LY131" s="5"/>
      <c r="LZ131" s="5"/>
      <c r="MA131" s="5"/>
      <c r="MB131" s="5"/>
      <c r="MC131" s="5"/>
      <c r="MD131" s="5"/>
      <c r="ME131" s="5"/>
      <c r="MF131" s="5"/>
      <c r="MG131" s="5"/>
      <c r="MH131" s="5"/>
      <c r="MI131" s="5"/>
      <c r="MJ131" s="5"/>
      <c r="MK131" s="5"/>
      <c r="ML131" s="5"/>
      <c r="MM131" s="5"/>
      <c r="MN131" s="5"/>
      <c r="MO131" s="5"/>
      <c r="MP131" s="5"/>
      <c r="MQ131" s="5"/>
      <c r="MR131" s="5"/>
      <c r="MS131" s="5"/>
      <c r="MT131" s="5"/>
      <c r="MU131" s="5"/>
      <c r="MV131" s="5"/>
      <c r="MW131" s="5"/>
      <c r="MX131" s="5"/>
      <c r="MY131" s="5"/>
      <c r="MZ131" s="5"/>
      <c r="NA131" s="5"/>
      <c r="NB131" s="5"/>
      <c r="NC131" s="5"/>
      <c r="ND131" s="5"/>
      <c r="NE131" s="5"/>
      <c r="NF131" s="5"/>
      <c r="NG131" s="5"/>
      <c r="NH131" s="5"/>
      <c r="NI131" s="5"/>
      <c r="NJ131" s="5"/>
      <c r="NK131" s="5"/>
      <c r="NL131" s="5"/>
      <c r="NM131" s="5"/>
      <c r="NN131" s="5"/>
      <c r="NO131" s="5"/>
      <c r="NP131" s="5"/>
      <c r="NQ131" s="5"/>
      <c r="NR131" s="5"/>
      <c r="NS131" s="5"/>
      <c r="NT131" s="5"/>
      <c r="NU131" s="5"/>
      <c r="NV131" s="5"/>
      <c r="NW131" s="5"/>
      <c r="NX131" s="5"/>
      <c r="NY131" s="5"/>
      <c r="NZ131" s="5"/>
      <c r="OA131" s="5"/>
      <c r="OB131" s="5"/>
      <c r="OC131" s="5"/>
      <c r="OD131" s="5"/>
      <c r="OE131" s="5"/>
      <c r="OF131" s="5"/>
      <c r="OG131" s="5"/>
      <c r="OH131" s="5"/>
      <c r="OI131" s="5"/>
      <c r="OJ131" s="5"/>
      <c r="OK131" s="5"/>
      <c r="OL131" s="5"/>
      <c r="OM131" s="5"/>
      <c r="ON131" s="5"/>
      <c r="OO131" s="5"/>
      <c r="OP131" s="5"/>
      <c r="OQ131" s="5"/>
      <c r="OR131" s="5"/>
      <c r="OS131" s="5"/>
      <c r="OT131" s="5"/>
      <c r="OU131" s="5"/>
      <c r="OV131" s="5"/>
      <c r="OW131" s="5"/>
      <c r="OX131" s="5"/>
      <c r="OY131" s="5"/>
      <c r="OZ131" s="5"/>
      <c r="PA131" s="5"/>
      <c r="PB131" s="5"/>
      <c r="PC131" s="5"/>
      <c r="PD131" s="5"/>
      <c r="PE131" s="5"/>
      <c r="PF131" s="5"/>
      <c r="PG131" s="5"/>
      <c r="PH131" s="5"/>
      <c r="PI131" s="5"/>
      <c r="PJ131" s="5"/>
      <c r="PK131" s="5"/>
      <c r="PL131" s="5"/>
      <c r="PM131" s="5"/>
      <c r="PN131" s="5"/>
      <c r="PO131" s="5"/>
      <c r="PP131" s="5"/>
      <c r="PQ131" s="5"/>
      <c r="PR131" s="5"/>
      <c r="PS131" s="5"/>
      <c r="PT131" s="5"/>
      <c r="PU131" s="5"/>
      <c r="PV131" s="5"/>
      <c r="PW131" s="5"/>
      <c r="PX131" s="5"/>
      <c r="PY131" s="5"/>
      <c r="PZ131" s="5"/>
      <c r="QA131" s="5"/>
      <c r="QB131" s="5"/>
      <c r="QC131" s="5"/>
      <c r="QD131" s="5"/>
      <c r="QE131" s="5"/>
      <c r="QF131" s="5"/>
      <c r="QG131" s="5"/>
      <c r="QH131" s="5"/>
      <c r="QI131" s="5"/>
      <c r="QJ131" s="5"/>
      <c r="QK131" s="5"/>
      <c r="QL131" s="5"/>
      <c r="QM131" s="5"/>
      <c r="QN131" s="5"/>
      <c r="QO131" s="5"/>
      <c r="QP131" s="5"/>
      <c r="QQ131" s="5"/>
      <c r="QR131" s="5"/>
      <c r="QS131" s="5"/>
      <c r="QT131" s="5"/>
      <c r="QU131" s="5"/>
      <c r="QV131" s="5"/>
      <c r="QW131" s="5"/>
      <c r="QX131" s="5"/>
      <c r="QY131" s="5"/>
      <c r="QZ131" s="5"/>
      <c r="RA131" s="5"/>
      <c r="RB131" s="5"/>
      <c r="RC131" s="5"/>
      <c r="RD131" s="5"/>
      <c r="RE131" s="5"/>
      <c r="RF131" s="5"/>
      <c r="RG131" s="5"/>
      <c r="RH131" s="5"/>
      <c r="RI131" s="5"/>
      <c r="RJ131" s="5"/>
      <c r="RK131" s="5"/>
      <c r="RL131" s="5"/>
      <c r="RM131" s="5"/>
      <c r="RN131" s="5"/>
      <c r="RO131" s="5"/>
      <c r="RP131" s="5"/>
      <c r="RQ131" s="5"/>
      <c r="RR131" s="5"/>
      <c r="RS131" s="5"/>
      <c r="RT131" s="5"/>
      <c r="RU131" s="5"/>
      <c r="RV131" s="5"/>
      <c r="RW131" s="5"/>
      <c r="RX131" s="5"/>
      <c r="RY131" s="5"/>
      <c r="RZ131" s="5"/>
      <c r="SA131" s="5"/>
      <c r="SB131" s="5"/>
      <c r="SC131" s="5"/>
      <c r="SD131" s="5"/>
      <c r="SE131" s="5"/>
      <c r="SF131" s="5"/>
      <c r="SG131" s="5"/>
      <c r="SH131" s="5"/>
      <c r="SI131" s="5"/>
      <c r="SJ131" s="5"/>
      <c r="SK131" s="5"/>
      <c r="SL131" s="5"/>
      <c r="SM131" s="5"/>
      <c r="SN131" s="5"/>
      <c r="SO131" s="5"/>
      <c r="SP131" s="5"/>
      <c r="SQ131" s="5"/>
      <c r="SR131" s="5"/>
      <c r="SS131" s="5"/>
      <c r="ST131" s="5"/>
      <c r="SU131" s="5"/>
      <c r="SV131" s="5"/>
      <c r="SW131" s="5"/>
      <c r="SX131" s="5"/>
      <c r="SY131" s="5"/>
      <c r="SZ131" s="5"/>
      <c r="TA131" s="5"/>
      <c r="TB131" s="5"/>
      <c r="TC131" s="5"/>
      <c r="TD131" s="5"/>
      <c r="TE131" s="5"/>
      <c r="TF131" s="5"/>
      <c r="TG131" s="5"/>
      <c r="TH131" s="5"/>
      <c r="TI131" s="5"/>
      <c r="TJ131" s="5"/>
      <c r="TK131" s="5"/>
      <c r="TL131" s="5"/>
      <c r="TM131" s="5"/>
      <c r="TN131" s="5"/>
      <c r="TO131" s="5"/>
      <c r="TP131" s="5"/>
      <c r="TQ131" s="5"/>
      <c r="TR131" s="5"/>
      <c r="TS131" s="5"/>
      <c r="TT131" s="5"/>
      <c r="TU131" s="5"/>
      <c r="TV131" s="5"/>
      <c r="TW131" s="5"/>
      <c r="TX131" s="5"/>
      <c r="TY131" s="5"/>
      <c r="TZ131" s="5"/>
      <c r="UA131" s="5"/>
      <c r="UB131" s="5"/>
      <c r="UC131" s="5"/>
      <c r="UD131" s="5"/>
      <c r="UE131" s="5"/>
      <c r="UF131" s="5"/>
      <c r="UG131" s="5"/>
      <c r="UH131" s="5"/>
      <c r="UI131" s="5"/>
      <c r="UJ131" s="5"/>
      <c r="UK131" s="5"/>
      <c r="UL131" s="5"/>
      <c r="UM131" s="5"/>
      <c r="UN131" s="5"/>
      <c r="UO131" s="5"/>
      <c r="UP131" s="5"/>
      <c r="UQ131" s="5"/>
      <c r="UR131" s="5"/>
      <c r="US131" s="5"/>
      <c r="UT131" s="5"/>
      <c r="UU131" s="5"/>
      <c r="UV131" s="5"/>
      <c r="UW131" s="5"/>
      <c r="UX131" s="5"/>
      <c r="UY131" s="5"/>
      <c r="UZ131" s="5"/>
      <c r="VA131" s="5"/>
      <c r="VB131" s="5"/>
      <c r="VC131" s="5"/>
      <c r="VD131" s="5"/>
      <c r="VE131" s="5"/>
      <c r="VF131" s="5"/>
      <c r="VG131" s="5"/>
      <c r="VH131" s="5"/>
      <c r="VI131" s="5"/>
      <c r="VJ131" s="5"/>
      <c r="VK131" s="5"/>
      <c r="VL131" s="5"/>
      <c r="VM131" s="5"/>
      <c r="VN131" s="5"/>
      <c r="VO131" s="5"/>
      <c r="VP131" s="5"/>
      <c r="VQ131" s="5"/>
      <c r="VR131" s="5"/>
      <c r="VS131" s="5"/>
      <c r="VT131" s="5"/>
      <c r="VU131" s="5"/>
      <c r="VV131" s="5"/>
      <c r="VW131" s="5"/>
      <c r="VX131" s="5"/>
      <c r="VY131" s="5"/>
      <c r="VZ131" s="5"/>
      <c r="WA131" s="5"/>
      <c r="WB131" s="5"/>
      <c r="WC131" s="5"/>
      <c r="WD131" s="5"/>
      <c r="WE131" s="5"/>
      <c r="WF131" s="5"/>
      <c r="WG131" s="5"/>
      <c r="WH131" s="5"/>
      <c r="WI131" s="5"/>
      <c r="WJ131" s="5"/>
      <c r="WK131" s="5"/>
      <c r="WL131" s="5"/>
      <c r="WM131" s="5"/>
      <c r="WN131" s="5"/>
      <c r="WO131" s="5"/>
      <c r="WP131" s="5"/>
      <c r="WQ131" s="5"/>
      <c r="WR131" s="5"/>
      <c r="WS131" s="5"/>
      <c r="WT131" s="5"/>
      <c r="WU131" s="5"/>
      <c r="WV131" s="5"/>
      <c r="WW131" s="5"/>
      <c r="WX131" s="5"/>
      <c r="WY131" s="5"/>
      <c r="WZ131" s="5"/>
      <c r="XA131" s="5"/>
      <c r="XB131" s="5"/>
      <c r="XC131" s="5"/>
      <c r="XD131" s="5"/>
      <c r="XE131" s="5"/>
      <c r="XF131" s="5"/>
      <c r="XG131" s="5"/>
      <c r="XH131" s="5"/>
      <c r="XI131" s="5"/>
      <c r="XJ131" s="5"/>
      <c r="XK131" s="5"/>
      <c r="XL131" s="5"/>
      <c r="XM131" s="5"/>
      <c r="XN131" s="5"/>
      <c r="XO131" s="5"/>
      <c r="XP131" s="5"/>
      <c r="XQ131" s="5"/>
      <c r="XR131" s="5"/>
      <c r="XS131" s="5"/>
      <c r="XT131" s="5"/>
      <c r="XU131" s="5"/>
      <c r="XV131" s="5"/>
      <c r="XW131" s="5"/>
      <c r="XX131" s="5"/>
      <c r="XY131" s="5"/>
      <c r="XZ131" s="5"/>
      <c r="YA131" s="5"/>
      <c r="YB131" s="5"/>
      <c r="YC131" s="5"/>
      <c r="YD131" s="5"/>
      <c r="YE131" s="5"/>
      <c r="YF131" s="5"/>
      <c r="YG131" s="5"/>
      <c r="YH131" s="5"/>
      <c r="YI131" s="5"/>
      <c r="YJ131" s="5"/>
      <c r="YK131" s="5"/>
      <c r="YL131" s="5"/>
      <c r="YM131" s="5"/>
      <c r="YN131" s="5"/>
      <c r="YO131" s="5"/>
      <c r="YP131" s="5"/>
      <c r="YQ131" s="5"/>
      <c r="YR131" s="5"/>
      <c r="YS131" s="5"/>
      <c r="YT131" s="5"/>
      <c r="YU131" s="5"/>
      <c r="YV131" s="5"/>
      <c r="YW131" s="5"/>
      <c r="YX131" s="5"/>
      <c r="YY131" s="5"/>
      <c r="YZ131" s="5"/>
    </row>
    <row r="132" spans="1:676">
      <c r="A132" s="7">
        <v>122</v>
      </c>
      <c r="B132" s="7" t="s">
        <v>313</v>
      </c>
      <c r="C132" s="10" t="s">
        <v>314</v>
      </c>
      <c r="D132" s="7" t="s">
        <v>60</v>
      </c>
      <c r="E132" s="7" t="s">
        <v>175</v>
      </c>
      <c r="F132" s="7" t="s">
        <v>291</v>
      </c>
      <c r="G132" s="7"/>
      <c r="H132" s="7"/>
      <c r="I132" s="11">
        <v>2</v>
      </c>
      <c r="J132" s="11">
        <v>3</v>
      </c>
      <c r="K132" s="11">
        <v>0</v>
      </c>
      <c r="L132" s="11">
        <v>2.199999999999999</v>
      </c>
      <c r="M132" s="11">
        <v>0</v>
      </c>
      <c r="N132" s="11">
        <v>0</v>
      </c>
      <c r="O132" s="11">
        <v>0.6799999999999999</v>
      </c>
      <c r="P132" s="11">
        <v>0</v>
      </c>
      <c r="Q132" s="11">
        <v>2.879999999999999</v>
      </c>
      <c r="R132" s="11">
        <v>52.63999999999998</v>
      </c>
      <c r="S132" s="11">
        <v>55.51999999999998</v>
      </c>
      <c r="T132" s="11">
        <v>2</v>
      </c>
      <c r="U132" s="11">
        <v>3</v>
      </c>
      <c r="V132" s="11">
        <v>50.51999999999998</v>
      </c>
      <c r="W132" s="13">
        <v>24</v>
      </c>
      <c r="X132" s="13">
        <v>36</v>
      </c>
      <c r="Y132" s="13" t="str">
        <f>MIN(W132,S132)</f>
        <v>0</v>
      </c>
      <c r="Z132" s="13" t="str">
        <f>MIN(X132,(S132-Y132))</f>
        <v>0</v>
      </c>
      <c r="AA132" s="13" t="str">
        <f>S132-SUM(Y132,Z132)</f>
        <v>0</v>
      </c>
      <c r="AB132" s="15"/>
      <c r="AC132" s="15"/>
      <c r="AD132" s="1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/>
      <c r="FJ132" s="5"/>
      <c r="FK132" s="5"/>
      <c r="FL132" s="5"/>
      <c r="FM132" s="5"/>
      <c r="FN132" s="5"/>
      <c r="FO132" s="5"/>
      <c r="FP132" s="5"/>
      <c r="FQ132" s="5"/>
      <c r="FR132" s="5"/>
      <c r="FS132" s="5"/>
      <c r="FT132" s="5"/>
      <c r="FU132" s="5"/>
      <c r="FV132" s="5"/>
      <c r="FW132" s="5"/>
      <c r="FX132" s="5"/>
      <c r="FY132" s="5"/>
      <c r="FZ132" s="5"/>
      <c r="GA132" s="5"/>
      <c r="GB132" s="5"/>
      <c r="GC132" s="5"/>
      <c r="GD132" s="5"/>
      <c r="GE132" s="5"/>
      <c r="GF132" s="5"/>
      <c r="GG132" s="5"/>
      <c r="GH132" s="5"/>
      <c r="GI132" s="5"/>
      <c r="GJ132" s="5"/>
      <c r="GK132" s="5"/>
      <c r="GL132" s="5"/>
      <c r="GM132" s="5"/>
      <c r="GN132" s="5"/>
      <c r="GO132" s="5"/>
      <c r="GP132" s="5"/>
      <c r="GQ132" s="5"/>
      <c r="GR132" s="5"/>
      <c r="GS132" s="5"/>
      <c r="GT132" s="5"/>
      <c r="GU132" s="5"/>
      <c r="GV132" s="5"/>
      <c r="GW132" s="5"/>
      <c r="GX132" s="5"/>
      <c r="GY132" s="5"/>
      <c r="GZ132" s="5"/>
      <c r="HA132" s="5"/>
      <c r="HB132" s="5"/>
      <c r="HC132" s="5"/>
      <c r="HD132" s="5"/>
      <c r="HE132" s="5"/>
      <c r="HF132" s="5"/>
      <c r="HG132" s="5"/>
      <c r="HH132" s="5"/>
      <c r="HI132" s="5"/>
      <c r="HJ132" s="5"/>
      <c r="HK132" s="5"/>
      <c r="HL132" s="5"/>
      <c r="HM132" s="5"/>
      <c r="HN132" s="5"/>
      <c r="HO132" s="5"/>
      <c r="HP132" s="5"/>
      <c r="HQ132" s="5"/>
      <c r="HR132" s="5"/>
      <c r="HS132" s="5"/>
      <c r="HT132" s="5"/>
      <c r="HU132" s="5"/>
      <c r="HV132" s="5"/>
      <c r="HW132" s="5"/>
      <c r="HX132" s="5"/>
      <c r="HY132" s="5"/>
      <c r="HZ132" s="5"/>
      <c r="IA132" s="5"/>
      <c r="IB132" s="5"/>
      <c r="IC132" s="5"/>
      <c r="ID132" s="5"/>
      <c r="IE132" s="5"/>
      <c r="IF132" s="5"/>
      <c r="IG132" s="5"/>
      <c r="IH132" s="5"/>
      <c r="II132" s="5"/>
      <c r="IJ132" s="5"/>
      <c r="IK132" s="5"/>
      <c r="IL132" s="5"/>
      <c r="IM132" s="5"/>
      <c r="IN132" s="5"/>
      <c r="IO132" s="5"/>
      <c r="IP132" s="5"/>
      <c r="IQ132" s="5"/>
      <c r="IR132" s="5"/>
      <c r="IS132" s="5"/>
      <c r="IT132" s="5"/>
      <c r="IU132" s="5"/>
      <c r="IV132" s="5"/>
      <c r="IW132" s="5"/>
      <c r="IX132" s="5"/>
      <c r="IY132" s="5"/>
      <c r="IZ132" s="5"/>
      <c r="JA132" s="5"/>
      <c r="JB132" s="5"/>
      <c r="JC132" s="5"/>
      <c r="JD132" s="5"/>
      <c r="JE132" s="5"/>
      <c r="JF132" s="5"/>
      <c r="JG132" s="5"/>
      <c r="JH132" s="5"/>
      <c r="JI132" s="5"/>
      <c r="JJ132" s="5"/>
      <c r="JK132" s="5"/>
      <c r="JL132" s="5"/>
      <c r="JM132" s="5"/>
      <c r="JN132" s="5"/>
      <c r="JO132" s="5"/>
      <c r="JP132" s="5"/>
      <c r="JQ132" s="5"/>
      <c r="JR132" s="5"/>
      <c r="JS132" s="5"/>
      <c r="JT132" s="5"/>
      <c r="JU132" s="5"/>
      <c r="JV132" s="5"/>
      <c r="JW132" s="5"/>
      <c r="JX132" s="5"/>
      <c r="JY132" s="5"/>
      <c r="JZ132" s="5"/>
      <c r="KA132" s="5"/>
      <c r="KB132" s="5"/>
      <c r="KC132" s="5"/>
      <c r="KD132" s="5"/>
      <c r="KE132" s="5"/>
      <c r="KF132" s="5"/>
      <c r="KG132" s="5"/>
      <c r="KH132" s="5"/>
      <c r="KI132" s="5"/>
      <c r="KJ132" s="5"/>
      <c r="KK132" s="5"/>
      <c r="KL132" s="5"/>
      <c r="KM132" s="5"/>
      <c r="KN132" s="5"/>
      <c r="KO132" s="5"/>
      <c r="KP132" s="5"/>
      <c r="KQ132" s="5"/>
      <c r="KR132" s="5"/>
      <c r="KS132" s="5"/>
      <c r="KT132" s="5"/>
      <c r="KU132" s="5"/>
      <c r="KV132" s="5"/>
      <c r="KW132" s="5"/>
      <c r="KX132" s="5"/>
      <c r="KY132" s="5"/>
      <c r="KZ132" s="5"/>
      <c r="LA132" s="5"/>
      <c r="LB132" s="5"/>
      <c r="LC132" s="5"/>
      <c r="LD132" s="5"/>
      <c r="LE132" s="5"/>
      <c r="LF132" s="5"/>
      <c r="LG132" s="5"/>
      <c r="LH132" s="5"/>
      <c r="LI132" s="5"/>
      <c r="LJ132" s="5"/>
      <c r="LK132" s="5"/>
      <c r="LL132" s="5"/>
      <c r="LM132" s="5"/>
      <c r="LN132" s="5"/>
      <c r="LO132" s="5"/>
      <c r="LP132" s="5"/>
      <c r="LQ132" s="5"/>
      <c r="LR132" s="5"/>
      <c r="LS132" s="5"/>
      <c r="LT132" s="5"/>
      <c r="LU132" s="5"/>
      <c r="LV132" s="5"/>
      <c r="LW132" s="5"/>
      <c r="LX132" s="5"/>
      <c r="LY132" s="5"/>
      <c r="LZ132" s="5"/>
      <c r="MA132" s="5"/>
      <c r="MB132" s="5"/>
      <c r="MC132" s="5"/>
      <c r="MD132" s="5"/>
      <c r="ME132" s="5"/>
      <c r="MF132" s="5"/>
      <c r="MG132" s="5"/>
      <c r="MH132" s="5"/>
      <c r="MI132" s="5"/>
      <c r="MJ132" s="5"/>
      <c r="MK132" s="5"/>
      <c r="ML132" s="5"/>
      <c r="MM132" s="5"/>
      <c r="MN132" s="5"/>
      <c r="MO132" s="5"/>
      <c r="MP132" s="5"/>
      <c r="MQ132" s="5"/>
      <c r="MR132" s="5"/>
      <c r="MS132" s="5"/>
      <c r="MT132" s="5"/>
      <c r="MU132" s="5"/>
      <c r="MV132" s="5"/>
      <c r="MW132" s="5"/>
      <c r="MX132" s="5"/>
      <c r="MY132" s="5"/>
      <c r="MZ132" s="5"/>
      <c r="NA132" s="5"/>
      <c r="NB132" s="5"/>
      <c r="NC132" s="5"/>
      <c r="ND132" s="5"/>
      <c r="NE132" s="5"/>
      <c r="NF132" s="5"/>
      <c r="NG132" s="5"/>
      <c r="NH132" s="5"/>
      <c r="NI132" s="5"/>
      <c r="NJ132" s="5"/>
      <c r="NK132" s="5"/>
      <c r="NL132" s="5"/>
      <c r="NM132" s="5"/>
      <c r="NN132" s="5"/>
      <c r="NO132" s="5"/>
      <c r="NP132" s="5"/>
      <c r="NQ132" s="5"/>
      <c r="NR132" s="5"/>
      <c r="NS132" s="5"/>
      <c r="NT132" s="5"/>
      <c r="NU132" s="5"/>
      <c r="NV132" s="5"/>
      <c r="NW132" s="5"/>
      <c r="NX132" s="5"/>
      <c r="NY132" s="5"/>
      <c r="NZ132" s="5"/>
      <c r="OA132" s="5"/>
      <c r="OB132" s="5"/>
      <c r="OC132" s="5"/>
      <c r="OD132" s="5"/>
      <c r="OE132" s="5"/>
      <c r="OF132" s="5"/>
      <c r="OG132" s="5"/>
      <c r="OH132" s="5"/>
      <c r="OI132" s="5"/>
      <c r="OJ132" s="5"/>
      <c r="OK132" s="5"/>
      <c r="OL132" s="5"/>
      <c r="OM132" s="5"/>
      <c r="ON132" s="5"/>
      <c r="OO132" s="5"/>
      <c r="OP132" s="5"/>
      <c r="OQ132" s="5"/>
      <c r="OR132" s="5"/>
      <c r="OS132" s="5"/>
      <c r="OT132" s="5"/>
      <c r="OU132" s="5"/>
      <c r="OV132" s="5"/>
      <c r="OW132" s="5"/>
      <c r="OX132" s="5"/>
      <c r="OY132" s="5"/>
      <c r="OZ132" s="5"/>
      <c r="PA132" s="5"/>
      <c r="PB132" s="5"/>
      <c r="PC132" s="5"/>
      <c r="PD132" s="5"/>
      <c r="PE132" s="5"/>
      <c r="PF132" s="5"/>
      <c r="PG132" s="5"/>
      <c r="PH132" s="5"/>
      <c r="PI132" s="5"/>
      <c r="PJ132" s="5"/>
      <c r="PK132" s="5"/>
      <c r="PL132" s="5"/>
      <c r="PM132" s="5"/>
      <c r="PN132" s="5"/>
      <c r="PO132" s="5"/>
      <c r="PP132" s="5"/>
      <c r="PQ132" s="5"/>
      <c r="PR132" s="5"/>
      <c r="PS132" s="5"/>
      <c r="PT132" s="5"/>
      <c r="PU132" s="5"/>
      <c r="PV132" s="5"/>
      <c r="PW132" s="5"/>
      <c r="PX132" s="5"/>
      <c r="PY132" s="5"/>
      <c r="PZ132" s="5"/>
      <c r="QA132" s="5"/>
      <c r="QB132" s="5"/>
      <c r="QC132" s="5"/>
      <c r="QD132" s="5"/>
      <c r="QE132" s="5"/>
      <c r="QF132" s="5"/>
      <c r="QG132" s="5"/>
      <c r="QH132" s="5"/>
      <c r="QI132" s="5"/>
      <c r="QJ132" s="5"/>
      <c r="QK132" s="5"/>
      <c r="QL132" s="5"/>
      <c r="QM132" s="5"/>
      <c r="QN132" s="5"/>
      <c r="QO132" s="5"/>
      <c r="QP132" s="5"/>
      <c r="QQ132" s="5"/>
      <c r="QR132" s="5"/>
      <c r="QS132" s="5"/>
      <c r="QT132" s="5"/>
      <c r="QU132" s="5"/>
      <c r="QV132" s="5"/>
      <c r="QW132" s="5"/>
      <c r="QX132" s="5"/>
      <c r="QY132" s="5"/>
      <c r="QZ132" s="5"/>
      <c r="RA132" s="5"/>
      <c r="RB132" s="5"/>
      <c r="RC132" s="5"/>
      <c r="RD132" s="5"/>
      <c r="RE132" s="5"/>
      <c r="RF132" s="5"/>
      <c r="RG132" s="5"/>
      <c r="RH132" s="5"/>
      <c r="RI132" s="5"/>
      <c r="RJ132" s="5"/>
      <c r="RK132" s="5"/>
      <c r="RL132" s="5"/>
      <c r="RM132" s="5"/>
      <c r="RN132" s="5"/>
      <c r="RO132" s="5"/>
      <c r="RP132" s="5"/>
      <c r="RQ132" s="5"/>
      <c r="RR132" s="5"/>
      <c r="RS132" s="5"/>
      <c r="RT132" s="5"/>
      <c r="RU132" s="5"/>
      <c r="RV132" s="5"/>
      <c r="RW132" s="5"/>
      <c r="RX132" s="5"/>
      <c r="RY132" s="5"/>
      <c r="RZ132" s="5"/>
      <c r="SA132" s="5"/>
      <c r="SB132" s="5"/>
      <c r="SC132" s="5"/>
      <c r="SD132" s="5"/>
      <c r="SE132" s="5"/>
      <c r="SF132" s="5"/>
      <c r="SG132" s="5"/>
      <c r="SH132" s="5"/>
      <c r="SI132" s="5"/>
      <c r="SJ132" s="5"/>
      <c r="SK132" s="5"/>
      <c r="SL132" s="5"/>
      <c r="SM132" s="5"/>
      <c r="SN132" s="5"/>
      <c r="SO132" s="5"/>
      <c r="SP132" s="5"/>
      <c r="SQ132" s="5"/>
      <c r="SR132" s="5"/>
      <c r="SS132" s="5"/>
      <c r="ST132" s="5"/>
      <c r="SU132" s="5"/>
      <c r="SV132" s="5"/>
      <c r="SW132" s="5"/>
      <c r="SX132" s="5"/>
      <c r="SY132" s="5"/>
      <c r="SZ132" s="5"/>
      <c r="TA132" s="5"/>
      <c r="TB132" s="5"/>
      <c r="TC132" s="5"/>
      <c r="TD132" s="5"/>
      <c r="TE132" s="5"/>
      <c r="TF132" s="5"/>
      <c r="TG132" s="5"/>
      <c r="TH132" s="5"/>
      <c r="TI132" s="5"/>
      <c r="TJ132" s="5"/>
      <c r="TK132" s="5"/>
      <c r="TL132" s="5"/>
      <c r="TM132" s="5"/>
      <c r="TN132" s="5"/>
      <c r="TO132" s="5"/>
      <c r="TP132" s="5"/>
      <c r="TQ132" s="5"/>
      <c r="TR132" s="5"/>
      <c r="TS132" s="5"/>
      <c r="TT132" s="5"/>
      <c r="TU132" s="5"/>
      <c r="TV132" s="5"/>
      <c r="TW132" s="5"/>
      <c r="TX132" s="5"/>
      <c r="TY132" s="5"/>
      <c r="TZ132" s="5"/>
      <c r="UA132" s="5"/>
      <c r="UB132" s="5"/>
      <c r="UC132" s="5"/>
      <c r="UD132" s="5"/>
      <c r="UE132" s="5"/>
      <c r="UF132" s="5"/>
      <c r="UG132" s="5"/>
      <c r="UH132" s="5"/>
      <c r="UI132" s="5"/>
      <c r="UJ132" s="5"/>
      <c r="UK132" s="5"/>
      <c r="UL132" s="5"/>
      <c r="UM132" s="5"/>
      <c r="UN132" s="5"/>
      <c r="UO132" s="5"/>
      <c r="UP132" s="5"/>
      <c r="UQ132" s="5"/>
      <c r="UR132" s="5"/>
      <c r="US132" s="5"/>
      <c r="UT132" s="5"/>
      <c r="UU132" s="5"/>
      <c r="UV132" s="5"/>
      <c r="UW132" s="5"/>
      <c r="UX132" s="5"/>
      <c r="UY132" s="5"/>
      <c r="UZ132" s="5"/>
      <c r="VA132" s="5"/>
      <c r="VB132" s="5"/>
      <c r="VC132" s="5"/>
      <c r="VD132" s="5"/>
      <c r="VE132" s="5"/>
      <c r="VF132" s="5"/>
      <c r="VG132" s="5"/>
      <c r="VH132" s="5"/>
      <c r="VI132" s="5"/>
      <c r="VJ132" s="5"/>
      <c r="VK132" s="5"/>
      <c r="VL132" s="5"/>
      <c r="VM132" s="5"/>
      <c r="VN132" s="5"/>
      <c r="VO132" s="5"/>
      <c r="VP132" s="5"/>
      <c r="VQ132" s="5"/>
      <c r="VR132" s="5"/>
      <c r="VS132" s="5"/>
      <c r="VT132" s="5"/>
      <c r="VU132" s="5"/>
      <c r="VV132" s="5"/>
      <c r="VW132" s="5"/>
      <c r="VX132" s="5"/>
      <c r="VY132" s="5"/>
      <c r="VZ132" s="5"/>
      <c r="WA132" s="5"/>
      <c r="WB132" s="5"/>
      <c r="WC132" s="5"/>
      <c r="WD132" s="5"/>
      <c r="WE132" s="5"/>
      <c r="WF132" s="5"/>
      <c r="WG132" s="5"/>
      <c r="WH132" s="5"/>
      <c r="WI132" s="5"/>
      <c r="WJ132" s="5"/>
      <c r="WK132" s="5"/>
      <c r="WL132" s="5"/>
      <c r="WM132" s="5"/>
      <c r="WN132" s="5"/>
      <c r="WO132" s="5"/>
      <c r="WP132" s="5"/>
      <c r="WQ132" s="5"/>
      <c r="WR132" s="5"/>
      <c r="WS132" s="5"/>
      <c r="WT132" s="5"/>
      <c r="WU132" s="5"/>
      <c r="WV132" s="5"/>
      <c r="WW132" s="5"/>
      <c r="WX132" s="5"/>
      <c r="WY132" s="5"/>
      <c r="WZ132" s="5"/>
      <c r="XA132" s="5"/>
      <c r="XB132" s="5"/>
      <c r="XC132" s="5"/>
      <c r="XD132" s="5"/>
      <c r="XE132" s="5"/>
      <c r="XF132" s="5"/>
      <c r="XG132" s="5"/>
      <c r="XH132" s="5"/>
      <c r="XI132" s="5"/>
      <c r="XJ132" s="5"/>
      <c r="XK132" s="5"/>
      <c r="XL132" s="5"/>
      <c r="XM132" s="5"/>
      <c r="XN132" s="5"/>
      <c r="XO132" s="5"/>
      <c r="XP132" s="5"/>
      <c r="XQ132" s="5"/>
      <c r="XR132" s="5"/>
      <c r="XS132" s="5"/>
      <c r="XT132" s="5"/>
      <c r="XU132" s="5"/>
      <c r="XV132" s="5"/>
      <c r="XW132" s="5"/>
      <c r="XX132" s="5"/>
      <c r="XY132" s="5"/>
      <c r="XZ132" s="5"/>
      <c r="YA132" s="5"/>
      <c r="YB132" s="5"/>
      <c r="YC132" s="5"/>
      <c r="YD132" s="5"/>
      <c r="YE132" s="5"/>
      <c r="YF132" s="5"/>
      <c r="YG132" s="5"/>
      <c r="YH132" s="5"/>
      <c r="YI132" s="5"/>
      <c r="YJ132" s="5"/>
      <c r="YK132" s="5"/>
      <c r="YL132" s="5"/>
      <c r="YM132" s="5"/>
      <c r="YN132" s="5"/>
      <c r="YO132" s="5"/>
      <c r="YP132" s="5"/>
      <c r="YQ132" s="5"/>
      <c r="YR132" s="5"/>
      <c r="YS132" s="5"/>
      <c r="YT132" s="5"/>
      <c r="YU132" s="5"/>
      <c r="YV132" s="5"/>
      <c r="YW132" s="5"/>
      <c r="YX132" s="5"/>
      <c r="YY132" s="5"/>
      <c r="YZ132" s="5"/>
    </row>
    <row r="133" spans="1:676">
      <c r="A133" s="7">
        <v>123</v>
      </c>
      <c r="B133" s="7" t="s">
        <v>315</v>
      </c>
      <c r="C133" s="10" t="s">
        <v>316</v>
      </c>
      <c r="D133" s="7" t="s">
        <v>60</v>
      </c>
      <c r="E133" s="7" t="s">
        <v>175</v>
      </c>
      <c r="F133" s="7" t="s">
        <v>291</v>
      </c>
      <c r="G133" s="7"/>
      <c r="H133" s="7"/>
      <c r="I133" s="11">
        <v>2</v>
      </c>
      <c r="J133" s="11">
        <v>3</v>
      </c>
      <c r="K133" s="11">
        <v>0</v>
      </c>
      <c r="L133" s="11">
        <v>4.050000000000001</v>
      </c>
      <c r="M133" s="11">
        <v>0</v>
      </c>
      <c r="N133" s="11">
        <v>0</v>
      </c>
      <c r="O133" s="11">
        <v>2.88</v>
      </c>
      <c r="P133" s="11">
        <v>0</v>
      </c>
      <c r="Q133" s="11">
        <v>6.930000000000001</v>
      </c>
      <c r="R133" s="11">
        <v>65.01999999999997</v>
      </c>
      <c r="S133" s="11">
        <v>71.94999999999997</v>
      </c>
      <c r="T133" s="11">
        <v>2</v>
      </c>
      <c r="U133" s="11">
        <v>3</v>
      </c>
      <c r="V133" s="11">
        <v>66.94999999999997</v>
      </c>
      <c r="W133" s="13">
        <v>24</v>
      </c>
      <c r="X133" s="13">
        <v>36</v>
      </c>
      <c r="Y133" s="13" t="str">
        <f>MIN(W133,S133)</f>
        <v>0</v>
      </c>
      <c r="Z133" s="13" t="str">
        <f>MIN(X133,(S133-Y133))</f>
        <v>0</v>
      </c>
      <c r="AA133" s="13" t="str">
        <f>S133-SUM(Y133,Z133)</f>
        <v>0</v>
      </c>
      <c r="AB133" s="15"/>
      <c r="AC133" s="15"/>
      <c r="AD133" s="1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K133" s="5"/>
      <c r="FL133" s="5"/>
      <c r="FM133" s="5"/>
      <c r="FN133" s="5"/>
      <c r="FO133" s="5"/>
      <c r="FP133" s="5"/>
      <c r="FQ133" s="5"/>
      <c r="FR133" s="5"/>
      <c r="FS133" s="5"/>
      <c r="FT133" s="5"/>
      <c r="FU133" s="5"/>
      <c r="FV133" s="5"/>
      <c r="FW133" s="5"/>
      <c r="FX133" s="5"/>
      <c r="FY133" s="5"/>
      <c r="FZ133" s="5"/>
      <c r="GA133" s="5"/>
      <c r="GB133" s="5"/>
      <c r="GC133" s="5"/>
      <c r="GD133" s="5"/>
      <c r="GE133" s="5"/>
      <c r="GF133" s="5"/>
      <c r="GG133" s="5"/>
      <c r="GH133" s="5"/>
      <c r="GI133" s="5"/>
      <c r="GJ133" s="5"/>
      <c r="GK133" s="5"/>
      <c r="GL133" s="5"/>
      <c r="GM133" s="5"/>
      <c r="GN133" s="5"/>
      <c r="GO133" s="5"/>
      <c r="GP133" s="5"/>
      <c r="GQ133" s="5"/>
      <c r="GR133" s="5"/>
      <c r="GS133" s="5"/>
      <c r="GT133" s="5"/>
      <c r="GU133" s="5"/>
      <c r="GV133" s="5"/>
      <c r="GW133" s="5"/>
      <c r="GX133" s="5"/>
      <c r="GY133" s="5"/>
      <c r="GZ133" s="5"/>
      <c r="HA133" s="5"/>
      <c r="HB133" s="5"/>
      <c r="HC133" s="5"/>
      <c r="HD133" s="5"/>
      <c r="HE133" s="5"/>
      <c r="HF133" s="5"/>
      <c r="HG133" s="5"/>
      <c r="HH133" s="5"/>
      <c r="HI133" s="5"/>
      <c r="HJ133" s="5"/>
      <c r="HK133" s="5"/>
      <c r="HL133" s="5"/>
      <c r="HM133" s="5"/>
      <c r="HN133" s="5"/>
      <c r="HO133" s="5"/>
      <c r="HP133" s="5"/>
      <c r="HQ133" s="5"/>
      <c r="HR133" s="5"/>
      <c r="HS133" s="5"/>
      <c r="HT133" s="5"/>
      <c r="HU133" s="5"/>
      <c r="HV133" s="5"/>
      <c r="HW133" s="5"/>
      <c r="HX133" s="5"/>
      <c r="HY133" s="5"/>
      <c r="HZ133" s="5"/>
      <c r="IA133" s="5"/>
      <c r="IB133" s="5"/>
      <c r="IC133" s="5"/>
      <c r="ID133" s="5"/>
      <c r="IE133" s="5"/>
      <c r="IF133" s="5"/>
      <c r="IG133" s="5"/>
      <c r="IH133" s="5"/>
      <c r="II133" s="5"/>
      <c r="IJ133" s="5"/>
      <c r="IK133" s="5"/>
      <c r="IL133" s="5"/>
      <c r="IM133" s="5"/>
      <c r="IN133" s="5"/>
      <c r="IO133" s="5"/>
      <c r="IP133" s="5"/>
      <c r="IQ133" s="5"/>
      <c r="IR133" s="5"/>
      <c r="IS133" s="5"/>
      <c r="IT133" s="5"/>
      <c r="IU133" s="5"/>
      <c r="IV133" s="5"/>
      <c r="IW133" s="5"/>
      <c r="IX133" s="5"/>
      <c r="IY133" s="5"/>
      <c r="IZ133" s="5"/>
      <c r="JA133" s="5"/>
      <c r="JB133" s="5"/>
      <c r="JC133" s="5"/>
      <c r="JD133" s="5"/>
      <c r="JE133" s="5"/>
      <c r="JF133" s="5"/>
      <c r="JG133" s="5"/>
      <c r="JH133" s="5"/>
      <c r="JI133" s="5"/>
      <c r="JJ133" s="5"/>
      <c r="JK133" s="5"/>
      <c r="JL133" s="5"/>
      <c r="JM133" s="5"/>
      <c r="JN133" s="5"/>
      <c r="JO133" s="5"/>
      <c r="JP133" s="5"/>
      <c r="JQ133" s="5"/>
      <c r="JR133" s="5"/>
      <c r="JS133" s="5"/>
      <c r="JT133" s="5"/>
      <c r="JU133" s="5"/>
      <c r="JV133" s="5"/>
      <c r="JW133" s="5"/>
      <c r="JX133" s="5"/>
      <c r="JY133" s="5"/>
      <c r="JZ133" s="5"/>
      <c r="KA133" s="5"/>
      <c r="KB133" s="5"/>
      <c r="KC133" s="5"/>
      <c r="KD133" s="5"/>
      <c r="KE133" s="5"/>
      <c r="KF133" s="5"/>
      <c r="KG133" s="5"/>
      <c r="KH133" s="5"/>
      <c r="KI133" s="5"/>
      <c r="KJ133" s="5"/>
      <c r="KK133" s="5"/>
      <c r="KL133" s="5"/>
      <c r="KM133" s="5"/>
      <c r="KN133" s="5"/>
      <c r="KO133" s="5"/>
      <c r="KP133" s="5"/>
      <c r="KQ133" s="5"/>
      <c r="KR133" s="5"/>
      <c r="KS133" s="5"/>
      <c r="KT133" s="5"/>
      <c r="KU133" s="5"/>
      <c r="KV133" s="5"/>
      <c r="KW133" s="5"/>
      <c r="KX133" s="5"/>
      <c r="KY133" s="5"/>
      <c r="KZ133" s="5"/>
      <c r="LA133" s="5"/>
      <c r="LB133" s="5"/>
      <c r="LC133" s="5"/>
      <c r="LD133" s="5"/>
      <c r="LE133" s="5"/>
      <c r="LF133" s="5"/>
      <c r="LG133" s="5"/>
      <c r="LH133" s="5"/>
      <c r="LI133" s="5"/>
      <c r="LJ133" s="5"/>
      <c r="LK133" s="5"/>
      <c r="LL133" s="5"/>
      <c r="LM133" s="5"/>
      <c r="LN133" s="5"/>
      <c r="LO133" s="5"/>
      <c r="LP133" s="5"/>
      <c r="LQ133" s="5"/>
      <c r="LR133" s="5"/>
      <c r="LS133" s="5"/>
      <c r="LT133" s="5"/>
      <c r="LU133" s="5"/>
      <c r="LV133" s="5"/>
      <c r="LW133" s="5"/>
      <c r="LX133" s="5"/>
      <c r="LY133" s="5"/>
      <c r="LZ133" s="5"/>
      <c r="MA133" s="5"/>
      <c r="MB133" s="5"/>
      <c r="MC133" s="5"/>
      <c r="MD133" s="5"/>
      <c r="ME133" s="5"/>
      <c r="MF133" s="5"/>
      <c r="MG133" s="5"/>
      <c r="MH133" s="5"/>
      <c r="MI133" s="5"/>
      <c r="MJ133" s="5"/>
      <c r="MK133" s="5"/>
      <c r="ML133" s="5"/>
      <c r="MM133" s="5"/>
      <c r="MN133" s="5"/>
      <c r="MO133" s="5"/>
      <c r="MP133" s="5"/>
      <c r="MQ133" s="5"/>
      <c r="MR133" s="5"/>
      <c r="MS133" s="5"/>
      <c r="MT133" s="5"/>
      <c r="MU133" s="5"/>
      <c r="MV133" s="5"/>
      <c r="MW133" s="5"/>
      <c r="MX133" s="5"/>
      <c r="MY133" s="5"/>
      <c r="MZ133" s="5"/>
      <c r="NA133" s="5"/>
      <c r="NB133" s="5"/>
      <c r="NC133" s="5"/>
      <c r="ND133" s="5"/>
      <c r="NE133" s="5"/>
      <c r="NF133" s="5"/>
      <c r="NG133" s="5"/>
      <c r="NH133" s="5"/>
      <c r="NI133" s="5"/>
      <c r="NJ133" s="5"/>
      <c r="NK133" s="5"/>
      <c r="NL133" s="5"/>
      <c r="NM133" s="5"/>
      <c r="NN133" s="5"/>
      <c r="NO133" s="5"/>
      <c r="NP133" s="5"/>
      <c r="NQ133" s="5"/>
      <c r="NR133" s="5"/>
      <c r="NS133" s="5"/>
      <c r="NT133" s="5"/>
      <c r="NU133" s="5"/>
      <c r="NV133" s="5"/>
      <c r="NW133" s="5"/>
      <c r="NX133" s="5"/>
      <c r="NY133" s="5"/>
      <c r="NZ133" s="5"/>
      <c r="OA133" s="5"/>
      <c r="OB133" s="5"/>
      <c r="OC133" s="5"/>
      <c r="OD133" s="5"/>
      <c r="OE133" s="5"/>
      <c r="OF133" s="5"/>
      <c r="OG133" s="5"/>
      <c r="OH133" s="5"/>
      <c r="OI133" s="5"/>
      <c r="OJ133" s="5"/>
      <c r="OK133" s="5"/>
      <c r="OL133" s="5"/>
      <c r="OM133" s="5"/>
      <c r="ON133" s="5"/>
      <c r="OO133" s="5"/>
      <c r="OP133" s="5"/>
      <c r="OQ133" s="5"/>
      <c r="OR133" s="5"/>
      <c r="OS133" s="5"/>
      <c r="OT133" s="5"/>
      <c r="OU133" s="5"/>
      <c r="OV133" s="5"/>
      <c r="OW133" s="5"/>
      <c r="OX133" s="5"/>
      <c r="OY133" s="5"/>
      <c r="OZ133" s="5"/>
      <c r="PA133" s="5"/>
      <c r="PB133" s="5"/>
      <c r="PC133" s="5"/>
      <c r="PD133" s="5"/>
      <c r="PE133" s="5"/>
      <c r="PF133" s="5"/>
      <c r="PG133" s="5"/>
      <c r="PH133" s="5"/>
      <c r="PI133" s="5"/>
      <c r="PJ133" s="5"/>
      <c r="PK133" s="5"/>
      <c r="PL133" s="5"/>
      <c r="PM133" s="5"/>
      <c r="PN133" s="5"/>
      <c r="PO133" s="5"/>
      <c r="PP133" s="5"/>
      <c r="PQ133" s="5"/>
      <c r="PR133" s="5"/>
      <c r="PS133" s="5"/>
      <c r="PT133" s="5"/>
      <c r="PU133" s="5"/>
      <c r="PV133" s="5"/>
      <c r="PW133" s="5"/>
      <c r="PX133" s="5"/>
      <c r="PY133" s="5"/>
      <c r="PZ133" s="5"/>
      <c r="QA133" s="5"/>
      <c r="QB133" s="5"/>
      <c r="QC133" s="5"/>
      <c r="QD133" s="5"/>
      <c r="QE133" s="5"/>
      <c r="QF133" s="5"/>
      <c r="QG133" s="5"/>
      <c r="QH133" s="5"/>
      <c r="QI133" s="5"/>
      <c r="QJ133" s="5"/>
      <c r="QK133" s="5"/>
      <c r="QL133" s="5"/>
      <c r="QM133" s="5"/>
      <c r="QN133" s="5"/>
      <c r="QO133" s="5"/>
      <c r="QP133" s="5"/>
      <c r="QQ133" s="5"/>
      <c r="QR133" s="5"/>
      <c r="QS133" s="5"/>
      <c r="QT133" s="5"/>
      <c r="QU133" s="5"/>
      <c r="QV133" s="5"/>
      <c r="QW133" s="5"/>
      <c r="QX133" s="5"/>
      <c r="QY133" s="5"/>
      <c r="QZ133" s="5"/>
      <c r="RA133" s="5"/>
      <c r="RB133" s="5"/>
      <c r="RC133" s="5"/>
      <c r="RD133" s="5"/>
      <c r="RE133" s="5"/>
      <c r="RF133" s="5"/>
      <c r="RG133" s="5"/>
      <c r="RH133" s="5"/>
      <c r="RI133" s="5"/>
      <c r="RJ133" s="5"/>
      <c r="RK133" s="5"/>
      <c r="RL133" s="5"/>
      <c r="RM133" s="5"/>
      <c r="RN133" s="5"/>
      <c r="RO133" s="5"/>
      <c r="RP133" s="5"/>
      <c r="RQ133" s="5"/>
      <c r="RR133" s="5"/>
      <c r="RS133" s="5"/>
      <c r="RT133" s="5"/>
      <c r="RU133" s="5"/>
      <c r="RV133" s="5"/>
      <c r="RW133" s="5"/>
      <c r="RX133" s="5"/>
      <c r="RY133" s="5"/>
      <c r="RZ133" s="5"/>
      <c r="SA133" s="5"/>
      <c r="SB133" s="5"/>
      <c r="SC133" s="5"/>
      <c r="SD133" s="5"/>
      <c r="SE133" s="5"/>
      <c r="SF133" s="5"/>
      <c r="SG133" s="5"/>
      <c r="SH133" s="5"/>
      <c r="SI133" s="5"/>
      <c r="SJ133" s="5"/>
      <c r="SK133" s="5"/>
      <c r="SL133" s="5"/>
      <c r="SM133" s="5"/>
      <c r="SN133" s="5"/>
      <c r="SO133" s="5"/>
      <c r="SP133" s="5"/>
      <c r="SQ133" s="5"/>
      <c r="SR133" s="5"/>
      <c r="SS133" s="5"/>
      <c r="ST133" s="5"/>
      <c r="SU133" s="5"/>
      <c r="SV133" s="5"/>
      <c r="SW133" s="5"/>
      <c r="SX133" s="5"/>
      <c r="SY133" s="5"/>
      <c r="SZ133" s="5"/>
      <c r="TA133" s="5"/>
      <c r="TB133" s="5"/>
      <c r="TC133" s="5"/>
      <c r="TD133" s="5"/>
      <c r="TE133" s="5"/>
      <c r="TF133" s="5"/>
      <c r="TG133" s="5"/>
      <c r="TH133" s="5"/>
      <c r="TI133" s="5"/>
      <c r="TJ133" s="5"/>
      <c r="TK133" s="5"/>
      <c r="TL133" s="5"/>
      <c r="TM133" s="5"/>
      <c r="TN133" s="5"/>
      <c r="TO133" s="5"/>
      <c r="TP133" s="5"/>
      <c r="TQ133" s="5"/>
      <c r="TR133" s="5"/>
      <c r="TS133" s="5"/>
      <c r="TT133" s="5"/>
      <c r="TU133" s="5"/>
      <c r="TV133" s="5"/>
      <c r="TW133" s="5"/>
      <c r="TX133" s="5"/>
      <c r="TY133" s="5"/>
      <c r="TZ133" s="5"/>
      <c r="UA133" s="5"/>
      <c r="UB133" s="5"/>
      <c r="UC133" s="5"/>
      <c r="UD133" s="5"/>
      <c r="UE133" s="5"/>
      <c r="UF133" s="5"/>
      <c r="UG133" s="5"/>
      <c r="UH133" s="5"/>
      <c r="UI133" s="5"/>
      <c r="UJ133" s="5"/>
      <c r="UK133" s="5"/>
      <c r="UL133" s="5"/>
      <c r="UM133" s="5"/>
      <c r="UN133" s="5"/>
      <c r="UO133" s="5"/>
      <c r="UP133" s="5"/>
      <c r="UQ133" s="5"/>
      <c r="UR133" s="5"/>
      <c r="US133" s="5"/>
      <c r="UT133" s="5"/>
      <c r="UU133" s="5"/>
      <c r="UV133" s="5"/>
      <c r="UW133" s="5"/>
      <c r="UX133" s="5"/>
      <c r="UY133" s="5"/>
      <c r="UZ133" s="5"/>
      <c r="VA133" s="5"/>
      <c r="VB133" s="5"/>
      <c r="VC133" s="5"/>
      <c r="VD133" s="5"/>
      <c r="VE133" s="5"/>
      <c r="VF133" s="5"/>
      <c r="VG133" s="5"/>
      <c r="VH133" s="5"/>
      <c r="VI133" s="5"/>
      <c r="VJ133" s="5"/>
      <c r="VK133" s="5"/>
      <c r="VL133" s="5"/>
      <c r="VM133" s="5"/>
      <c r="VN133" s="5"/>
      <c r="VO133" s="5"/>
      <c r="VP133" s="5"/>
      <c r="VQ133" s="5"/>
      <c r="VR133" s="5"/>
      <c r="VS133" s="5"/>
      <c r="VT133" s="5"/>
      <c r="VU133" s="5"/>
      <c r="VV133" s="5"/>
      <c r="VW133" s="5"/>
      <c r="VX133" s="5"/>
      <c r="VY133" s="5"/>
      <c r="VZ133" s="5"/>
      <c r="WA133" s="5"/>
      <c r="WB133" s="5"/>
      <c r="WC133" s="5"/>
      <c r="WD133" s="5"/>
      <c r="WE133" s="5"/>
      <c r="WF133" s="5"/>
      <c r="WG133" s="5"/>
      <c r="WH133" s="5"/>
      <c r="WI133" s="5"/>
      <c r="WJ133" s="5"/>
      <c r="WK133" s="5"/>
      <c r="WL133" s="5"/>
      <c r="WM133" s="5"/>
      <c r="WN133" s="5"/>
      <c r="WO133" s="5"/>
      <c r="WP133" s="5"/>
      <c r="WQ133" s="5"/>
      <c r="WR133" s="5"/>
      <c r="WS133" s="5"/>
      <c r="WT133" s="5"/>
      <c r="WU133" s="5"/>
      <c r="WV133" s="5"/>
      <c r="WW133" s="5"/>
      <c r="WX133" s="5"/>
      <c r="WY133" s="5"/>
      <c r="WZ133" s="5"/>
      <c r="XA133" s="5"/>
      <c r="XB133" s="5"/>
      <c r="XC133" s="5"/>
      <c r="XD133" s="5"/>
      <c r="XE133" s="5"/>
      <c r="XF133" s="5"/>
      <c r="XG133" s="5"/>
      <c r="XH133" s="5"/>
      <c r="XI133" s="5"/>
      <c r="XJ133" s="5"/>
      <c r="XK133" s="5"/>
      <c r="XL133" s="5"/>
      <c r="XM133" s="5"/>
      <c r="XN133" s="5"/>
      <c r="XO133" s="5"/>
      <c r="XP133" s="5"/>
      <c r="XQ133" s="5"/>
      <c r="XR133" s="5"/>
      <c r="XS133" s="5"/>
      <c r="XT133" s="5"/>
      <c r="XU133" s="5"/>
      <c r="XV133" s="5"/>
      <c r="XW133" s="5"/>
      <c r="XX133" s="5"/>
      <c r="XY133" s="5"/>
      <c r="XZ133" s="5"/>
      <c r="YA133" s="5"/>
      <c r="YB133" s="5"/>
      <c r="YC133" s="5"/>
      <c r="YD133" s="5"/>
      <c r="YE133" s="5"/>
      <c r="YF133" s="5"/>
      <c r="YG133" s="5"/>
      <c r="YH133" s="5"/>
      <c r="YI133" s="5"/>
      <c r="YJ133" s="5"/>
      <c r="YK133" s="5"/>
      <c r="YL133" s="5"/>
      <c r="YM133" s="5"/>
      <c r="YN133" s="5"/>
      <c r="YO133" s="5"/>
      <c r="YP133" s="5"/>
      <c r="YQ133" s="5"/>
      <c r="YR133" s="5"/>
      <c r="YS133" s="5"/>
      <c r="YT133" s="5"/>
      <c r="YU133" s="5"/>
      <c r="YV133" s="5"/>
      <c r="YW133" s="5"/>
      <c r="YX133" s="5"/>
      <c r="YY133" s="5"/>
      <c r="YZ133" s="5"/>
    </row>
    <row r="134" spans="1:676">
      <c r="A134" s="7">
        <v>124</v>
      </c>
      <c r="B134" s="7" t="s">
        <v>317</v>
      </c>
      <c r="C134" s="10" t="s">
        <v>318</v>
      </c>
      <c r="D134" s="7" t="s">
        <v>48</v>
      </c>
      <c r="E134" s="7" t="s">
        <v>175</v>
      </c>
      <c r="F134" s="7" t="s">
        <v>291</v>
      </c>
      <c r="G134" s="7"/>
      <c r="H134" s="7" t="s">
        <v>43</v>
      </c>
      <c r="I134" s="11">
        <v>2</v>
      </c>
      <c r="J134" s="11">
        <v>3</v>
      </c>
      <c r="K134" s="11">
        <v>0</v>
      </c>
      <c r="L134" s="11">
        <v>4.739999999999998</v>
      </c>
      <c r="M134" s="11">
        <v>0</v>
      </c>
      <c r="N134" s="11">
        <v>0</v>
      </c>
      <c r="O134" s="11">
        <v>1.46</v>
      </c>
      <c r="P134" s="11">
        <v>0</v>
      </c>
      <c r="Q134" s="11">
        <v>6.199999999999998</v>
      </c>
      <c r="R134" s="11">
        <v>96.05999999999992</v>
      </c>
      <c r="S134" s="11">
        <v>102.2599999999999</v>
      </c>
      <c r="T134" s="11">
        <v>2</v>
      </c>
      <c r="U134" s="11">
        <v>3</v>
      </c>
      <c r="V134" s="11">
        <v>97.25999999999992</v>
      </c>
      <c r="W134" s="13">
        <v>24</v>
      </c>
      <c r="X134" s="13">
        <v>36</v>
      </c>
      <c r="Y134" s="13" t="str">
        <f>MIN(W134,S134)</f>
        <v>0</v>
      </c>
      <c r="Z134" s="13" t="str">
        <f>MIN(X134,(S134-Y134))</f>
        <v>0</v>
      </c>
      <c r="AA134" s="13" t="str">
        <f>S134-SUM(Y134,Z134)</f>
        <v>0</v>
      </c>
      <c r="AB134" s="15"/>
      <c r="AC134" s="15"/>
      <c r="AD134" s="1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5"/>
      <c r="FT134" s="5"/>
      <c r="FU134" s="5"/>
      <c r="FV134" s="5"/>
      <c r="FW134" s="5"/>
      <c r="FX134" s="5"/>
      <c r="FY134" s="5"/>
      <c r="FZ134" s="5"/>
      <c r="GA134" s="5"/>
      <c r="GB134" s="5"/>
      <c r="GC134" s="5"/>
      <c r="GD134" s="5"/>
      <c r="GE134" s="5"/>
      <c r="GF134" s="5"/>
      <c r="GG134" s="5"/>
      <c r="GH134" s="5"/>
      <c r="GI134" s="5"/>
      <c r="GJ134" s="5"/>
      <c r="GK134" s="5"/>
      <c r="GL134" s="5"/>
      <c r="GM134" s="5"/>
      <c r="GN134" s="5"/>
      <c r="GO134" s="5"/>
      <c r="GP134" s="5"/>
      <c r="GQ134" s="5"/>
      <c r="GR134" s="5"/>
      <c r="GS134" s="5"/>
      <c r="GT134" s="5"/>
      <c r="GU134" s="5"/>
      <c r="GV134" s="5"/>
      <c r="GW134" s="5"/>
      <c r="GX134" s="5"/>
      <c r="GY134" s="5"/>
      <c r="GZ134" s="5"/>
      <c r="HA134" s="5"/>
      <c r="HB134" s="5"/>
      <c r="HC134" s="5"/>
      <c r="HD134" s="5"/>
      <c r="HE134" s="5"/>
      <c r="HF134" s="5"/>
      <c r="HG134" s="5"/>
      <c r="HH134" s="5"/>
      <c r="HI134" s="5"/>
      <c r="HJ134" s="5"/>
      <c r="HK134" s="5"/>
      <c r="HL134" s="5"/>
      <c r="HM134" s="5"/>
      <c r="HN134" s="5"/>
      <c r="HO134" s="5"/>
      <c r="HP134" s="5"/>
      <c r="HQ134" s="5"/>
      <c r="HR134" s="5"/>
      <c r="HS134" s="5"/>
      <c r="HT134" s="5"/>
      <c r="HU134" s="5"/>
      <c r="HV134" s="5"/>
      <c r="HW134" s="5"/>
      <c r="HX134" s="5"/>
      <c r="HY134" s="5"/>
      <c r="HZ134" s="5"/>
      <c r="IA134" s="5"/>
      <c r="IB134" s="5"/>
      <c r="IC134" s="5"/>
      <c r="ID134" s="5"/>
      <c r="IE134" s="5"/>
      <c r="IF134" s="5"/>
      <c r="IG134" s="5"/>
      <c r="IH134" s="5"/>
      <c r="II134" s="5"/>
      <c r="IJ134" s="5"/>
      <c r="IK134" s="5"/>
      <c r="IL134" s="5"/>
      <c r="IM134" s="5"/>
      <c r="IN134" s="5"/>
      <c r="IO134" s="5"/>
      <c r="IP134" s="5"/>
      <c r="IQ134" s="5"/>
      <c r="IR134" s="5"/>
      <c r="IS134" s="5"/>
      <c r="IT134" s="5"/>
      <c r="IU134" s="5"/>
      <c r="IV134" s="5"/>
      <c r="IW134" s="5"/>
      <c r="IX134" s="5"/>
      <c r="IY134" s="5"/>
      <c r="IZ134" s="5"/>
      <c r="JA134" s="5"/>
      <c r="JB134" s="5"/>
      <c r="JC134" s="5"/>
      <c r="JD134" s="5"/>
      <c r="JE134" s="5"/>
      <c r="JF134" s="5"/>
      <c r="JG134" s="5"/>
      <c r="JH134" s="5"/>
      <c r="JI134" s="5"/>
      <c r="JJ134" s="5"/>
      <c r="JK134" s="5"/>
      <c r="JL134" s="5"/>
      <c r="JM134" s="5"/>
      <c r="JN134" s="5"/>
      <c r="JO134" s="5"/>
      <c r="JP134" s="5"/>
      <c r="JQ134" s="5"/>
      <c r="JR134" s="5"/>
      <c r="JS134" s="5"/>
      <c r="JT134" s="5"/>
      <c r="JU134" s="5"/>
      <c r="JV134" s="5"/>
      <c r="JW134" s="5"/>
      <c r="JX134" s="5"/>
      <c r="JY134" s="5"/>
      <c r="JZ134" s="5"/>
      <c r="KA134" s="5"/>
      <c r="KB134" s="5"/>
      <c r="KC134" s="5"/>
      <c r="KD134" s="5"/>
      <c r="KE134" s="5"/>
      <c r="KF134" s="5"/>
      <c r="KG134" s="5"/>
      <c r="KH134" s="5"/>
      <c r="KI134" s="5"/>
      <c r="KJ134" s="5"/>
      <c r="KK134" s="5"/>
      <c r="KL134" s="5"/>
      <c r="KM134" s="5"/>
      <c r="KN134" s="5"/>
      <c r="KO134" s="5"/>
      <c r="KP134" s="5"/>
      <c r="KQ134" s="5"/>
      <c r="KR134" s="5"/>
      <c r="KS134" s="5"/>
      <c r="KT134" s="5"/>
      <c r="KU134" s="5"/>
      <c r="KV134" s="5"/>
      <c r="KW134" s="5"/>
      <c r="KX134" s="5"/>
      <c r="KY134" s="5"/>
      <c r="KZ134" s="5"/>
      <c r="LA134" s="5"/>
      <c r="LB134" s="5"/>
      <c r="LC134" s="5"/>
      <c r="LD134" s="5"/>
      <c r="LE134" s="5"/>
      <c r="LF134" s="5"/>
      <c r="LG134" s="5"/>
      <c r="LH134" s="5"/>
      <c r="LI134" s="5"/>
      <c r="LJ134" s="5"/>
      <c r="LK134" s="5"/>
      <c r="LL134" s="5"/>
      <c r="LM134" s="5"/>
      <c r="LN134" s="5"/>
      <c r="LO134" s="5"/>
      <c r="LP134" s="5"/>
      <c r="LQ134" s="5"/>
      <c r="LR134" s="5"/>
      <c r="LS134" s="5"/>
      <c r="LT134" s="5"/>
      <c r="LU134" s="5"/>
      <c r="LV134" s="5"/>
      <c r="LW134" s="5"/>
      <c r="LX134" s="5"/>
      <c r="LY134" s="5"/>
      <c r="LZ134" s="5"/>
      <c r="MA134" s="5"/>
      <c r="MB134" s="5"/>
      <c r="MC134" s="5"/>
      <c r="MD134" s="5"/>
      <c r="ME134" s="5"/>
      <c r="MF134" s="5"/>
      <c r="MG134" s="5"/>
      <c r="MH134" s="5"/>
      <c r="MI134" s="5"/>
      <c r="MJ134" s="5"/>
      <c r="MK134" s="5"/>
      <c r="ML134" s="5"/>
      <c r="MM134" s="5"/>
      <c r="MN134" s="5"/>
      <c r="MO134" s="5"/>
      <c r="MP134" s="5"/>
      <c r="MQ134" s="5"/>
      <c r="MR134" s="5"/>
      <c r="MS134" s="5"/>
      <c r="MT134" s="5"/>
      <c r="MU134" s="5"/>
      <c r="MV134" s="5"/>
      <c r="MW134" s="5"/>
      <c r="MX134" s="5"/>
      <c r="MY134" s="5"/>
      <c r="MZ134" s="5"/>
      <c r="NA134" s="5"/>
      <c r="NB134" s="5"/>
      <c r="NC134" s="5"/>
      <c r="ND134" s="5"/>
      <c r="NE134" s="5"/>
      <c r="NF134" s="5"/>
      <c r="NG134" s="5"/>
      <c r="NH134" s="5"/>
      <c r="NI134" s="5"/>
      <c r="NJ134" s="5"/>
      <c r="NK134" s="5"/>
      <c r="NL134" s="5"/>
      <c r="NM134" s="5"/>
      <c r="NN134" s="5"/>
      <c r="NO134" s="5"/>
      <c r="NP134" s="5"/>
      <c r="NQ134" s="5"/>
      <c r="NR134" s="5"/>
      <c r="NS134" s="5"/>
      <c r="NT134" s="5"/>
      <c r="NU134" s="5"/>
      <c r="NV134" s="5"/>
      <c r="NW134" s="5"/>
      <c r="NX134" s="5"/>
      <c r="NY134" s="5"/>
      <c r="NZ134" s="5"/>
      <c r="OA134" s="5"/>
      <c r="OB134" s="5"/>
      <c r="OC134" s="5"/>
      <c r="OD134" s="5"/>
      <c r="OE134" s="5"/>
      <c r="OF134" s="5"/>
      <c r="OG134" s="5"/>
      <c r="OH134" s="5"/>
      <c r="OI134" s="5"/>
      <c r="OJ134" s="5"/>
      <c r="OK134" s="5"/>
      <c r="OL134" s="5"/>
      <c r="OM134" s="5"/>
      <c r="ON134" s="5"/>
      <c r="OO134" s="5"/>
      <c r="OP134" s="5"/>
      <c r="OQ134" s="5"/>
      <c r="OR134" s="5"/>
      <c r="OS134" s="5"/>
      <c r="OT134" s="5"/>
      <c r="OU134" s="5"/>
      <c r="OV134" s="5"/>
      <c r="OW134" s="5"/>
      <c r="OX134" s="5"/>
      <c r="OY134" s="5"/>
      <c r="OZ134" s="5"/>
      <c r="PA134" s="5"/>
      <c r="PB134" s="5"/>
      <c r="PC134" s="5"/>
      <c r="PD134" s="5"/>
      <c r="PE134" s="5"/>
      <c r="PF134" s="5"/>
      <c r="PG134" s="5"/>
      <c r="PH134" s="5"/>
      <c r="PI134" s="5"/>
      <c r="PJ134" s="5"/>
      <c r="PK134" s="5"/>
      <c r="PL134" s="5"/>
      <c r="PM134" s="5"/>
      <c r="PN134" s="5"/>
      <c r="PO134" s="5"/>
      <c r="PP134" s="5"/>
      <c r="PQ134" s="5"/>
      <c r="PR134" s="5"/>
      <c r="PS134" s="5"/>
      <c r="PT134" s="5"/>
      <c r="PU134" s="5"/>
      <c r="PV134" s="5"/>
      <c r="PW134" s="5"/>
      <c r="PX134" s="5"/>
      <c r="PY134" s="5"/>
      <c r="PZ134" s="5"/>
      <c r="QA134" s="5"/>
      <c r="QB134" s="5"/>
      <c r="QC134" s="5"/>
      <c r="QD134" s="5"/>
      <c r="QE134" s="5"/>
      <c r="QF134" s="5"/>
      <c r="QG134" s="5"/>
      <c r="QH134" s="5"/>
      <c r="QI134" s="5"/>
      <c r="QJ134" s="5"/>
      <c r="QK134" s="5"/>
      <c r="QL134" s="5"/>
      <c r="QM134" s="5"/>
      <c r="QN134" s="5"/>
      <c r="QO134" s="5"/>
      <c r="QP134" s="5"/>
      <c r="QQ134" s="5"/>
      <c r="QR134" s="5"/>
      <c r="QS134" s="5"/>
      <c r="QT134" s="5"/>
      <c r="QU134" s="5"/>
      <c r="QV134" s="5"/>
      <c r="QW134" s="5"/>
      <c r="QX134" s="5"/>
      <c r="QY134" s="5"/>
      <c r="QZ134" s="5"/>
      <c r="RA134" s="5"/>
      <c r="RB134" s="5"/>
      <c r="RC134" s="5"/>
      <c r="RD134" s="5"/>
      <c r="RE134" s="5"/>
      <c r="RF134" s="5"/>
      <c r="RG134" s="5"/>
      <c r="RH134" s="5"/>
      <c r="RI134" s="5"/>
      <c r="RJ134" s="5"/>
      <c r="RK134" s="5"/>
      <c r="RL134" s="5"/>
      <c r="RM134" s="5"/>
      <c r="RN134" s="5"/>
      <c r="RO134" s="5"/>
      <c r="RP134" s="5"/>
      <c r="RQ134" s="5"/>
      <c r="RR134" s="5"/>
      <c r="RS134" s="5"/>
      <c r="RT134" s="5"/>
      <c r="RU134" s="5"/>
      <c r="RV134" s="5"/>
      <c r="RW134" s="5"/>
      <c r="RX134" s="5"/>
      <c r="RY134" s="5"/>
      <c r="RZ134" s="5"/>
      <c r="SA134" s="5"/>
      <c r="SB134" s="5"/>
      <c r="SC134" s="5"/>
      <c r="SD134" s="5"/>
      <c r="SE134" s="5"/>
      <c r="SF134" s="5"/>
      <c r="SG134" s="5"/>
      <c r="SH134" s="5"/>
      <c r="SI134" s="5"/>
      <c r="SJ134" s="5"/>
      <c r="SK134" s="5"/>
      <c r="SL134" s="5"/>
      <c r="SM134" s="5"/>
      <c r="SN134" s="5"/>
      <c r="SO134" s="5"/>
      <c r="SP134" s="5"/>
      <c r="SQ134" s="5"/>
      <c r="SR134" s="5"/>
      <c r="SS134" s="5"/>
      <c r="ST134" s="5"/>
      <c r="SU134" s="5"/>
      <c r="SV134" s="5"/>
      <c r="SW134" s="5"/>
      <c r="SX134" s="5"/>
      <c r="SY134" s="5"/>
      <c r="SZ134" s="5"/>
      <c r="TA134" s="5"/>
      <c r="TB134" s="5"/>
      <c r="TC134" s="5"/>
      <c r="TD134" s="5"/>
      <c r="TE134" s="5"/>
      <c r="TF134" s="5"/>
      <c r="TG134" s="5"/>
      <c r="TH134" s="5"/>
      <c r="TI134" s="5"/>
      <c r="TJ134" s="5"/>
      <c r="TK134" s="5"/>
      <c r="TL134" s="5"/>
      <c r="TM134" s="5"/>
      <c r="TN134" s="5"/>
      <c r="TO134" s="5"/>
      <c r="TP134" s="5"/>
      <c r="TQ134" s="5"/>
      <c r="TR134" s="5"/>
      <c r="TS134" s="5"/>
      <c r="TT134" s="5"/>
      <c r="TU134" s="5"/>
      <c r="TV134" s="5"/>
      <c r="TW134" s="5"/>
      <c r="TX134" s="5"/>
      <c r="TY134" s="5"/>
      <c r="TZ134" s="5"/>
      <c r="UA134" s="5"/>
      <c r="UB134" s="5"/>
      <c r="UC134" s="5"/>
      <c r="UD134" s="5"/>
      <c r="UE134" s="5"/>
      <c r="UF134" s="5"/>
      <c r="UG134" s="5"/>
      <c r="UH134" s="5"/>
      <c r="UI134" s="5"/>
      <c r="UJ134" s="5"/>
      <c r="UK134" s="5"/>
      <c r="UL134" s="5"/>
      <c r="UM134" s="5"/>
      <c r="UN134" s="5"/>
      <c r="UO134" s="5"/>
      <c r="UP134" s="5"/>
      <c r="UQ134" s="5"/>
      <c r="UR134" s="5"/>
      <c r="US134" s="5"/>
      <c r="UT134" s="5"/>
      <c r="UU134" s="5"/>
      <c r="UV134" s="5"/>
      <c r="UW134" s="5"/>
      <c r="UX134" s="5"/>
      <c r="UY134" s="5"/>
      <c r="UZ134" s="5"/>
      <c r="VA134" s="5"/>
      <c r="VB134" s="5"/>
      <c r="VC134" s="5"/>
      <c r="VD134" s="5"/>
      <c r="VE134" s="5"/>
      <c r="VF134" s="5"/>
      <c r="VG134" s="5"/>
      <c r="VH134" s="5"/>
      <c r="VI134" s="5"/>
      <c r="VJ134" s="5"/>
      <c r="VK134" s="5"/>
      <c r="VL134" s="5"/>
      <c r="VM134" s="5"/>
      <c r="VN134" s="5"/>
      <c r="VO134" s="5"/>
      <c r="VP134" s="5"/>
      <c r="VQ134" s="5"/>
      <c r="VR134" s="5"/>
      <c r="VS134" s="5"/>
      <c r="VT134" s="5"/>
      <c r="VU134" s="5"/>
      <c r="VV134" s="5"/>
      <c r="VW134" s="5"/>
      <c r="VX134" s="5"/>
      <c r="VY134" s="5"/>
      <c r="VZ134" s="5"/>
      <c r="WA134" s="5"/>
      <c r="WB134" s="5"/>
      <c r="WC134" s="5"/>
      <c r="WD134" s="5"/>
      <c r="WE134" s="5"/>
      <c r="WF134" s="5"/>
      <c r="WG134" s="5"/>
      <c r="WH134" s="5"/>
      <c r="WI134" s="5"/>
      <c r="WJ134" s="5"/>
      <c r="WK134" s="5"/>
      <c r="WL134" s="5"/>
      <c r="WM134" s="5"/>
      <c r="WN134" s="5"/>
      <c r="WO134" s="5"/>
      <c r="WP134" s="5"/>
      <c r="WQ134" s="5"/>
      <c r="WR134" s="5"/>
      <c r="WS134" s="5"/>
      <c r="WT134" s="5"/>
      <c r="WU134" s="5"/>
      <c r="WV134" s="5"/>
      <c r="WW134" s="5"/>
      <c r="WX134" s="5"/>
      <c r="WY134" s="5"/>
      <c r="WZ134" s="5"/>
      <c r="XA134" s="5"/>
      <c r="XB134" s="5"/>
      <c r="XC134" s="5"/>
      <c r="XD134" s="5"/>
      <c r="XE134" s="5"/>
      <c r="XF134" s="5"/>
      <c r="XG134" s="5"/>
      <c r="XH134" s="5"/>
      <c r="XI134" s="5"/>
      <c r="XJ134" s="5"/>
      <c r="XK134" s="5"/>
      <c r="XL134" s="5"/>
      <c r="XM134" s="5"/>
      <c r="XN134" s="5"/>
      <c r="XO134" s="5"/>
      <c r="XP134" s="5"/>
      <c r="XQ134" s="5"/>
      <c r="XR134" s="5"/>
      <c r="XS134" s="5"/>
      <c r="XT134" s="5"/>
      <c r="XU134" s="5"/>
      <c r="XV134" s="5"/>
      <c r="XW134" s="5"/>
      <c r="XX134" s="5"/>
      <c r="XY134" s="5"/>
      <c r="XZ134" s="5"/>
      <c r="YA134" s="5"/>
      <c r="YB134" s="5"/>
      <c r="YC134" s="5"/>
      <c r="YD134" s="5"/>
      <c r="YE134" s="5"/>
      <c r="YF134" s="5"/>
      <c r="YG134" s="5"/>
      <c r="YH134" s="5"/>
      <c r="YI134" s="5"/>
      <c r="YJ134" s="5"/>
      <c r="YK134" s="5"/>
      <c r="YL134" s="5"/>
      <c r="YM134" s="5"/>
      <c r="YN134" s="5"/>
      <c r="YO134" s="5"/>
      <c r="YP134" s="5"/>
      <c r="YQ134" s="5"/>
      <c r="YR134" s="5"/>
      <c r="YS134" s="5"/>
      <c r="YT134" s="5"/>
      <c r="YU134" s="5"/>
      <c r="YV134" s="5"/>
      <c r="YW134" s="5"/>
      <c r="YX134" s="5"/>
      <c r="YY134" s="5"/>
      <c r="YZ134" s="5"/>
    </row>
    <row r="135" spans="1:676">
      <c r="A135" s="7">
        <v>125</v>
      </c>
      <c r="B135" s="7" t="s">
        <v>319</v>
      </c>
      <c r="C135" s="10" t="s">
        <v>320</v>
      </c>
      <c r="D135" s="7" t="s">
        <v>48</v>
      </c>
      <c r="E135" s="7" t="s">
        <v>175</v>
      </c>
      <c r="F135" s="7" t="s">
        <v>286</v>
      </c>
      <c r="G135" s="7"/>
      <c r="H135" s="7"/>
      <c r="I135" s="11">
        <v>2</v>
      </c>
      <c r="J135" s="11">
        <v>3</v>
      </c>
      <c r="K135" s="11">
        <v>0</v>
      </c>
      <c r="L135" s="11">
        <v>0.9000000000000001</v>
      </c>
      <c r="M135" s="11">
        <v>0</v>
      </c>
      <c r="N135" s="11">
        <v>0</v>
      </c>
      <c r="O135" s="11">
        <v>2</v>
      </c>
      <c r="P135" s="11">
        <v>0</v>
      </c>
      <c r="Q135" s="11">
        <v>2.9</v>
      </c>
      <c r="R135" s="11">
        <v>22.73</v>
      </c>
      <c r="S135" s="11">
        <v>25.63</v>
      </c>
      <c r="T135" s="11">
        <v>2</v>
      </c>
      <c r="U135" s="11">
        <v>3</v>
      </c>
      <c r="V135" s="11">
        <v>20.63</v>
      </c>
      <c r="W135" s="13">
        <v>24</v>
      </c>
      <c r="X135" s="13">
        <v>36</v>
      </c>
      <c r="Y135" s="13" t="str">
        <f>MIN(W135,S135)</f>
        <v>0</v>
      </c>
      <c r="Z135" s="13" t="str">
        <f>MIN(X135,(S135-Y135))</f>
        <v>0</v>
      </c>
      <c r="AA135" s="13" t="str">
        <f>S135-SUM(Y135,Z135)</f>
        <v>0</v>
      </c>
      <c r="AB135" s="15"/>
      <c r="AC135" s="15"/>
      <c r="AD135" s="1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5"/>
      <c r="FT135" s="5"/>
      <c r="FU135" s="5"/>
      <c r="FV135" s="5"/>
      <c r="FW135" s="5"/>
      <c r="FX135" s="5"/>
      <c r="FY135" s="5"/>
      <c r="FZ135" s="5"/>
      <c r="GA135" s="5"/>
      <c r="GB135" s="5"/>
      <c r="GC135" s="5"/>
      <c r="GD135" s="5"/>
      <c r="GE135" s="5"/>
      <c r="GF135" s="5"/>
      <c r="GG135" s="5"/>
      <c r="GH135" s="5"/>
      <c r="GI135" s="5"/>
      <c r="GJ135" s="5"/>
      <c r="GK135" s="5"/>
      <c r="GL135" s="5"/>
      <c r="GM135" s="5"/>
      <c r="GN135" s="5"/>
      <c r="GO135" s="5"/>
      <c r="GP135" s="5"/>
      <c r="GQ135" s="5"/>
      <c r="GR135" s="5"/>
      <c r="GS135" s="5"/>
      <c r="GT135" s="5"/>
      <c r="GU135" s="5"/>
      <c r="GV135" s="5"/>
      <c r="GW135" s="5"/>
      <c r="GX135" s="5"/>
      <c r="GY135" s="5"/>
      <c r="GZ135" s="5"/>
      <c r="HA135" s="5"/>
      <c r="HB135" s="5"/>
      <c r="HC135" s="5"/>
      <c r="HD135" s="5"/>
      <c r="HE135" s="5"/>
      <c r="HF135" s="5"/>
      <c r="HG135" s="5"/>
      <c r="HH135" s="5"/>
      <c r="HI135" s="5"/>
      <c r="HJ135" s="5"/>
      <c r="HK135" s="5"/>
      <c r="HL135" s="5"/>
      <c r="HM135" s="5"/>
      <c r="HN135" s="5"/>
      <c r="HO135" s="5"/>
      <c r="HP135" s="5"/>
      <c r="HQ135" s="5"/>
      <c r="HR135" s="5"/>
      <c r="HS135" s="5"/>
      <c r="HT135" s="5"/>
      <c r="HU135" s="5"/>
      <c r="HV135" s="5"/>
      <c r="HW135" s="5"/>
      <c r="HX135" s="5"/>
      <c r="HY135" s="5"/>
      <c r="HZ135" s="5"/>
      <c r="IA135" s="5"/>
      <c r="IB135" s="5"/>
      <c r="IC135" s="5"/>
      <c r="ID135" s="5"/>
      <c r="IE135" s="5"/>
      <c r="IF135" s="5"/>
      <c r="IG135" s="5"/>
      <c r="IH135" s="5"/>
      <c r="II135" s="5"/>
      <c r="IJ135" s="5"/>
      <c r="IK135" s="5"/>
      <c r="IL135" s="5"/>
      <c r="IM135" s="5"/>
      <c r="IN135" s="5"/>
      <c r="IO135" s="5"/>
      <c r="IP135" s="5"/>
      <c r="IQ135" s="5"/>
      <c r="IR135" s="5"/>
      <c r="IS135" s="5"/>
      <c r="IT135" s="5"/>
      <c r="IU135" s="5"/>
      <c r="IV135" s="5"/>
      <c r="IW135" s="5"/>
      <c r="IX135" s="5"/>
      <c r="IY135" s="5"/>
      <c r="IZ135" s="5"/>
      <c r="JA135" s="5"/>
      <c r="JB135" s="5"/>
      <c r="JC135" s="5"/>
      <c r="JD135" s="5"/>
      <c r="JE135" s="5"/>
      <c r="JF135" s="5"/>
      <c r="JG135" s="5"/>
      <c r="JH135" s="5"/>
      <c r="JI135" s="5"/>
      <c r="JJ135" s="5"/>
      <c r="JK135" s="5"/>
      <c r="JL135" s="5"/>
      <c r="JM135" s="5"/>
      <c r="JN135" s="5"/>
      <c r="JO135" s="5"/>
      <c r="JP135" s="5"/>
      <c r="JQ135" s="5"/>
      <c r="JR135" s="5"/>
      <c r="JS135" s="5"/>
      <c r="JT135" s="5"/>
      <c r="JU135" s="5"/>
      <c r="JV135" s="5"/>
      <c r="JW135" s="5"/>
      <c r="JX135" s="5"/>
      <c r="JY135" s="5"/>
      <c r="JZ135" s="5"/>
      <c r="KA135" s="5"/>
      <c r="KB135" s="5"/>
      <c r="KC135" s="5"/>
      <c r="KD135" s="5"/>
      <c r="KE135" s="5"/>
      <c r="KF135" s="5"/>
      <c r="KG135" s="5"/>
      <c r="KH135" s="5"/>
      <c r="KI135" s="5"/>
      <c r="KJ135" s="5"/>
      <c r="KK135" s="5"/>
      <c r="KL135" s="5"/>
      <c r="KM135" s="5"/>
      <c r="KN135" s="5"/>
      <c r="KO135" s="5"/>
      <c r="KP135" s="5"/>
      <c r="KQ135" s="5"/>
      <c r="KR135" s="5"/>
      <c r="KS135" s="5"/>
      <c r="KT135" s="5"/>
      <c r="KU135" s="5"/>
      <c r="KV135" s="5"/>
      <c r="KW135" s="5"/>
      <c r="KX135" s="5"/>
      <c r="KY135" s="5"/>
      <c r="KZ135" s="5"/>
      <c r="LA135" s="5"/>
      <c r="LB135" s="5"/>
      <c r="LC135" s="5"/>
      <c r="LD135" s="5"/>
      <c r="LE135" s="5"/>
      <c r="LF135" s="5"/>
      <c r="LG135" s="5"/>
      <c r="LH135" s="5"/>
      <c r="LI135" s="5"/>
      <c r="LJ135" s="5"/>
      <c r="LK135" s="5"/>
      <c r="LL135" s="5"/>
      <c r="LM135" s="5"/>
      <c r="LN135" s="5"/>
      <c r="LO135" s="5"/>
      <c r="LP135" s="5"/>
      <c r="LQ135" s="5"/>
      <c r="LR135" s="5"/>
      <c r="LS135" s="5"/>
      <c r="LT135" s="5"/>
      <c r="LU135" s="5"/>
      <c r="LV135" s="5"/>
      <c r="LW135" s="5"/>
      <c r="LX135" s="5"/>
      <c r="LY135" s="5"/>
      <c r="LZ135" s="5"/>
      <c r="MA135" s="5"/>
      <c r="MB135" s="5"/>
      <c r="MC135" s="5"/>
      <c r="MD135" s="5"/>
      <c r="ME135" s="5"/>
      <c r="MF135" s="5"/>
      <c r="MG135" s="5"/>
      <c r="MH135" s="5"/>
      <c r="MI135" s="5"/>
      <c r="MJ135" s="5"/>
      <c r="MK135" s="5"/>
      <c r="ML135" s="5"/>
      <c r="MM135" s="5"/>
      <c r="MN135" s="5"/>
      <c r="MO135" s="5"/>
      <c r="MP135" s="5"/>
      <c r="MQ135" s="5"/>
      <c r="MR135" s="5"/>
      <c r="MS135" s="5"/>
      <c r="MT135" s="5"/>
      <c r="MU135" s="5"/>
      <c r="MV135" s="5"/>
      <c r="MW135" s="5"/>
      <c r="MX135" s="5"/>
      <c r="MY135" s="5"/>
      <c r="MZ135" s="5"/>
      <c r="NA135" s="5"/>
      <c r="NB135" s="5"/>
      <c r="NC135" s="5"/>
      <c r="ND135" s="5"/>
      <c r="NE135" s="5"/>
      <c r="NF135" s="5"/>
      <c r="NG135" s="5"/>
      <c r="NH135" s="5"/>
      <c r="NI135" s="5"/>
      <c r="NJ135" s="5"/>
      <c r="NK135" s="5"/>
      <c r="NL135" s="5"/>
      <c r="NM135" s="5"/>
      <c r="NN135" s="5"/>
      <c r="NO135" s="5"/>
      <c r="NP135" s="5"/>
      <c r="NQ135" s="5"/>
      <c r="NR135" s="5"/>
      <c r="NS135" s="5"/>
      <c r="NT135" s="5"/>
      <c r="NU135" s="5"/>
      <c r="NV135" s="5"/>
      <c r="NW135" s="5"/>
      <c r="NX135" s="5"/>
      <c r="NY135" s="5"/>
      <c r="NZ135" s="5"/>
      <c r="OA135" s="5"/>
      <c r="OB135" s="5"/>
      <c r="OC135" s="5"/>
      <c r="OD135" s="5"/>
      <c r="OE135" s="5"/>
      <c r="OF135" s="5"/>
      <c r="OG135" s="5"/>
      <c r="OH135" s="5"/>
      <c r="OI135" s="5"/>
      <c r="OJ135" s="5"/>
      <c r="OK135" s="5"/>
      <c r="OL135" s="5"/>
      <c r="OM135" s="5"/>
      <c r="ON135" s="5"/>
      <c r="OO135" s="5"/>
      <c r="OP135" s="5"/>
      <c r="OQ135" s="5"/>
      <c r="OR135" s="5"/>
      <c r="OS135" s="5"/>
      <c r="OT135" s="5"/>
      <c r="OU135" s="5"/>
      <c r="OV135" s="5"/>
      <c r="OW135" s="5"/>
      <c r="OX135" s="5"/>
      <c r="OY135" s="5"/>
      <c r="OZ135" s="5"/>
      <c r="PA135" s="5"/>
      <c r="PB135" s="5"/>
      <c r="PC135" s="5"/>
      <c r="PD135" s="5"/>
      <c r="PE135" s="5"/>
      <c r="PF135" s="5"/>
      <c r="PG135" s="5"/>
      <c r="PH135" s="5"/>
      <c r="PI135" s="5"/>
      <c r="PJ135" s="5"/>
      <c r="PK135" s="5"/>
      <c r="PL135" s="5"/>
      <c r="PM135" s="5"/>
      <c r="PN135" s="5"/>
      <c r="PO135" s="5"/>
      <c r="PP135" s="5"/>
      <c r="PQ135" s="5"/>
      <c r="PR135" s="5"/>
      <c r="PS135" s="5"/>
      <c r="PT135" s="5"/>
      <c r="PU135" s="5"/>
      <c r="PV135" s="5"/>
      <c r="PW135" s="5"/>
      <c r="PX135" s="5"/>
      <c r="PY135" s="5"/>
      <c r="PZ135" s="5"/>
      <c r="QA135" s="5"/>
      <c r="QB135" s="5"/>
      <c r="QC135" s="5"/>
      <c r="QD135" s="5"/>
      <c r="QE135" s="5"/>
      <c r="QF135" s="5"/>
      <c r="QG135" s="5"/>
      <c r="QH135" s="5"/>
      <c r="QI135" s="5"/>
      <c r="QJ135" s="5"/>
      <c r="QK135" s="5"/>
      <c r="QL135" s="5"/>
      <c r="QM135" s="5"/>
      <c r="QN135" s="5"/>
      <c r="QO135" s="5"/>
      <c r="QP135" s="5"/>
      <c r="QQ135" s="5"/>
      <c r="QR135" s="5"/>
      <c r="QS135" s="5"/>
      <c r="QT135" s="5"/>
      <c r="QU135" s="5"/>
      <c r="QV135" s="5"/>
      <c r="QW135" s="5"/>
      <c r="QX135" s="5"/>
      <c r="QY135" s="5"/>
      <c r="QZ135" s="5"/>
      <c r="RA135" s="5"/>
      <c r="RB135" s="5"/>
      <c r="RC135" s="5"/>
      <c r="RD135" s="5"/>
      <c r="RE135" s="5"/>
      <c r="RF135" s="5"/>
      <c r="RG135" s="5"/>
      <c r="RH135" s="5"/>
      <c r="RI135" s="5"/>
      <c r="RJ135" s="5"/>
      <c r="RK135" s="5"/>
      <c r="RL135" s="5"/>
      <c r="RM135" s="5"/>
      <c r="RN135" s="5"/>
      <c r="RO135" s="5"/>
      <c r="RP135" s="5"/>
      <c r="RQ135" s="5"/>
      <c r="RR135" s="5"/>
      <c r="RS135" s="5"/>
      <c r="RT135" s="5"/>
      <c r="RU135" s="5"/>
      <c r="RV135" s="5"/>
      <c r="RW135" s="5"/>
      <c r="RX135" s="5"/>
      <c r="RY135" s="5"/>
      <c r="RZ135" s="5"/>
      <c r="SA135" s="5"/>
      <c r="SB135" s="5"/>
      <c r="SC135" s="5"/>
      <c r="SD135" s="5"/>
      <c r="SE135" s="5"/>
      <c r="SF135" s="5"/>
      <c r="SG135" s="5"/>
      <c r="SH135" s="5"/>
      <c r="SI135" s="5"/>
      <c r="SJ135" s="5"/>
      <c r="SK135" s="5"/>
      <c r="SL135" s="5"/>
      <c r="SM135" s="5"/>
      <c r="SN135" s="5"/>
      <c r="SO135" s="5"/>
      <c r="SP135" s="5"/>
      <c r="SQ135" s="5"/>
      <c r="SR135" s="5"/>
      <c r="SS135" s="5"/>
      <c r="ST135" s="5"/>
      <c r="SU135" s="5"/>
      <c r="SV135" s="5"/>
      <c r="SW135" s="5"/>
      <c r="SX135" s="5"/>
      <c r="SY135" s="5"/>
      <c r="SZ135" s="5"/>
      <c r="TA135" s="5"/>
      <c r="TB135" s="5"/>
      <c r="TC135" s="5"/>
      <c r="TD135" s="5"/>
      <c r="TE135" s="5"/>
      <c r="TF135" s="5"/>
      <c r="TG135" s="5"/>
      <c r="TH135" s="5"/>
      <c r="TI135" s="5"/>
      <c r="TJ135" s="5"/>
      <c r="TK135" s="5"/>
      <c r="TL135" s="5"/>
      <c r="TM135" s="5"/>
      <c r="TN135" s="5"/>
      <c r="TO135" s="5"/>
      <c r="TP135" s="5"/>
      <c r="TQ135" s="5"/>
      <c r="TR135" s="5"/>
      <c r="TS135" s="5"/>
      <c r="TT135" s="5"/>
      <c r="TU135" s="5"/>
      <c r="TV135" s="5"/>
      <c r="TW135" s="5"/>
      <c r="TX135" s="5"/>
      <c r="TY135" s="5"/>
      <c r="TZ135" s="5"/>
      <c r="UA135" s="5"/>
      <c r="UB135" s="5"/>
      <c r="UC135" s="5"/>
      <c r="UD135" s="5"/>
      <c r="UE135" s="5"/>
      <c r="UF135" s="5"/>
      <c r="UG135" s="5"/>
      <c r="UH135" s="5"/>
      <c r="UI135" s="5"/>
      <c r="UJ135" s="5"/>
      <c r="UK135" s="5"/>
      <c r="UL135" s="5"/>
      <c r="UM135" s="5"/>
      <c r="UN135" s="5"/>
      <c r="UO135" s="5"/>
      <c r="UP135" s="5"/>
      <c r="UQ135" s="5"/>
      <c r="UR135" s="5"/>
      <c r="US135" s="5"/>
      <c r="UT135" s="5"/>
      <c r="UU135" s="5"/>
      <c r="UV135" s="5"/>
      <c r="UW135" s="5"/>
      <c r="UX135" s="5"/>
      <c r="UY135" s="5"/>
      <c r="UZ135" s="5"/>
      <c r="VA135" s="5"/>
      <c r="VB135" s="5"/>
      <c r="VC135" s="5"/>
      <c r="VD135" s="5"/>
      <c r="VE135" s="5"/>
      <c r="VF135" s="5"/>
      <c r="VG135" s="5"/>
      <c r="VH135" s="5"/>
      <c r="VI135" s="5"/>
      <c r="VJ135" s="5"/>
      <c r="VK135" s="5"/>
      <c r="VL135" s="5"/>
      <c r="VM135" s="5"/>
      <c r="VN135" s="5"/>
      <c r="VO135" s="5"/>
      <c r="VP135" s="5"/>
      <c r="VQ135" s="5"/>
      <c r="VR135" s="5"/>
      <c r="VS135" s="5"/>
      <c r="VT135" s="5"/>
      <c r="VU135" s="5"/>
      <c r="VV135" s="5"/>
      <c r="VW135" s="5"/>
      <c r="VX135" s="5"/>
      <c r="VY135" s="5"/>
      <c r="VZ135" s="5"/>
      <c r="WA135" s="5"/>
      <c r="WB135" s="5"/>
      <c r="WC135" s="5"/>
      <c r="WD135" s="5"/>
      <c r="WE135" s="5"/>
      <c r="WF135" s="5"/>
      <c r="WG135" s="5"/>
      <c r="WH135" s="5"/>
      <c r="WI135" s="5"/>
      <c r="WJ135" s="5"/>
      <c r="WK135" s="5"/>
      <c r="WL135" s="5"/>
      <c r="WM135" s="5"/>
      <c r="WN135" s="5"/>
      <c r="WO135" s="5"/>
      <c r="WP135" s="5"/>
      <c r="WQ135" s="5"/>
      <c r="WR135" s="5"/>
      <c r="WS135" s="5"/>
      <c r="WT135" s="5"/>
      <c r="WU135" s="5"/>
      <c r="WV135" s="5"/>
      <c r="WW135" s="5"/>
      <c r="WX135" s="5"/>
      <c r="WY135" s="5"/>
      <c r="WZ135" s="5"/>
      <c r="XA135" s="5"/>
      <c r="XB135" s="5"/>
      <c r="XC135" s="5"/>
      <c r="XD135" s="5"/>
      <c r="XE135" s="5"/>
      <c r="XF135" s="5"/>
      <c r="XG135" s="5"/>
      <c r="XH135" s="5"/>
      <c r="XI135" s="5"/>
      <c r="XJ135" s="5"/>
      <c r="XK135" s="5"/>
      <c r="XL135" s="5"/>
      <c r="XM135" s="5"/>
      <c r="XN135" s="5"/>
      <c r="XO135" s="5"/>
      <c r="XP135" s="5"/>
      <c r="XQ135" s="5"/>
      <c r="XR135" s="5"/>
      <c r="XS135" s="5"/>
      <c r="XT135" s="5"/>
      <c r="XU135" s="5"/>
      <c r="XV135" s="5"/>
      <c r="XW135" s="5"/>
      <c r="XX135" s="5"/>
      <c r="XY135" s="5"/>
      <c r="XZ135" s="5"/>
      <c r="YA135" s="5"/>
      <c r="YB135" s="5"/>
      <c r="YC135" s="5"/>
      <c r="YD135" s="5"/>
      <c r="YE135" s="5"/>
      <c r="YF135" s="5"/>
      <c r="YG135" s="5"/>
      <c r="YH135" s="5"/>
      <c r="YI135" s="5"/>
      <c r="YJ135" s="5"/>
      <c r="YK135" s="5"/>
      <c r="YL135" s="5"/>
      <c r="YM135" s="5"/>
      <c r="YN135" s="5"/>
      <c r="YO135" s="5"/>
      <c r="YP135" s="5"/>
      <c r="YQ135" s="5"/>
      <c r="YR135" s="5"/>
      <c r="YS135" s="5"/>
      <c r="YT135" s="5"/>
      <c r="YU135" s="5"/>
      <c r="YV135" s="5"/>
      <c r="YW135" s="5"/>
      <c r="YX135" s="5"/>
      <c r="YY135" s="5"/>
      <c r="YZ135" s="5"/>
    </row>
    <row r="136" spans="1:676">
      <c r="A136" s="7">
        <v>126</v>
      </c>
      <c r="B136" s="7" t="s">
        <v>321</v>
      </c>
      <c r="C136" s="10" t="s">
        <v>322</v>
      </c>
      <c r="D136" s="7" t="s">
        <v>40</v>
      </c>
      <c r="E136" s="7" t="s">
        <v>175</v>
      </c>
      <c r="F136" s="7" t="s">
        <v>291</v>
      </c>
      <c r="G136" s="7"/>
      <c r="H136" s="7"/>
      <c r="I136" s="11">
        <v>2</v>
      </c>
      <c r="J136" s="11">
        <v>3</v>
      </c>
      <c r="K136" s="11">
        <v>0</v>
      </c>
      <c r="L136" s="11">
        <v>2.84</v>
      </c>
      <c r="M136" s="11">
        <v>0</v>
      </c>
      <c r="N136" s="11">
        <v>0</v>
      </c>
      <c r="O136" s="11">
        <v>1.35</v>
      </c>
      <c r="P136" s="11">
        <v>0</v>
      </c>
      <c r="Q136" s="11">
        <v>4.19</v>
      </c>
      <c r="R136" s="11">
        <v>56.82999999999998</v>
      </c>
      <c r="S136" s="11">
        <v>61.01999999999998</v>
      </c>
      <c r="T136" s="11">
        <v>2</v>
      </c>
      <c r="U136" s="11">
        <v>3</v>
      </c>
      <c r="V136" s="11">
        <v>56.01999999999998</v>
      </c>
      <c r="W136" s="13">
        <v>24</v>
      </c>
      <c r="X136" s="13">
        <v>36</v>
      </c>
      <c r="Y136" s="13" t="str">
        <f>MIN(W136,S136)</f>
        <v>0</v>
      </c>
      <c r="Z136" s="13" t="str">
        <f>MIN(X136,(S136-Y136))</f>
        <v>0</v>
      </c>
      <c r="AA136" s="13" t="str">
        <f>S136-SUM(Y136,Z136)</f>
        <v>0</v>
      </c>
      <c r="AB136" s="15"/>
      <c r="AC136" s="15"/>
      <c r="AD136" s="1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5"/>
      <c r="FV136" s="5"/>
      <c r="FW136" s="5"/>
      <c r="FX136" s="5"/>
      <c r="FY136" s="5"/>
      <c r="FZ136" s="5"/>
      <c r="GA136" s="5"/>
      <c r="GB136" s="5"/>
      <c r="GC136" s="5"/>
      <c r="GD136" s="5"/>
      <c r="GE136" s="5"/>
      <c r="GF136" s="5"/>
      <c r="GG136" s="5"/>
      <c r="GH136" s="5"/>
      <c r="GI136" s="5"/>
      <c r="GJ136" s="5"/>
      <c r="GK136" s="5"/>
      <c r="GL136" s="5"/>
      <c r="GM136" s="5"/>
      <c r="GN136" s="5"/>
      <c r="GO136" s="5"/>
      <c r="GP136" s="5"/>
      <c r="GQ136" s="5"/>
      <c r="GR136" s="5"/>
      <c r="GS136" s="5"/>
      <c r="GT136" s="5"/>
      <c r="GU136" s="5"/>
      <c r="GV136" s="5"/>
      <c r="GW136" s="5"/>
      <c r="GX136" s="5"/>
      <c r="GY136" s="5"/>
      <c r="GZ136" s="5"/>
      <c r="HA136" s="5"/>
      <c r="HB136" s="5"/>
      <c r="HC136" s="5"/>
      <c r="HD136" s="5"/>
      <c r="HE136" s="5"/>
      <c r="HF136" s="5"/>
      <c r="HG136" s="5"/>
      <c r="HH136" s="5"/>
      <c r="HI136" s="5"/>
      <c r="HJ136" s="5"/>
      <c r="HK136" s="5"/>
      <c r="HL136" s="5"/>
      <c r="HM136" s="5"/>
      <c r="HN136" s="5"/>
      <c r="HO136" s="5"/>
      <c r="HP136" s="5"/>
      <c r="HQ136" s="5"/>
      <c r="HR136" s="5"/>
      <c r="HS136" s="5"/>
      <c r="HT136" s="5"/>
      <c r="HU136" s="5"/>
      <c r="HV136" s="5"/>
      <c r="HW136" s="5"/>
      <c r="HX136" s="5"/>
      <c r="HY136" s="5"/>
      <c r="HZ136" s="5"/>
      <c r="IA136" s="5"/>
      <c r="IB136" s="5"/>
      <c r="IC136" s="5"/>
      <c r="ID136" s="5"/>
      <c r="IE136" s="5"/>
      <c r="IF136" s="5"/>
      <c r="IG136" s="5"/>
      <c r="IH136" s="5"/>
      <c r="II136" s="5"/>
      <c r="IJ136" s="5"/>
      <c r="IK136" s="5"/>
      <c r="IL136" s="5"/>
      <c r="IM136" s="5"/>
      <c r="IN136" s="5"/>
      <c r="IO136" s="5"/>
      <c r="IP136" s="5"/>
      <c r="IQ136" s="5"/>
      <c r="IR136" s="5"/>
      <c r="IS136" s="5"/>
      <c r="IT136" s="5"/>
      <c r="IU136" s="5"/>
      <c r="IV136" s="5"/>
      <c r="IW136" s="5"/>
      <c r="IX136" s="5"/>
      <c r="IY136" s="5"/>
      <c r="IZ136" s="5"/>
      <c r="JA136" s="5"/>
      <c r="JB136" s="5"/>
      <c r="JC136" s="5"/>
      <c r="JD136" s="5"/>
      <c r="JE136" s="5"/>
      <c r="JF136" s="5"/>
      <c r="JG136" s="5"/>
      <c r="JH136" s="5"/>
      <c r="JI136" s="5"/>
      <c r="JJ136" s="5"/>
      <c r="JK136" s="5"/>
      <c r="JL136" s="5"/>
      <c r="JM136" s="5"/>
      <c r="JN136" s="5"/>
      <c r="JO136" s="5"/>
      <c r="JP136" s="5"/>
      <c r="JQ136" s="5"/>
      <c r="JR136" s="5"/>
      <c r="JS136" s="5"/>
      <c r="JT136" s="5"/>
      <c r="JU136" s="5"/>
      <c r="JV136" s="5"/>
      <c r="JW136" s="5"/>
      <c r="JX136" s="5"/>
      <c r="JY136" s="5"/>
      <c r="JZ136" s="5"/>
      <c r="KA136" s="5"/>
      <c r="KB136" s="5"/>
      <c r="KC136" s="5"/>
      <c r="KD136" s="5"/>
      <c r="KE136" s="5"/>
      <c r="KF136" s="5"/>
      <c r="KG136" s="5"/>
      <c r="KH136" s="5"/>
      <c r="KI136" s="5"/>
      <c r="KJ136" s="5"/>
      <c r="KK136" s="5"/>
      <c r="KL136" s="5"/>
      <c r="KM136" s="5"/>
      <c r="KN136" s="5"/>
      <c r="KO136" s="5"/>
      <c r="KP136" s="5"/>
      <c r="KQ136" s="5"/>
      <c r="KR136" s="5"/>
      <c r="KS136" s="5"/>
      <c r="KT136" s="5"/>
      <c r="KU136" s="5"/>
      <c r="KV136" s="5"/>
      <c r="KW136" s="5"/>
      <c r="KX136" s="5"/>
      <c r="KY136" s="5"/>
      <c r="KZ136" s="5"/>
      <c r="LA136" s="5"/>
      <c r="LB136" s="5"/>
      <c r="LC136" s="5"/>
      <c r="LD136" s="5"/>
      <c r="LE136" s="5"/>
      <c r="LF136" s="5"/>
      <c r="LG136" s="5"/>
      <c r="LH136" s="5"/>
      <c r="LI136" s="5"/>
      <c r="LJ136" s="5"/>
      <c r="LK136" s="5"/>
      <c r="LL136" s="5"/>
      <c r="LM136" s="5"/>
      <c r="LN136" s="5"/>
      <c r="LO136" s="5"/>
      <c r="LP136" s="5"/>
      <c r="LQ136" s="5"/>
      <c r="LR136" s="5"/>
      <c r="LS136" s="5"/>
      <c r="LT136" s="5"/>
      <c r="LU136" s="5"/>
      <c r="LV136" s="5"/>
      <c r="LW136" s="5"/>
      <c r="LX136" s="5"/>
      <c r="LY136" s="5"/>
      <c r="LZ136" s="5"/>
      <c r="MA136" s="5"/>
      <c r="MB136" s="5"/>
      <c r="MC136" s="5"/>
      <c r="MD136" s="5"/>
      <c r="ME136" s="5"/>
      <c r="MF136" s="5"/>
      <c r="MG136" s="5"/>
      <c r="MH136" s="5"/>
      <c r="MI136" s="5"/>
      <c r="MJ136" s="5"/>
      <c r="MK136" s="5"/>
      <c r="ML136" s="5"/>
      <c r="MM136" s="5"/>
      <c r="MN136" s="5"/>
      <c r="MO136" s="5"/>
      <c r="MP136" s="5"/>
      <c r="MQ136" s="5"/>
      <c r="MR136" s="5"/>
      <c r="MS136" s="5"/>
      <c r="MT136" s="5"/>
      <c r="MU136" s="5"/>
      <c r="MV136" s="5"/>
      <c r="MW136" s="5"/>
      <c r="MX136" s="5"/>
      <c r="MY136" s="5"/>
      <c r="MZ136" s="5"/>
      <c r="NA136" s="5"/>
      <c r="NB136" s="5"/>
      <c r="NC136" s="5"/>
      <c r="ND136" s="5"/>
      <c r="NE136" s="5"/>
      <c r="NF136" s="5"/>
      <c r="NG136" s="5"/>
      <c r="NH136" s="5"/>
      <c r="NI136" s="5"/>
      <c r="NJ136" s="5"/>
      <c r="NK136" s="5"/>
      <c r="NL136" s="5"/>
      <c r="NM136" s="5"/>
      <c r="NN136" s="5"/>
      <c r="NO136" s="5"/>
      <c r="NP136" s="5"/>
      <c r="NQ136" s="5"/>
      <c r="NR136" s="5"/>
      <c r="NS136" s="5"/>
      <c r="NT136" s="5"/>
      <c r="NU136" s="5"/>
      <c r="NV136" s="5"/>
      <c r="NW136" s="5"/>
      <c r="NX136" s="5"/>
      <c r="NY136" s="5"/>
      <c r="NZ136" s="5"/>
      <c r="OA136" s="5"/>
      <c r="OB136" s="5"/>
      <c r="OC136" s="5"/>
      <c r="OD136" s="5"/>
      <c r="OE136" s="5"/>
      <c r="OF136" s="5"/>
      <c r="OG136" s="5"/>
      <c r="OH136" s="5"/>
      <c r="OI136" s="5"/>
      <c r="OJ136" s="5"/>
      <c r="OK136" s="5"/>
      <c r="OL136" s="5"/>
      <c r="OM136" s="5"/>
      <c r="ON136" s="5"/>
      <c r="OO136" s="5"/>
      <c r="OP136" s="5"/>
      <c r="OQ136" s="5"/>
      <c r="OR136" s="5"/>
      <c r="OS136" s="5"/>
      <c r="OT136" s="5"/>
      <c r="OU136" s="5"/>
      <c r="OV136" s="5"/>
      <c r="OW136" s="5"/>
      <c r="OX136" s="5"/>
      <c r="OY136" s="5"/>
      <c r="OZ136" s="5"/>
      <c r="PA136" s="5"/>
      <c r="PB136" s="5"/>
      <c r="PC136" s="5"/>
      <c r="PD136" s="5"/>
      <c r="PE136" s="5"/>
      <c r="PF136" s="5"/>
      <c r="PG136" s="5"/>
      <c r="PH136" s="5"/>
      <c r="PI136" s="5"/>
      <c r="PJ136" s="5"/>
      <c r="PK136" s="5"/>
      <c r="PL136" s="5"/>
      <c r="PM136" s="5"/>
      <c r="PN136" s="5"/>
      <c r="PO136" s="5"/>
      <c r="PP136" s="5"/>
      <c r="PQ136" s="5"/>
      <c r="PR136" s="5"/>
      <c r="PS136" s="5"/>
      <c r="PT136" s="5"/>
      <c r="PU136" s="5"/>
      <c r="PV136" s="5"/>
      <c r="PW136" s="5"/>
      <c r="PX136" s="5"/>
      <c r="PY136" s="5"/>
      <c r="PZ136" s="5"/>
      <c r="QA136" s="5"/>
      <c r="QB136" s="5"/>
      <c r="QC136" s="5"/>
      <c r="QD136" s="5"/>
      <c r="QE136" s="5"/>
      <c r="QF136" s="5"/>
      <c r="QG136" s="5"/>
      <c r="QH136" s="5"/>
      <c r="QI136" s="5"/>
      <c r="QJ136" s="5"/>
      <c r="QK136" s="5"/>
      <c r="QL136" s="5"/>
      <c r="QM136" s="5"/>
      <c r="QN136" s="5"/>
      <c r="QO136" s="5"/>
      <c r="QP136" s="5"/>
      <c r="QQ136" s="5"/>
      <c r="QR136" s="5"/>
      <c r="QS136" s="5"/>
      <c r="QT136" s="5"/>
      <c r="QU136" s="5"/>
      <c r="QV136" s="5"/>
      <c r="QW136" s="5"/>
      <c r="QX136" s="5"/>
      <c r="QY136" s="5"/>
      <c r="QZ136" s="5"/>
      <c r="RA136" s="5"/>
      <c r="RB136" s="5"/>
      <c r="RC136" s="5"/>
      <c r="RD136" s="5"/>
      <c r="RE136" s="5"/>
      <c r="RF136" s="5"/>
      <c r="RG136" s="5"/>
      <c r="RH136" s="5"/>
      <c r="RI136" s="5"/>
      <c r="RJ136" s="5"/>
      <c r="RK136" s="5"/>
      <c r="RL136" s="5"/>
      <c r="RM136" s="5"/>
      <c r="RN136" s="5"/>
      <c r="RO136" s="5"/>
      <c r="RP136" s="5"/>
      <c r="RQ136" s="5"/>
      <c r="RR136" s="5"/>
      <c r="RS136" s="5"/>
      <c r="RT136" s="5"/>
      <c r="RU136" s="5"/>
      <c r="RV136" s="5"/>
      <c r="RW136" s="5"/>
      <c r="RX136" s="5"/>
      <c r="RY136" s="5"/>
      <c r="RZ136" s="5"/>
      <c r="SA136" s="5"/>
      <c r="SB136" s="5"/>
      <c r="SC136" s="5"/>
      <c r="SD136" s="5"/>
      <c r="SE136" s="5"/>
      <c r="SF136" s="5"/>
      <c r="SG136" s="5"/>
      <c r="SH136" s="5"/>
      <c r="SI136" s="5"/>
      <c r="SJ136" s="5"/>
      <c r="SK136" s="5"/>
      <c r="SL136" s="5"/>
      <c r="SM136" s="5"/>
      <c r="SN136" s="5"/>
      <c r="SO136" s="5"/>
      <c r="SP136" s="5"/>
      <c r="SQ136" s="5"/>
      <c r="SR136" s="5"/>
      <c r="SS136" s="5"/>
      <c r="ST136" s="5"/>
      <c r="SU136" s="5"/>
      <c r="SV136" s="5"/>
      <c r="SW136" s="5"/>
      <c r="SX136" s="5"/>
      <c r="SY136" s="5"/>
      <c r="SZ136" s="5"/>
      <c r="TA136" s="5"/>
      <c r="TB136" s="5"/>
      <c r="TC136" s="5"/>
      <c r="TD136" s="5"/>
      <c r="TE136" s="5"/>
      <c r="TF136" s="5"/>
      <c r="TG136" s="5"/>
      <c r="TH136" s="5"/>
      <c r="TI136" s="5"/>
      <c r="TJ136" s="5"/>
      <c r="TK136" s="5"/>
      <c r="TL136" s="5"/>
      <c r="TM136" s="5"/>
      <c r="TN136" s="5"/>
      <c r="TO136" s="5"/>
      <c r="TP136" s="5"/>
      <c r="TQ136" s="5"/>
      <c r="TR136" s="5"/>
      <c r="TS136" s="5"/>
      <c r="TT136" s="5"/>
      <c r="TU136" s="5"/>
      <c r="TV136" s="5"/>
      <c r="TW136" s="5"/>
      <c r="TX136" s="5"/>
      <c r="TY136" s="5"/>
      <c r="TZ136" s="5"/>
      <c r="UA136" s="5"/>
      <c r="UB136" s="5"/>
      <c r="UC136" s="5"/>
      <c r="UD136" s="5"/>
      <c r="UE136" s="5"/>
      <c r="UF136" s="5"/>
      <c r="UG136" s="5"/>
      <c r="UH136" s="5"/>
      <c r="UI136" s="5"/>
      <c r="UJ136" s="5"/>
      <c r="UK136" s="5"/>
      <c r="UL136" s="5"/>
      <c r="UM136" s="5"/>
      <c r="UN136" s="5"/>
      <c r="UO136" s="5"/>
      <c r="UP136" s="5"/>
      <c r="UQ136" s="5"/>
      <c r="UR136" s="5"/>
      <c r="US136" s="5"/>
      <c r="UT136" s="5"/>
      <c r="UU136" s="5"/>
      <c r="UV136" s="5"/>
      <c r="UW136" s="5"/>
      <c r="UX136" s="5"/>
      <c r="UY136" s="5"/>
      <c r="UZ136" s="5"/>
      <c r="VA136" s="5"/>
      <c r="VB136" s="5"/>
      <c r="VC136" s="5"/>
      <c r="VD136" s="5"/>
      <c r="VE136" s="5"/>
      <c r="VF136" s="5"/>
      <c r="VG136" s="5"/>
      <c r="VH136" s="5"/>
      <c r="VI136" s="5"/>
      <c r="VJ136" s="5"/>
      <c r="VK136" s="5"/>
      <c r="VL136" s="5"/>
      <c r="VM136" s="5"/>
      <c r="VN136" s="5"/>
      <c r="VO136" s="5"/>
      <c r="VP136" s="5"/>
      <c r="VQ136" s="5"/>
      <c r="VR136" s="5"/>
      <c r="VS136" s="5"/>
      <c r="VT136" s="5"/>
      <c r="VU136" s="5"/>
      <c r="VV136" s="5"/>
      <c r="VW136" s="5"/>
      <c r="VX136" s="5"/>
      <c r="VY136" s="5"/>
      <c r="VZ136" s="5"/>
      <c r="WA136" s="5"/>
      <c r="WB136" s="5"/>
      <c r="WC136" s="5"/>
      <c r="WD136" s="5"/>
      <c r="WE136" s="5"/>
      <c r="WF136" s="5"/>
      <c r="WG136" s="5"/>
      <c r="WH136" s="5"/>
      <c r="WI136" s="5"/>
      <c r="WJ136" s="5"/>
      <c r="WK136" s="5"/>
      <c r="WL136" s="5"/>
      <c r="WM136" s="5"/>
      <c r="WN136" s="5"/>
      <c r="WO136" s="5"/>
      <c r="WP136" s="5"/>
      <c r="WQ136" s="5"/>
      <c r="WR136" s="5"/>
      <c r="WS136" s="5"/>
      <c r="WT136" s="5"/>
      <c r="WU136" s="5"/>
      <c r="WV136" s="5"/>
      <c r="WW136" s="5"/>
      <c r="WX136" s="5"/>
      <c r="WY136" s="5"/>
      <c r="WZ136" s="5"/>
      <c r="XA136" s="5"/>
      <c r="XB136" s="5"/>
      <c r="XC136" s="5"/>
      <c r="XD136" s="5"/>
      <c r="XE136" s="5"/>
      <c r="XF136" s="5"/>
      <c r="XG136" s="5"/>
      <c r="XH136" s="5"/>
      <c r="XI136" s="5"/>
      <c r="XJ136" s="5"/>
      <c r="XK136" s="5"/>
      <c r="XL136" s="5"/>
      <c r="XM136" s="5"/>
      <c r="XN136" s="5"/>
      <c r="XO136" s="5"/>
      <c r="XP136" s="5"/>
      <c r="XQ136" s="5"/>
      <c r="XR136" s="5"/>
      <c r="XS136" s="5"/>
      <c r="XT136" s="5"/>
      <c r="XU136" s="5"/>
      <c r="XV136" s="5"/>
      <c r="XW136" s="5"/>
      <c r="XX136" s="5"/>
      <c r="XY136" s="5"/>
      <c r="XZ136" s="5"/>
      <c r="YA136" s="5"/>
      <c r="YB136" s="5"/>
      <c r="YC136" s="5"/>
      <c r="YD136" s="5"/>
      <c r="YE136" s="5"/>
      <c r="YF136" s="5"/>
      <c r="YG136" s="5"/>
      <c r="YH136" s="5"/>
      <c r="YI136" s="5"/>
      <c r="YJ136" s="5"/>
      <c r="YK136" s="5"/>
      <c r="YL136" s="5"/>
      <c r="YM136" s="5"/>
      <c r="YN136" s="5"/>
      <c r="YO136" s="5"/>
      <c r="YP136" s="5"/>
      <c r="YQ136" s="5"/>
      <c r="YR136" s="5"/>
      <c r="YS136" s="5"/>
      <c r="YT136" s="5"/>
      <c r="YU136" s="5"/>
      <c r="YV136" s="5"/>
      <c r="YW136" s="5"/>
      <c r="YX136" s="5"/>
      <c r="YY136" s="5"/>
      <c r="YZ136" s="5"/>
    </row>
    <row r="137" spans="1:676">
      <c r="A137" s="7">
        <v>127</v>
      </c>
      <c r="B137" s="7" t="s">
        <v>323</v>
      </c>
      <c r="C137" s="10" t="s">
        <v>324</v>
      </c>
      <c r="D137" s="7" t="s">
        <v>40</v>
      </c>
      <c r="E137" s="7" t="s">
        <v>325</v>
      </c>
      <c r="F137" s="7" t="s">
        <v>291</v>
      </c>
      <c r="G137" s="7"/>
      <c r="H137" s="7" t="s">
        <v>43</v>
      </c>
      <c r="I137" s="11">
        <v>2</v>
      </c>
      <c r="J137" s="11">
        <v>3</v>
      </c>
      <c r="K137" s="11">
        <v>0</v>
      </c>
      <c r="L137" s="11">
        <v>1.77</v>
      </c>
      <c r="M137" s="11">
        <v>0</v>
      </c>
      <c r="N137" s="11">
        <v>0</v>
      </c>
      <c r="O137" s="11">
        <v>0.35</v>
      </c>
      <c r="P137" s="11">
        <v>0</v>
      </c>
      <c r="Q137" s="11">
        <v>2.12</v>
      </c>
      <c r="R137" s="11">
        <v>32.68</v>
      </c>
      <c r="S137" s="11">
        <v>34.8</v>
      </c>
      <c r="T137" s="11">
        <v>2</v>
      </c>
      <c r="U137" s="11">
        <v>3</v>
      </c>
      <c r="V137" s="11">
        <v>29.8</v>
      </c>
      <c r="W137" s="13">
        <v>24</v>
      </c>
      <c r="X137" s="13">
        <v>36</v>
      </c>
      <c r="Y137" s="13" t="str">
        <f>MIN(W137,S137)</f>
        <v>0</v>
      </c>
      <c r="Z137" s="13" t="str">
        <f>MIN(X137,(S137-Y137))</f>
        <v>0</v>
      </c>
      <c r="AA137" s="13" t="str">
        <f>S137-SUM(Y137,Z137)</f>
        <v>0</v>
      </c>
      <c r="AB137" s="15"/>
      <c r="AC137" s="15"/>
      <c r="AD137" s="1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5"/>
      <c r="FH137" s="5"/>
      <c r="FI137" s="5"/>
      <c r="FJ137" s="5"/>
      <c r="FK137" s="5"/>
      <c r="FL137" s="5"/>
      <c r="FM137" s="5"/>
      <c r="FN137" s="5"/>
      <c r="FO137" s="5"/>
      <c r="FP137" s="5"/>
      <c r="FQ137" s="5"/>
      <c r="FR137" s="5"/>
      <c r="FS137" s="5"/>
      <c r="FT137" s="5"/>
      <c r="FU137" s="5"/>
      <c r="FV137" s="5"/>
      <c r="FW137" s="5"/>
      <c r="FX137" s="5"/>
      <c r="FY137" s="5"/>
      <c r="FZ137" s="5"/>
      <c r="GA137" s="5"/>
      <c r="GB137" s="5"/>
      <c r="GC137" s="5"/>
      <c r="GD137" s="5"/>
      <c r="GE137" s="5"/>
      <c r="GF137" s="5"/>
      <c r="GG137" s="5"/>
      <c r="GH137" s="5"/>
      <c r="GI137" s="5"/>
      <c r="GJ137" s="5"/>
      <c r="GK137" s="5"/>
      <c r="GL137" s="5"/>
      <c r="GM137" s="5"/>
      <c r="GN137" s="5"/>
      <c r="GO137" s="5"/>
      <c r="GP137" s="5"/>
      <c r="GQ137" s="5"/>
      <c r="GR137" s="5"/>
      <c r="GS137" s="5"/>
      <c r="GT137" s="5"/>
      <c r="GU137" s="5"/>
      <c r="GV137" s="5"/>
      <c r="GW137" s="5"/>
      <c r="GX137" s="5"/>
      <c r="GY137" s="5"/>
      <c r="GZ137" s="5"/>
      <c r="HA137" s="5"/>
      <c r="HB137" s="5"/>
      <c r="HC137" s="5"/>
      <c r="HD137" s="5"/>
      <c r="HE137" s="5"/>
      <c r="HF137" s="5"/>
      <c r="HG137" s="5"/>
      <c r="HH137" s="5"/>
      <c r="HI137" s="5"/>
      <c r="HJ137" s="5"/>
      <c r="HK137" s="5"/>
      <c r="HL137" s="5"/>
      <c r="HM137" s="5"/>
      <c r="HN137" s="5"/>
      <c r="HO137" s="5"/>
      <c r="HP137" s="5"/>
      <c r="HQ137" s="5"/>
      <c r="HR137" s="5"/>
      <c r="HS137" s="5"/>
      <c r="HT137" s="5"/>
      <c r="HU137" s="5"/>
      <c r="HV137" s="5"/>
      <c r="HW137" s="5"/>
      <c r="HX137" s="5"/>
      <c r="HY137" s="5"/>
      <c r="HZ137" s="5"/>
      <c r="IA137" s="5"/>
      <c r="IB137" s="5"/>
      <c r="IC137" s="5"/>
      <c r="ID137" s="5"/>
      <c r="IE137" s="5"/>
      <c r="IF137" s="5"/>
      <c r="IG137" s="5"/>
      <c r="IH137" s="5"/>
      <c r="II137" s="5"/>
      <c r="IJ137" s="5"/>
      <c r="IK137" s="5"/>
      <c r="IL137" s="5"/>
      <c r="IM137" s="5"/>
      <c r="IN137" s="5"/>
      <c r="IO137" s="5"/>
      <c r="IP137" s="5"/>
      <c r="IQ137" s="5"/>
      <c r="IR137" s="5"/>
      <c r="IS137" s="5"/>
      <c r="IT137" s="5"/>
      <c r="IU137" s="5"/>
      <c r="IV137" s="5"/>
      <c r="IW137" s="5"/>
      <c r="IX137" s="5"/>
      <c r="IY137" s="5"/>
      <c r="IZ137" s="5"/>
      <c r="JA137" s="5"/>
      <c r="JB137" s="5"/>
      <c r="JC137" s="5"/>
      <c r="JD137" s="5"/>
      <c r="JE137" s="5"/>
      <c r="JF137" s="5"/>
      <c r="JG137" s="5"/>
      <c r="JH137" s="5"/>
      <c r="JI137" s="5"/>
      <c r="JJ137" s="5"/>
      <c r="JK137" s="5"/>
      <c r="JL137" s="5"/>
      <c r="JM137" s="5"/>
      <c r="JN137" s="5"/>
      <c r="JO137" s="5"/>
      <c r="JP137" s="5"/>
      <c r="JQ137" s="5"/>
      <c r="JR137" s="5"/>
      <c r="JS137" s="5"/>
      <c r="JT137" s="5"/>
      <c r="JU137" s="5"/>
      <c r="JV137" s="5"/>
      <c r="JW137" s="5"/>
      <c r="JX137" s="5"/>
      <c r="JY137" s="5"/>
      <c r="JZ137" s="5"/>
      <c r="KA137" s="5"/>
      <c r="KB137" s="5"/>
      <c r="KC137" s="5"/>
      <c r="KD137" s="5"/>
      <c r="KE137" s="5"/>
      <c r="KF137" s="5"/>
      <c r="KG137" s="5"/>
      <c r="KH137" s="5"/>
      <c r="KI137" s="5"/>
      <c r="KJ137" s="5"/>
      <c r="KK137" s="5"/>
      <c r="KL137" s="5"/>
      <c r="KM137" s="5"/>
      <c r="KN137" s="5"/>
      <c r="KO137" s="5"/>
      <c r="KP137" s="5"/>
      <c r="KQ137" s="5"/>
      <c r="KR137" s="5"/>
      <c r="KS137" s="5"/>
      <c r="KT137" s="5"/>
      <c r="KU137" s="5"/>
      <c r="KV137" s="5"/>
      <c r="KW137" s="5"/>
      <c r="KX137" s="5"/>
      <c r="KY137" s="5"/>
      <c r="KZ137" s="5"/>
      <c r="LA137" s="5"/>
      <c r="LB137" s="5"/>
      <c r="LC137" s="5"/>
      <c r="LD137" s="5"/>
      <c r="LE137" s="5"/>
      <c r="LF137" s="5"/>
      <c r="LG137" s="5"/>
      <c r="LH137" s="5"/>
      <c r="LI137" s="5"/>
      <c r="LJ137" s="5"/>
      <c r="LK137" s="5"/>
      <c r="LL137" s="5"/>
      <c r="LM137" s="5"/>
      <c r="LN137" s="5"/>
      <c r="LO137" s="5"/>
      <c r="LP137" s="5"/>
      <c r="LQ137" s="5"/>
      <c r="LR137" s="5"/>
      <c r="LS137" s="5"/>
      <c r="LT137" s="5"/>
      <c r="LU137" s="5"/>
      <c r="LV137" s="5"/>
      <c r="LW137" s="5"/>
      <c r="LX137" s="5"/>
      <c r="LY137" s="5"/>
      <c r="LZ137" s="5"/>
      <c r="MA137" s="5"/>
      <c r="MB137" s="5"/>
      <c r="MC137" s="5"/>
      <c r="MD137" s="5"/>
      <c r="ME137" s="5"/>
      <c r="MF137" s="5"/>
      <c r="MG137" s="5"/>
      <c r="MH137" s="5"/>
      <c r="MI137" s="5"/>
      <c r="MJ137" s="5"/>
      <c r="MK137" s="5"/>
      <c r="ML137" s="5"/>
      <c r="MM137" s="5"/>
      <c r="MN137" s="5"/>
      <c r="MO137" s="5"/>
      <c r="MP137" s="5"/>
      <c r="MQ137" s="5"/>
      <c r="MR137" s="5"/>
      <c r="MS137" s="5"/>
      <c r="MT137" s="5"/>
      <c r="MU137" s="5"/>
      <c r="MV137" s="5"/>
      <c r="MW137" s="5"/>
      <c r="MX137" s="5"/>
      <c r="MY137" s="5"/>
      <c r="MZ137" s="5"/>
      <c r="NA137" s="5"/>
      <c r="NB137" s="5"/>
      <c r="NC137" s="5"/>
      <c r="ND137" s="5"/>
      <c r="NE137" s="5"/>
      <c r="NF137" s="5"/>
      <c r="NG137" s="5"/>
      <c r="NH137" s="5"/>
      <c r="NI137" s="5"/>
      <c r="NJ137" s="5"/>
      <c r="NK137" s="5"/>
      <c r="NL137" s="5"/>
      <c r="NM137" s="5"/>
      <c r="NN137" s="5"/>
      <c r="NO137" s="5"/>
      <c r="NP137" s="5"/>
      <c r="NQ137" s="5"/>
      <c r="NR137" s="5"/>
      <c r="NS137" s="5"/>
      <c r="NT137" s="5"/>
      <c r="NU137" s="5"/>
      <c r="NV137" s="5"/>
      <c r="NW137" s="5"/>
      <c r="NX137" s="5"/>
      <c r="NY137" s="5"/>
      <c r="NZ137" s="5"/>
      <c r="OA137" s="5"/>
      <c r="OB137" s="5"/>
      <c r="OC137" s="5"/>
      <c r="OD137" s="5"/>
      <c r="OE137" s="5"/>
      <c r="OF137" s="5"/>
      <c r="OG137" s="5"/>
      <c r="OH137" s="5"/>
      <c r="OI137" s="5"/>
      <c r="OJ137" s="5"/>
      <c r="OK137" s="5"/>
      <c r="OL137" s="5"/>
      <c r="OM137" s="5"/>
      <c r="ON137" s="5"/>
      <c r="OO137" s="5"/>
      <c r="OP137" s="5"/>
      <c r="OQ137" s="5"/>
      <c r="OR137" s="5"/>
      <c r="OS137" s="5"/>
      <c r="OT137" s="5"/>
      <c r="OU137" s="5"/>
      <c r="OV137" s="5"/>
      <c r="OW137" s="5"/>
      <c r="OX137" s="5"/>
      <c r="OY137" s="5"/>
      <c r="OZ137" s="5"/>
      <c r="PA137" s="5"/>
      <c r="PB137" s="5"/>
      <c r="PC137" s="5"/>
      <c r="PD137" s="5"/>
      <c r="PE137" s="5"/>
      <c r="PF137" s="5"/>
      <c r="PG137" s="5"/>
      <c r="PH137" s="5"/>
      <c r="PI137" s="5"/>
      <c r="PJ137" s="5"/>
      <c r="PK137" s="5"/>
      <c r="PL137" s="5"/>
      <c r="PM137" s="5"/>
      <c r="PN137" s="5"/>
      <c r="PO137" s="5"/>
      <c r="PP137" s="5"/>
      <c r="PQ137" s="5"/>
      <c r="PR137" s="5"/>
      <c r="PS137" s="5"/>
      <c r="PT137" s="5"/>
      <c r="PU137" s="5"/>
      <c r="PV137" s="5"/>
      <c r="PW137" s="5"/>
      <c r="PX137" s="5"/>
      <c r="PY137" s="5"/>
      <c r="PZ137" s="5"/>
      <c r="QA137" s="5"/>
      <c r="QB137" s="5"/>
      <c r="QC137" s="5"/>
      <c r="QD137" s="5"/>
      <c r="QE137" s="5"/>
      <c r="QF137" s="5"/>
      <c r="QG137" s="5"/>
      <c r="QH137" s="5"/>
      <c r="QI137" s="5"/>
      <c r="QJ137" s="5"/>
      <c r="QK137" s="5"/>
      <c r="QL137" s="5"/>
      <c r="QM137" s="5"/>
      <c r="QN137" s="5"/>
      <c r="QO137" s="5"/>
      <c r="QP137" s="5"/>
      <c r="QQ137" s="5"/>
      <c r="QR137" s="5"/>
      <c r="QS137" s="5"/>
      <c r="QT137" s="5"/>
      <c r="QU137" s="5"/>
      <c r="QV137" s="5"/>
      <c r="QW137" s="5"/>
      <c r="QX137" s="5"/>
      <c r="QY137" s="5"/>
      <c r="QZ137" s="5"/>
      <c r="RA137" s="5"/>
      <c r="RB137" s="5"/>
      <c r="RC137" s="5"/>
      <c r="RD137" s="5"/>
      <c r="RE137" s="5"/>
      <c r="RF137" s="5"/>
      <c r="RG137" s="5"/>
      <c r="RH137" s="5"/>
      <c r="RI137" s="5"/>
      <c r="RJ137" s="5"/>
      <c r="RK137" s="5"/>
      <c r="RL137" s="5"/>
      <c r="RM137" s="5"/>
      <c r="RN137" s="5"/>
      <c r="RO137" s="5"/>
      <c r="RP137" s="5"/>
      <c r="RQ137" s="5"/>
      <c r="RR137" s="5"/>
      <c r="RS137" s="5"/>
      <c r="RT137" s="5"/>
      <c r="RU137" s="5"/>
      <c r="RV137" s="5"/>
      <c r="RW137" s="5"/>
      <c r="RX137" s="5"/>
      <c r="RY137" s="5"/>
      <c r="RZ137" s="5"/>
      <c r="SA137" s="5"/>
      <c r="SB137" s="5"/>
      <c r="SC137" s="5"/>
      <c r="SD137" s="5"/>
      <c r="SE137" s="5"/>
      <c r="SF137" s="5"/>
      <c r="SG137" s="5"/>
      <c r="SH137" s="5"/>
      <c r="SI137" s="5"/>
      <c r="SJ137" s="5"/>
      <c r="SK137" s="5"/>
      <c r="SL137" s="5"/>
      <c r="SM137" s="5"/>
      <c r="SN137" s="5"/>
      <c r="SO137" s="5"/>
      <c r="SP137" s="5"/>
      <c r="SQ137" s="5"/>
      <c r="SR137" s="5"/>
      <c r="SS137" s="5"/>
      <c r="ST137" s="5"/>
      <c r="SU137" s="5"/>
      <c r="SV137" s="5"/>
      <c r="SW137" s="5"/>
      <c r="SX137" s="5"/>
      <c r="SY137" s="5"/>
      <c r="SZ137" s="5"/>
      <c r="TA137" s="5"/>
      <c r="TB137" s="5"/>
      <c r="TC137" s="5"/>
      <c r="TD137" s="5"/>
      <c r="TE137" s="5"/>
      <c r="TF137" s="5"/>
      <c r="TG137" s="5"/>
      <c r="TH137" s="5"/>
      <c r="TI137" s="5"/>
      <c r="TJ137" s="5"/>
      <c r="TK137" s="5"/>
      <c r="TL137" s="5"/>
      <c r="TM137" s="5"/>
      <c r="TN137" s="5"/>
      <c r="TO137" s="5"/>
      <c r="TP137" s="5"/>
      <c r="TQ137" s="5"/>
      <c r="TR137" s="5"/>
      <c r="TS137" s="5"/>
      <c r="TT137" s="5"/>
      <c r="TU137" s="5"/>
      <c r="TV137" s="5"/>
      <c r="TW137" s="5"/>
      <c r="TX137" s="5"/>
      <c r="TY137" s="5"/>
      <c r="TZ137" s="5"/>
      <c r="UA137" s="5"/>
      <c r="UB137" s="5"/>
      <c r="UC137" s="5"/>
      <c r="UD137" s="5"/>
      <c r="UE137" s="5"/>
      <c r="UF137" s="5"/>
      <c r="UG137" s="5"/>
      <c r="UH137" s="5"/>
      <c r="UI137" s="5"/>
      <c r="UJ137" s="5"/>
      <c r="UK137" s="5"/>
      <c r="UL137" s="5"/>
      <c r="UM137" s="5"/>
      <c r="UN137" s="5"/>
      <c r="UO137" s="5"/>
      <c r="UP137" s="5"/>
      <c r="UQ137" s="5"/>
      <c r="UR137" s="5"/>
      <c r="US137" s="5"/>
      <c r="UT137" s="5"/>
      <c r="UU137" s="5"/>
      <c r="UV137" s="5"/>
      <c r="UW137" s="5"/>
      <c r="UX137" s="5"/>
      <c r="UY137" s="5"/>
      <c r="UZ137" s="5"/>
      <c r="VA137" s="5"/>
      <c r="VB137" s="5"/>
      <c r="VC137" s="5"/>
      <c r="VD137" s="5"/>
      <c r="VE137" s="5"/>
      <c r="VF137" s="5"/>
      <c r="VG137" s="5"/>
      <c r="VH137" s="5"/>
      <c r="VI137" s="5"/>
      <c r="VJ137" s="5"/>
      <c r="VK137" s="5"/>
      <c r="VL137" s="5"/>
      <c r="VM137" s="5"/>
      <c r="VN137" s="5"/>
      <c r="VO137" s="5"/>
      <c r="VP137" s="5"/>
      <c r="VQ137" s="5"/>
      <c r="VR137" s="5"/>
      <c r="VS137" s="5"/>
      <c r="VT137" s="5"/>
      <c r="VU137" s="5"/>
      <c r="VV137" s="5"/>
      <c r="VW137" s="5"/>
      <c r="VX137" s="5"/>
      <c r="VY137" s="5"/>
      <c r="VZ137" s="5"/>
      <c r="WA137" s="5"/>
      <c r="WB137" s="5"/>
      <c r="WC137" s="5"/>
      <c r="WD137" s="5"/>
      <c r="WE137" s="5"/>
      <c r="WF137" s="5"/>
      <c r="WG137" s="5"/>
      <c r="WH137" s="5"/>
      <c r="WI137" s="5"/>
      <c r="WJ137" s="5"/>
      <c r="WK137" s="5"/>
      <c r="WL137" s="5"/>
      <c r="WM137" s="5"/>
      <c r="WN137" s="5"/>
      <c r="WO137" s="5"/>
      <c r="WP137" s="5"/>
      <c r="WQ137" s="5"/>
      <c r="WR137" s="5"/>
      <c r="WS137" s="5"/>
      <c r="WT137" s="5"/>
      <c r="WU137" s="5"/>
      <c r="WV137" s="5"/>
      <c r="WW137" s="5"/>
      <c r="WX137" s="5"/>
      <c r="WY137" s="5"/>
      <c r="WZ137" s="5"/>
      <c r="XA137" s="5"/>
      <c r="XB137" s="5"/>
      <c r="XC137" s="5"/>
      <c r="XD137" s="5"/>
      <c r="XE137" s="5"/>
      <c r="XF137" s="5"/>
      <c r="XG137" s="5"/>
      <c r="XH137" s="5"/>
      <c r="XI137" s="5"/>
      <c r="XJ137" s="5"/>
      <c r="XK137" s="5"/>
      <c r="XL137" s="5"/>
      <c r="XM137" s="5"/>
      <c r="XN137" s="5"/>
      <c r="XO137" s="5"/>
      <c r="XP137" s="5"/>
      <c r="XQ137" s="5"/>
      <c r="XR137" s="5"/>
      <c r="XS137" s="5"/>
      <c r="XT137" s="5"/>
      <c r="XU137" s="5"/>
      <c r="XV137" s="5"/>
      <c r="XW137" s="5"/>
      <c r="XX137" s="5"/>
      <c r="XY137" s="5"/>
      <c r="XZ137" s="5"/>
      <c r="YA137" s="5"/>
      <c r="YB137" s="5"/>
      <c r="YC137" s="5"/>
      <c r="YD137" s="5"/>
      <c r="YE137" s="5"/>
      <c r="YF137" s="5"/>
      <c r="YG137" s="5"/>
      <c r="YH137" s="5"/>
      <c r="YI137" s="5"/>
      <c r="YJ137" s="5"/>
      <c r="YK137" s="5"/>
      <c r="YL137" s="5"/>
      <c r="YM137" s="5"/>
      <c r="YN137" s="5"/>
      <c r="YO137" s="5"/>
      <c r="YP137" s="5"/>
      <c r="YQ137" s="5"/>
      <c r="YR137" s="5"/>
      <c r="YS137" s="5"/>
      <c r="YT137" s="5"/>
      <c r="YU137" s="5"/>
      <c r="YV137" s="5"/>
      <c r="YW137" s="5"/>
      <c r="YX137" s="5"/>
      <c r="YY137" s="5"/>
      <c r="YZ137" s="5"/>
    </row>
    <row r="138" spans="1:676">
      <c r="A138" s="7">
        <v>128</v>
      </c>
      <c r="B138" s="7" t="s">
        <v>326</v>
      </c>
      <c r="C138" s="10" t="s">
        <v>327</v>
      </c>
      <c r="D138" s="7" t="s">
        <v>60</v>
      </c>
      <c r="E138" s="7" t="s">
        <v>175</v>
      </c>
      <c r="F138" s="7" t="s">
        <v>291</v>
      </c>
      <c r="G138" s="7"/>
      <c r="H138" s="7" t="s">
        <v>43</v>
      </c>
      <c r="I138" s="11">
        <v>2</v>
      </c>
      <c r="J138" s="11">
        <v>3</v>
      </c>
      <c r="K138" s="11">
        <v>0</v>
      </c>
      <c r="L138" s="11">
        <v>3.39</v>
      </c>
      <c r="M138" s="11">
        <v>0</v>
      </c>
      <c r="N138" s="11">
        <v>0</v>
      </c>
      <c r="O138" s="11">
        <v>0.27</v>
      </c>
      <c r="P138" s="11">
        <v>0</v>
      </c>
      <c r="Q138" s="11">
        <v>3.66</v>
      </c>
      <c r="R138" s="11">
        <v>53.20999999999999</v>
      </c>
      <c r="S138" s="11">
        <v>56.86999999999999</v>
      </c>
      <c r="T138" s="11">
        <v>2</v>
      </c>
      <c r="U138" s="11">
        <v>3</v>
      </c>
      <c r="V138" s="11">
        <v>51.86999999999999</v>
      </c>
      <c r="W138" s="13">
        <v>24</v>
      </c>
      <c r="X138" s="13">
        <v>36</v>
      </c>
      <c r="Y138" s="13" t="str">
        <f>MIN(W138,S138)</f>
        <v>0</v>
      </c>
      <c r="Z138" s="13" t="str">
        <f>MIN(X138,(S138-Y138))</f>
        <v>0</v>
      </c>
      <c r="AA138" s="13" t="str">
        <f>S138-SUM(Y138,Z138)</f>
        <v>0</v>
      </c>
      <c r="AB138" s="15"/>
      <c r="AC138" s="15"/>
      <c r="AD138" s="1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  <c r="EY138" s="5"/>
      <c r="EZ138" s="5"/>
      <c r="FA138" s="5"/>
      <c r="FB138" s="5"/>
      <c r="FC138" s="5"/>
      <c r="FD138" s="5"/>
      <c r="FE138" s="5"/>
      <c r="FF138" s="5"/>
      <c r="FG138" s="5"/>
      <c r="FH138" s="5"/>
      <c r="FI138" s="5"/>
      <c r="FJ138" s="5"/>
      <c r="FK138" s="5"/>
      <c r="FL138" s="5"/>
      <c r="FM138" s="5"/>
      <c r="FN138" s="5"/>
      <c r="FO138" s="5"/>
      <c r="FP138" s="5"/>
      <c r="FQ138" s="5"/>
      <c r="FR138" s="5"/>
      <c r="FS138" s="5"/>
      <c r="FT138" s="5"/>
      <c r="FU138" s="5"/>
      <c r="FV138" s="5"/>
      <c r="FW138" s="5"/>
      <c r="FX138" s="5"/>
      <c r="FY138" s="5"/>
      <c r="FZ138" s="5"/>
      <c r="GA138" s="5"/>
      <c r="GB138" s="5"/>
      <c r="GC138" s="5"/>
      <c r="GD138" s="5"/>
      <c r="GE138" s="5"/>
      <c r="GF138" s="5"/>
      <c r="GG138" s="5"/>
      <c r="GH138" s="5"/>
      <c r="GI138" s="5"/>
      <c r="GJ138" s="5"/>
      <c r="GK138" s="5"/>
      <c r="GL138" s="5"/>
      <c r="GM138" s="5"/>
      <c r="GN138" s="5"/>
      <c r="GO138" s="5"/>
      <c r="GP138" s="5"/>
      <c r="GQ138" s="5"/>
      <c r="GR138" s="5"/>
      <c r="GS138" s="5"/>
      <c r="GT138" s="5"/>
      <c r="GU138" s="5"/>
      <c r="GV138" s="5"/>
      <c r="GW138" s="5"/>
      <c r="GX138" s="5"/>
      <c r="GY138" s="5"/>
      <c r="GZ138" s="5"/>
      <c r="HA138" s="5"/>
      <c r="HB138" s="5"/>
      <c r="HC138" s="5"/>
      <c r="HD138" s="5"/>
      <c r="HE138" s="5"/>
      <c r="HF138" s="5"/>
      <c r="HG138" s="5"/>
      <c r="HH138" s="5"/>
      <c r="HI138" s="5"/>
      <c r="HJ138" s="5"/>
      <c r="HK138" s="5"/>
      <c r="HL138" s="5"/>
      <c r="HM138" s="5"/>
      <c r="HN138" s="5"/>
      <c r="HO138" s="5"/>
      <c r="HP138" s="5"/>
      <c r="HQ138" s="5"/>
      <c r="HR138" s="5"/>
      <c r="HS138" s="5"/>
      <c r="HT138" s="5"/>
      <c r="HU138" s="5"/>
      <c r="HV138" s="5"/>
      <c r="HW138" s="5"/>
      <c r="HX138" s="5"/>
      <c r="HY138" s="5"/>
      <c r="HZ138" s="5"/>
      <c r="IA138" s="5"/>
      <c r="IB138" s="5"/>
      <c r="IC138" s="5"/>
      <c r="ID138" s="5"/>
      <c r="IE138" s="5"/>
      <c r="IF138" s="5"/>
      <c r="IG138" s="5"/>
      <c r="IH138" s="5"/>
      <c r="II138" s="5"/>
      <c r="IJ138" s="5"/>
      <c r="IK138" s="5"/>
      <c r="IL138" s="5"/>
      <c r="IM138" s="5"/>
      <c r="IN138" s="5"/>
      <c r="IO138" s="5"/>
      <c r="IP138" s="5"/>
      <c r="IQ138" s="5"/>
      <c r="IR138" s="5"/>
      <c r="IS138" s="5"/>
      <c r="IT138" s="5"/>
      <c r="IU138" s="5"/>
      <c r="IV138" s="5"/>
      <c r="IW138" s="5"/>
      <c r="IX138" s="5"/>
      <c r="IY138" s="5"/>
      <c r="IZ138" s="5"/>
      <c r="JA138" s="5"/>
      <c r="JB138" s="5"/>
      <c r="JC138" s="5"/>
      <c r="JD138" s="5"/>
      <c r="JE138" s="5"/>
      <c r="JF138" s="5"/>
      <c r="JG138" s="5"/>
      <c r="JH138" s="5"/>
      <c r="JI138" s="5"/>
      <c r="JJ138" s="5"/>
      <c r="JK138" s="5"/>
      <c r="JL138" s="5"/>
      <c r="JM138" s="5"/>
      <c r="JN138" s="5"/>
      <c r="JO138" s="5"/>
      <c r="JP138" s="5"/>
      <c r="JQ138" s="5"/>
      <c r="JR138" s="5"/>
      <c r="JS138" s="5"/>
      <c r="JT138" s="5"/>
      <c r="JU138" s="5"/>
      <c r="JV138" s="5"/>
      <c r="JW138" s="5"/>
      <c r="JX138" s="5"/>
      <c r="JY138" s="5"/>
      <c r="JZ138" s="5"/>
      <c r="KA138" s="5"/>
      <c r="KB138" s="5"/>
      <c r="KC138" s="5"/>
      <c r="KD138" s="5"/>
      <c r="KE138" s="5"/>
      <c r="KF138" s="5"/>
      <c r="KG138" s="5"/>
      <c r="KH138" s="5"/>
      <c r="KI138" s="5"/>
      <c r="KJ138" s="5"/>
      <c r="KK138" s="5"/>
      <c r="KL138" s="5"/>
      <c r="KM138" s="5"/>
      <c r="KN138" s="5"/>
      <c r="KO138" s="5"/>
      <c r="KP138" s="5"/>
      <c r="KQ138" s="5"/>
      <c r="KR138" s="5"/>
      <c r="KS138" s="5"/>
      <c r="KT138" s="5"/>
      <c r="KU138" s="5"/>
      <c r="KV138" s="5"/>
      <c r="KW138" s="5"/>
      <c r="KX138" s="5"/>
      <c r="KY138" s="5"/>
      <c r="KZ138" s="5"/>
      <c r="LA138" s="5"/>
      <c r="LB138" s="5"/>
      <c r="LC138" s="5"/>
      <c r="LD138" s="5"/>
      <c r="LE138" s="5"/>
      <c r="LF138" s="5"/>
      <c r="LG138" s="5"/>
      <c r="LH138" s="5"/>
      <c r="LI138" s="5"/>
      <c r="LJ138" s="5"/>
      <c r="LK138" s="5"/>
      <c r="LL138" s="5"/>
      <c r="LM138" s="5"/>
      <c r="LN138" s="5"/>
      <c r="LO138" s="5"/>
      <c r="LP138" s="5"/>
      <c r="LQ138" s="5"/>
      <c r="LR138" s="5"/>
      <c r="LS138" s="5"/>
      <c r="LT138" s="5"/>
      <c r="LU138" s="5"/>
      <c r="LV138" s="5"/>
      <c r="LW138" s="5"/>
      <c r="LX138" s="5"/>
      <c r="LY138" s="5"/>
      <c r="LZ138" s="5"/>
      <c r="MA138" s="5"/>
      <c r="MB138" s="5"/>
      <c r="MC138" s="5"/>
      <c r="MD138" s="5"/>
      <c r="ME138" s="5"/>
      <c r="MF138" s="5"/>
      <c r="MG138" s="5"/>
      <c r="MH138" s="5"/>
      <c r="MI138" s="5"/>
      <c r="MJ138" s="5"/>
      <c r="MK138" s="5"/>
      <c r="ML138" s="5"/>
      <c r="MM138" s="5"/>
      <c r="MN138" s="5"/>
      <c r="MO138" s="5"/>
      <c r="MP138" s="5"/>
      <c r="MQ138" s="5"/>
      <c r="MR138" s="5"/>
      <c r="MS138" s="5"/>
      <c r="MT138" s="5"/>
      <c r="MU138" s="5"/>
      <c r="MV138" s="5"/>
      <c r="MW138" s="5"/>
      <c r="MX138" s="5"/>
      <c r="MY138" s="5"/>
      <c r="MZ138" s="5"/>
      <c r="NA138" s="5"/>
      <c r="NB138" s="5"/>
      <c r="NC138" s="5"/>
      <c r="ND138" s="5"/>
      <c r="NE138" s="5"/>
      <c r="NF138" s="5"/>
      <c r="NG138" s="5"/>
      <c r="NH138" s="5"/>
      <c r="NI138" s="5"/>
      <c r="NJ138" s="5"/>
      <c r="NK138" s="5"/>
      <c r="NL138" s="5"/>
      <c r="NM138" s="5"/>
      <c r="NN138" s="5"/>
      <c r="NO138" s="5"/>
      <c r="NP138" s="5"/>
      <c r="NQ138" s="5"/>
      <c r="NR138" s="5"/>
      <c r="NS138" s="5"/>
      <c r="NT138" s="5"/>
      <c r="NU138" s="5"/>
      <c r="NV138" s="5"/>
      <c r="NW138" s="5"/>
      <c r="NX138" s="5"/>
      <c r="NY138" s="5"/>
      <c r="NZ138" s="5"/>
      <c r="OA138" s="5"/>
      <c r="OB138" s="5"/>
      <c r="OC138" s="5"/>
      <c r="OD138" s="5"/>
      <c r="OE138" s="5"/>
      <c r="OF138" s="5"/>
      <c r="OG138" s="5"/>
      <c r="OH138" s="5"/>
      <c r="OI138" s="5"/>
      <c r="OJ138" s="5"/>
      <c r="OK138" s="5"/>
      <c r="OL138" s="5"/>
      <c r="OM138" s="5"/>
      <c r="ON138" s="5"/>
      <c r="OO138" s="5"/>
      <c r="OP138" s="5"/>
      <c r="OQ138" s="5"/>
      <c r="OR138" s="5"/>
      <c r="OS138" s="5"/>
      <c r="OT138" s="5"/>
      <c r="OU138" s="5"/>
      <c r="OV138" s="5"/>
      <c r="OW138" s="5"/>
      <c r="OX138" s="5"/>
      <c r="OY138" s="5"/>
      <c r="OZ138" s="5"/>
      <c r="PA138" s="5"/>
      <c r="PB138" s="5"/>
      <c r="PC138" s="5"/>
      <c r="PD138" s="5"/>
      <c r="PE138" s="5"/>
      <c r="PF138" s="5"/>
      <c r="PG138" s="5"/>
      <c r="PH138" s="5"/>
      <c r="PI138" s="5"/>
      <c r="PJ138" s="5"/>
      <c r="PK138" s="5"/>
      <c r="PL138" s="5"/>
      <c r="PM138" s="5"/>
      <c r="PN138" s="5"/>
      <c r="PO138" s="5"/>
      <c r="PP138" s="5"/>
      <c r="PQ138" s="5"/>
      <c r="PR138" s="5"/>
      <c r="PS138" s="5"/>
      <c r="PT138" s="5"/>
      <c r="PU138" s="5"/>
      <c r="PV138" s="5"/>
      <c r="PW138" s="5"/>
      <c r="PX138" s="5"/>
      <c r="PY138" s="5"/>
      <c r="PZ138" s="5"/>
      <c r="QA138" s="5"/>
      <c r="QB138" s="5"/>
      <c r="QC138" s="5"/>
      <c r="QD138" s="5"/>
      <c r="QE138" s="5"/>
      <c r="QF138" s="5"/>
      <c r="QG138" s="5"/>
      <c r="QH138" s="5"/>
      <c r="QI138" s="5"/>
      <c r="QJ138" s="5"/>
      <c r="QK138" s="5"/>
      <c r="QL138" s="5"/>
      <c r="QM138" s="5"/>
      <c r="QN138" s="5"/>
      <c r="QO138" s="5"/>
      <c r="QP138" s="5"/>
      <c r="QQ138" s="5"/>
      <c r="QR138" s="5"/>
      <c r="QS138" s="5"/>
      <c r="QT138" s="5"/>
      <c r="QU138" s="5"/>
      <c r="QV138" s="5"/>
      <c r="QW138" s="5"/>
      <c r="QX138" s="5"/>
      <c r="QY138" s="5"/>
      <c r="QZ138" s="5"/>
      <c r="RA138" s="5"/>
      <c r="RB138" s="5"/>
      <c r="RC138" s="5"/>
      <c r="RD138" s="5"/>
      <c r="RE138" s="5"/>
      <c r="RF138" s="5"/>
      <c r="RG138" s="5"/>
      <c r="RH138" s="5"/>
      <c r="RI138" s="5"/>
      <c r="RJ138" s="5"/>
      <c r="RK138" s="5"/>
      <c r="RL138" s="5"/>
      <c r="RM138" s="5"/>
      <c r="RN138" s="5"/>
      <c r="RO138" s="5"/>
      <c r="RP138" s="5"/>
      <c r="RQ138" s="5"/>
      <c r="RR138" s="5"/>
      <c r="RS138" s="5"/>
      <c r="RT138" s="5"/>
      <c r="RU138" s="5"/>
      <c r="RV138" s="5"/>
      <c r="RW138" s="5"/>
      <c r="RX138" s="5"/>
      <c r="RY138" s="5"/>
      <c r="RZ138" s="5"/>
      <c r="SA138" s="5"/>
      <c r="SB138" s="5"/>
      <c r="SC138" s="5"/>
      <c r="SD138" s="5"/>
      <c r="SE138" s="5"/>
      <c r="SF138" s="5"/>
      <c r="SG138" s="5"/>
      <c r="SH138" s="5"/>
      <c r="SI138" s="5"/>
      <c r="SJ138" s="5"/>
      <c r="SK138" s="5"/>
      <c r="SL138" s="5"/>
      <c r="SM138" s="5"/>
      <c r="SN138" s="5"/>
      <c r="SO138" s="5"/>
      <c r="SP138" s="5"/>
      <c r="SQ138" s="5"/>
      <c r="SR138" s="5"/>
      <c r="SS138" s="5"/>
      <c r="ST138" s="5"/>
      <c r="SU138" s="5"/>
      <c r="SV138" s="5"/>
      <c r="SW138" s="5"/>
      <c r="SX138" s="5"/>
      <c r="SY138" s="5"/>
      <c r="SZ138" s="5"/>
      <c r="TA138" s="5"/>
      <c r="TB138" s="5"/>
      <c r="TC138" s="5"/>
      <c r="TD138" s="5"/>
      <c r="TE138" s="5"/>
      <c r="TF138" s="5"/>
      <c r="TG138" s="5"/>
      <c r="TH138" s="5"/>
      <c r="TI138" s="5"/>
      <c r="TJ138" s="5"/>
      <c r="TK138" s="5"/>
      <c r="TL138" s="5"/>
      <c r="TM138" s="5"/>
      <c r="TN138" s="5"/>
      <c r="TO138" s="5"/>
      <c r="TP138" s="5"/>
      <c r="TQ138" s="5"/>
      <c r="TR138" s="5"/>
      <c r="TS138" s="5"/>
      <c r="TT138" s="5"/>
      <c r="TU138" s="5"/>
      <c r="TV138" s="5"/>
      <c r="TW138" s="5"/>
      <c r="TX138" s="5"/>
      <c r="TY138" s="5"/>
      <c r="TZ138" s="5"/>
      <c r="UA138" s="5"/>
      <c r="UB138" s="5"/>
      <c r="UC138" s="5"/>
      <c r="UD138" s="5"/>
      <c r="UE138" s="5"/>
      <c r="UF138" s="5"/>
      <c r="UG138" s="5"/>
      <c r="UH138" s="5"/>
      <c r="UI138" s="5"/>
      <c r="UJ138" s="5"/>
      <c r="UK138" s="5"/>
      <c r="UL138" s="5"/>
      <c r="UM138" s="5"/>
      <c r="UN138" s="5"/>
      <c r="UO138" s="5"/>
      <c r="UP138" s="5"/>
      <c r="UQ138" s="5"/>
      <c r="UR138" s="5"/>
      <c r="US138" s="5"/>
      <c r="UT138" s="5"/>
      <c r="UU138" s="5"/>
      <c r="UV138" s="5"/>
      <c r="UW138" s="5"/>
      <c r="UX138" s="5"/>
      <c r="UY138" s="5"/>
      <c r="UZ138" s="5"/>
      <c r="VA138" s="5"/>
      <c r="VB138" s="5"/>
      <c r="VC138" s="5"/>
      <c r="VD138" s="5"/>
      <c r="VE138" s="5"/>
      <c r="VF138" s="5"/>
      <c r="VG138" s="5"/>
      <c r="VH138" s="5"/>
      <c r="VI138" s="5"/>
      <c r="VJ138" s="5"/>
      <c r="VK138" s="5"/>
      <c r="VL138" s="5"/>
      <c r="VM138" s="5"/>
      <c r="VN138" s="5"/>
      <c r="VO138" s="5"/>
      <c r="VP138" s="5"/>
      <c r="VQ138" s="5"/>
      <c r="VR138" s="5"/>
      <c r="VS138" s="5"/>
      <c r="VT138" s="5"/>
      <c r="VU138" s="5"/>
      <c r="VV138" s="5"/>
      <c r="VW138" s="5"/>
      <c r="VX138" s="5"/>
      <c r="VY138" s="5"/>
      <c r="VZ138" s="5"/>
      <c r="WA138" s="5"/>
      <c r="WB138" s="5"/>
      <c r="WC138" s="5"/>
      <c r="WD138" s="5"/>
      <c r="WE138" s="5"/>
      <c r="WF138" s="5"/>
      <c r="WG138" s="5"/>
      <c r="WH138" s="5"/>
      <c r="WI138" s="5"/>
      <c r="WJ138" s="5"/>
      <c r="WK138" s="5"/>
      <c r="WL138" s="5"/>
      <c r="WM138" s="5"/>
      <c r="WN138" s="5"/>
      <c r="WO138" s="5"/>
      <c r="WP138" s="5"/>
      <c r="WQ138" s="5"/>
      <c r="WR138" s="5"/>
      <c r="WS138" s="5"/>
      <c r="WT138" s="5"/>
      <c r="WU138" s="5"/>
      <c r="WV138" s="5"/>
      <c r="WW138" s="5"/>
      <c r="WX138" s="5"/>
      <c r="WY138" s="5"/>
      <c r="WZ138" s="5"/>
      <c r="XA138" s="5"/>
      <c r="XB138" s="5"/>
      <c r="XC138" s="5"/>
      <c r="XD138" s="5"/>
      <c r="XE138" s="5"/>
      <c r="XF138" s="5"/>
      <c r="XG138" s="5"/>
      <c r="XH138" s="5"/>
      <c r="XI138" s="5"/>
      <c r="XJ138" s="5"/>
      <c r="XK138" s="5"/>
      <c r="XL138" s="5"/>
      <c r="XM138" s="5"/>
      <c r="XN138" s="5"/>
      <c r="XO138" s="5"/>
      <c r="XP138" s="5"/>
      <c r="XQ138" s="5"/>
      <c r="XR138" s="5"/>
      <c r="XS138" s="5"/>
      <c r="XT138" s="5"/>
      <c r="XU138" s="5"/>
      <c r="XV138" s="5"/>
      <c r="XW138" s="5"/>
      <c r="XX138" s="5"/>
      <c r="XY138" s="5"/>
      <c r="XZ138" s="5"/>
      <c r="YA138" s="5"/>
      <c r="YB138" s="5"/>
      <c r="YC138" s="5"/>
      <c r="YD138" s="5"/>
      <c r="YE138" s="5"/>
      <c r="YF138" s="5"/>
      <c r="YG138" s="5"/>
      <c r="YH138" s="5"/>
      <c r="YI138" s="5"/>
      <c r="YJ138" s="5"/>
      <c r="YK138" s="5"/>
      <c r="YL138" s="5"/>
      <c r="YM138" s="5"/>
      <c r="YN138" s="5"/>
      <c r="YO138" s="5"/>
      <c r="YP138" s="5"/>
      <c r="YQ138" s="5"/>
      <c r="YR138" s="5"/>
      <c r="YS138" s="5"/>
      <c r="YT138" s="5"/>
      <c r="YU138" s="5"/>
      <c r="YV138" s="5"/>
      <c r="YW138" s="5"/>
      <c r="YX138" s="5"/>
      <c r="YY138" s="5"/>
      <c r="YZ138" s="5"/>
    </row>
    <row r="139" spans="1:676">
      <c r="A139" s="7">
        <v>129</v>
      </c>
      <c r="B139" s="7" t="s">
        <v>328</v>
      </c>
      <c r="C139" s="10" t="s">
        <v>329</v>
      </c>
      <c r="D139" s="7" t="s">
        <v>40</v>
      </c>
      <c r="E139" s="7" t="s">
        <v>175</v>
      </c>
      <c r="F139" s="7" t="s">
        <v>308</v>
      </c>
      <c r="G139" s="7"/>
      <c r="H139" s="7"/>
      <c r="I139" s="11">
        <v>2</v>
      </c>
      <c r="J139" s="11">
        <v>3</v>
      </c>
      <c r="K139" s="11">
        <v>0</v>
      </c>
      <c r="L139" s="11">
        <v>0.36</v>
      </c>
      <c r="M139" s="11">
        <v>0</v>
      </c>
      <c r="N139" s="11">
        <v>0</v>
      </c>
      <c r="O139" s="11">
        <v>0.18</v>
      </c>
      <c r="P139" s="11">
        <v>0</v>
      </c>
      <c r="Q139" s="11">
        <v>0.54</v>
      </c>
      <c r="R139" s="11">
        <v>7.98</v>
      </c>
      <c r="S139" s="11">
        <v>8.52</v>
      </c>
      <c r="T139" s="11">
        <v>2</v>
      </c>
      <c r="U139" s="11">
        <v>3</v>
      </c>
      <c r="V139" s="11">
        <v>3.52</v>
      </c>
      <c r="W139" s="13">
        <v>24</v>
      </c>
      <c r="X139" s="13">
        <v>36</v>
      </c>
      <c r="Y139" s="13" t="str">
        <f>MIN(W139,S139)</f>
        <v>0</v>
      </c>
      <c r="Z139" s="13" t="str">
        <f>MIN(X139,(S139-Y139))</f>
        <v>0</v>
      </c>
      <c r="AA139" s="13" t="str">
        <f>S139-SUM(Y139,Z139)</f>
        <v>0</v>
      </c>
      <c r="AB139" s="15"/>
      <c r="AC139" s="15"/>
      <c r="AD139" s="1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  <c r="EY139" s="5"/>
      <c r="EZ139" s="5"/>
      <c r="FA139" s="5"/>
      <c r="FB139" s="5"/>
      <c r="FC139" s="5"/>
      <c r="FD139" s="5"/>
      <c r="FE139" s="5"/>
      <c r="FF139" s="5"/>
      <c r="FG139" s="5"/>
      <c r="FH139" s="5"/>
      <c r="FI139" s="5"/>
      <c r="FJ139" s="5"/>
      <c r="FK139" s="5"/>
      <c r="FL139" s="5"/>
      <c r="FM139" s="5"/>
      <c r="FN139" s="5"/>
      <c r="FO139" s="5"/>
      <c r="FP139" s="5"/>
      <c r="FQ139" s="5"/>
      <c r="FR139" s="5"/>
      <c r="FS139" s="5"/>
      <c r="FT139" s="5"/>
      <c r="FU139" s="5"/>
      <c r="FV139" s="5"/>
      <c r="FW139" s="5"/>
      <c r="FX139" s="5"/>
      <c r="FY139" s="5"/>
      <c r="FZ139" s="5"/>
      <c r="GA139" s="5"/>
      <c r="GB139" s="5"/>
      <c r="GC139" s="5"/>
      <c r="GD139" s="5"/>
      <c r="GE139" s="5"/>
      <c r="GF139" s="5"/>
      <c r="GG139" s="5"/>
      <c r="GH139" s="5"/>
      <c r="GI139" s="5"/>
      <c r="GJ139" s="5"/>
      <c r="GK139" s="5"/>
      <c r="GL139" s="5"/>
      <c r="GM139" s="5"/>
      <c r="GN139" s="5"/>
      <c r="GO139" s="5"/>
      <c r="GP139" s="5"/>
      <c r="GQ139" s="5"/>
      <c r="GR139" s="5"/>
      <c r="GS139" s="5"/>
      <c r="GT139" s="5"/>
      <c r="GU139" s="5"/>
      <c r="GV139" s="5"/>
      <c r="GW139" s="5"/>
      <c r="GX139" s="5"/>
      <c r="GY139" s="5"/>
      <c r="GZ139" s="5"/>
      <c r="HA139" s="5"/>
      <c r="HB139" s="5"/>
      <c r="HC139" s="5"/>
      <c r="HD139" s="5"/>
      <c r="HE139" s="5"/>
      <c r="HF139" s="5"/>
      <c r="HG139" s="5"/>
      <c r="HH139" s="5"/>
      <c r="HI139" s="5"/>
      <c r="HJ139" s="5"/>
      <c r="HK139" s="5"/>
      <c r="HL139" s="5"/>
      <c r="HM139" s="5"/>
      <c r="HN139" s="5"/>
      <c r="HO139" s="5"/>
      <c r="HP139" s="5"/>
      <c r="HQ139" s="5"/>
      <c r="HR139" s="5"/>
      <c r="HS139" s="5"/>
      <c r="HT139" s="5"/>
      <c r="HU139" s="5"/>
      <c r="HV139" s="5"/>
      <c r="HW139" s="5"/>
      <c r="HX139" s="5"/>
      <c r="HY139" s="5"/>
      <c r="HZ139" s="5"/>
      <c r="IA139" s="5"/>
      <c r="IB139" s="5"/>
      <c r="IC139" s="5"/>
      <c r="ID139" s="5"/>
      <c r="IE139" s="5"/>
      <c r="IF139" s="5"/>
      <c r="IG139" s="5"/>
      <c r="IH139" s="5"/>
      <c r="II139" s="5"/>
      <c r="IJ139" s="5"/>
      <c r="IK139" s="5"/>
      <c r="IL139" s="5"/>
      <c r="IM139" s="5"/>
      <c r="IN139" s="5"/>
      <c r="IO139" s="5"/>
      <c r="IP139" s="5"/>
      <c r="IQ139" s="5"/>
      <c r="IR139" s="5"/>
      <c r="IS139" s="5"/>
      <c r="IT139" s="5"/>
      <c r="IU139" s="5"/>
      <c r="IV139" s="5"/>
      <c r="IW139" s="5"/>
      <c r="IX139" s="5"/>
      <c r="IY139" s="5"/>
      <c r="IZ139" s="5"/>
      <c r="JA139" s="5"/>
      <c r="JB139" s="5"/>
      <c r="JC139" s="5"/>
      <c r="JD139" s="5"/>
      <c r="JE139" s="5"/>
      <c r="JF139" s="5"/>
      <c r="JG139" s="5"/>
      <c r="JH139" s="5"/>
      <c r="JI139" s="5"/>
      <c r="JJ139" s="5"/>
      <c r="JK139" s="5"/>
      <c r="JL139" s="5"/>
      <c r="JM139" s="5"/>
      <c r="JN139" s="5"/>
      <c r="JO139" s="5"/>
      <c r="JP139" s="5"/>
      <c r="JQ139" s="5"/>
      <c r="JR139" s="5"/>
      <c r="JS139" s="5"/>
      <c r="JT139" s="5"/>
      <c r="JU139" s="5"/>
      <c r="JV139" s="5"/>
      <c r="JW139" s="5"/>
      <c r="JX139" s="5"/>
      <c r="JY139" s="5"/>
      <c r="JZ139" s="5"/>
      <c r="KA139" s="5"/>
      <c r="KB139" s="5"/>
      <c r="KC139" s="5"/>
      <c r="KD139" s="5"/>
      <c r="KE139" s="5"/>
      <c r="KF139" s="5"/>
      <c r="KG139" s="5"/>
      <c r="KH139" s="5"/>
      <c r="KI139" s="5"/>
      <c r="KJ139" s="5"/>
      <c r="KK139" s="5"/>
      <c r="KL139" s="5"/>
      <c r="KM139" s="5"/>
      <c r="KN139" s="5"/>
      <c r="KO139" s="5"/>
      <c r="KP139" s="5"/>
      <c r="KQ139" s="5"/>
      <c r="KR139" s="5"/>
      <c r="KS139" s="5"/>
      <c r="KT139" s="5"/>
      <c r="KU139" s="5"/>
      <c r="KV139" s="5"/>
      <c r="KW139" s="5"/>
      <c r="KX139" s="5"/>
      <c r="KY139" s="5"/>
      <c r="KZ139" s="5"/>
      <c r="LA139" s="5"/>
      <c r="LB139" s="5"/>
      <c r="LC139" s="5"/>
      <c r="LD139" s="5"/>
      <c r="LE139" s="5"/>
      <c r="LF139" s="5"/>
      <c r="LG139" s="5"/>
      <c r="LH139" s="5"/>
      <c r="LI139" s="5"/>
      <c r="LJ139" s="5"/>
      <c r="LK139" s="5"/>
      <c r="LL139" s="5"/>
      <c r="LM139" s="5"/>
      <c r="LN139" s="5"/>
      <c r="LO139" s="5"/>
      <c r="LP139" s="5"/>
      <c r="LQ139" s="5"/>
      <c r="LR139" s="5"/>
      <c r="LS139" s="5"/>
      <c r="LT139" s="5"/>
      <c r="LU139" s="5"/>
      <c r="LV139" s="5"/>
      <c r="LW139" s="5"/>
      <c r="LX139" s="5"/>
      <c r="LY139" s="5"/>
      <c r="LZ139" s="5"/>
      <c r="MA139" s="5"/>
      <c r="MB139" s="5"/>
      <c r="MC139" s="5"/>
      <c r="MD139" s="5"/>
      <c r="ME139" s="5"/>
      <c r="MF139" s="5"/>
      <c r="MG139" s="5"/>
      <c r="MH139" s="5"/>
      <c r="MI139" s="5"/>
      <c r="MJ139" s="5"/>
      <c r="MK139" s="5"/>
      <c r="ML139" s="5"/>
      <c r="MM139" s="5"/>
      <c r="MN139" s="5"/>
      <c r="MO139" s="5"/>
      <c r="MP139" s="5"/>
      <c r="MQ139" s="5"/>
      <c r="MR139" s="5"/>
      <c r="MS139" s="5"/>
      <c r="MT139" s="5"/>
      <c r="MU139" s="5"/>
      <c r="MV139" s="5"/>
      <c r="MW139" s="5"/>
      <c r="MX139" s="5"/>
      <c r="MY139" s="5"/>
      <c r="MZ139" s="5"/>
      <c r="NA139" s="5"/>
      <c r="NB139" s="5"/>
      <c r="NC139" s="5"/>
      <c r="ND139" s="5"/>
      <c r="NE139" s="5"/>
      <c r="NF139" s="5"/>
      <c r="NG139" s="5"/>
      <c r="NH139" s="5"/>
      <c r="NI139" s="5"/>
      <c r="NJ139" s="5"/>
      <c r="NK139" s="5"/>
      <c r="NL139" s="5"/>
      <c r="NM139" s="5"/>
      <c r="NN139" s="5"/>
      <c r="NO139" s="5"/>
      <c r="NP139" s="5"/>
      <c r="NQ139" s="5"/>
      <c r="NR139" s="5"/>
      <c r="NS139" s="5"/>
      <c r="NT139" s="5"/>
      <c r="NU139" s="5"/>
      <c r="NV139" s="5"/>
      <c r="NW139" s="5"/>
      <c r="NX139" s="5"/>
      <c r="NY139" s="5"/>
      <c r="NZ139" s="5"/>
      <c r="OA139" s="5"/>
      <c r="OB139" s="5"/>
      <c r="OC139" s="5"/>
      <c r="OD139" s="5"/>
      <c r="OE139" s="5"/>
      <c r="OF139" s="5"/>
      <c r="OG139" s="5"/>
      <c r="OH139" s="5"/>
      <c r="OI139" s="5"/>
      <c r="OJ139" s="5"/>
      <c r="OK139" s="5"/>
      <c r="OL139" s="5"/>
      <c r="OM139" s="5"/>
      <c r="ON139" s="5"/>
      <c r="OO139" s="5"/>
      <c r="OP139" s="5"/>
      <c r="OQ139" s="5"/>
      <c r="OR139" s="5"/>
      <c r="OS139" s="5"/>
      <c r="OT139" s="5"/>
      <c r="OU139" s="5"/>
      <c r="OV139" s="5"/>
      <c r="OW139" s="5"/>
      <c r="OX139" s="5"/>
      <c r="OY139" s="5"/>
      <c r="OZ139" s="5"/>
      <c r="PA139" s="5"/>
      <c r="PB139" s="5"/>
      <c r="PC139" s="5"/>
      <c r="PD139" s="5"/>
      <c r="PE139" s="5"/>
      <c r="PF139" s="5"/>
      <c r="PG139" s="5"/>
      <c r="PH139" s="5"/>
      <c r="PI139" s="5"/>
      <c r="PJ139" s="5"/>
      <c r="PK139" s="5"/>
      <c r="PL139" s="5"/>
      <c r="PM139" s="5"/>
      <c r="PN139" s="5"/>
      <c r="PO139" s="5"/>
      <c r="PP139" s="5"/>
      <c r="PQ139" s="5"/>
      <c r="PR139" s="5"/>
      <c r="PS139" s="5"/>
      <c r="PT139" s="5"/>
      <c r="PU139" s="5"/>
      <c r="PV139" s="5"/>
      <c r="PW139" s="5"/>
      <c r="PX139" s="5"/>
      <c r="PY139" s="5"/>
      <c r="PZ139" s="5"/>
      <c r="QA139" s="5"/>
      <c r="QB139" s="5"/>
      <c r="QC139" s="5"/>
      <c r="QD139" s="5"/>
      <c r="QE139" s="5"/>
      <c r="QF139" s="5"/>
      <c r="QG139" s="5"/>
      <c r="QH139" s="5"/>
      <c r="QI139" s="5"/>
      <c r="QJ139" s="5"/>
      <c r="QK139" s="5"/>
      <c r="QL139" s="5"/>
      <c r="QM139" s="5"/>
      <c r="QN139" s="5"/>
      <c r="QO139" s="5"/>
      <c r="QP139" s="5"/>
      <c r="QQ139" s="5"/>
      <c r="QR139" s="5"/>
      <c r="QS139" s="5"/>
      <c r="QT139" s="5"/>
      <c r="QU139" s="5"/>
      <c r="QV139" s="5"/>
      <c r="QW139" s="5"/>
      <c r="QX139" s="5"/>
      <c r="QY139" s="5"/>
      <c r="QZ139" s="5"/>
      <c r="RA139" s="5"/>
      <c r="RB139" s="5"/>
      <c r="RC139" s="5"/>
      <c r="RD139" s="5"/>
      <c r="RE139" s="5"/>
      <c r="RF139" s="5"/>
      <c r="RG139" s="5"/>
      <c r="RH139" s="5"/>
      <c r="RI139" s="5"/>
      <c r="RJ139" s="5"/>
      <c r="RK139" s="5"/>
      <c r="RL139" s="5"/>
      <c r="RM139" s="5"/>
      <c r="RN139" s="5"/>
      <c r="RO139" s="5"/>
      <c r="RP139" s="5"/>
      <c r="RQ139" s="5"/>
      <c r="RR139" s="5"/>
      <c r="RS139" s="5"/>
      <c r="RT139" s="5"/>
      <c r="RU139" s="5"/>
      <c r="RV139" s="5"/>
      <c r="RW139" s="5"/>
      <c r="RX139" s="5"/>
      <c r="RY139" s="5"/>
      <c r="RZ139" s="5"/>
      <c r="SA139" s="5"/>
      <c r="SB139" s="5"/>
      <c r="SC139" s="5"/>
      <c r="SD139" s="5"/>
      <c r="SE139" s="5"/>
      <c r="SF139" s="5"/>
      <c r="SG139" s="5"/>
      <c r="SH139" s="5"/>
      <c r="SI139" s="5"/>
      <c r="SJ139" s="5"/>
      <c r="SK139" s="5"/>
      <c r="SL139" s="5"/>
      <c r="SM139" s="5"/>
      <c r="SN139" s="5"/>
      <c r="SO139" s="5"/>
      <c r="SP139" s="5"/>
      <c r="SQ139" s="5"/>
      <c r="SR139" s="5"/>
      <c r="SS139" s="5"/>
      <c r="ST139" s="5"/>
      <c r="SU139" s="5"/>
      <c r="SV139" s="5"/>
      <c r="SW139" s="5"/>
      <c r="SX139" s="5"/>
      <c r="SY139" s="5"/>
      <c r="SZ139" s="5"/>
      <c r="TA139" s="5"/>
      <c r="TB139" s="5"/>
      <c r="TC139" s="5"/>
      <c r="TD139" s="5"/>
      <c r="TE139" s="5"/>
      <c r="TF139" s="5"/>
      <c r="TG139" s="5"/>
      <c r="TH139" s="5"/>
      <c r="TI139" s="5"/>
      <c r="TJ139" s="5"/>
      <c r="TK139" s="5"/>
      <c r="TL139" s="5"/>
      <c r="TM139" s="5"/>
      <c r="TN139" s="5"/>
      <c r="TO139" s="5"/>
      <c r="TP139" s="5"/>
      <c r="TQ139" s="5"/>
      <c r="TR139" s="5"/>
      <c r="TS139" s="5"/>
      <c r="TT139" s="5"/>
      <c r="TU139" s="5"/>
      <c r="TV139" s="5"/>
      <c r="TW139" s="5"/>
      <c r="TX139" s="5"/>
      <c r="TY139" s="5"/>
      <c r="TZ139" s="5"/>
      <c r="UA139" s="5"/>
      <c r="UB139" s="5"/>
      <c r="UC139" s="5"/>
      <c r="UD139" s="5"/>
      <c r="UE139" s="5"/>
      <c r="UF139" s="5"/>
      <c r="UG139" s="5"/>
      <c r="UH139" s="5"/>
      <c r="UI139" s="5"/>
      <c r="UJ139" s="5"/>
      <c r="UK139" s="5"/>
      <c r="UL139" s="5"/>
      <c r="UM139" s="5"/>
      <c r="UN139" s="5"/>
      <c r="UO139" s="5"/>
      <c r="UP139" s="5"/>
      <c r="UQ139" s="5"/>
      <c r="UR139" s="5"/>
      <c r="US139" s="5"/>
      <c r="UT139" s="5"/>
      <c r="UU139" s="5"/>
      <c r="UV139" s="5"/>
      <c r="UW139" s="5"/>
      <c r="UX139" s="5"/>
      <c r="UY139" s="5"/>
      <c r="UZ139" s="5"/>
      <c r="VA139" s="5"/>
      <c r="VB139" s="5"/>
      <c r="VC139" s="5"/>
      <c r="VD139" s="5"/>
      <c r="VE139" s="5"/>
      <c r="VF139" s="5"/>
      <c r="VG139" s="5"/>
      <c r="VH139" s="5"/>
      <c r="VI139" s="5"/>
      <c r="VJ139" s="5"/>
      <c r="VK139" s="5"/>
      <c r="VL139" s="5"/>
      <c r="VM139" s="5"/>
      <c r="VN139" s="5"/>
      <c r="VO139" s="5"/>
      <c r="VP139" s="5"/>
      <c r="VQ139" s="5"/>
      <c r="VR139" s="5"/>
      <c r="VS139" s="5"/>
      <c r="VT139" s="5"/>
      <c r="VU139" s="5"/>
      <c r="VV139" s="5"/>
      <c r="VW139" s="5"/>
      <c r="VX139" s="5"/>
      <c r="VY139" s="5"/>
      <c r="VZ139" s="5"/>
      <c r="WA139" s="5"/>
      <c r="WB139" s="5"/>
      <c r="WC139" s="5"/>
      <c r="WD139" s="5"/>
      <c r="WE139" s="5"/>
      <c r="WF139" s="5"/>
      <c r="WG139" s="5"/>
      <c r="WH139" s="5"/>
      <c r="WI139" s="5"/>
      <c r="WJ139" s="5"/>
      <c r="WK139" s="5"/>
      <c r="WL139" s="5"/>
      <c r="WM139" s="5"/>
      <c r="WN139" s="5"/>
      <c r="WO139" s="5"/>
      <c r="WP139" s="5"/>
      <c r="WQ139" s="5"/>
      <c r="WR139" s="5"/>
      <c r="WS139" s="5"/>
      <c r="WT139" s="5"/>
      <c r="WU139" s="5"/>
      <c r="WV139" s="5"/>
      <c r="WW139" s="5"/>
      <c r="WX139" s="5"/>
      <c r="WY139" s="5"/>
      <c r="WZ139" s="5"/>
      <c r="XA139" s="5"/>
      <c r="XB139" s="5"/>
      <c r="XC139" s="5"/>
      <c r="XD139" s="5"/>
      <c r="XE139" s="5"/>
      <c r="XF139" s="5"/>
      <c r="XG139" s="5"/>
      <c r="XH139" s="5"/>
      <c r="XI139" s="5"/>
      <c r="XJ139" s="5"/>
      <c r="XK139" s="5"/>
      <c r="XL139" s="5"/>
      <c r="XM139" s="5"/>
      <c r="XN139" s="5"/>
      <c r="XO139" s="5"/>
      <c r="XP139" s="5"/>
      <c r="XQ139" s="5"/>
      <c r="XR139" s="5"/>
      <c r="XS139" s="5"/>
      <c r="XT139" s="5"/>
      <c r="XU139" s="5"/>
      <c r="XV139" s="5"/>
      <c r="XW139" s="5"/>
      <c r="XX139" s="5"/>
      <c r="XY139" s="5"/>
      <c r="XZ139" s="5"/>
      <c r="YA139" s="5"/>
      <c r="YB139" s="5"/>
      <c r="YC139" s="5"/>
      <c r="YD139" s="5"/>
      <c r="YE139" s="5"/>
      <c r="YF139" s="5"/>
      <c r="YG139" s="5"/>
      <c r="YH139" s="5"/>
      <c r="YI139" s="5"/>
      <c r="YJ139" s="5"/>
      <c r="YK139" s="5"/>
      <c r="YL139" s="5"/>
      <c r="YM139" s="5"/>
      <c r="YN139" s="5"/>
      <c r="YO139" s="5"/>
      <c r="YP139" s="5"/>
      <c r="YQ139" s="5"/>
      <c r="YR139" s="5"/>
      <c r="YS139" s="5"/>
      <c r="YT139" s="5"/>
      <c r="YU139" s="5"/>
      <c r="YV139" s="5"/>
      <c r="YW139" s="5"/>
      <c r="YX139" s="5"/>
      <c r="YY139" s="5"/>
      <c r="YZ139" s="5"/>
    </row>
    <row r="140" spans="1:676">
      <c r="A140" s="7">
        <v>130</v>
      </c>
      <c r="B140" s="7" t="s">
        <v>330</v>
      </c>
      <c r="C140" s="10" t="s">
        <v>331</v>
      </c>
      <c r="D140" s="7" t="s">
        <v>48</v>
      </c>
      <c r="E140" s="7" t="s">
        <v>175</v>
      </c>
      <c r="F140" s="7" t="s">
        <v>286</v>
      </c>
      <c r="G140" s="7"/>
      <c r="H140" s="7"/>
      <c r="I140" s="11">
        <v>2</v>
      </c>
      <c r="J140" s="11">
        <v>3</v>
      </c>
      <c r="K140" s="11">
        <v>0</v>
      </c>
      <c r="L140" s="11">
        <v>2.03</v>
      </c>
      <c r="M140" s="11">
        <v>0.17</v>
      </c>
      <c r="N140" s="11">
        <v>0</v>
      </c>
      <c r="O140" s="11">
        <v>2.83</v>
      </c>
      <c r="P140" s="11">
        <v>0</v>
      </c>
      <c r="Q140" s="11">
        <v>5.029999999999999</v>
      </c>
      <c r="R140" s="11">
        <v>86.40999999999997</v>
      </c>
      <c r="S140" s="11">
        <v>91.43999999999997</v>
      </c>
      <c r="T140" s="11">
        <v>2</v>
      </c>
      <c r="U140" s="11">
        <v>3</v>
      </c>
      <c r="V140" s="11">
        <v>86.43999999999997</v>
      </c>
      <c r="W140" s="13">
        <v>24</v>
      </c>
      <c r="X140" s="13">
        <v>36</v>
      </c>
      <c r="Y140" s="13" t="str">
        <f>MIN(W140,S140)</f>
        <v>0</v>
      </c>
      <c r="Z140" s="13" t="str">
        <f>MIN(X140,(S140-Y140))</f>
        <v>0</v>
      </c>
      <c r="AA140" s="13" t="str">
        <f>S140-SUM(Y140,Z140)</f>
        <v>0</v>
      </c>
      <c r="AB140" s="15"/>
      <c r="AC140" s="15"/>
      <c r="AD140" s="1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  <c r="EI140" s="5"/>
      <c r="EJ140" s="5"/>
      <c r="EK140" s="5"/>
      <c r="EL140" s="5"/>
      <c r="EM140" s="5"/>
      <c r="EN140" s="5"/>
      <c r="EO140" s="5"/>
      <c r="EP140" s="5"/>
      <c r="EQ140" s="5"/>
      <c r="ER140" s="5"/>
      <c r="ES140" s="5"/>
      <c r="ET140" s="5"/>
      <c r="EU140" s="5"/>
      <c r="EV140" s="5"/>
      <c r="EW140" s="5"/>
      <c r="EX140" s="5"/>
      <c r="EY140" s="5"/>
      <c r="EZ140" s="5"/>
      <c r="FA140" s="5"/>
      <c r="FB140" s="5"/>
      <c r="FC140" s="5"/>
      <c r="FD140" s="5"/>
      <c r="FE140" s="5"/>
      <c r="FF140" s="5"/>
      <c r="FG140" s="5"/>
      <c r="FH140" s="5"/>
      <c r="FI140" s="5"/>
      <c r="FJ140" s="5"/>
      <c r="FK140" s="5"/>
      <c r="FL140" s="5"/>
      <c r="FM140" s="5"/>
      <c r="FN140" s="5"/>
      <c r="FO140" s="5"/>
      <c r="FP140" s="5"/>
      <c r="FQ140" s="5"/>
      <c r="FR140" s="5"/>
      <c r="FS140" s="5"/>
      <c r="FT140" s="5"/>
      <c r="FU140" s="5"/>
      <c r="FV140" s="5"/>
      <c r="FW140" s="5"/>
      <c r="FX140" s="5"/>
      <c r="FY140" s="5"/>
      <c r="FZ140" s="5"/>
      <c r="GA140" s="5"/>
      <c r="GB140" s="5"/>
      <c r="GC140" s="5"/>
      <c r="GD140" s="5"/>
      <c r="GE140" s="5"/>
      <c r="GF140" s="5"/>
      <c r="GG140" s="5"/>
      <c r="GH140" s="5"/>
      <c r="GI140" s="5"/>
      <c r="GJ140" s="5"/>
      <c r="GK140" s="5"/>
      <c r="GL140" s="5"/>
      <c r="GM140" s="5"/>
      <c r="GN140" s="5"/>
      <c r="GO140" s="5"/>
      <c r="GP140" s="5"/>
      <c r="GQ140" s="5"/>
      <c r="GR140" s="5"/>
      <c r="GS140" s="5"/>
      <c r="GT140" s="5"/>
      <c r="GU140" s="5"/>
      <c r="GV140" s="5"/>
      <c r="GW140" s="5"/>
      <c r="GX140" s="5"/>
      <c r="GY140" s="5"/>
      <c r="GZ140" s="5"/>
      <c r="HA140" s="5"/>
      <c r="HB140" s="5"/>
      <c r="HC140" s="5"/>
      <c r="HD140" s="5"/>
      <c r="HE140" s="5"/>
      <c r="HF140" s="5"/>
      <c r="HG140" s="5"/>
      <c r="HH140" s="5"/>
      <c r="HI140" s="5"/>
      <c r="HJ140" s="5"/>
      <c r="HK140" s="5"/>
      <c r="HL140" s="5"/>
      <c r="HM140" s="5"/>
      <c r="HN140" s="5"/>
      <c r="HO140" s="5"/>
      <c r="HP140" s="5"/>
      <c r="HQ140" s="5"/>
      <c r="HR140" s="5"/>
      <c r="HS140" s="5"/>
      <c r="HT140" s="5"/>
      <c r="HU140" s="5"/>
      <c r="HV140" s="5"/>
      <c r="HW140" s="5"/>
      <c r="HX140" s="5"/>
      <c r="HY140" s="5"/>
      <c r="HZ140" s="5"/>
      <c r="IA140" s="5"/>
      <c r="IB140" s="5"/>
      <c r="IC140" s="5"/>
      <c r="ID140" s="5"/>
      <c r="IE140" s="5"/>
      <c r="IF140" s="5"/>
      <c r="IG140" s="5"/>
      <c r="IH140" s="5"/>
      <c r="II140" s="5"/>
      <c r="IJ140" s="5"/>
      <c r="IK140" s="5"/>
      <c r="IL140" s="5"/>
      <c r="IM140" s="5"/>
      <c r="IN140" s="5"/>
      <c r="IO140" s="5"/>
      <c r="IP140" s="5"/>
      <c r="IQ140" s="5"/>
      <c r="IR140" s="5"/>
      <c r="IS140" s="5"/>
      <c r="IT140" s="5"/>
      <c r="IU140" s="5"/>
      <c r="IV140" s="5"/>
      <c r="IW140" s="5"/>
      <c r="IX140" s="5"/>
      <c r="IY140" s="5"/>
      <c r="IZ140" s="5"/>
      <c r="JA140" s="5"/>
      <c r="JB140" s="5"/>
      <c r="JC140" s="5"/>
      <c r="JD140" s="5"/>
      <c r="JE140" s="5"/>
      <c r="JF140" s="5"/>
      <c r="JG140" s="5"/>
      <c r="JH140" s="5"/>
      <c r="JI140" s="5"/>
      <c r="JJ140" s="5"/>
      <c r="JK140" s="5"/>
      <c r="JL140" s="5"/>
      <c r="JM140" s="5"/>
      <c r="JN140" s="5"/>
      <c r="JO140" s="5"/>
      <c r="JP140" s="5"/>
      <c r="JQ140" s="5"/>
      <c r="JR140" s="5"/>
      <c r="JS140" s="5"/>
      <c r="JT140" s="5"/>
      <c r="JU140" s="5"/>
      <c r="JV140" s="5"/>
      <c r="JW140" s="5"/>
      <c r="JX140" s="5"/>
      <c r="JY140" s="5"/>
      <c r="JZ140" s="5"/>
      <c r="KA140" s="5"/>
      <c r="KB140" s="5"/>
      <c r="KC140" s="5"/>
      <c r="KD140" s="5"/>
      <c r="KE140" s="5"/>
      <c r="KF140" s="5"/>
      <c r="KG140" s="5"/>
      <c r="KH140" s="5"/>
      <c r="KI140" s="5"/>
      <c r="KJ140" s="5"/>
      <c r="KK140" s="5"/>
      <c r="KL140" s="5"/>
      <c r="KM140" s="5"/>
      <c r="KN140" s="5"/>
      <c r="KO140" s="5"/>
      <c r="KP140" s="5"/>
      <c r="KQ140" s="5"/>
      <c r="KR140" s="5"/>
      <c r="KS140" s="5"/>
      <c r="KT140" s="5"/>
      <c r="KU140" s="5"/>
      <c r="KV140" s="5"/>
      <c r="KW140" s="5"/>
      <c r="KX140" s="5"/>
      <c r="KY140" s="5"/>
      <c r="KZ140" s="5"/>
      <c r="LA140" s="5"/>
      <c r="LB140" s="5"/>
      <c r="LC140" s="5"/>
      <c r="LD140" s="5"/>
      <c r="LE140" s="5"/>
      <c r="LF140" s="5"/>
      <c r="LG140" s="5"/>
      <c r="LH140" s="5"/>
      <c r="LI140" s="5"/>
      <c r="LJ140" s="5"/>
      <c r="LK140" s="5"/>
      <c r="LL140" s="5"/>
      <c r="LM140" s="5"/>
      <c r="LN140" s="5"/>
      <c r="LO140" s="5"/>
      <c r="LP140" s="5"/>
      <c r="LQ140" s="5"/>
      <c r="LR140" s="5"/>
      <c r="LS140" s="5"/>
      <c r="LT140" s="5"/>
      <c r="LU140" s="5"/>
      <c r="LV140" s="5"/>
      <c r="LW140" s="5"/>
      <c r="LX140" s="5"/>
      <c r="LY140" s="5"/>
      <c r="LZ140" s="5"/>
      <c r="MA140" s="5"/>
      <c r="MB140" s="5"/>
      <c r="MC140" s="5"/>
      <c r="MD140" s="5"/>
      <c r="ME140" s="5"/>
      <c r="MF140" s="5"/>
      <c r="MG140" s="5"/>
      <c r="MH140" s="5"/>
      <c r="MI140" s="5"/>
      <c r="MJ140" s="5"/>
      <c r="MK140" s="5"/>
      <c r="ML140" s="5"/>
      <c r="MM140" s="5"/>
      <c r="MN140" s="5"/>
      <c r="MO140" s="5"/>
      <c r="MP140" s="5"/>
      <c r="MQ140" s="5"/>
      <c r="MR140" s="5"/>
      <c r="MS140" s="5"/>
      <c r="MT140" s="5"/>
      <c r="MU140" s="5"/>
      <c r="MV140" s="5"/>
      <c r="MW140" s="5"/>
      <c r="MX140" s="5"/>
      <c r="MY140" s="5"/>
      <c r="MZ140" s="5"/>
      <c r="NA140" s="5"/>
      <c r="NB140" s="5"/>
      <c r="NC140" s="5"/>
      <c r="ND140" s="5"/>
      <c r="NE140" s="5"/>
      <c r="NF140" s="5"/>
      <c r="NG140" s="5"/>
      <c r="NH140" s="5"/>
      <c r="NI140" s="5"/>
      <c r="NJ140" s="5"/>
      <c r="NK140" s="5"/>
      <c r="NL140" s="5"/>
      <c r="NM140" s="5"/>
      <c r="NN140" s="5"/>
      <c r="NO140" s="5"/>
      <c r="NP140" s="5"/>
      <c r="NQ140" s="5"/>
      <c r="NR140" s="5"/>
      <c r="NS140" s="5"/>
      <c r="NT140" s="5"/>
      <c r="NU140" s="5"/>
      <c r="NV140" s="5"/>
      <c r="NW140" s="5"/>
      <c r="NX140" s="5"/>
      <c r="NY140" s="5"/>
      <c r="NZ140" s="5"/>
      <c r="OA140" s="5"/>
      <c r="OB140" s="5"/>
      <c r="OC140" s="5"/>
      <c r="OD140" s="5"/>
      <c r="OE140" s="5"/>
      <c r="OF140" s="5"/>
      <c r="OG140" s="5"/>
      <c r="OH140" s="5"/>
      <c r="OI140" s="5"/>
      <c r="OJ140" s="5"/>
      <c r="OK140" s="5"/>
      <c r="OL140" s="5"/>
      <c r="OM140" s="5"/>
      <c r="ON140" s="5"/>
      <c r="OO140" s="5"/>
      <c r="OP140" s="5"/>
      <c r="OQ140" s="5"/>
      <c r="OR140" s="5"/>
      <c r="OS140" s="5"/>
      <c r="OT140" s="5"/>
      <c r="OU140" s="5"/>
      <c r="OV140" s="5"/>
      <c r="OW140" s="5"/>
      <c r="OX140" s="5"/>
      <c r="OY140" s="5"/>
      <c r="OZ140" s="5"/>
      <c r="PA140" s="5"/>
      <c r="PB140" s="5"/>
      <c r="PC140" s="5"/>
      <c r="PD140" s="5"/>
      <c r="PE140" s="5"/>
      <c r="PF140" s="5"/>
      <c r="PG140" s="5"/>
      <c r="PH140" s="5"/>
      <c r="PI140" s="5"/>
      <c r="PJ140" s="5"/>
      <c r="PK140" s="5"/>
      <c r="PL140" s="5"/>
      <c r="PM140" s="5"/>
      <c r="PN140" s="5"/>
      <c r="PO140" s="5"/>
      <c r="PP140" s="5"/>
      <c r="PQ140" s="5"/>
      <c r="PR140" s="5"/>
      <c r="PS140" s="5"/>
      <c r="PT140" s="5"/>
      <c r="PU140" s="5"/>
      <c r="PV140" s="5"/>
      <c r="PW140" s="5"/>
      <c r="PX140" s="5"/>
      <c r="PY140" s="5"/>
      <c r="PZ140" s="5"/>
      <c r="QA140" s="5"/>
      <c r="QB140" s="5"/>
      <c r="QC140" s="5"/>
      <c r="QD140" s="5"/>
      <c r="QE140" s="5"/>
      <c r="QF140" s="5"/>
      <c r="QG140" s="5"/>
      <c r="QH140" s="5"/>
      <c r="QI140" s="5"/>
      <c r="QJ140" s="5"/>
      <c r="QK140" s="5"/>
      <c r="QL140" s="5"/>
      <c r="QM140" s="5"/>
      <c r="QN140" s="5"/>
      <c r="QO140" s="5"/>
      <c r="QP140" s="5"/>
      <c r="QQ140" s="5"/>
      <c r="QR140" s="5"/>
      <c r="QS140" s="5"/>
      <c r="QT140" s="5"/>
      <c r="QU140" s="5"/>
      <c r="QV140" s="5"/>
      <c r="QW140" s="5"/>
      <c r="QX140" s="5"/>
      <c r="QY140" s="5"/>
      <c r="QZ140" s="5"/>
      <c r="RA140" s="5"/>
      <c r="RB140" s="5"/>
      <c r="RC140" s="5"/>
      <c r="RD140" s="5"/>
      <c r="RE140" s="5"/>
      <c r="RF140" s="5"/>
      <c r="RG140" s="5"/>
      <c r="RH140" s="5"/>
      <c r="RI140" s="5"/>
      <c r="RJ140" s="5"/>
      <c r="RK140" s="5"/>
      <c r="RL140" s="5"/>
      <c r="RM140" s="5"/>
      <c r="RN140" s="5"/>
      <c r="RO140" s="5"/>
      <c r="RP140" s="5"/>
      <c r="RQ140" s="5"/>
      <c r="RR140" s="5"/>
      <c r="RS140" s="5"/>
      <c r="RT140" s="5"/>
      <c r="RU140" s="5"/>
      <c r="RV140" s="5"/>
      <c r="RW140" s="5"/>
      <c r="RX140" s="5"/>
      <c r="RY140" s="5"/>
      <c r="RZ140" s="5"/>
      <c r="SA140" s="5"/>
      <c r="SB140" s="5"/>
      <c r="SC140" s="5"/>
      <c r="SD140" s="5"/>
      <c r="SE140" s="5"/>
      <c r="SF140" s="5"/>
      <c r="SG140" s="5"/>
      <c r="SH140" s="5"/>
      <c r="SI140" s="5"/>
      <c r="SJ140" s="5"/>
      <c r="SK140" s="5"/>
      <c r="SL140" s="5"/>
      <c r="SM140" s="5"/>
      <c r="SN140" s="5"/>
      <c r="SO140" s="5"/>
      <c r="SP140" s="5"/>
      <c r="SQ140" s="5"/>
      <c r="SR140" s="5"/>
      <c r="SS140" s="5"/>
      <c r="ST140" s="5"/>
      <c r="SU140" s="5"/>
      <c r="SV140" s="5"/>
      <c r="SW140" s="5"/>
      <c r="SX140" s="5"/>
      <c r="SY140" s="5"/>
      <c r="SZ140" s="5"/>
      <c r="TA140" s="5"/>
      <c r="TB140" s="5"/>
      <c r="TC140" s="5"/>
      <c r="TD140" s="5"/>
      <c r="TE140" s="5"/>
      <c r="TF140" s="5"/>
      <c r="TG140" s="5"/>
      <c r="TH140" s="5"/>
      <c r="TI140" s="5"/>
      <c r="TJ140" s="5"/>
      <c r="TK140" s="5"/>
      <c r="TL140" s="5"/>
      <c r="TM140" s="5"/>
      <c r="TN140" s="5"/>
      <c r="TO140" s="5"/>
      <c r="TP140" s="5"/>
      <c r="TQ140" s="5"/>
      <c r="TR140" s="5"/>
      <c r="TS140" s="5"/>
      <c r="TT140" s="5"/>
      <c r="TU140" s="5"/>
      <c r="TV140" s="5"/>
      <c r="TW140" s="5"/>
      <c r="TX140" s="5"/>
      <c r="TY140" s="5"/>
      <c r="TZ140" s="5"/>
      <c r="UA140" s="5"/>
      <c r="UB140" s="5"/>
      <c r="UC140" s="5"/>
      <c r="UD140" s="5"/>
      <c r="UE140" s="5"/>
      <c r="UF140" s="5"/>
      <c r="UG140" s="5"/>
      <c r="UH140" s="5"/>
      <c r="UI140" s="5"/>
      <c r="UJ140" s="5"/>
      <c r="UK140" s="5"/>
      <c r="UL140" s="5"/>
      <c r="UM140" s="5"/>
      <c r="UN140" s="5"/>
      <c r="UO140" s="5"/>
      <c r="UP140" s="5"/>
      <c r="UQ140" s="5"/>
      <c r="UR140" s="5"/>
      <c r="US140" s="5"/>
      <c r="UT140" s="5"/>
      <c r="UU140" s="5"/>
      <c r="UV140" s="5"/>
      <c r="UW140" s="5"/>
      <c r="UX140" s="5"/>
      <c r="UY140" s="5"/>
      <c r="UZ140" s="5"/>
      <c r="VA140" s="5"/>
      <c r="VB140" s="5"/>
      <c r="VC140" s="5"/>
      <c r="VD140" s="5"/>
      <c r="VE140" s="5"/>
      <c r="VF140" s="5"/>
      <c r="VG140" s="5"/>
      <c r="VH140" s="5"/>
      <c r="VI140" s="5"/>
      <c r="VJ140" s="5"/>
      <c r="VK140" s="5"/>
      <c r="VL140" s="5"/>
      <c r="VM140" s="5"/>
      <c r="VN140" s="5"/>
      <c r="VO140" s="5"/>
      <c r="VP140" s="5"/>
      <c r="VQ140" s="5"/>
      <c r="VR140" s="5"/>
      <c r="VS140" s="5"/>
      <c r="VT140" s="5"/>
      <c r="VU140" s="5"/>
      <c r="VV140" s="5"/>
      <c r="VW140" s="5"/>
      <c r="VX140" s="5"/>
      <c r="VY140" s="5"/>
      <c r="VZ140" s="5"/>
      <c r="WA140" s="5"/>
      <c r="WB140" s="5"/>
      <c r="WC140" s="5"/>
      <c r="WD140" s="5"/>
      <c r="WE140" s="5"/>
      <c r="WF140" s="5"/>
      <c r="WG140" s="5"/>
      <c r="WH140" s="5"/>
      <c r="WI140" s="5"/>
      <c r="WJ140" s="5"/>
      <c r="WK140" s="5"/>
      <c r="WL140" s="5"/>
      <c r="WM140" s="5"/>
      <c r="WN140" s="5"/>
      <c r="WO140" s="5"/>
      <c r="WP140" s="5"/>
      <c r="WQ140" s="5"/>
      <c r="WR140" s="5"/>
      <c r="WS140" s="5"/>
      <c r="WT140" s="5"/>
      <c r="WU140" s="5"/>
      <c r="WV140" s="5"/>
      <c r="WW140" s="5"/>
      <c r="WX140" s="5"/>
      <c r="WY140" s="5"/>
      <c r="WZ140" s="5"/>
      <c r="XA140" s="5"/>
      <c r="XB140" s="5"/>
      <c r="XC140" s="5"/>
      <c r="XD140" s="5"/>
      <c r="XE140" s="5"/>
      <c r="XF140" s="5"/>
      <c r="XG140" s="5"/>
      <c r="XH140" s="5"/>
      <c r="XI140" s="5"/>
      <c r="XJ140" s="5"/>
      <c r="XK140" s="5"/>
      <c r="XL140" s="5"/>
      <c r="XM140" s="5"/>
      <c r="XN140" s="5"/>
      <c r="XO140" s="5"/>
      <c r="XP140" s="5"/>
      <c r="XQ140" s="5"/>
      <c r="XR140" s="5"/>
      <c r="XS140" s="5"/>
      <c r="XT140" s="5"/>
      <c r="XU140" s="5"/>
      <c r="XV140" s="5"/>
      <c r="XW140" s="5"/>
      <c r="XX140" s="5"/>
      <c r="XY140" s="5"/>
      <c r="XZ140" s="5"/>
      <c r="YA140" s="5"/>
      <c r="YB140" s="5"/>
      <c r="YC140" s="5"/>
      <c r="YD140" s="5"/>
      <c r="YE140" s="5"/>
      <c r="YF140" s="5"/>
      <c r="YG140" s="5"/>
      <c r="YH140" s="5"/>
      <c r="YI140" s="5"/>
      <c r="YJ140" s="5"/>
      <c r="YK140" s="5"/>
      <c r="YL140" s="5"/>
      <c r="YM140" s="5"/>
      <c r="YN140" s="5"/>
      <c r="YO140" s="5"/>
      <c r="YP140" s="5"/>
      <c r="YQ140" s="5"/>
      <c r="YR140" s="5"/>
      <c r="YS140" s="5"/>
      <c r="YT140" s="5"/>
      <c r="YU140" s="5"/>
      <c r="YV140" s="5"/>
      <c r="YW140" s="5"/>
      <c r="YX140" s="5"/>
      <c r="YY140" s="5"/>
      <c r="YZ140" s="5"/>
    </row>
    <row r="141" spans="1:676">
      <c r="A141" s="7">
        <v>131</v>
      </c>
      <c r="B141" s="7" t="s">
        <v>332</v>
      </c>
      <c r="C141" s="10" t="s">
        <v>333</v>
      </c>
      <c r="D141" s="7" t="s">
        <v>48</v>
      </c>
      <c r="E141" s="7" t="s">
        <v>178</v>
      </c>
      <c r="F141" s="7" t="s">
        <v>283</v>
      </c>
      <c r="G141" s="7"/>
      <c r="H141" s="7" t="s">
        <v>43</v>
      </c>
      <c r="I141" s="11">
        <v>2</v>
      </c>
      <c r="J141" s="11">
        <v>0</v>
      </c>
      <c r="K141" s="11">
        <v>0</v>
      </c>
      <c r="L141" s="11">
        <v>1.53</v>
      </c>
      <c r="M141" s="11">
        <v>0</v>
      </c>
      <c r="N141" s="11">
        <v>0</v>
      </c>
      <c r="O141" s="11">
        <v>1.73</v>
      </c>
      <c r="P141" s="11">
        <v>0.95</v>
      </c>
      <c r="Q141" s="11">
        <v>4.209999999999999</v>
      </c>
      <c r="R141" s="11">
        <v>89.48999999999997</v>
      </c>
      <c r="S141" s="11">
        <v>93.69999999999996</v>
      </c>
      <c r="T141" s="11">
        <v>2</v>
      </c>
      <c r="U141" s="11">
        <v>0</v>
      </c>
      <c r="V141" s="11">
        <v>91.69999999999996</v>
      </c>
      <c r="W141" s="13">
        <v>24</v>
      </c>
      <c r="X141" s="13">
        <v>0</v>
      </c>
      <c r="Y141" s="13" t="str">
        <f>MIN(W141,S141)</f>
        <v>0</v>
      </c>
      <c r="Z141" s="13" t="str">
        <f>MIN(X141,(S141-Y141))</f>
        <v>0</v>
      </c>
      <c r="AA141" s="13" t="str">
        <f>S141-SUM(Y141,Z141)</f>
        <v>0</v>
      </c>
      <c r="AB141" s="15"/>
      <c r="AC141" s="15"/>
      <c r="AD141" s="1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L141" s="5"/>
      <c r="DM141" s="5"/>
      <c r="DN141" s="5"/>
      <c r="DO141" s="5"/>
      <c r="DP141" s="5"/>
      <c r="DQ141" s="5"/>
      <c r="DR141" s="5"/>
      <c r="DS141" s="5"/>
      <c r="DT141" s="5"/>
      <c r="DU141" s="5"/>
      <c r="DV141" s="5"/>
      <c r="DW141" s="5"/>
      <c r="DX141" s="5"/>
      <c r="DY141" s="5"/>
      <c r="DZ141" s="5"/>
      <c r="EA141" s="5"/>
      <c r="EB141" s="5"/>
      <c r="EC141" s="5"/>
      <c r="ED141" s="5"/>
      <c r="EE141" s="5"/>
      <c r="EF141" s="5"/>
      <c r="EG141" s="5"/>
      <c r="EH141" s="5"/>
      <c r="EI141" s="5"/>
      <c r="EJ141" s="5"/>
      <c r="EK141" s="5"/>
      <c r="EL141" s="5"/>
      <c r="EM141" s="5"/>
      <c r="EN141" s="5"/>
      <c r="EO141" s="5"/>
      <c r="EP141" s="5"/>
      <c r="EQ141" s="5"/>
      <c r="ER141" s="5"/>
      <c r="ES141" s="5"/>
      <c r="ET141" s="5"/>
      <c r="EU141" s="5"/>
      <c r="EV141" s="5"/>
      <c r="EW141" s="5"/>
      <c r="EX141" s="5"/>
      <c r="EY141" s="5"/>
      <c r="EZ141" s="5"/>
      <c r="FA141" s="5"/>
      <c r="FB141" s="5"/>
      <c r="FC141" s="5"/>
      <c r="FD141" s="5"/>
      <c r="FE141" s="5"/>
      <c r="FF141" s="5"/>
      <c r="FG141" s="5"/>
      <c r="FH141" s="5"/>
      <c r="FI141" s="5"/>
      <c r="FJ141" s="5"/>
      <c r="FK141" s="5"/>
      <c r="FL141" s="5"/>
      <c r="FM141" s="5"/>
      <c r="FN141" s="5"/>
      <c r="FO141" s="5"/>
      <c r="FP141" s="5"/>
      <c r="FQ141" s="5"/>
      <c r="FR141" s="5"/>
      <c r="FS141" s="5"/>
      <c r="FT141" s="5"/>
      <c r="FU141" s="5"/>
      <c r="FV141" s="5"/>
      <c r="FW141" s="5"/>
      <c r="FX141" s="5"/>
      <c r="FY141" s="5"/>
      <c r="FZ141" s="5"/>
      <c r="GA141" s="5"/>
      <c r="GB141" s="5"/>
      <c r="GC141" s="5"/>
      <c r="GD141" s="5"/>
      <c r="GE141" s="5"/>
      <c r="GF141" s="5"/>
      <c r="GG141" s="5"/>
      <c r="GH141" s="5"/>
      <c r="GI141" s="5"/>
      <c r="GJ141" s="5"/>
      <c r="GK141" s="5"/>
      <c r="GL141" s="5"/>
      <c r="GM141" s="5"/>
      <c r="GN141" s="5"/>
      <c r="GO141" s="5"/>
      <c r="GP141" s="5"/>
      <c r="GQ141" s="5"/>
      <c r="GR141" s="5"/>
      <c r="GS141" s="5"/>
      <c r="GT141" s="5"/>
      <c r="GU141" s="5"/>
      <c r="GV141" s="5"/>
      <c r="GW141" s="5"/>
      <c r="GX141" s="5"/>
      <c r="GY141" s="5"/>
      <c r="GZ141" s="5"/>
      <c r="HA141" s="5"/>
      <c r="HB141" s="5"/>
      <c r="HC141" s="5"/>
      <c r="HD141" s="5"/>
      <c r="HE141" s="5"/>
      <c r="HF141" s="5"/>
      <c r="HG141" s="5"/>
      <c r="HH141" s="5"/>
      <c r="HI141" s="5"/>
      <c r="HJ141" s="5"/>
      <c r="HK141" s="5"/>
      <c r="HL141" s="5"/>
      <c r="HM141" s="5"/>
      <c r="HN141" s="5"/>
      <c r="HO141" s="5"/>
      <c r="HP141" s="5"/>
      <c r="HQ141" s="5"/>
      <c r="HR141" s="5"/>
      <c r="HS141" s="5"/>
      <c r="HT141" s="5"/>
      <c r="HU141" s="5"/>
      <c r="HV141" s="5"/>
      <c r="HW141" s="5"/>
      <c r="HX141" s="5"/>
      <c r="HY141" s="5"/>
      <c r="HZ141" s="5"/>
      <c r="IA141" s="5"/>
      <c r="IB141" s="5"/>
      <c r="IC141" s="5"/>
      <c r="ID141" s="5"/>
      <c r="IE141" s="5"/>
      <c r="IF141" s="5"/>
      <c r="IG141" s="5"/>
      <c r="IH141" s="5"/>
      <c r="II141" s="5"/>
      <c r="IJ141" s="5"/>
      <c r="IK141" s="5"/>
      <c r="IL141" s="5"/>
      <c r="IM141" s="5"/>
      <c r="IN141" s="5"/>
      <c r="IO141" s="5"/>
      <c r="IP141" s="5"/>
      <c r="IQ141" s="5"/>
      <c r="IR141" s="5"/>
      <c r="IS141" s="5"/>
      <c r="IT141" s="5"/>
      <c r="IU141" s="5"/>
      <c r="IV141" s="5"/>
      <c r="IW141" s="5"/>
      <c r="IX141" s="5"/>
      <c r="IY141" s="5"/>
      <c r="IZ141" s="5"/>
      <c r="JA141" s="5"/>
      <c r="JB141" s="5"/>
      <c r="JC141" s="5"/>
      <c r="JD141" s="5"/>
      <c r="JE141" s="5"/>
      <c r="JF141" s="5"/>
      <c r="JG141" s="5"/>
      <c r="JH141" s="5"/>
      <c r="JI141" s="5"/>
      <c r="JJ141" s="5"/>
      <c r="JK141" s="5"/>
      <c r="JL141" s="5"/>
      <c r="JM141" s="5"/>
      <c r="JN141" s="5"/>
      <c r="JO141" s="5"/>
      <c r="JP141" s="5"/>
      <c r="JQ141" s="5"/>
      <c r="JR141" s="5"/>
      <c r="JS141" s="5"/>
      <c r="JT141" s="5"/>
      <c r="JU141" s="5"/>
      <c r="JV141" s="5"/>
      <c r="JW141" s="5"/>
      <c r="JX141" s="5"/>
      <c r="JY141" s="5"/>
      <c r="JZ141" s="5"/>
      <c r="KA141" s="5"/>
      <c r="KB141" s="5"/>
      <c r="KC141" s="5"/>
      <c r="KD141" s="5"/>
      <c r="KE141" s="5"/>
      <c r="KF141" s="5"/>
      <c r="KG141" s="5"/>
      <c r="KH141" s="5"/>
      <c r="KI141" s="5"/>
      <c r="KJ141" s="5"/>
      <c r="KK141" s="5"/>
      <c r="KL141" s="5"/>
      <c r="KM141" s="5"/>
      <c r="KN141" s="5"/>
      <c r="KO141" s="5"/>
      <c r="KP141" s="5"/>
      <c r="KQ141" s="5"/>
      <c r="KR141" s="5"/>
      <c r="KS141" s="5"/>
      <c r="KT141" s="5"/>
      <c r="KU141" s="5"/>
      <c r="KV141" s="5"/>
      <c r="KW141" s="5"/>
      <c r="KX141" s="5"/>
      <c r="KY141" s="5"/>
      <c r="KZ141" s="5"/>
      <c r="LA141" s="5"/>
      <c r="LB141" s="5"/>
      <c r="LC141" s="5"/>
      <c r="LD141" s="5"/>
      <c r="LE141" s="5"/>
      <c r="LF141" s="5"/>
      <c r="LG141" s="5"/>
      <c r="LH141" s="5"/>
      <c r="LI141" s="5"/>
      <c r="LJ141" s="5"/>
      <c r="LK141" s="5"/>
      <c r="LL141" s="5"/>
      <c r="LM141" s="5"/>
      <c r="LN141" s="5"/>
      <c r="LO141" s="5"/>
      <c r="LP141" s="5"/>
      <c r="LQ141" s="5"/>
      <c r="LR141" s="5"/>
      <c r="LS141" s="5"/>
      <c r="LT141" s="5"/>
      <c r="LU141" s="5"/>
      <c r="LV141" s="5"/>
      <c r="LW141" s="5"/>
      <c r="LX141" s="5"/>
      <c r="LY141" s="5"/>
      <c r="LZ141" s="5"/>
      <c r="MA141" s="5"/>
      <c r="MB141" s="5"/>
      <c r="MC141" s="5"/>
      <c r="MD141" s="5"/>
      <c r="ME141" s="5"/>
      <c r="MF141" s="5"/>
      <c r="MG141" s="5"/>
      <c r="MH141" s="5"/>
      <c r="MI141" s="5"/>
      <c r="MJ141" s="5"/>
      <c r="MK141" s="5"/>
      <c r="ML141" s="5"/>
      <c r="MM141" s="5"/>
      <c r="MN141" s="5"/>
      <c r="MO141" s="5"/>
      <c r="MP141" s="5"/>
      <c r="MQ141" s="5"/>
      <c r="MR141" s="5"/>
      <c r="MS141" s="5"/>
      <c r="MT141" s="5"/>
      <c r="MU141" s="5"/>
      <c r="MV141" s="5"/>
      <c r="MW141" s="5"/>
      <c r="MX141" s="5"/>
      <c r="MY141" s="5"/>
      <c r="MZ141" s="5"/>
      <c r="NA141" s="5"/>
      <c r="NB141" s="5"/>
      <c r="NC141" s="5"/>
      <c r="ND141" s="5"/>
      <c r="NE141" s="5"/>
      <c r="NF141" s="5"/>
      <c r="NG141" s="5"/>
      <c r="NH141" s="5"/>
      <c r="NI141" s="5"/>
      <c r="NJ141" s="5"/>
      <c r="NK141" s="5"/>
      <c r="NL141" s="5"/>
      <c r="NM141" s="5"/>
      <c r="NN141" s="5"/>
      <c r="NO141" s="5"/>
      <c r="NP141" s="5"/>
      <c r="NQ141" s="5"/>
      <c r="NR141" s="5"/>
      <c r="NS141" s="5"/>
      <c r="NT141" s="5"/>
      <c r="NU141" s="5"/>
      <c r="NV141" s="5"/>
      <c r="NW141" s="5"/>
      <c r="NX141" s="5"/>
      <c r="NY141" s="5"/>
      <c r="NZ141" s="5"/>
      <c r="OA141" s="5"/>
      <c r="OB141" s="5"/>
      <c r="OC141" s="5"/>
      <c r="OD141" s="5"/>
      <c r="OE141" s="5"/>
      <c r="OF141" s="5"/>
      <c r="OG141" s="5"/>
      <c r="OH141" s="5"/>
      <c r="OI141" s="5"/>
      <c r="OJ141" s="5"/>
      <c r="OK141" s="5"/>
      <c r="OL141" s="5"/>
      <c r="OM141" s="5"/>
      <c r="ON141" s="5"/>
      <c r="OO141" s="5"/>
      <c r="OP141" s="5"/>
      <c r="OQ141" s="5"/>
      <c r="OR141" s="5"/>
      <c r="OS141" s="5"/>
      <c r="OT141" s="5"/>
      <c r="OU141" s="5"/>
      <c r="OV141" s="5"/>
      <c r="OW141" s="5"/>
      <c r="OX141" s="5"/>
      <c r="OY141" s="5"/>
      <c r="OZ141" s="5"/>
      <c r="PA141" s="5"/>
      <c r="PB141" s="5"/>
      <c r="PC141" s="5"/>
      <c r="PD141" s="5"/>
      <c r="PE141" s="5"/>
      <c r="PF141" s="5"/>
      <c r="PG141" s="5"/>
      <c r="PH141" s="5"/>
      <c r="PI141" s="5"/>
      <c r="PJ141" s="5"/>
      <c r="PK141" s="5"/>
      <c r="PL141" s="5"/>
      <c r="PM141" s="5"/>
      <c r="PN141" s="5"/>
      <c r="PO141" s="5"/>
      <c r="PP141" s="5"/>
      <c r="PQ141" s="5"/>
      <c r="PR141" s="5"/>
      <c r="PS141" s="5"/>
      <c r="PT141" s="5"/>
      <c r="PU141" s="5"/>
      <c r="PV141" s="5"/>
      <c r="PW141" s="5"/>
      <c r="PX141" s="5"/>
      <c r="PY141" s="5"/>
      <c r="PZ141" s="5"/>
      <c r="QA141" s="5"/>
      <c r="QB141" s="5"/>
      <c r="QC141" s="5"/>
      <c r="QD141" s="5"/>
      <c r="QE141" s="5"/>
      <c r="QF141" s="5"/>
      <c r="QG141" s="5"/>
      <c r="QH141" s="5"/>
      <c r="QI141" s="5"/>
      <c r="QJ141" s="5"/>
      <c r="QK141" s="5"/>
      <c r="QL141" s="5"/>
      <c r="QM141" s="5"/>
      <c r="QN141" s="5"/>
      <c r="QO141" s="5"/>
      <c r="QP141" s="5"/>
      <c r="QQ141" s="5"/>
      <c r="QR141" s="5"/>
      <c r="QS141" s="5"/>
      <c r="QT141" s="5"/>
      <c r="QU141" s="5"/>
      <c r="QV141" s="5"/>
      <c r="QW141" s="5"/>
      <c r="QX141" s="5"/>
      <c r="QY141" s="5"/>
      <c r="QZ141" s="5"/>
      <c r="RA141" s="5"/>
      <c r="RB141" s="5"/>
      <c r="RC141" s="5"/>
      <c r="RD141" s="5"/>
      <c r="RE141" s="5"/>
      <c r="RF141" s="5"/>
      <c r="RG141" s="5"/>
      <c r="RH141" s="5"/>
      <c r="RI141" s="5"/>
      <c r="RJ141" s="5"/>
      <c r="RK141" s="5"/>
      <c r="RL141" s="5"/>
      <c r="RM141" s="5"/>
      <c r="RN141" s="5"/>
      <c r="RO141" s="5"/>
      <c r="RP141" s="5"/>
      <c r="RQ141" s="5"/>
      <c r="RR141" s="5"/>
      <c r="RS141" s="5"/>
      <c r="RT141" s="5"/>
      <c r="RU141" s="5"/>
      <c r="RV141" s="5"/>
      <c r="RW141" s="5"/>
      <c r="RX141" s="5"/>
      <c r="RY141" s="5"/>
      <c r="RZ141" s="5"/>
      <c r="SA141" s="5"/>
      <c r="SB141" s="5"/>
      <c r="SC141" s="5"/>
      <c r="SD141" s="5"/>
      <c r="SE141" s="5"/>
      <c r="SF141" s="5"/>
      <c r="SG141" s="5"/>
      <c r="SH141" s="5"/>
      <c r="SI141" s="5"/>
      <c r="SJ141" s="5"/>
      <c r="SK141" s="5"/>
      <c r="SL141" s="5"/>
      <c r="SM141" s="5"/>
      <c r="SN141" s="5"/>
      <c r="SO141" s="5"/>
      <c r="SP141" s="5"/>
      <c r="SQ141" s="5"/>
      <c r="SR141" s="5"/>
      <c r="SS141" s="5"/>
      <c r="ST141" s="5"/>
      <c r="SU141" s="5"/>
      <c r="SV141" s="5"/>
      <c r="SW141" s="5"/>
      <c r="SX141" s="5"/>
      <c r="SY141" s="5"/>
      <c r="SZ141" s="5"/>
      <c r="TA141" s="5"/>
      <c r="TB141" s="5"/>
      <c r="TC141" s="5"/>
      <c r="TD141" s="5"/>
      <c r="TE141" s="5"/>
      <c r="TF141" s="5"/>
      <c r="TG141" s="5"/>
      <c r="TH141" s="5"/>
      <c r="TI141" s="5"/>
      <c r="TJ141" s="5"/>
      <c r="TK141" s="5"/>
      <c r="TL141" s="5"/>
      <c r="TM141" s="5"/>
      <c r="TN141" s="5"/>
      <c r="TO141" s="5"/>
      <c r="TP141" s="5"/>
      <c r="TQ141" s="5"/>
      <c r="TR141" s="5"/>
      <c r="TS141" s="5"/>
      <c r="TT141" s="5"/>
      <c r="TU141" s="5"/>
      <c r="TV141" s="5"/>
      <c r="TW141" s="5"/>
      <c r="TX141" s="5"/>
      <c r="TY141" s="5"/>
      <c r="TZ141" s="5"/>
      <c r="UA141" s="5"/>
      <c r="UB141" s="5"/>
      <c r="UC141" s="5"/>
      <c r="UD141" s="5"/>
      <c r="UE141" s="5"/>
      <c r="UF141" s="5"/>
      <c r="UG141" s="5"/>
      <c r="UH141" s="5"/>
      <c r="UI141" s="5"/>
      <c r="UJ141" s="5"/>
      <c r="UK141" s="5"/>
      <c r="UL141" s="5"/>
      <c r="UM141" s="5"/>
      <c r="UN141" s="5"/>
      <c r="UO141" s="5"/>
      <c r="UP141" s="5"/>
      <c r="UQ141" s="5"/>
      <c r="UR141" s="5"/>
      <c r="US141" s="5"/>
      <c r="UT141" s="5"/>
      <c r="UU141" s="5"/>
      <c r="UV141" s="5"/>
      <c r="UW141" s="5"/>
      <c r="UX141" s="5"/>
      <c r="UY141" s="5"/>
      <c r="UZ141" s="5"/>
      <c r="VA141" s="5"/>
      <c r="VB141" s="5"/>
      <c r="VC141" s="5"/>
      <c r="VD141" s="5"/>
      <c r="VE141" s="5"/>
      <c r="VF141" s="5"/>
      <c r="VG141" s="5"/>
      <c r="VH141" s="5"/>
      <c r="VI141" s="5"/>
      <c r="VJ141" s="5"/>
      <c r="VK141" s="5"/>
      <c r="VL141" s="5"/>
      <c r="VM141" s="5"/>
      <c r="VN141" s="5"/>
      <c r="VO141" s="5"/>
      <c r="VP141" s="5"/>
      <c r="VQ141" s="5"/>
      <c r="VR141" s="5"/>
      <c r="VS141" s="5"/>
      <c r="VT141" s="5"/>
      <c r="VU141" s="5"/>
      <c r="VV141" s="5"/>
      <c r="VW141" s="5"/>
      <c r="VX141" s="5"/>
      <c r="VY141" s="5"/>
      <c r="VZ141" s="5"/>
      <c r="WA141" s="5"/>
      <c r="WB141" s="5"/>
      <c r="WC141" s="5"/>
      <c r="WD141" s="5"/>
      <c r="WE141" s="5"/>
      <c r="WF141" s="5"/>
      <c r="WG141" s="5"/>
      <c r="WH141" s="5"/>
      <c r="WI141" s="5"/>
      <c r="WJ141" s="5"/>
      <c r="WK141" s="5"/>
      <c r="WL141" s="5"/>
      <c r="WM141" s="5"/>
      <c r="WN141" s="5"/>
      <c r="WO141" s="5"/>
      <c r="WP141" s="5"/>
      <c r="WQ141" s="5"/>
      <c r="WR141" s="5"/>
      <c r="WS141" s="5"/>
      <c r="WT141" s="5"/>
      <c r="WU141" s="5"/>
      <c r="WV141" s="5"/>
      <c r="WW141" s="5"/>
      <c r="WX141" s="5"/>
      <c r="WY141" s="5"/>
      <c r="WZ141" s="5"/>
      <c r="XA141" s="5"/>
      <c r="XB141" s="5"/>
      <c r="XC141" s="5"/>
      <c r="XD141" s="5"/>
      <c r="XE141" s="5"/>
      <c r="XF141" s="5"/>
      <c r="XG141" s="5"/>
      <c r="XH141" s="5"/>
      <c r="XI141" s="5"/>
      <c r="XJ141" s="5"/>
      <c r="XK141" s="5"/>
      <c r="XL141" s="5"/>
      <c r="XM141" s="5"/>
      <c r="XN141" s="5"/>
      <c r="XO141" s="5"/>
      <c r="XP141" s="5"/>
      <c r="XQ141" s="5"/>
      <c r="XR141" s="5"/>
      <c r="XS141" s="5"/>
      <c r="XT141" s="5"/>
      <c r="XU141" s="5"/>
      <c r="XV141" s="5"/>
      <c r="XW141" s="5"/>
      <c r="XX141" s="5"/>
      <c r="XY141" s="5"/>
      <c r="XZ141" s="5"/>
      <c r="YA141" s="5"/>
      <c r="YB141" s="5"/>
      <c r="YC141" s="5"/>
      <c r="YD141" s="5"/>
      <c r="YE141" s="5"/>
      <c r="YF141" s="5"/>
      <c r="YG141" s="5"/>
      <c r="YH141" s="5"/>
      <c r="YI141" s="5"/>
      <c r="YJ141" s="5"/>
      <c r="YK141" s="5"/>
      <c r="YL141" s="5"/>
      <c r="YM141" s="5"/>
      <c r="YN141" s="5"/>
      <c r="YO141" s="5"/>
      <c r="YP141" s="5"/>
      <c r="YQ141" s="5"/>
      <c r="YR141" s="5"/>
      <c r="YS141" s="5"/>
      <c r="YT141" s="5"/>
      <c r="YU141" s="5"/>
      <c r="YV141" s="5"/>
      <c r="YW141" s="5"/>
      <c r="YX141" s="5"/>
      <c r="YY141" s="5"/>
      <c r="YZ141" s="5"/>
    </row>
    <row r="142" spans="1:676">
      <c r="A142" s="7">
        <v>132</v>
      </c>
      <c r="B142" s="7" t="s">
        <v>334</v>
      </c>
      <c r="C142" s="10" t="s">
        <v>335</v>
      </c>
      <c r="D142" s="7" t="s">
        <v>60</v>
      </c>
      <c r="E142" s="7" t="s">
        <v>175</v>
      </c>
      <c r="F142" s="7" t="s">
        <v>291</v>
      </c>
      <c r="G142" s="7"/>
      <c r="H142" s="7"/>
      <c r="I142" s="11">
        <v>2</v>
      </c>
      <c r="J142" s="11">
        <v>3</v>
      </c>
      <c r="K142" s="11">
        <v>0</v>
      </c>
      <c r="L142" s="11">
        <v>3.129999999999999</v>
      </c>
      <c r="M142" s="11">
        <v>0</v>
      </c>
      <c r="N142" s="11">
        <v>0</v>
      </c>
      <c r="O142" s="11">
        <v>1.27</v>
      </c>
      <c r="P142" s="11">
        <v>0</v>
      </c>
      <c r="Q142" s="11">
        <v>4.399999999999999</v>
      </c>
      <c r="R142" s="11">
        <v>53.82</v>
      </c>
      <c r="S142" s="11">
        <v>58.22</v>
      </c>
      <c r="T142" s="11">
        <v>2</v>
      </c>
      <c r="U142" s="11">
        <v>3</v>
      </c>
      <c r="V142" s="11">
        <v>53.22</v>
      </c>
      <c r="W142" s="13">
        <v>24</v>
      </c>
      <c r="X142" s="13">
        <v>36</v>
      </c>
      <c r="Y142" s="13" t="str">
        <f>MIN(W142,S142)</f>
        <v>0</v>
      </c>
      <c r="Z142" s="13" t="str">
        <f>MIN(X142,(S142-Y142))</f>
        <v>0</v>
      </c>
      <c r="AA142" s="13" t="str">
        <f>S142-SUM(Y142,Z142)</f>
        <v>0</v>
      </c>
      <c r="AB142" s="15"/>
      <c r="AC142" s="15"/>
      <c r="AD142" s="1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  <c r="CZ142" s="5"/>
      <c r="DA142" s="5"/>
      <c r="DB142" s="5"/>
      <c r="DC142" s="5"/>
      <c r="DD142" s="5"/>
      <c r="DE142" s="5"/>
      <c r="DF142" s="5"/>
      <c r="DG142" s="5"/>
      <c r="DH142" s="5"/>
      <c r="DI142" s="5"/>
      <c r="DJ142" s="5"/>
      <c r="DK142" s="5"/>
      <c r="DL142" s="5"/>
      <c r="DM142" s="5"/>
      <c r="DN142" s="5"/>
      <c r="DO142" s="5"/>
      <c r="DP142" s="5"/>
      <c r="DQ142" s="5"/>
      <c r="DR142" s="5"/>
      <c r="DS142" s="5"/>
      <c r="DT142" s="5"/>
      <c r="DU142" s="5"/>
      <c r="DV142" s="5"/>
      <c r="DW142" s="5"/>
      <c r="DX142" s="5"/>
      <c r="DY142" s="5"/>
      <c r="DZ142" s="5"/>
      <c r="EA142" s="5"/>
      <c r="EB142" s="5"/>
      <c r="EC142" s="5"/>
      <c r="ED142" s="5"/>
      <c r="EE142" s="5"/>
      <c r="EF142" s="5"/>
      <c r="EG142" s="5"/>
      <c r="EH142" s="5"/>
      <c r="EI142" s="5"/>
      <c r="EJ142" s="5"/>
      <c r="EK142" s="5"/>
      <c r="EL142" s="5"/>
      <c r="EM142" s="5"/>
      <c r="EN142" s="5"/>
      <c r="EO142" s="5"/>
      <c r="EP142" s="5"/>
      <c r="EQ142" s="5"/>
      <c r="ER142" s="5"/>
      <c r="ES142" s="5"/>
      <c r="ET142" s="5"/>
      <c r="EU142" s="5"/>
      <c r="EV142" s="5"/>
      <c r="EW142" s="5"/>
      <c r="EX142" s="5"/>
      <c r="EY142" s="5"/>
      <c r="EZ142" s="5"/>
      <c r="FA142" s="5"/>
      <c r="FB142" s="5"/>
      <c r="FC142" s="5"/>
      <c r="FD142" s="5"/>
      <c r="FE142" s="5"/>
      <c r="FF142" s="5"/>
      <c r="FG142" s="5"/>
      <c r="FH142" s="5"/>
      <c r="FI142" s="5"/>
      <c r="FJ142" s="5"/>
      <c r="FK142" s="5"/>
      <c r="FL142" s="5"/>
      <c r="FM142" s="5"/>
      <c r="FN142" s="5"/>
      <c r="FO142" s="5"/>
      <c r="FP142" s="5"/>
      <c r="FQ142" s="5"/>
      <c r="FR142" s="5"/>
      <c r="FS142" s="5"/>
      <c r="FT142" s="5"/>
      <c r="FU142" s="5"/>
      <c r="FV142" s="5"/>
      <c r="FW142" s="5"/>
      <c r="FX142" s="5"/>
      <c r="FY142" s="5"/>
      <c r="FZ142" s="5"/>
      <c r="GA142" s="5"/>
      <c r="GB142" s="5"/>
      <c r="GC142" s="5"/>
      <c r="GD142" s="5"/>
      <c r="GE142" s="5"/>
      <c r="GF142" s="5"/>
      <c r="GG142" s="5"/>
      <c r="GH142" s="5"/>
      <c r="GI142" s="5"/>
      <c r="GJ142" s="5"/>
      <c r="GK142" s="5"/>
      <c r="GL142" s="5"/>
      <c r="GM142" s="5"/>
      <c r="GN142" s="5"/>
      <c r="GO142" s="5"/>
      <c r="GP142" s="5"/>
      <c r="GQ142" s="5"/>
      <c r="GR142" s="5"/>
      <c r="GS142" s="5"/>
      <c r="GT142" s="5"/>
      <c r="GU142" s="5"/>
      <c r="GV142" s="5"/>
      <c r="GW142" s="5"/>
      <c r="GX142" s="5"/>
      <c r="GY142" s="5"/>
      <c r="GZ142" s="5"/>
      <c r="HA142" s="5"/>
      <c r="HB142" s="5"/>
      <c r="HC142" s="5"/>
      <c r="HD142" s="5"/>
      <c r="HE142" s="5"/>
      <c r="HF142" s="5"/>
      <c r="HG142" s="5"/>
      <c r="HH142" s="5"/>
      <c r="HI142" s="5"/>
      <c r="HJ142" s="5"/>
      <c r="HK142" s="5"/>
      <c r="HL142" s="5"/>
      <c r="HM142" s="5"/>
      <c r="HN142" s="5"/>
      <c r="HO142" s="5"/>
      <c r="HP142" s="5"/>
      <c r="HQ142" s="5"/>
      <c r="HR142" s="5"/>
      <c r="HS142" s="5"/>
      <c r="HT142" s="5"/>
      <c r="HU142" s="5"/>
      <c r="HV142" s="5"/>
      <c r="HW142" s="5"/>
      <c r="HX142" s="5"/>
      <c r="HY142" s="5"/>
      <c r="HZ142" s="5"/>
      <c r="IA142" s="5"/>
      <c r="IB142" s="5"/>
      <c r="IC142" s="5"/>
      <c r="ID142" s="5"/>
      <c r="IE142" s="5"/>
      <c r="IF142" s="5"/>
      <c r="IG142" s="5"/>
      <c r="IH142" s="5"/>
      <c r="II142" s="5"/>
      <c r="IJ142" s="5"/>
      <c r="IK142" s="5"/>
      <c r="IL142" s="5"/>
      <c r="IM142" s="5"/>
      <c r="IN142" s="5"/>
      <c r="IO142" s="5"/>
      <c r="IP142" s="5"/>
      <c r="IQ142" s="5"/>
      <c r="IR142" s="5"/>
      <c r="IS142" s="5"/>
      <c r="IT142" s="5"/>
      <c r="IU142" s="5"/>
      <c r="IV142" s="5"/>
      <c r="IW142" s="5"/>
      <c r="IX142" s="5"/>
      <c r="IY142" s="5"/>
      <c r="IZ142" s="5"/>
      <c r="JA142" s="5"/>
      <c r="JB142" s="5"/>
      <c r="JC142" s="5"/>
      <c r="JD142" s="5"/>
      <c r="JE142" s="5"/>
      <c r="JF142" s="5"/>
      <c r="JG142" s="5"/>
      <c r="JH142" s="5"/>
      <c r="JI142" s="5"/>
      <c r="JJ142" s="5"/>
      <c r="JK142" s="5"/>
      <c r="JL142" s="5"/>
      <c r="JM142" s="5"/>
      <c r="JN142" s="5"/>
      <c r="JO142" s="5"/>
      <c r="JP142" s="5"/>
      <c r="JQ142" s="5"/>
      <c r="JR142" s="5"/>
      <c r="JS142" s="5"/>
      <c r="JT142" s="5"/>
      <c r="JU142" s="5"/>
      <c r="JV142" s="5"/>
      <c r="JW142" s="5"/>
      <c r="JX142" s="5"/>
      <c r="JY142" s="5"/>
      <c r="JZ142" s="5"/>
      <c r="KA142" s="5"/>
      <c r="KB142" s="5"/>
      <c r="KC142" s="5"/>
      <c r="KD142" s="5"/>
      <c r="KE142" s="5"/>
      <c r="KF142" s="5"/>
      <c r="KG142" s="5"/>
      <c r="KH142" s="5"/>
      <c r="KI142" s="5"/>
      <c r="KJ142" s="5"/>
      <c r="KK142" s="5"/>
      <c r="KL142" s="5"/>
      <c r="KM142" s="5"/>
      <c r="KN142" s="5"/>
      <c r="KO142" s="5"/>
      <c r="KP142" s="5"/>
      <c r="KQ142" s="5"/>
      <c r="KR142" s="5"/>
      <c r="KS142" s="5"/>
      <c r="KT142" s="5"/>
      <c r="KU142" s="5"/>
      <c r="KV142" s="5"/>
      <c r="KW142" s="5"/>
      <c r="KX142" s="5"/>
      <c r="KY142" s="5"/>
      <c r="KZ142" s="5"/>
      <c r="LA142" s="5"/>
      <c r="LB142" s="5"/>
      <c r="LC142" s="5"/>
      <c r="LD142" s="5"/>
      <c r="LE142" s="5"/>
      <c r="LF142" s="5"/>
      <c r="LG142" s="5"/>
      <c r="LH142" s="5"/>
      <c r="LI142" s="5"/>
      <c r="LJ142" s="5"/>
      <c r="LK142" s="5"/>
      <c r="LL142" s="5"/>
      <c r="LM142" s="5"/>
      <c r="LN142" s="5"/>
      <c r="LO142" s="5"/>
      <c r="LP142" s="5"/>
      <c r="LQ142" s="5"/>
      <c r="LR142" s="5"/>
      <c r="LS142" s="5"/>
      <c r="LT142" s="5"/>
      <c r="LU142" s="5"/>
      <c r="LV142" s="5"/>
      <c r="LW142" s="5"/>
      <c r="LX142" s="5"/>
      <c r="LY142" s="5"/>
      <c r="LZ142" s="5"/>
      <c r="MA142" s="5"/>
      <c r="MB142" s="5"/>
      <c r="MC142" s="5"/>
      <c r="MD142" s="5"/>
      <c r="ME142" s="5"/>
      <c r="MF142" s="5"/>
      <c r="MG142" s="5"/>
      <c r="MH142" s="5"/>
      <c r="MI142" s="5"/>
      <c r="MJ142" s="5"/>
      <c r="MK142" s="5"/>
      <c r="ML142" s="5"/>
      <c r="MM142" s="5"/>
      <c r="MN142" s="5"/>
      <c r="MO142" s="5"/>
      <c r="MP142" s="5"/>
      <c r="MQ142" s="5"/>
      <c r="MR142" s="5"/>
      <c r="MS142" s="5"/>
      <c r="MT142" s="5"/>
      <c r="MU142" s="5"/>
      <c r="MV142" s="5"/>
      <c r="MW142" s="5"/>
      <c r="MX142" s="5"/>
      <c r="MY142" s="5"/>
      <c r="MZ142" s="5"/>
      <c r="NA142" s="5"/>
      <c r="NB142" s="5"/>
      <c r="NC142" s="5"/>
      <c r="ND142" s="5"/>
      <c r="NE142" s="5"/>
      <c r="NF142" s="5"/>
      <c r="NG142" s="5"/>
      <c r="NH142" s="5"/>
      <c r="NI142" s="5"/>
      <c r="NJ142" s="5"/>
      <c r="NK142" s="5"/>
      <c r="NL142" s="5"/>
      <c r="NM142" s="5"/>
      <c r="NN142" s="5"/>
      <c r="NO142" s="5"/>
      <c r="NP142" s="5"/>
      <c r="NQ142" s="5"/>
      <c r="NR142" s="5"/>
      <c r="NS142" s="5"/>
      <c r="NT142" s="5"/>
      <c r="NU142" s="5"/>
      <c r="NV142" s="5"/>
      <c r="NW142" s="5"/>
      <c r="NX142" s="5"/>
      <c r="NY142" s="5"/>
      <c r="NZ142" s="5"/>
      <c r="OA142" s="5"/>
      <c r="OB142" s="5"/>
      <c r="OC142" s="5"/>
      <c r="OD142" s="5"/>
      <c r="OE142" s="5"/>
      <c r="OF142" s="5"/>
      <c r="OG142" s="5"/>
      <c r="OH142" s="5"/>
      <c r="OI142" s="5"/>
      <c r="OJ142" s="5"/>
      <c r="OK142" s="5"/>
      <c r="OL142" s="5"/>
      <c r="OM142" s="5"/>
      <c r="ON142" s="5"/>
      <c r="OO142" s="5"/>
      <c r="OP142" s="5"/>
      <c r="OQ142" s="5"/>
      <c r="OR142" s="5"/>
      <c r="OS142" s="5"/>
      <c r="OT142" s="5"/>
      <c r="OU142" s="5"/>
      <c r="OV142" s="5"/>
      <c r="OW142" s="5"/>
      <c r="OX142" s="5"/>
      <c r="OY142" s="5"/>
      <c r="OZ142" s="5"/>
      <c r="PA142" s="5"/>
      <c r="PB142" s="5"/>
      <c r="PC142" s="5"/>
      <c r="PD142" s="5"/>
      <c r="PE142" s="5"/>
      <c r="PF142" s="5"/>
      <c r="PG142" s="5"/>
      <c r="PH142" s="5"/>
      <c r="PI142" s="5"/>
      <c r="PJ142" s="5"/>
      <c r="PK142" s="5"/>
      <c r="PL142" s="5"/>
      <c r="PM142" s="5"/>
      <c r="PN142" s="5"/>
      <c r="PO142" s="5"/>
      <c r="PP142" s="5"/>
      <c r="PQ142" s="5"/>
      <c r="PR142" s="5"/>
      <c r="PS142" s="5"/>
      <c r="PT142" s="5"/>
      <c r="PU142" s="5"/>
      <c r="PV142" s="5"/>
      <c r="PW142" s="5"/>
      <c r="PX142" s="5"/>
      <c r="PY142" s="5"/>
      <c r="PZ142" s="5"/>
      <c r="QA142" s="5"/>
      <c r="QB142" s="5"/>
      <c r="QC142" s="5"/>
      <c r="QD142" s="5"/>
      <c r="QE142" s="5"/>
      <c r="QF142" s="5"/>
      <c r="QG142" s="5"/>
      <c r="QH142" s="5"/>
      <c r="QI142" s="5"/>
      <c r="QJ142" s="5"/>
      <c r="QK142" s="5"/>
      <c r="QL142" s="5"/>
      <c r="QM142" s="5"/>
      <c r="QN142" s="5"/>
      <c r="QO142" s="5"/>
      <c r="QP142" s="5"/>
      <c r="QQ142" s="5"/>
      <c r="QR142" s="5"/>
      <c r="QS142" s="5"/>
      <c r="QT142" s="5"/>
      <c r="QU142" s="5"/>
      <c r="QV142" s="5"/>
      <c r="QW142" s="5"/>
      <c r="QX142" s="5"/>
      <c r="QY142" s="5"/>
      <c r="QZ142" s="5"/>
      <c r="RA142" s="5"/>
      <c r="RB142" s="5"/>
      <c r="RC142" s="5"/>
      <c r="RD142" s="5"/>
      <c r="RE142" s="5"/>
      <c r="RF142" s="5"/>
      <c r="RG142" s="5"/>
      <c r="RH142" s="5"/>
      <c r="RI142" s="5"/>
      <c r="RJ142" s="5"/>
      <c r="RK142" s="5"/>
      <c r="RL142" s="5"/>
      <c r="RM142" s="5"/>
      <c r="RN142" s="5"/>
      <c r="RO142" s="5"/>
      <c r="RP142" s="5"/>
      <c r="RQ142" s="5"/>
      <c r="RR142" s="5"/>
      <c r="RS142" s="5"/>
      <c r="RT142" s="5"/>
      <c r="RU142" s="5"/>
      <c r="RV142" s="5"/>
      <c r="RW142" s="5"/>
      <c r="RX142" s="5"/>
      <c r="RY142" s="5"/>
      <c r="RZ142" s="5"/>
      <c r="SA142" s="5"/>
      <c r="SB142" s="5"/>
      <c r="SC142" s="5"/>
      <c r="SD142" s="5"/>
      <c r="SE142" s="5"/>
      <c r="SF142" s="5"/>
      <c r="SG142" s="5"/>
      <c r="SH142" s="5"/>
      <c r="SI142" s="5"/>
      <c r="SJ142" s="5"/>
      <c r="SK142" s="5"/>
      <c r="SL142" s="5"/>
      <c r="SM142" s="5"/>
      <c r="SN142" s="5"/>
      <c r="SO142" s="5"/>
      <c r="SP142" s="5"/>
      <c r="SQ142" s="5"/>
      <c r="SR142" s="5"/>
      <c r="SS142" s="5"/>
      <c r="ST142" s="5"/>
      <c r="SU142" s="5"/>
      <c r="SV142" s="5"/>
      <c r="SW142" s="5"/>
      <c r="SX142" s="5"/>
      <c r="SY142" s="5"/>
      <c r="SZ142" s="5"/>
      <c r="TA142" s="5"/>
      <c r="TB142" s="5"/>
      <c r="TC142" s="5"/>
      <c r="TD142" s="5"/>
      <c r="TE142" s="5"/>
      <c r="TF142" s="5"/>
      <c r="TG142" s="5"/>
      <c r="TH142" s="5"/>
      <c r="TI142" s="5"/>
      <c r="TJ142" s="5"/>
      <c r="TK142" s="5"/>
      <c r="TL142" s="5"/>
      <c r="TM142" s="5"/>
      <c r="TN142" s="5"/>
      <c r="TO142" s="5"/>
      <c r="TP142" s="5"/>
      <c r="TQ142" s="5"/>
      <c r="TR142" s="5"/>
      <c r="TS142" s="5"/>
      <c r="TT142" s="5"/>
      <c r="TU142" s="5"/>
      <c r="TV142" s="5"/>
      <c r="TW142" s="5"/>
      <c r="TX142" s="5"/>
      <c r="TY142" s="5"/>
      <c r="TZ142" s="5"/>
      <c r="UA142" s="5"/>
      <c r="UB142" s="5"/>
      <c r="UC142" s="5"/>
      <c r="UD142" s="5"/>
      <c r="UE142" s="5"/>
      <c r="UF142" s="5"/>
      <c r="UG142" s="5"/>
      <c r="UH142" s="5"/>
      <c r="UI142" s="5"/>
      <c r="UJ142" s="5"/>
      <c r="UK142" s="5"/>
      <c r="UL142" s="5"/>
      <c r="UM142" s="5"/>
      <c r="UN142" s="5"/>
      <c r="UO142" s="5"/>
      <c r="UP142" s="5"/>
      <c r="UQ142" s="5"/>
      <c r="UR142" s="5"/>
      <c r="US142" s="5"/>
      <c r="UT142" s="5"/>
      <c r="UU142" s="5"/>
      <c r="UV142" s="5"/>
      <c r="UW142" s="5"/>
      <c r="UX142" s="5"/>
      <c r="UY142" s="5"/>
      <c r="UZ142" s="5"/>
      <c r="VA142" s="5"/>
      <c r="VB142" s="5"/>
      <c r="VC142" s="5"/>
      <c r="VD142" s="5"/>
      <c r="VE142" s="5"/>
      <c r="VF142" s="5"/>
      <c r="VG142" s="5"/>
      <c r="VH142" s="5"/>
      <c r="VI142" s="5"/>
      <c r="VJ142" s="5"/>
      <c r="VK142" s="5"/>
      <c r="VL142" s="5"/>
      <c r="VM142" s="5"/>
      <c r="VN142" s="5"/>
      <c r="VO142" s="5"/>
      <c r="VP142" s="5"/>
      <c r="VQ142" s="5"/>
      <c r="VR142" s="5"/>
      <c r="VS142" s="5"/>
      <c r="VT142" s="5"/>
      <c r="VU142" s="5"/>
      <c r="VV142" s="5"/>
      <c r="VW142" s="5"/>
      <c r="VX142" s="5"/>
      <c r="VY142" s="5"/>
      <c r="VZ142" s="5"/>
      <c r="WA142" s="5"/>
      <c r="WB142" s="5"/>
      <c r="WC142" s="5"/>
      <c r="WD142" s="5"/>
      <c r="WE142" s="5"/>
      <c r="WF142" s="5"/>
      <c r="WG142" s="5"/>
      <c r="WH142" s="5"/>
      <c r="WI142" s="5"/>
      <c r="WJ142" s="5"/>
      <c r="WK142" s="5"/>
      <c r="WL142" s="5"/>
      <c r="WM142" s="5"/>
      <c r="WN142" s="5"/>
      <c r="WO142" s="5"/>
      <c r="WP142" s="5"/>
      <c r="WQ142" s="5"/>
      <c r="WR142" s="5"/>
      <c r="WS142" s="5"/>
      <c r="WT142" s="5"/>
      <c r="WU142" s="5"/>
      <c r="WV142" s="5"/>
      <c r="WW142" s="5"/>
      <c r="WX142" s="5"/>
      <c r="WY142" s="5"/>
      <c r="WZ142" s="5"/>
      <c r="XA142" s="5"/>
      <c r="XB142" s="5"/>
      <c r="XC142" s="5"/>
      <c r="XD142" s="5"/>
      <c r="XE142" s="5"/>
      <c r="XF142" s="5"/>
      <c r="XG142" s="5"/>
      <c r="XH142" s="5"/>
      <c r="XI142" s="5"/>
      <c r="XJ142" s="5"/>
      <c r="XK142" s="5"/>
      <c r="XL142" s="5"/>
      <c r="XM142" s="5"/>
      <c r="XN142" s="5"/>
      <c r="XO142" s="5"/>
      <c r="XP142" s="5"/>
      <c r="XQ142" s="5"/>
      <c r="XR142" s="5"/>
      <c r="XS142" s="5"/>
      <c r="XT142" s="5"/>
      <c r="XU142" s="5"/>
      <c r="XV142" s="5"/>
      <c r="XW142" s="5"/>
      <c r="XX142" s="5"/>
      <c r="XY142" s="5"/>
      <c r="XZ142" s="5"/>
      <c r="YA142" s="5"/>
      <c r="YB142" s="5"/>
      <c r="YC142" s="5"/>
      <c r="YD142" s="5"/>
      <c r="YE142" s="5"/>
      <c r="YF142" s="5"/>
      <c r="YG142" s="5"/>
      <c r="YH142" s="5"/>
      <c r="YI142" s="5"/>
      <c r="YJ142" s="5"/>
      <c r="YK142" s="5"/>
      <c r="YL142" s="5"/>
      <c r="YM142" s="5"/>
      <c r="YN142" s="5"/>
      <c r="YO142" s="5"/>
      <c r="YP142" s="5"/>
      <c r="YQ142" s="5"/>
      <c r="YR142" s="5"/>
      <c r="YS142" s="5"/>
      <c r="YT142" s="5"/>
      <c r="YU142" s="5"/>
      <c r="YV142" s="5"/>
      <c r="YW142" s="5"/>
      <c r="YX142" s="5"/>
      <c r="YY142" s="5"/>
      <c r="YZ142" s="5"/>
    </row>
    <row r="143" spans="1:676">
      <c r="A143" s="7">
        <v>133</v>
      </c>
      <c r="B143" s="7" t="s">
        <v>336</v>
      </c>
      <c r="C143" s="10" t="s">
        <v>337</v>
      </c>
      <c r="D143" s="7" t="s">
        <v>48</v>
      </c>
      <c r="E143" s="7" t="s">
        <v>175</v>
      </c>
      <c r="F143" s="7" t="s">
        <v>286</v>
      </c>
      <c r="G143" s="7"/>
      <c r="H143" s="7"/>
      <c r="I143" s="11">
        <v>2</v>
      </c>
      <c r="J143" s="11">
        <v>3</v>
      </c>
      <c r="K143" s="11">
        <v>0</v>
      </c>
      <c r="L143" s="11">
        <v>0</v>
      </c>
      <c r="M143" s="11">
        <v>0</v>
      </c>
      <c r="N143" s="11">
        <v>0</v>
      </c>
      <c r="O143" s="11">
        <v>0.38</v>
      </c>
      <c r="P143" s="11">
        <v>0</v>
      </c>
      <c r="Q143" s="11">
        <v>0.38</v>
      </c>
      <c r="R143" s="11">
        <v>64.64999999999998</v>
      </c>
      <c r="S143" s="11">
        <v>65.02999999999997</v>
      </c>
      <c r="T143" s="11">
        <v>2</v>
      </c>
      <c r="U143" s="11">
        <v>3</v>
      </c>
      <c r="V143" s="11">
        <v>60.02999999999997</v>
      </c>
      <c r="W143" s="13">
        <v>24</v>
      </c>
      <c r="X143" s="13">
        <v>36</v>
      </c>
      <c r="Y143" s="13" t="str">
        <f>MIN(W143,S143)</f>
        <v>0</v>
      </c>
      <c r="Z143" s="13" t="str">
        <f>MIN(X143,(S143-Y143))</f>
        <v>0</v>
      </c>
      <c r="AA143" s="13" t="str">
        <f>S143-SUM(Y143,Z143)</f>
        <v>0</v>
      </c>
      <c r="AB143" s="15"/>
      <c r="AC143" s="15"/>
      <c r="AD143" s="1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  <c r="DA143" s="5"/>
      <c r="DB143" s="5"/>
      <c r="DC143" s="5"/>
      <c r="DD143" s="5"/>
      <c r="DE143" s="5"/>
      <c r="DF143" s="5"/>
      <c r="DG143" s="5"/>
      <c r="DH143" s="5"/>
      <c r="DI143" s="5"/>
      <c r="DJ143" s="5"/>
      <c r="DK143" s="5"/>
      <c r="DL143" s="5"/>
      <c r="DM143" s="5"/>
      <c r="DN143" s="5"/>
      <c r="DO143" s="5"/>
      <c r="DP143" s="5"/>
      <c r="DQ143" s="5"/>
      <c r="DR143" s="5"/>
      <c r="DS143" s="5"/>
      <c r="DT143" s="5"/>
      <c r="DU143" s="5"/>
      <c r="DV143" s="5"/>
      <c r="DW143" s="5"/>
      <c r="DX143" s="5"/>
      <c r="DY143" s="5"/>
      <c r="DZ143" s="5"/>
      <c r="EA143" s="5"/>
      <c r="EB143" s="5"/>
      <c r="EC143" s="5"/>
      <c r="ED143" s="5"/>
      <c r="EE143" s="5"/>
      <c r="EF143" s="5"/>
      <c r="EG143" s="5"/>
      <c r="EH143" s="5"/>
      <c r="EI143" s="5"/>
      <c r="EJ143" s="5"/>
      <c r="EK143" s="5"/>
      <c r="EL143" s="5"/>
      <c r="EM143" s="5"/>
      <c r="EN143" s="5"/>
      <c r="EO143" s="5"/>
      <c r="EP143" s="5"/>
      <c r="EQ143" s="5"/>
      <c r="ER143" s="5"/>
      <c r="ES143" s="5"/>
      <c r="ET143" s="5"/>
      <c r="EU143" s="5"/>
      <c r="EV143" s="5"/>
      <c r="EW143" s="5"/>
      <c r="EX143" s="5"/>
      <c r="EY143" s="5"/>
      <c r="EZ143" s="5"/>
      <c r="FA143" s="5"/>
      <c r="FB143" s="5"/>
      <c r="FC143" s="5"/>
      <c r="FD143" s="5"/>
      <c r="FE143" s="5"/>
      <c r="FF143" s="5"/>
      <c r="FG143" s="5"/>
      <c r="FH143" s="5"/>
      <c r="FI143" s="5"/>
      <c r="FJ143" s="5"/>
      <c r="FK143" s="5"/>
      <c r="FL143" s="5"/>
      <c r="FM143" s="5"/>
      <c r="FN143" s="5"/>
      <c r="FO143" s="5"/>
      <c r="FP143" s="5"/>
      <c r="FQ143" s="5"/>
      <c r="FR143" s="5"/>
      <c r="FS143" s="5"/>
      <c r="FT143" s="5"/>
      <c r="FU143" s="5"/>
      <c r="FV143" s="5"/>
      <c r="FW143" s="5"/>
      <c r="FX143" s="5"/>
      <c r="FY143" s="5"/>
      <c r="FZ143" s="5"/>
      <c r="GA143" s="5"/>
      <c r="GB143" s="5"/>
      <c r="GC143" s="5"/>
      <c r="GD143" s="5"/>
      <c r="GE143" s="5"/>
      <c r="GF143" s="5"/>
      <c r="GG143" s="5"/>
      <c r="GH143" s="5"/>
      <c r="GI143" s="5"/>
      <c r="GJ143" s="5"/>
      <c r="GK143" s="5"/>
      <c r="GL143" s="5"/>
      <c r="GM143" s="5"/>
      <c r="GN143" s="5"/>
      <c r="GO143" s="5"/>
      <c r="GP143" s="5"/>
      <c r="GQ143" s="5"/>
      <c r="GR143" s="5"/>
      <c r="GS143" s="5"/>
      <c r="GT143" s="5"/>
      <c r="GU143" s="5"/>
      <c r="GV143" s="5"/>
      <c r="GW143" s="5"/>
      <c r="GX143" s="5"/>
      <c r="GY143" s="5"/>
      <c r="GZ143" s="5"/>
      <c r="HA143" s="5"/>
      <c r="HB143" s="5"/>
      <c r="HC143" s="5"/>
      <c r="HD143" s="5"/>
      <c r="HE143" s="5"/>
      <c r="HF143" s="5"/>
      <c r="HG143" s="5"/>
      <c r="HH143" s="5"/>
      <c r="HI143" s="5"/>
      <c r="HJ143" s="5"/>
      <c r="HK143" s="5"/>
      <c r="HL143" s="5"/>
      <c r="HM143" s="5"/>
      <c r="HN143" s="5"/>
      <c r="HO143" s="5"/>
      <c r="HP143" s="5"/>
      <c r="HQ143" s="5"/>
      <c r="HR143" s="5"/>
      <c r="HS143" s="5"/>
      <c r="HT143" s="5"/>
      <c r="HU143" s="5"/>
      <c r="HV143" s="5"/>
      <c r="HW143" s="5"/>
      <c r="HX143" s="5"/>
      <c r="HY143" s="5"/>
      <c r="HZ143" s="5"/>
      <c r="IA143" s="5"/>
      <c r="IB143" s="5"/>
      <c r="IC143" s="5"/>
      <c r="ID143" s="5"/>
      <c r="IE143" s="5"/>
      <c r="IF143" s="5"/>
      <c r="IG143" s="5"/>
      <c r="IH143" s="5"/>
      <c r="II143" s="5"/>
      <c r="IJ143" s="5"/>
      <c r="IK143" s="5"/>
      <c r="IL143" s="5"/>
      <c r="IM143" s="5"/>
      <c r="IN143" s="5"/>
      <c r="IO143" s="5"/>
      <c r="IP143" s="5"/>
      <c r="IQ143" s="5"/>
      <c r="IR143" s="5"/>
      <c r="IS143" s="5"/>
      <c r="IT143" s="5"/>
      <c r="IU143" s="5"/>
      <c r="IV143" s="5"/>
      <c r="IW143" s="5"/>
      <c r="IX143" s="5"/>
      <c r="IY143" s="5"/>
      <c r="IZ143" s="5"/>
      <c r="JA143" s="5"/>
      <c r="JB143" s="5"/>
      <c r="JC143" s="5"/>
      <c r="JD143" s="5"/>
      <c r="JE143" s="5"/>
      <c r="JF143" s="5"/>
      <c r="JG143" s="5"/>
      <c r="JH143" s="5"/>
      <c r="JI143" s="5"/>
      <c r="JJ143" s="5"/>
      <c r="JK143" s="5"/>
      <c r="JL143" s="5"/>
      <c r="JM143" s="5"/>
      <c r="JN143" s="5"/>
      <c r="JO143" s="5"/>
      <c r="JP143" s="5"/>
      <c r="JQ143" s="5"/>
      <c r="JR143" s="5"/>
      <c r="JS143" s="5"/>
      <c r="JT143" s="5"/>
      <c r="JU143" s="5"/>
      <c r="JV143" s="5"/>
      <c r="JW143" s="5"/>
      <c r="JX143" s="5"/>
      <c r="JY143" s="5"/>
      <c r="JZ143" s="5"/>
      <c r="KA143" s="5"/>
      <c r="KB143" s="5"/>
      <c r="KC143" s="5"/>
      <c r="KD143" s="5"/>
      <c r="KE143" s="5"/>
      <c r="KF143" s="5"/>
      <c r="KG143" s="5"/>
      <c r="KH143" s="5"/>
      <c r="KI143" s="5"/>
      <c r="KJ143" s="5"/>
      <c r="KK143" s="5"/>
      <c r="KL143" s="5"/>
      <c r="KM143" s="5"/>
      <c r="KN143" s="5"/>
      <c r="KO143" s="5"/>
      <c r="KP143" s="5"/>
      <c r="KQ143" s="5"/>
      <c r="KR143" s="5"/>
      <c r="KS143" s="5"/>
      <c r="KT143" s="5"/>
      <c r="KU143" s="5"/>
      <c r="KV143" s="5"/>
      <c r="KW143" s="5"/>
      <c r="KX143" s="5"/>
      <c r="KY143" s="5"/>
      <c r="KZ143" s="5"/>
      <c r="LA143" s="5"/>
      <c r="LB143" s="5"/>
      <c r="LC143" s="5"/>
      <c r="LD143" s="5"/>
      <c r="LE143" s="5"/>
      <c r="LF143" s="5"/>
      <c r="LG143" s="5"/>
      <c r="LH143" s="5"/>
      <c r="LI143" s="5"/>
      <c r="LJ143" s="5"/>
      <c r="LK143" s="5"/>
      <c r="LL143" s="5"/>
      <c r="LM143" s="5"/>
      <c r="LN143" s="5"/>
      <c r="LO143" s="5"/>
      <c r="LP143" s="5"/>
      <c r="LQ143" s="5"/>
      <c r="LR143" s="5"/>
      <c r="LS143" s="5"/>
      <c r="LT143" s="5"/>
      <c r="LU143" s="5"/>
      <c r="LV143" s="5"/>
      <c r="LW143" s="5"/>
      <c r="LX143" s="5"/>
      <c r="LY143" s="5"/>
      <c r="LZ143" s="5"/>
      <c r="MA143" s="5"/>
      <c r="MB143" s="5"/>
      <c r="MC143" s="5"/>
      <c r="MD143" s="5"/>
      <c r="ME143" s="5"/>
      <c r="MF143" s="5"/>
      <c r="MG143" s="5"/>
      <c r="MH143" s="5"/>
      <c r="MI143" s="5"/>
      <c r="MJ143" s="5"/>
      <c r="MK143" s="5"/>
      <c r="ML143" s="5"/>
      <c r="MM143" s="5"/>
      <c r="MN143" s="5"/>
      <c r="MO143" s="5"/>
      <c r="MP143" s="5"/>
      <c r="MQ143" s="5"/>
      <c r="MR143" s="5"/>
      <c r="MS143" s="5"/>
      <c r="MT143" s="5"/>
      <c r="MU143" s="5"/>
      <c r="MV143" s="5"/>
      <c r="MW143" s="5"/>
      <c r="MX143" s="5"/>
      <c r="MY143" s="5"/>
      <c r="MZ143" s="5"/>
      <c r="NA143" s="5"/>
      <c r="NB143" s="5"/>
      <c r="NC143" s="5"/>
      <c r="ND143" s="5"/>
      <c r="NE143" s="5"/>
      <c r="NF143" s="5"/>
      <c r="NG143" s="5"/>
      <c r="NH143" s="5"/>
      <c r="NI143" s="5"/>
      <c r="NJ143" s="5"/>
      <c r="NK143" s="5"/>
      <c r="NL143" s="5"/>
      <c r="NM143" s="5"/>
      <c r="NN143" s="5"/>
      <c r="NO143" s="5"/>
      <c r="NP143" s="5"/>
      <c r="NQ143" s="5"/>
      <c r="NR143" s="5"/>
      <c r="NS143" s="5"/>
      <c r="NT143" s="5"/>
      <c r="NU143" s="5"/>
      <c r="NV143" s="5"/>
      <c r="NW143" s="5"/>
      <c r="NX143" s="5"/>
      <c r="NY143" s="5"/>
      <c r="NZ143" s="5"/>
      <c r="OA143" s="5"/>
      <c r="OB143" s="5"/>
      <c r="OC143" s="5"/>
      <c r="OD143" s="5"/>
      <c r="OE143" s="5"/>
      <c r="OF143" s="5"/>
      <c r="OG143" s="5"/>
      <c r="OH143" s="5"/>
      <c r="OI143" s="5"/>
      <c r="OJ143" s="5"/>
      <c r="OK143" s="5"/>
      <c r="OL143" s="5"/>
      <c r="OM143" s="5"/>
      <c r="ON143" s="5"/>
      <c r="OO143" s="5"/>
      <c r="OP143" s="5"/>
      <c r="OQ143" s="5"/>
      <c r="OR143" s="5"/>
      <c r="OS143" s="5"/>
      <c r="OT143" s="5"/>
      <c r="OU143" s="5"/>
      <c r="OV143" s="5"/>
      <c r="OW143" s="5"/>
      <c r="OX143" s="5"/>
      <c r="OY143" s="5"/>
      <c r="OZ143" s="5"/>
      <c r="PA143" s="5"/>
      <c r="PB143" s="5"/>
      <c r="PC143" s="5"/>
      <c r="PD143" s="5"/>
      <c r="PE143" s="5"/>
      <c r="PF143" s="5"/>
      <c r="PG143" s="5"/>
      <c r="PH143" s="5"/>
      <c r="PI143" s="5"/>
      <c r="PJ143" s="5"/>
      <c r="PK143" s="5"/>
      <c r="PL143" s="5"/>
      <c r="PM143" s="5"/>
      <c r="PN143" s="5"/>
      <c r="PO143" s="5"/>
      <c r="PP143" s="5"/>
      <c r="PQ143" s="5"/>
      <c r="PR143" s="5"/>
      <c r="PS143" s="5"/>
      <c r="PT143" s="5"/>
      <c r="PU143" s="5"/>
      <c r="PV143" s="5"/>
      <c r="PW143" s="5"/>
      <c r="PX143" s="5"/>
      <c r="PY143" s="5"/>
      <c r="PZ143" s="5"/>
      <c r="QA143" s="5"/>
      <c r="QB143" s="5"/>
      <c r="QC143" s="5"/>
      <c r="QD143" s="5"/>
      <c r="QE143" s="5"/>
      <c r="QF143" s="5"/>
      <c r="QG143" s="5"/>
      <c r="QH143" s="5"/>
      <c r="QI143" s="5"/>
      <c r="QJ143" s="5"/>
      <c r="QK143" s="5"/>
      <c r="QL143" s="5"/>
      <c r="QM143" s="5"/>
      <c r="QN143" s="5"/>
      <c r="QO143" s="5"/>
      <c r="QP143" s="5"/>
      <c r="QQ143" s="5"/>
      <c r="QR143" s="5"/>
      <c r="QS143" s="5"/>
      <c r="QT143" s="5"/>
      <c r="QU143" s="5"/>
      <c r="QV143" s="5"/>
      <c r="QW143" s="5"/>
      <c r="QX143" s="5"/>
      <c r="QY143" s="5"/>
      <c r="QZ143" s="5"/>
      <c r="RA143" s="5"/>
      <c r="RB143" s="5"/>
      <c r="RC143" s="5"/>
      <c r="RD143" s="5"/>
      <c r="RE143" s="5"/>
      <c r="RF143" s="5"/>
      <c r="RG143" s="5"/>
      <c r="RH143" s="5"/>
      <c r="RI143" s="5"/>
      <c r="RJ143" s="5"/>
      <c r="RK143" s="5"/>
      <c r="RL143" s="5"/>
      <c r="RM143" s="5"/>
      <c r="RN143" s="5"/>
      <c r="RO143" s="5"/>
      <c r="RP143" s="5"/>
      <c r="RQ143" s="5"/>
      <c r="RR143" s="5"/>
      <c r="RS143" s="5"/>
      <c r="RT143" s="5"/>
      <c r="RU143" s="5"/>
      <c r="RV143" s="5"/>
      <c r="RW143" s="5"/>
      <c r="RX143" s="5"/>
      <c r="RY143" s="5"/>
      <c r="RZ143" s="5"/>
      <c r="SA143" s="5"/>
      <c r="SB143" s="5"/>
      <c r="SC143" s="5"/>
      <c r="SD143" s="5"/>
      <c r="SE143" s="5"/>
      <c r="SF143" s="5"/>
      <c r="SG143" s="5"/>
      <c r="SH143" s="5"/>
      <c r="SI143" s="5"/>
      <c r="SJ143" s="5"/>
      <c r="SK143" s="5"/>
      <c r="SL143" s="5"/>
      <c r="SM143" s="5"/>
      <c r="SN143" s="5"/>
      <c r="SO143" s="5"/>
      <c r="SP143" s="5"/>
      <c r="SQ143" s="5"/>
      <c r="SR143" s="5"/>
      <c r="SS143" s="5"/>
      <c r="ST143" s="5"/>
      <c r="SU143" s="5"/>
      <c r="SV143" s="5"/>
      <c r="SW143" s="5"/>
      <c r="SX143" s="5"/>
      <c r="SY143" s="5"/>
      <c r="SZ143" s="5"/>
      <c r="TA143" s="5"/>
      <c r="TB143" s="5"/>
      <c r="TC143" s="5"/>
      <c r="TD143" s="5"/>
      <c r="TE143" s="5"/>
      <c r="TF143" s="5"/>
      <c r="TG143" s="5"/>
      <c r="TH143" s="5"/>
      <c r="TI143" s="5"/>
      <c r="TJ143" s="5"/>
      <c r="TK143" s="5"/>
      <c r="TL143" s="5"/>
      <c r="TM143" s="5"/>
      <c r="TN143" s="5"/>
      <c r="TO143" s="5"/>
      <c r="TP143" s="5"/>
      <c r="TQ143" s="5"/>
      <c r="TR143" s="5"/>
      <c r="TS143" s="5"/>
      <c r="TT143" s="5"/>
      <c r="TU143" s="5"/>
      <c r="TV143" s="5"/>
      <c r="TW143" s="5"/>
      <c r="TX143" s="5"/>
      <c r="TY143" s="5"/>
      <c r="TZ143" s="5"/>
      <c r="UA143" s="5"/>
      <c r="UB143" s="5"/>
      <c r="UC143" s="5"/>
      <c r="UD143" s="5"/>
      <c r="UE143" s="5"/>
      <c r="UF143" s="5"/>
      <c r="UG143" s="5"/>
      <c r="UH143" s="5"/>
      <c r="UI143" s="5"/>
      <c r="UJ143" s="5"/>
      <c r="UK143" s="5"/>
      <c r="UL143" s="5"/>
      <c r="UM143" s="5"/>
      <c r="UN143" s="5"/>
      <c r="UO143" s="5"/>
      <c r="UP143" s="5"/>
      <c r="UQ143" s="5"/>
      <c r="UR143" s="5"/>
      <c r="US143" s="5"/>
      <c r="UT143" s="5"/>
      <c r="UU143" s="5"/>
      <c r="UV143" s="5"/>
      <c r="UW143" s="5"/>
      <c r="UX143" s="5"/>
      <c r="UY143" s="5"/>
      <c r="UZ143" s="5"/>
      <c r="VA143" s="5"/>
      <c r="VB143" s="5"/>
      <c r="VC143" s="5"/>
      <c r="VD143" s="5"/>
      <c r="VE143" s="5"/>
      <c r="VF143" s="5"/>
      <c r="VG143" s="5"/>
      <c r="VH143" s="5"/>
      <c r="VI143" s="5"/>
      <c r="VJ143" s="5"/>
      <c r="VK143" s="5"/>
      <c r="VL143" s="5"/>
      <c r="VM143" s="5"/>
      <c r="VN143" s="5"/>
      <c r="VO143" s="5"/>
      <c r="VP143" s="5"/>
      <c r="VQ143" s="5"/>
      <c r="VR143" s="5"/>
      <c r="VS143" s="5"/>
      <c r="VT143" s="5"/>
      <c r="VU143" s="5"/>
      <c r="VV143" s="5"/>
      <c r="VW143" s="5"/>
      <c r="VX143" s="5"/>
      <c r="VY143" s="5"/>
      <c r="VZ143" s="5"/>
      <c r="WA143" s="5"/>
      <c r="WB143" s="5"/>
      <c r="WC143" s="5"/>
      <c r="WD143" s="5"/>
      <c r="WE143" s="5"/>
      <c r="WF143" s="5"/>
      <c r="WG143" s="5"/>
      <c r="WH143" s="5"/>
      <c r="WI143" s="5"/>
      <c r="WJ143" s="5"/>
      <c r="WK143" s="5"/>
      <c r="WL143" s="5"/>
      <c r="WM143" s="5"/>
      <c r="WN143" s="5"/>
      <c r="WO143" s="5"/>
      <c r="WP143" s="5"/>
      <c r="WQ143" s="5"/>
      <c r="WR143" s="5"/>
      <c r="WS143" s="5"/>
      <c r="WT143" s="5"/>
      <c r="WU143" s="5"/>
      <c r="WV143" s="5"/>
      <c r="WW143" s="5"/>
      <c r="WX143" s="5"/>
      <c r="WY143" s="5"/>
      <c r="WZ143" s="5"/>
      <c r="XA143" s="5"/>
      <c r="XB143" s="5"/>
      <c r="XC143" s="5"/>
      <c r="XD143" s="5"/>
      <c r="XE143" s="5"/>
      <c r="XF143" s="5"/>
      <c r="XG143" s="5"/>
      <c r="XH143" s="5"/>
      <c r="XI143" s="5"/>
      <c r="XJ143" s="5"/>
      <c r="XK143" s="5"/>
      <c r="XL143" s="5"/>
      <c r="XM143" s="5"/>
      <c r="XN143" s="5"/>
      <c r="XO143" s="5"/>
      <c r="XP143" s="5"/>
      <c r="XQ143" s="5"/>
      <c r="XR143" s="5"/>
      <c r="XS143" s="5"/>
      <c r="XT143" s="5"/>
      <c r="XU143" s="5"/>
      <c r="XV143" s="5"/>
      <c r="XW143" s="5"/>
      <c r="XX143" s="5"/>
      <c r="XY143" s="5"/>
      <c r="XZ143" s="5"/>
      <c r="YA143" s="5"/>
      <c r="YB143" s="5"/>
      <c r="YC143" s="5"/>
      <c r="YD143" s="5"/>
      <c r="YE143" s="5"/>
      <c r="YF143" s="5"/>
      <c r="YG143" s="5"/>
      <c r="YH143" s="5"/>
      <c r="YI143" s="5"/>
      <c r="YJ143" s="5"/>
      <c r="YK143" s="5"/>
      <c r="YL143" s="5"/>
      <c r="YM143" s="5"/>
      <c r="YN143" s="5"/>
      <c r="YO143" s="5"/>
      <c r="YP143" s="5"/>
      <c r="YQ143" s="5"/>
      <c r="YR143" s="5"/>
      <c r="YS143" s="5"/>
      <c r="YT143" s="5"/>
      <c r="YU143" s="5"/>
      <c r="YV143" s="5"/>
      <c r="YW143" s="5"/>
      <c r="YX143" s="5"/>
      <c r="YY143" s="5"/>
      <c r="YZ143" s="5"/>
    </row>
    <row r="144" spans="1:676">
      <c r="A144" s="7">
        <v>134</v>
      </c>
      <c r="B144" s="7" t="s">
        <v>338</v>
      </c>
      <c r="C144" s="10" t="s">
        <v>339</v>
      </c>
      <c r="D144" s="7" t="s">
        <v>48</v>
      </c>
      <c r="E144" s="7" t="s">
        <v>175</v>
      </c>
      <c r="F144" s="7" t="s">
        <v>291</v>
      </c>
      <c r="G144" s="7"/>
      <c r="H144" s="7" t="s">
        <v>43</v>
      </c>
      <c r="I144" s="11">
        <v>2</v>
      </c>
      <c r="J144" s="11">
        <v>3</v>
      </c>
      <c r="K144" s="11">
        <v>0</v>
      </c>
      <c r="L144" s="11">
        <v>3.33</v>
      </c>
      <c r="M144" s="11">
        <v>0</v>
      </c>
      <c r="N144" s="11">
        <v>0</v>
      </c>
      <c r="O144" s="11">
        <v>0.91</v>
      </c>
      <c r="P144" s="11">
        <v>0.95</v>
      </c>
      <c r="Q144" s="11">
        <v>5.190000000000001</v>
      </c>
      <c r="R144" s="11">
        <v>72.70999999999997</v>
      </c>
      <c r="S144" s="11">
        <v>77.89999999999996</v>
      </c>
      <c r="T144" s="11">
        <v>2</v>
      </c>
      <c r="U144" s="11">
        <v>3</v>
      </c>
      <c r="V144" s="11">
        <v>72.89999999999996</v>
      </c>
      <c r="W144" s="13">
        <v>24</v>
      </c>
      <c r="X144" s="13">
        <v>36</v>
      </c>
      <c r="Y144" s="13" t="str">
        <f>MIN(W144,S144)</f>
        <v>0</v>
      </c>
      <c r="Z144" s="13" t="str">
        <f>MIN(X144,(S144-Y144))</f>
        <v>0</v>
      </c>
      <c r="AA144" s="13" t="str">
        <f>S144-SUM(Y144,Z144)</f>
        <v>0</v>
      </c>
      <c r="AB144" s="15"/>
      <c r="AC144" s="15"/>
      <c r="AD144" s="1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5"/>
      <c r="CZ144" s="5"/>
      <c r="DA144" s="5"/>
      <c r="DB144" s="5"/>
      <c r="DC144" s="5"/>
      <c r="DD144" s="5"/>
      <c r="DE144" s="5"/>
      <c r="DF144" s="5"/>
      <c r="DG144" s="5"/>
      <c r="DH144" s="5"/>
      <c r="DI144" s="5"/>
      <c r="DJ144" s="5"/>
      <c r="DK144" s="5"/>
      <c r="DL144" s="5"/>
      <c r="DM144" s="5"/>
      <c r="DN144" s="5"/>
      <c r="DO144" s="5"/>
      <c r="DP144" s="5"/>
      <c r="DQ144" s="5"/>
      <c r="DR144" s="5"/>
      <c r="DS144" s="5"/>
      <c r="DT144" s="5"/>
      <c r="DU144" s="5"/>
      <c r="DV144" s="5"/>
      <c r="DW144" s="5"/>
      <c r="DX144" s="5"/>
      <c r="DY144" s="5"/>
      <c r="DZ144" s="5"/>
      <c r="EA144" s="5"/>
      <c r="EB144" s="5"/>
      <c r="EC144" s="5"/>
      <c r="ED144" s="5"/>
      <c r="EE144" s="5"/>
      <c r="EF144" s="5"/>
      <c r="EG144" s="5"/>
      <c r="EH144" s="5"/>
      <c r="EI144" s="5"/>
      <c r="EJ144" s="5"/>
      <c r="EK144" s="5"/>
      <c r="EL144" s="5"/>
      <c r="EM144" s="5"/>
      <c r="EN144" s="5"/>
      <c r="EO144" s="5"/>
      <c r="EP144" s="5"/>
      <c r="EQ144" s="5"/>
      <c r="ER144" s="5"/>
      <c r="ES144" s="5"/>
      <c r="ET144" s="5"/>
      <c r="EU144" s="5"/>
      <c r="EV144" s="5"/>
      <c r="EW144" s="5"/>
      <c r="EX144" s="5"/>
      <c r="EY144" s="5"/>
      <c r="EZ144" s="5"/>
      <c r="FA144" s="5"/>
      <c r="FB144" s="5"/>
      <c r="FC144" s="5"/>
      <c r="FD144" s="5"/>
      <c r="FE144" s="5"/>
      <c r="FF144" s="5"/>
      <c r="FG144" s="5"/>
      <c r="FH144" s="5"/>
      <c r="FI144" s="5"/>
      <c r="FJ144" s="5"/>
      <c r="FK144" s="5"/>
      <c r="FL144" s="5"/>
      <c r="FM144" s="5"/>
      <c r="FN144" s="5"/>
      <c r="FO144" s="5"/>
      <c r="FP144" s="5"/>
      <c r="FQ144" s="5"/>
      <c r="FR144" s="5"/>
      <c r="FS144" s="5"/>
      <c r="FT144" s="5"/>
      <c r="FU144" s="5"/>
      <c r="FV144" s="5"/>
      <c r="FW144" s="5"/>
      <c r="FX144" s="5"/>
      <c r="FY144" s="5"/>
      <c r="FZ144" s="5"/>
      <c r="GA144" s="5"/>
      <c r="GB144" s="5"/>
      <c r="GC144" s="5"/>
      <c r="GD144" s="5"/>
      <c r="GE144" s="5"/>
      <c r="GF144" s="5"/>
      <c r="GG144" s="5"/>
      <c r="GH144" s="5"/>
      <c r="GI144" s="5"/>
      <c r="GJ144" s="5"/>
      <c r="GK144" s="5"/>
      <c r="GL144" s="5"/>
      <c r="GM144" s="5"/>
      <c r="GN144" s="5"/>
      <c r="GO144" s="5"/>
      <c r="GP144" s="5"/>
      <c r="GQ144" s="5"/>
      <c r="GR144" s="5"/>
      <c r="GS144" s="5"/>
      <c r="GT144" s="5"/>
      <c r="GU144" s="5"/>
      <c r="GV144" s="5"/>
      <c r="GW144" s="5"/>
      <c r="GX144" s="5"/>
      <c r="GY144" s="5"/>
      <c r="GZ144" s="5"/>
      <c r="HA144" s="5"/>
      <c r="HB144" s="5"/>
      <c r="HC144" s="5"/>
      <c r="HD144" s="5"/>
      <c r="HE144" s="5"/>
      <c r="HF144" s="5"/>
      <c r="HG144" s="5"/>
      <c r="HH144" s="5"/>
      <c r="HI144" s="5"/>
      <c r="HJ144" s="5"/>
      <c r="HK144" s="5"/>
      <c r="HL144" s="5"/>
      <c r="HM144" s="5"/>
      <c r="HN144" s="5"/>
      <c r="HO144" s="5"/>
      <c r="HP144" s="5"/>
      <c r="HQ144" s="5"/>
      <c r="HR144" s="5"/>
      <c r="HS144" s="5"/>
      <c r="HT144" s="5"/>
      <c r="HU144" s="5"/>
      <c r="HV144" s="5"/>
      <c r="HW144" s="5"/>
      <c r="HX144" s="5"/>
      <c r="HY144" s="5"/>
      <c r="HZ144" s="5"/>
      <c r="IA144" s="5"/>
      <c r="IB144" s="5"/>
      <c r="IC144" s="5"/>
      <c r="ID144" s="5"/>
      <c r="IE144" s="5"/>
      <c r="IF144" s="5"/>
      <c r="IG144" s="5"/>
      <c r="IH144" s="5"/>
      <c r="II144" s="5"/>
      <c r="IJ144" s="5"/>
      <c r="IK144" s="5"/>
      <c r="IL144" s="5"/>
      <c r="IM144" s="5"/>
      <c r="IN144" s="5"/>
      <c r="IO144" s="5"/>
      <c r="IP144" s="5"/>
      <c r="IQ144" s="5"/>
      <c r="IR144" s="5"/>
      <c r="IS144" s="5"/>
      <c r="IT144" s="5"/>
      <c r="IU144" s="5"/>
      <c r="IV144" s="5"/>
      <c r="IW144" s="5"/>
      <c r="IX144" s="5"/>
      <c r="IY144" s="5"/>
      <c r="IZ144" s="5"/>
      <c r="JA144" s="5"/>
      <c r="JB144" s="5"/>
      <c r="JC144" s="5"/>
      <c r="JD144" s="5"/>
      <c r="JE144" s="5"/>
      <c r="JF144" s="5"/>
      <c r="JG144" s="5"/>
      <c r="JH144" s="5"/>
      <c r="JI144" s="5"/>
      <c r="JJ144" s="5"/>
      <c r="JK144" s="5"/>
      <c r="JL144" s="5"/>
      <c r="JM144" s="5"/>
      <c r="JN144" s="5"/>
      <c r="JO144" s="5"/>
      <c r="JP144" s="5"/>
      <c r="JQ144" s="5"/>
      <c r="JR144" s="5"/>
      <c r="JS144" s="5"/>
      <c r="JT144" s="5"/>
      <c r="JU144" s="5"/>
      <c r="JV144" s="5"/>
      <c r="JW144" s="5"/>
      <c r="JX144" s="5"/>
      <c r="JY144" s="5"/>
      <c r="JZ144" s="5"/>
      <c r="KA144" s="5"/>
      <c r="KB144" s="5"/>
      <c r="KC144" s="5"/>
      <c r="KD144" s="5"/>
      <c r="KE144" s="5"/>
      <c r="KF144" s="5"/>
      <c r="KG144" s="5"/>
      <c r="KH144" s="5"/>
      <c r="KI144" s="5"/>
      <c r="KJ144" s="5"/>
      <c r="KK144" s="5"/>
      <c r="KL144" s="5"/>
      <c r="KM144" s="5"/>
      <c r="KN144" s="5"/>
      <c r="KO144" s="5"/>
      <c r="KP144" s="5"/>
      <c r="KQ144" s="5"/>
      <c r="KR144" s="5"/>
      <c r="KS144" s="5"/>
      <c r="KT144" s="5"/>
      <c r="KU144" s="5"/>
      <c r="KV144" s="5"/>
      <c r="KW144" s="5"/>
      <c r="KX144" s="5"/>
      <c r="KY144" s="5"/>
      <c r="KZ144" s="5"/>
      <c r="LA144" s="5"/>
      <c r="LB144" s="5"/>
      <c r="LC144" s="5"/>
      <c r="LD144" s="5"/>
      <c r="LE144" s="5"/>
      <c r="LF144" s="5"/>
      <c r="LG144" s="5"/>
      <c r="LH144" s="5"/>
      <c r="LI144" s="5"/>
      <c r="LJ144" s="5"/>
      <c r="LK144" s="5"/>
      <c r="LL144" s="5"/>
      <c r="LM144" s="5"/>
      <c r="LN144" s="5"/>
      <c r="LO144" s="5"/>
      <c r="LP144" s="5"/>
      <c r="LQ144" s="5"/>
      <c r="LR144" s="5"/>
      <c r="LS144" s="5"/>
      <c r="LT144" s="5"/>
      <c r="LU144" s="5"/>
      <c r="LV144" s="5"/>
      <c r="LW144" s="5"/>
      <c r="LX144" s="5"/>
      <c r="LY144" s="5"/>
      <c r="LZ144" s="5"/>
      <c r="MA144" s="5"/>
      <c r="MB144" s="5"/>
      <c r="MC144" s="5"/>
      <c r="MD144" s="5"/>
      <c r="ME144" s="5"/>
      <c r="MF144" s="5"/>
      <c r="MG144" s="5"/>
      <c r="MH144" s="5"/>
      <c r="MI144" s="5"/>
      <c r="MJ144" s="5"/>
      <c r="MK144" s="5"/>
      <c r="ML144" s="5"/>
      <c r="MM144" s="5"/>
      <c r="MN144" s="5"/>
      <c r="MO144" s="5"/>
      <c r="MP144" s="5"/>
      <c r="MQ144" s="5"/>
      <c r="MR144" s="5"/>
      <c r="MS144" s="5"/>
      <c r="MT144" s="5"/>
      <c r="MU144" s="5"/>
      <c r="MV144" s="5"/>
      <c r="MW144" s="5"/>
      <c r="MX144" s="5"/>
      <c r="MY144" s="5"/>
      <c r="MZ144" s="5"/>
      <c r="NA144" s="5"/>
      <c r="NB144" s="5"/>
      <c r="NC144" s="5"/>
      <c r="ND144" s="5"/>
      <c r="NE144" s="5"/>
      <c r="NF144" s="5"/>
      <c r="NG144" s="5"/>
      <c r="NH144" s="5"/>
      <c r="NI144" s="5"/>
      <c r="NJ144" s="5"/>
      <c r="NK144" s="5"/>
      <c r="NL144" s="5"/>
      <c r="NM144" s="5"/>
      <c r="NN144" s="5"/>
      <c r="NO144" s="5"/>
      <c r="NP144" s="5"/>
      <c r="NQ144" s="5"/>
      <c r="NR144" s="5"/>
      <c r="NS144" s="5"/>
      <c r="NT144" s="5"/>
      <c r="NU144" s="5"/>
      <c r="NV144" s="5"/>
      <c r="NW144" s="5"/>
      <c r="NX144" s="5"/>
      <c r="NY144" s="5"/>
      <c r="NZ144" s="5"/>
      <c r="OA144" s="5"/>
      <c r="OB144" s="5"/>
      <c r="OC144" s="5"/>
      <c r="OD144" s="5"/>
      <c r="OE144" s="5"/>
      <c r="OF144" s="5"/>
      <c r="OG144" s="5"/>
      <c r="OH144" s="5"/>
      <c r="OI144" s="5"/>
      <c r="OJ144" s="5"/>
      <c r="OK144" s="5"/>
      <c r="OL144" s="5"/>
      <c r="OM144" s="5"/>
      <c r="ON144" s="5"/>
      <c r="OO144" s="5"/>
      <c r="OP144" s="5"/>
      <c r="OQ144" s="5"/>
      <c r="OR144" s="5"/>
      <c r="OS144" s="5"/>
      <c r="OT144" s="5"/>
      <c r="OU144" s="5"/>
      <c r="OV144" s="5"/>
      <c r="OW144" s="5"/>
      <c r="OX144" s="5"/>
      <c r="OY144" s="5"/>
      <c r="OZ144" s="5"/>
      <c r="PA144" s="5"/>
      <c r="PB144" s="5"/>
      <c r="PC144" s="5"/>
      <c r="PD144" s="5"/>
      <c r="PE144" s="5"/>
      <c r="PF144" s="5"/>
      <c r="PG144" s="5"/>
      <c r="PH144" s="5"/>
      <c r="PI144" s="5"/>
      <c r="PJ144" s="5"/>
      <c r="PK144" s="5"/>
      <c r="PL144" s="5"/>
      <c r="PM144" s="5"/>
      <c r="PN144" s="5"/>
      <c r="PO144" s="5"/>
      <c r="PP144" s="5"/>
      <c r="PQ144" s="5"/>
      <c r="PR144" s="5"/>
      <c r="PS144" s="5"/>
      <c r="PT144" s="5"/>
      <c r="PU144" s="5"/>
      <c r="PV144" s="5"/>
      <c r="PW144" s="5"/>
      <c r="PX144" s="5"/>
      <c r="PY144" s="5"/>
      <c r="PZ144" s="5"/>
      <c r="QA144" s="5"/>
      <c r="QB144" s="5"/>
      <c r="QC144" s="5"/>
      <c r="QD144" s="5"/>
      <c r="QE144" s="5"/>
      <c r="QF144" s="5"/>
      <c r="QG144" s="5"/>
      <c r="QH144" s="5"/>
      <c r="QI144" s="5"/>
      <c r="QJ144" s="5"/>
      <c r="QK144" s="5"/>
      <c r="QL144" s="5"/>
      <c r="QM144" s="5"/>
      <c r="QN144" s="5"/>
      <c r="QO144" s="5"/>
      <c r="QP144" s="5"/>
      <c r="QQ144" s="5"/>
      <c r="QR144" s="5"/>
      <c r="QS144" s="5"/>
      <c r="QT144" s="5"/>
      <c r="QU144" s="5"/>
      <c r="QV144" s="5"/>
      <c r="QW144" s="5"/>
      <c r="QX144" s="5"/>
      <c r="QY144" s="5"/>
      <c r="QZ144" s="5"/>
      <c r="RA144" s="5"/>
      <c r="RB144" s="5"/>
      <c r="RC144" s="5"/>
      <c r="RD144" s="5"/>
      <c r="RE144" s="5"/>
      <c r="RF144" s="5"/>
      <c r="RG144" s="5"/>
      <c r="RH144" s="5"/>
      <c r="RI144" s="5"/>
      <c r="RJ144" s="5"/>
      <c r="RK144" s="5"/>
      <c r="RL144" s="5"/>
      <c r="RM144" s="5"/>
      <c r="RN144" s="5"/>
      <c r="RO144" s="5"/>
      <c r="RP144" s="5"/>
      <c r="RQ144" s="5"/>
      <c r="RR144" s="5"/>
      <c r="RS144" s="5"/>
      <c r="RT144" s="5"/>
      <c r="RU144" s="5"/>
      <c r="RV144" s="5"/>
      <c r="RW144" s="5"/>
      <c r="RX144" s="5"/>
      <c r="RY144" s="5"/>
      <c r="RZ144" s="5"/>
      <c r="SA144" s="5"/>
      <c r="SB144" s="5"/>
      <c r="SC144" s="5"/>
      <c r="SD144" s="5"/>
      <c r="SE144" s="5"/>
      <c r="SF144" s="5"/>
      <c r="SG144" s="5"/>
      <c r="SH144" s="5"/>
      <c r="SI144" s="5"/>
      <c r="SJ144" s="5"/>
      <c r="SK144" s="5"/>
      <c r="SL144" s="5"/>
      <c r="SM144" s="5"/>
      <c r="SN144" s="5"/>
      <c r="SO144" s="5"/>
      <c r="SP144" s="5"/>
      <c r="SQ144" s="5"/>
      <c r="SR144" s="5"/>
      <c r="SS144" s="5"/>
      <c r="ST144" s="5"/>
      <c r="SU144" s="5"/>
      <c r="SV144" s="5"/>
      <c r="SW144" s="5"/>
      <c r="SX144" s="5"/>
      <c r="SY144" s="5"/>
      <c r="SZ144" s="5"/>
      <c r="TA144" s="5"/>
      <c r="TB144" s="5"/>
      <c r="TC144" s="5"/>
      <c r="TD144" s="5"/>
      <c r="TE144" s="5"/>
      <c r="TF144" s="5"/>
      <c r="TG144" s="5"/>
      <c r="TH144" s="5"/>
      <c r="TI144" s="5"/>
      <c r="TJ144" s="5"/>
      <c r="TK144" s="5"/>
      <c r="TL144" s="5"/>
      <c r="TM144" s="5"/>
      <c r="TN144" s="5"/>
      <c r="TO144" s="5"/>
      <c r="TP144" s="5"/>
      <c r="TQ144" s="5"/>
      <c r="TR144" s="5"/>
      <c r="TS144" s="5"/>
      <c r="TT144" s="5"/>
      <c r="TU144" s="5"/>
      <c r="TV144" s="5"/>
      <c r="TW144" s="5"/>
      <c r="TX144" s="5"/>
      <c r="TY144" s="5"/>
      <c r="TZ144" s="5"/>
      <c r="UA144" s="5"/>
      <c r="UB144" s="5"/>
      <c r="UC144" s="5"/>
      <c r="UD144" s="5"/>
      <c r="UE144" s="5"/>
      <c r="UF144" s="5"/>
      <c r="UG144" s="5"/>
      <c r="UH144" s="5"/>
      <c r="UI144" s="5"/>
      <c r="UJ144" s="5"/>
      <c r="UK144" s="5"/>
      <c r="UL144" s="5"/>
      <c r="UM144" s="5"/>
      <c r="UN144" s="5"/>
      <c r="UO144" s="5"/>
      <c r="UP144" s="5"/>
      <c r="UQ144" s="5"/>
      <c r="UR144" s="5"/>
      <c r="US144" s="5"/>
      <c r="UT144" s="5"/>
      <c r="UU144" s="5"/>
      <c r="UV144" s="5"/>
      <c r="UW144" s="5"/>
      <c r="UX144" s="5"/>
      <c r="UY144" s="5"/>
      <c r="UZ144" s="5"/>
      <c r="VA144" s="5"/>
      <c r="VB144" s="5"/>
      <c r="VC144" s="5"/>
      <c r="VD144" s="5"/>
      <c r="VE144" s="5"/>
      <c r="VF144" s="5"/>
      <c r="VG144" s="5"/>
      <c r="VH144" s="5"/>
      <c r="VI144" s="5"/>
      <c r="VJ144" s="5"/>
      <c r="VK144" s="5"/>
      <c r="VL144" s="5"/>
      <c r="VM144" s="5"/>
      <c r="VN144" s="5"/>
      <c r="VO144" s="5"/>
      <c r="VP144" s="5"/>
      <c r="VQ144" s="5"/>
      <c r="VR144" s="5"/>
      <c r="VS144" s="5"/>
      <c r="VT144" s="5"/>
      <c r="VU144" s="5"/>
      <c r="VV144" s="5"/>
      <c r="VW144" s="5"/>
      <c r="VX144" s="5"/>
      <c r="VY144" s="5"/>
      <c r="VZ144" s="5"/>
      <c r="WA144" s="5"/>
      <c r="WB144" s="5"/>
      <c r="WC144" s="5"/>
      <c r="WD144" s="5"/>
      <c r="WE144" s="5"/>
      <c r="WF144" s="5"/>
      <c r="WG144" s="5"/>
      <c r="WH144" s="5"/>
      <c r="WI144" s="5"/>
      <c r="WJ144" s="5"/>
      <c r="WK144" s="5"/>
      <c r="WL144" s="5"/>
      <c r="WM144" s="5"/>
      <c r="WN144" s="5"/>
      <c r="WO144" s="5"/>
      <c r="WP144" s="5"/>
      <c r="WQ144" s="5"/>
      <c r="WR144" s="5"/>
      <c r="WS144" s="5"/>
      <c r="WT144" s="5"/>
      <c r="WU144" s="5"/>
      <c r="WV144" s="5"/>
      <c r="WW144" s="5"/>
      <c r="WX144" s="5"/>
      <c r="WY144" s="5"/>
      <c r="WZ144" s="5"/>
      <c r="XA144" s="5"/>
      <c r="XB144" s="5"/>
      <c r="XC144" s="5"/>
      <c r="XD144" s="5"/>
      <c r="XE144" s="5"/>
      <c r="XF144" s="5"/>
      <c r="XG144" s="5"/>
      <c r="XH144" s="5"/>
      <c r="XI144" s="5"/>
      <c r="XJ144" s="5"/>
      <c r="XK144" s="5"/>
      <c r="XL144" s="5"/>
      <c r="XM144" s="5"/>
      <c r="XN144" s="5"/>
      <c r="XO144" s="5"/>
      <c r="XP144" s="5"/>
      <c r="XQ144" s="5"/>
      <c r="XR144" s="5"/>
      <c r="XS144" s="5"/>
      <c r="XT144" s="5"/>
      <c r="XU144" s="5"/>
      <c r="XV144" s="5"/>
      <c r="XW144" s="5"/>
      <c r="XX144" s="5"/>
      <c r="XY144" s="5"/>
      <c r="XZ144" s="5"/>
      <c r="YA144" s="5"/>
      <c r="YB144" s="5"/>
      <c r="YC144" s="5"/>
      <c r="YD144" s="5"/>
      <c r="YE144" s="5"/>
      <c r="YF144" s="5"/>
      <c r="YG144" s="5"/>
      <c r="YH144" s="5"/>
      <c r="YI144" s="5"/>
      <c r="YJ144" s="5"/>
      <c r="YK144" s="5"/>
      <c r="YL144" s="5"/>
      <c r="YM144" s="5"/>
      <c r="YN144" s="5"/>
      <c r="YO144" s="5"/>
      <c r="YP144" s="5"/>
      <c r="YQ144" s="5"/>
      <c r="YR144" s="5"/>
      <c r="YS144" s="5"/>
      <c r="YT144" s="5"/>
      <c r="YU144" s="5"/>
      <c r="YV144" s="5"/>
      <c r="YW144" s="5"/>
      <c r="YX144" s="5"/>
      <c r="YY144" s="5"/>
      <c r="YZ144" s="5"/>
    </row>
    <row r="145" spans="1:676">
      <c r="A145" s="7">
        <v>135</v>
      </c>
      <c r="B145" s="7" t="s">
        <v>340</v>
      </c>
      <c r="C145" s="10" t="s">
        <v>341</v>
      </c>
      <c r="D145" s="7" t="s">
        <v>40</v>
      </c>
      <c r="E145" s="7" t="s">
        <v>175</v>
      </c>
      <c r="F145" s="7" t="s">
        <v>291</v>
      </c>
      <c r="G145" s="7"/>
      <c r="H145" s="7"/>
      <c r="I145" s="11">
        <v>2</v>
      </c>
      <c r="J145" s="11">
        <v>3</v>
      </c>
      <c r="K145" s="11">
        <v>0</v>
      </c>
      <c r="L145" s="11">
        <v>2.25</v>
      </c>
      <c r="M145" s="11">
        <v>0</v>
      </c>
      <c r="N145" s="11">
        <v>0</v>
      </c>
      <c r="O145" s="11">
        <v>2.11</v>
      </c>
      <c r="P145" s="11">
        <v>0</v>
      </c>
      <c r="Q145" s="11">
        <v>4.359999999999999</v>
      </c>
      <c r="R145" s="11">
        <v>36.46</v>
      </c>
      <c r="S145" s="11">
        <v>40.82</v>
      </c>
      <c r="T145" s="11">
        <v>2</v>
      </c>
      <c r="U145" s="11">
        <v>3</v>
      </c>
      <c r="V145" s="11">
        <v>35.82</v>
      </c>
      <c r="W145" s="13">
        <v>24</v>
      </c>
      <c r="X145" s="13">
        <v>36</v>
      </c>
      <c r="Y145" s="13" t="str">
        <f>MIN(W145,S145)</f>
        <v>0</v>
      </c>
      <c r="Z145" s="13" t="str">
        <f>MIN(X145,(S145-Y145))</f>
        <v>0</v>
      </c>
      <c r="AA145" s="13" t="str">
        <f>S145-SUM(Y145,Z145)</f>
        <v>0</v>
      </c>
      <c r="AB145" s="15"/>
      <c r="AC145" s="15"/>
      <c r="AD145" s="1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  <c r="DA145" s="5"/>
      <c r="DB145" s="5"/>
      <c r="DC145" s="5"/>
      <c r="DD145" s="5"/>
      <c r="DE145" s="5"/>
      <c r="DF145" s="5"/>
      <c r="DG145" s="5"/>
      <c r="DH145" s="5"/>
      <c r="DI145" s="5"/>
      <c r="DJ145" s="5"/>
      <c r="DK145" s="5"/>
      <c r="DL145" s="5"/>
      <c r="DM145" s="5"/>
      <c r="DN145" s="5"/>
      <c r="DO145" s="5"/>
      <c r="DP145" s="5"/>
      <c r="DQ145" s="5"/>
      <c r="DR145" s="5"/>
      <c r="DS145" s="5"/>
      <c r="DT145" s="5"/>
      <c r="DU145" s="5"/>
      <c r="DV145" s="5"/>
      <c r="DW145" s="5"/>
      <c r="DX145" s="5"/>
      <c r="DY145" s="5"/>
      <c r="DZ145" s="5"/>
      <c r="EA145" s="5"/>
      <c r="EB145" s="5"/>
      <c r="EC145" s="5"/>
      <c r="ED145" s="5"/>
      <c r="EE145" s="5"/>
      <c r="EF145" s="5"/>
      <c r="EG145" s="5"/>
      <c r="EH145" s="5"/>
      <c r="EI145" s="5"/>
      <c r="EJ145" s="5"/>
      <c r="EK145" s="5"/>
      <c r="EL145" s="5"/>
      <c r="EM145" s="5"/>
      <c r="EN145" s="5"/>
      <c r="EO145" s="5"/>
      <c r="EP145" s="5"/>
      <c r="EQ145" s="5"/>
      <c r="ER145" s="5"/>
      <c r="ES145" s="5"/>
      <c r="ET145" s="5"/>
      <c r="EU145" s="5"/>
      <c r="EV145" s="5"/>
      <c r="EW145" s="5"/>
      <c r="EX145" s="5"/>
      <c r="EY145" s="5"/>
      <c r="EZ145" s="5"/>
      <c r="FA145" s="5"/>
      <c r="FB145" s="5"/>
      <c r="FC145" s="5"/>
      <c r="FD145" s="5"/>
      <c r="FE145" s="5"/>
      <c r="FF145" s="5"/>
      <c r="FG145" s="5"/>
      <c r="FH145" s="5"/>
      <c r="FI145" s="5"/>
      <c r="FJ145" s="5"/>
      <c r="FK145" s="5"/>
      <c r="FL145" s="5"/>
      <c r="FM145" s="5"/>
      <c r="FN145" s="5"/>
      <c r="FO145" s="5"/>
      <c r="FP145" s="5"/>
      <c r="FQ145" s="5"/>
      <c r="FR145" s="5"/>
      <c r="FS145" s="5"/>
      <c r="FT145" s="5"/>
      <c r="FU145" s="5"/>
      <c r="FV145" s="5"/>
      <c r="FW145" s="5"/>
      <c r="FX145" s="5"/>
      <c r="FY145" s="5"/>
      <c r="FZ145" s="5"/>
      <c r="GA145" s="5"/>
      <c r="GB145" s="5"/>
      <c r="GC145" s="5"/>
      <c r="GD145" s="5"/>
      <c r="GE145" s="5"/>
      <c r="GF145" s="5"/>
      <c r="GG145" s="5"/>
      <c r="GH145" s="5"/>
      <c r="GI145" s="5"/>
      <c r="GJ145" s="5"/>
      <c r="GK145" s="5"/>
      <c r="GL145" s="5"/>
      <c r="GM145" s="5"/>
      <c r="GN145" s="5"/>
      <c r="GO145" s="5"/>
      <c r="GP145" s="5"/>
      <c r="GQ145" s="5"/>
      <c r="GR145" s="5"/>
      <c r="GS145" s="5"/>
      <c r="GT145" s="5"/>
      <c r="GU145" s="5"/>
      <c r="GV145" s="5"/>
      <c r="GW145" s="5"/>
      <c r="GX145" s="5"/>
      <c r="GY145" s="5"/>
      <c r="GZ145" s="5"/>
      <c r="HA145" s="5"/>
      <c r="HB145" s="5"/>
      <c r="HC145" s="5"/>
      <c r="HD145" s="5"/>
      <c r="HE145" s="5"/>
      <c r="HF145" s="5"/>
      <c r="HG145" s="5"/>
      <c r="HH145" s="5"/>
      <c r="HI145" s="5"/>
      <c r="HJ145" s="5"/>
      <c r="HK145" s="5"/>
      <c r="HL145" s="5"/>
      <c r="HM145" s="5"/>
      <c r="HN145" s="5"/>
      <c r="HO145" s="5"/>
      <c r="HP145" s="5"/>
      <c r="HQ145" s="5"/>
      <c r="HR145" s="5"/>
      <c r="HS145" s="5"/>
      <c r="HT145" s="5"/>
      <c r="HU145" s="5"/>
      <c r="HV145" s="5"/>
      <c r="HW145" s="5"/>
      <c r="HX145" s="5"/>
      <c r="HY145" s="5"/>
      <c r="HZ145" s="5"/>
      <c r="IA145" s="5"/>
      <c r="IB145" s="5"/>
      <c r="IC145" s="5"/>
      <c r="ID145" s="5"/>
      <c r="IE145" s="5"/>
      <c r="IF145" s="5"/>
      <c r="IG145" s="5"/>
      <c r="IH145" s="5"/>
      <c r="II145" s="5"/>
      <c r="IJ145" s="5"/>
      <c r="IK145" s="5"/>
      <c r="IL145" s="5"/>
      <c r="IM145" s="5"/>
      <c r="IN145" s="5"/>
      <c r="IO145" s="5"/>
      <c r="IP145" s="5"/>
      <c r="IQ145" s="5"/>
      <c r="IR145" s="5"/>
      <c r="IS145" s="5"/>
      <c r="IT145" s="5"/>
      <c r="IU145" s="5"/>
      <c r="IV145" s="5"/>
      <c r="IW145" s="5"/>
      <c r="IX145" s="5"/>
      <c r="IY145" s="5"/>
      <c r="IZ145" s="5"/>
      <c r="JA145" s="5"/>
      <c r="JB145" s="5"/>
      <c r="JC145" s="5"/>
      <c r="JD145" s="5"/>
      <c r="JE145" s="5"/>
      <c r="JF145" s="5"/>
      <c r="JG145" s="5"/>
      <c r="JH145" s="5"/>
      <c r="JI145" s="5"/>
      <c r="JJ145" s="5"/>
      <c r="JK145" s="5"/>
      <c r="JL145" s="5"/>
      <c r="JM145" s="5"/>
      <c r="JN145" s="5"/>
      <c r="JO145" s="5"/>
      <c r="JP145" s="5"/>
      <c r="JQ145" s="5"/>
      <c r="JR145" s="5"/>
      <c r="JS145" s="5"/>
      <c r="JT145" s="5"/>
      <c r="JU145" s="5"/>
      <c r="JV145" s="5"/>
      <c r="JW145" s="5"/>
      <c r="JX145" s="5"/>
      <c r="JY145" s="5"/>
      <c r="JZ145" s="5"/>
      <c r="KA145" s="5"/>
      <c r="KB145" s="5"/>
      <c r="KC145" s="5"/>
      <c r="KD145" s="5"/>
      <c r="KE145" s="5"/>
      <c r="KF145" s="5"/>
      <c r="KG145" s="5"/>
      <c r="KH145" s="5"/>
      <c r="KI145" s="5"/>
      <c r="KJ145" s="5"/>
      <c r="KK145" s="5"/>
      <c r="KL145" s="5"/>
      <c r="KM145" s="5"/>
      <c r="KN145" s="5"/>
      <c r="KO145" s="5"/>
      <c r="KP145" s="5"/>
      <c r="KQ145" s="5"/>
      <c r="KR145" s="5"/>
      <c r="KS145" s="5"/>
      <c r="KT145" s="5"/>
      <c r="KU145" s="5"/>
      <c r="KV145" s="5"/>
      <c r="KW145" s="5"/>
      <c r="KX145" s="5"/>
      <c r="KY145" s="5"/>
      <c r="KZ145" s="5"/>
      <c r="LA145" s="5"/>
      <c r="LB145" s="5"/>
      <c r="LC145" s="5"/>
      <c r="LD145" s="5"/>
      <c r="LE145" s="5"/>
      <c r="LF145" s="5"/>
      <c r="LG145" s="5"/>
      <c r="LH145" s="5"/>
      <c r="LI145" s="5"/>
      <c r="LJ145" s="5"/>
      <c r="LK145" s="5"/>
      <c r="LL145" s="5"/>
      <c r="LM145" s="5"/>
      <c r="LN145" s="5"/>
      <c r="LO145" s="5"/>
      <c r="LP145" s="5"/>
      <c r="LQ145" s="5"/>
      <c r="LR145" s="5"/>
      <c r="LS145" s="5"/>
      <c r="LT145" s="5"/>
      <c r="LU145" s="5"/>
      <c r="LV145" s="5"/>
      <c r="LW145" s="5"/>
      <c r="LX145" s="5"/>
      <c r="LY145" s="5"/>
      <c r="LZ145" s="5"/>
      <c r="MA145" s="5"/>
      <c r="MB145" s="5"/>
      <c r="MC145" s="5"/>
      <c r="MD145" s="5"/>
      <c r="ME145" s="5"/>
      <c r="MF145" s="5"/>
      <c r="MG145" s="5"/>
      <c r="MH145" s="5"/>
      <c r="MI145" s="5"/>
      <c r="MJ145" s="5"/>
      <c r="MK145" s="5"/>
      <c r="ML145" s="5"/>
      <c r="MM145" s="5"/>
      <c r="MN145" s="5"/>
      <c r="MO145" s="5"/>
      <c r="MP145" s="5"/>
      <c r="MQ145" s="5"/>
      <c r="MR145" s="5"/>
      <c r="MS145" s="5"/>
      <c r="MT145" s="5"/>
      <c r="MU145" s="5"/>
      <c r="MV145" s="5"/>
      <c r="MW145" s="5"/>
      <c r="MX145" s="5"/>
      <c r="MY145" s="5"/>
      <c r="MZ145" s="5"/>
      <c r="NA145" s="5"/>
      <c r="NB145" s="5"/>
      <c r="NC145" s="5"/>
      <c r="ND145" s="5"/>
      <c r="NE145" s="5"/>
      <c r="NF145" s="5"/>
      <c r="NG145" s="5"/>
      <c r="NH145" s="5"/>
      <c r="NI145" s="5"/>
      <c r="NJ145" s="5"/>
      <c r="NK145" s="5"/>
      <c r="NL145" s="5"/>
      <c r="NM145" s="5"/>
      <c r="NN145" s="5"/>
      <c r="NO145" s="5"/>
      <c r="NP145" s="5"/>
      <c r="NQ145" s="5"/>
      <c r="NR145" s="5"/>
      <c r="NS145" s="5"/>
      <c r="NT145" s="5"/>
      <c r="NU145" s="5"/>
      <c r="NV145" s="5"/>
      <c r="NW145" s="5"/>
      <c r="NX145" s="5"/>
      <c r="NY145" s="5"/>
      <c r="NZ145" s="5"/>
      <c r="OA145" s="5"/>
      <c r="OB145" s="5"/>
      <c r="OC145" s="5"/>
      <c r="OD145" s="5"/>
      <c r="OE145" s="5"/>
      <c r="OF145" s="5"/>
      <c r="OG145" s="5"/>
      <c r="OH145" s="5"/>
      <c r="OI145" s="5"/>
      <c r="OJ145" s="5"/>
      <c r="OK145" s="5"/>
      <c r="OL145" s="5"/>
      <c r="OM145" s="5"/>
      <c r="ON145" s="5"/>
      <c r="OO145" s="5"/>
      <c r="OP145" s="5"/>
      <c r="OQ145" s="5"/>
      <c r="OR145" s="5"/>
      <c r="OS145" s="5"/>
      <c r="OT145" s="5"/>
      <c r="OU145" s="5"/>
      <c r="OV145" s="5"/>
      <c r="OW145" s="5"/>
      <c r="OX145" s="5"/>
      <c r="OY145" s="5"/>
      <c r="OZ145" s="5"/>
      <c r="PA145" s="5"/>
      <c r="PB145" s="5"/>
      <c r="PC145" s="5"/>
      <c r="PD145" s="5"/>
      <c r="PE145" s="5"/>
      <c r="PF145" s="5"/>
      <c r="PG145" s="5"/>
      <c r="PH145" s="5"/>
      <c r="PI145" s="5"/>
      <c r="PJ145" s="5"/>
      <c r="PK145" s="5"/>
      <c r="PL145" s="5"/>
      <c r="PM145" s="5"/>
      <c r="PN145" s="5"/>
      <c r="PO145" s="5"/>
      <c r="PP145" s="5"/>
      <c r="PQ145" s="5"/>
      <c r="PR145" s="5"/>
      <c r="PS145" s="5"/>
      <c r="PT145" s="5"/>
      <c r="PU145" s="5"/>
      <c r="PV145" s="5"/>
      <c r="PW145" s="5"/>
      <c r="PX145" s="5"/>
      <c r="PY145" s="5"/>
      <c r="PZ145" s="5"/>
      <c r="QA145" s="5"/>
      <c r="QB145" s="5"/>
      <c r="QC145" s="5"/>
      <c r="QD145" s="5"/>
      <c r="QE145" s="5"/>
      <c r="QF145" s="5"/>
      <c r="QG145" s="5"/>
      <c r="QH145" s="5"/>
      <c r="QI145" s="5"/>
      <c r="QJ145" s="5"/>
      <c r="QK145" s="5"/>
      <c r="QL145" s="5"/>
      <c r="QM145" s="5"/>
      <c r="QN145" s="5"/>
      <c r="QO145" s="5"/>
      <c r="QP145" s="5"/>
      <c r="QQ145" s="5"/>
      <c r="QR145" s="5"/>
      <c r="QS145" s="5"/>
      <c r="QT145" s="5"/>
      <c r="QU145" s="5"/>
      <c r="QV145" s="5"/>
      <c r="QW145" s="5"/>
      <c r="QX145" s="5"/>
      <c r="QY145" s="5"/>
      <c r="QZ145" s="5"/>
      <c r="RA145" s="5"/>
      <c r="RB145" s="5"/>
      <c r="RC145" s="5"/>
      <c r="RD145" s="5"/>
      <c r="RE145" s="5"/>
      <c r="RF145" s="5"/>
      <c r="RG145" s="5"/>
      <c r="RH145" s="5"/>
      <c r="RI145" s="5"/>
      <c r="RJ145" s="5"/>
      <c r="RK145" s="5"/>
      <c r="RL145" s="5"/>
      <c r="RM145" s="5"/>
      <c r="RN145" s="5"/>
      <c r="RO145" s="5"/>
      <c r="RP145" s="5"/>
      <c r="RQ145" s="5"/>
      <c r="RR145" s="5"/>
      <c r="RS145" s="5"/>
      <c r="RT145" s="5"/>
      <c r="RU145" s="5"/>
      <c r="RV145" s="5"/>
      <c r="RW145" s="5"/>
      <c r="RX145" s="5"/>
      <c r="RY145" s="5"/>
      <c r="RZ145" s="5"/>
      <c r="SA145" s="5"/>
      <c r="SB145" s="5"/>
      <c r="SC145" s="5"/>
      <c r="SD145" s="5"/>
      <c r="SE145" s="5"/>
      <c r="SF145" s="5"/>
      <c r="SG145" s="5"/>
      <c r="SH145" s="5"/>
      <c r="SI145" s="5"/>
      <c r="SJ145" s="5"/>
      <c r="SK145" s="5"/>
      <c r="SL145" s="5"/>
      <c r="SM145" s="5"/>
      <c r="SN145" s="5"/>
      <c r="SO145" s="5"/>
      <c r="SP145" s="5"/>
      <c r="SQ145" s="5"/>
      <c r="SR145" s="5"/>
      <c r="SS145" s="5"/>
      <c r="ST145" s="5"/>
      <c r="SU145" s="5"/>
      <c r="SV145" s="5"/>
      <c r="SW145" s="5"/>
      <c r="SX145" s="5"/>
      <c r="SY145" s="5"/>
      <c r="SZ145" s="5"/>
      <c r="TA145" s="5"/>
      <c r="TB145" s="5"/>
      <c r="TC145" s="5"/>
      <c r="TD145" s="5"/>
      <c r="TE145" s="5"/>
      <c r="TF145" s="5"/>
      <c r="TG145" s="5"/>
      <c r="TH145" s="5"/>
      <c r="TI145" s="5"/>
      <c r="TJ145" s="5"/>
      <c r="TK145" s="5"/>
      <c r="TL145" s="5"/>
      <c r="TM145" s="5"/>
      <c r="TN145" s="5"/>
      <c r="TO145" s="5"/>
      <c r="TP145" s="5"/>
      <c r="TQ145" s="5"/>
      <c r="TR145" s="5"/>
      <c r="TS145" s="5"/>
      <c r="TT145" s="5"/>
      <c r="TU145" s="5"/>
      <c r="TV145" s="5"/>
      <c r="TW145" s="5"/>
      <c r="TX145" s="5"/>
      <c r="TY145" s="5"/>
      <c r="TZ145" s="5"/>
      <c r="UA145" s="5"/>
      <c r="UB145" s="5"/>
      <c r="UC145" s="5"/>
      <c r="UD145" s="5"/>
      <c r="UE145" s="5"/>
      <c r="UF145" s="5"/>
      <c r="UG145" s="5"/>
      <c r="UH145" s="5"/>
      <c r="UI145" s="5"/>
      <c r="UJ145" s="5"/>
      <c r="UK145" s="5"/>
      <c r="UL145" s="5"/>
      <c r="UM145" s="5"/>
      <c r="UN145" s="5"/>
      <c r="UO145" s="5"/>
      <c r="UP145" s="5"/>
      <c r="UQ145" s="5"/>
      <c r="UR145" s="5"/>
      <c r="US145" s="5"/>
      <c r="UT145" s="5"/>
      <c r="UU145" s="5"/>
      <c r="UV145" s="5"/>
      <c r="UW145" s="5"/>
      <c r="UX145" s="5"/>
      <c r="UY145" s="5"/>
      <c r="UZ145" s="5"/>
      <c r="VA145" s="5"/>
      <c r="VB145" s="5"/>
      <c r="VC145" s="5"/>
      <c r="VD145" s="5"/>
      <c r="VE145" s="5"/>
      <c r="VF145" s="5"/>
      <c r="VG145" s="5"/>
      <c r="VH145" s="5"/>
      <c r="VI145" s="5"/>
      <c r="VJ145" s="5"/>
      <c r="VK145" s="5"/>
      <c r="VL145" s="5"/>
      <c r="VM145" s="5"/>
      <c r="VN145" s="5"/>
      <c r="VO145" s="5"/>
      <c r="VP145" s="5"/>
      <c r="VQ145" s="5"/>
      <c r="VR145" s="5"/>
      <c r="VS145" s="5"/>
      <c r="VT145" s="5"/>
      <c r="VU145" s="5"/>
      <c r="VV145" s="5"/>
      <c r="VW145" s="5"/>
      <c r="VX145" s="5"/>
      <c r="VY145" s="5"/>
      <c r="VZ145" s="5"/>
      <c r="WA145" s="5"/>
      <c r="WB145" s="5"/>
      <c r="WC145" s="5"/>
      <c r="WD145" s="5"/>
      <c r="WE145" s="5"/>
      <c r="WF145" s="5"/>
      <c r="WG145" s="5"/>
      <c r="WH145" s="5"/>
      <c r="WI145" s="5"/>
      <c r="WJ145" s="5"/>
      <c r="WK145" s="5"/>
      <c r="WL145" s="5"/>
      <c r="WM145" s="5"/>
      <c r="WN145" s="5"/>
      <c r="WO145" s="5"/>
      <c r="WP145" s="5"/>
      <c r="WQ145" s="5"/>
      <c r="WR145" s="5"/>
      <c r="WS145" s="5"/>
      <c r="WT145" s="5"/>
      <c r="WU145" s="5"/>
      <c r="WV145" s="5"/>
      <c r="WW145" s="5"/>
      <c r="WX145" s="5"/>
      <c r="WY145" s="5"/>
      <c r="WZ145" s="5"/>
      <c r="XA145" s="5"/>
      <c r="XB145" s="5"/>
      <c r="XC145" s="5"/>
      <c r="XD145" s="5"/>
      <c r="XE145" s="5"/>
      <c r="XF145" s="5"/>
      <c r="XG145" s="5"/>
      <c r="XH145" s="5"/>
      <c r="XI145" s="5"/>
      <c r="XJ145" s="5"/>
      <c r="XK145" s="5"/>
      <c r="XL145" s="5"/>
      <c r="XM145" s="5"/>
      <c r="XN145" s="5"/>
      <c r="XO145" s="5"/>
      <c r="XP145" s="5"/>
      <c r="XQ145" s="5"/>
      <c r="XR145" s="5"/>
      <c r="XS145" s="5"/>
      <c r="XT145" s="5"/>
      <c r="XU145" s="5"/>
      <c r="XV145" s="5"/>
      <c r="XW145" s="5"/>
      <c r="XX145" s="5"/>
      <c r="XY145" s="5"/>
      <c r="XZ145" s="5"/>
      <c r="YA145" s="5"/>
      <c r="YB145" s="5"/>
      <c r="YC145" s="5"/>
      <c r="YD145" s="5"/>
      <c r="YE145" s="5"/>
      <c r="YF145" s="5"/>
      <c r="YG145" s="5"/>
      <c r="YH145" s="5"/>
      <c r="YI145" s="5"/>
      <c r="YJ145" s="5"/>
      <c r="YK145" s="5"/>
      <c r="YL145" s="5"/>
      <c r="YM145" s="5"/>
      <c r="YN145" s="5"/>
      <c r="YO145" s="5"/>
      <c r="YP145" s="5"/>
      <c r="YQ145" s="5"/>
      <c r="YR145" s="5"/>
      <c r="YS145" s="5"/>
      <c r="YT145" s="5"/>
      <c r="YU145" s="5"/>
      <c r="YV145" s="5"/>
      <c r="YW145" s="5"/>
      <c r="YX145" s="5"/>
      <c r="YY145" s="5"/>
      <c r="YZ145" s="5"/>
    </row>
    <row r="146" spans="1:676">
      <c r="A146" s="7">
        <v>136</v>
      </c>
      <c r="B146" s="7" t="s">
        <v>342</v>
      </c>
      <c r="C146" s="10" t="s">
        <v>343</v>
      </c>
      <c r="D146" s="7" t="s">
        <v>60</v>
      </c>
      <c r="E146" s="7" t="s">
        <v>175</v>
      </c>
      <c r="F146" s="7" t="s">
        <v>308</v>
      </c>
      <c r="G146" s="7"/>
      <c r="H146" s="7"/>
      <c r="I146" s="11">
        <v>2</v>
      </c>
      <c r="J146" s="11">
        <v>3</v>
      </c>
      <c r="K146" s="11">
        <v>0</v>
      </c>
      <c r="L146" s="11">
        <v>4.200000000000001</v>
      </c>
      <c r="M146" s="11">
        <v>0</v>
      </c>
      <c r="N146" s="11">
        <v>0</v>
      </c>
      <c r="O146" s="11">
        <v>1.04</v>
      </c>
      <c r="P146" s="11">
        <v>0</v>
      </c>
      <c r="Q146" s="11">
        <v>5.240000000000001</v>
      </c>
      <c r="R146" s="11">
        <v>57.11999999999998</v>
      </c>
      <c r="S146" s="11">
        <v>62.35999999999999</v>
      </c>
      <c r="T146" s="11">
        <v>2</v>
      </c>
      <c r="U146" s="11">
        <v>3</v>
      </c>
      <c r="V146" s="11">
        <v>57.35999999999999</v>
      </c>
      <c r="W146" s="13">
        <v>24</v>
      </c>
      <c r="X146" s="13">
        <v>36</v>
      </c>
      <c r="Y146" s="13" t="str">
        <f>MIN(W146,S146)</f>
        <v>0</v>
      </c>
      <c r="Z146" s="13" t="str">
        <f>MIN(X146,(S146-Y146))</f>
        <v>0</v>
      </c>
      <c r="AA146" s="13" t="str">
        <f>S146-SUM(Y146,Z146)</f>
        <v>0</v>
      </c>
      <c r="AB146" s="15"/>
      <c r="AC146" s="15"/>
      <c r="AD146" s="1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  <c r="DA146" s="5"/>
      <c r="DB146" s="5"/>
      <c r="DC146" s="5"/>
      <c r="DD146" s="5"/>
      <c r="DE146" s="5"/>
      <c r="DF146" s="5"/>
      <c r="DG146" s="5"/>
      <c r="DH146" s="5"/>
      <c r="DI146" s="5"/>
      <c r="DJ146" s="5"/>
      <c r="DK146" s="5"/>
      <c r="DL146" s="5"/>
      <c r="DM146" s="5"/>
      <c r="DN146" s="5"/>
      <c r="DO146" s="5"/>
      <c r="DP146" s="5"/>
      <c r="DQ146" s="5"/>
      <c r="DR146" s="5"/>
      <c r="DS146" s="5"/>
      <c r="DT146" s="5"/>
      <c r="DU146" s="5"/>
      <c r="DV146" s="5"/>
      <c r="DW146" s="5"/>
      <c r="DX146" s="5"/>
      <c r="DY146" s="5"/>
      <c r="DZ146" s="5"/>
      <c r="EA146" s="5"/>
      <c r="EB146" s="5"/>
      <c r="EC146" s="5"/>
      <c r="ED146" s="5"/>
      <c r="EE146" s="5"/>
      <c r="EF146" s="5"/>
      <c r="EG146" s="5"/>
      <c r="EH146" s="5"/>
      <c r="EI146" s="5"/>
      <c r="EJ146" s="5"/>
      <c r="EK146" s="5"/>
      <c r="EL146" s="5"/>
      <c r="EM146" s="5"/>
      <c r="EN146" s="5"/>
      <c r="EO146" s="5"/>
      <c r="EP146" s="5"/>
      <c r="EQ146" s="5"/>
      <c r="ER146" s="5"/>
      <c r="ES146" s="5"/>
      <c r="ET146" s="5"/>
      <c r="EU146" s="5"/>
      <c r="EV146" s="5"/>
      <c r="EW146" s="5"/>
      <c r="EX146" s="5"/>
      <c r="EY146" s="5"/>
      <c r="EZ146" s="5"/>
      <c r="FA146" s="5"/>
      <c r="FB146" s="5"/>
      <c r="FC146" s="5"/>
      <c r="FD146" s="5"/>
      <c r="FE146" s="5"/>
      <c r="FF146" s="5"/>
      <c r="FG146" s="5"/>
      <c r="FH146" s="5"/>
      <c r="FI146" s="5"/>
      <c r="FJ146" s="5"/>
      <c r="FK146" s="5"/>
      <c r="FL146" s="5"/>
      <c r="FM146" s="5"/>
      <c r="FN146" s="5"/>
      <c r="FO146" s="5"/>
      <c r="FP146" s="5"/>
      <c r="FQ146" s="5"/>
      <c r="FR146" s="5"/>
      <c r="FS146" s="5"/>
      <c r="FT146" s="5"/>
      <c r="FU146" s="5"/>
      <c r="FV146" s="5"/>
      <c r="FW146" s="5"/>
      <c r="FX146" s="5"/>
      <c r="FY146" s="5"/>
      <c r="FZ146" s="5"/>
      <c r="GA146" s="5"/>
      <c r="GB146" s="5"/>
      <c r="GC146" s="5"/>
      <c r="GD146" s="5"/>
      <c r="GE146" s="5"/>
      <c r="GF146" s="5"/>
      <c r="GG146" s="5"/>
      <c r="GH146" s="5"/>
      <c r="GI146" s="5"/>
      <c r="GJ146" s="5"/>
      <c r="GK146" s="5"/>
      <c r="GL146" s="5"/>
      <c r="GM146" s="5"/>
      <c r="GN146" s="5"/>
      <c r="GO146" s="5"/>
      <c r="GP146" s="5"/>
      <c r="GQ146" s="5"/>
      <c r="GR146" s="5"/>
      <c r="GS146" s="5"/>
      <c r="GT146" s="5"/>
      <c r="GU146" s="5"/>
      <c r="GV146" s="5"/>
      <c r="GW146" s="5"/>
      <c r="GX146" s="5"/>
      <c r="GY146" s="5"/>
      <c r="GZ146" s="5"/>
      <c r="HA146" s="5"/>
      <c r="HB146" s="5"/>
      <c r="HC146" s="5"/>
      <c r="HD146" s="5"/>
      <c r="HE146" s="5"/>
      <c r="HF146" s="5"/>
      <c r="HG146" s="5"/>
      <c r="HH146" s="5"/>
      <c r="HI146" s="5"/>
      <c r="HJ146" s="5"/>
      <c r="HK146" s="5"/>
      <c r="HL146" s="5"/>
      <c r="HM146" s="5"/>
      <c r="HN146" s="5"/>
      <c r="HO146" s="5"/>
      <c r="HP146" s="5"/>
      <c r="HQ146" s="5"/>
      <c r="HR146" s="5"/>
      <c r="HS146" s="5"/>
      <c r="HT146" s="5"/>
      <c r="HU146" s="5"/>
      <c r="HV146" s="5"/>
      <c r="HW146" s="5"/>
      <c r="HX146" s="5"/>
      <c r="HY146" s="5"/>
      <c r="HZ146" s="5"/>
      <c r="IA146" s="5"/>
      <c r="IB146" s="5"/>
      <c r="IC146" s="5"/>
      <c r="ID146" s="5"/>
      <c r="IE146" s="5"/>
      <c r="IF146" s="5"/>
      <c r="IG146" s="5"/>
      <c r="IH146" s="5"/>
      <c r="II146" s="5"/>
      <c r="IJ146" s="5"/>
      <c r="IK146" s="5"/>
      <c r="IL146" s="5"/>
      <c r="IM146" s="5"/>
      <c r="IN146" s="5"/>
      <c r="IO146" s="5"/>
      <c r="IP146" s="5"/>
      <c r="IQ146" s="5"/>
      <c r="IR146" s="5"/>
      <c r="IS146" s="5"/>
      <c r="IT146" s="5"/>
      <c r="IU146" s="5"/>
      <c r="IV146" s="5"/>
      <c r="IW146" s="5"/>
      <c r="IX146" s="5"/>
      <c r="IY146" s="5"/>
      <c r="IZ146" s="5"/>
      <c r="JA146" s="5"/>
      <c r="JB146" s="5"/>
      <c r="JC146" s="5"/>
      <c r="JD146" s="5"/>
      <c r="JE146" s="5"/>
      <c r="JF146" s="5"/>
      <c r="JG146" s="5"/>
      <c r="JH146" s="5"/>
      <c r="JI146" s="5"/>
      <c r="JJ146" s="5"/>
      <c r="JK146" s="5"/>
      <c r="JL146" s="5"/>
      <c r="JM146" s="5"/>
      <c r="JN146" s="5"/>
      <c r="JO146" s="5"/>
      <c r="JP146" s="5"/>
      <c r="JQ146" s="5"/>
      <c r="JR146" s="5"/>
      <c r="JS146" s="5"/>
      <c r="JT146" s="5"/>
      <c r="JU146" s="5"/>
      <c r="JV146" s="5"/>
      <c r="JW146" s="5"/>
      <c r="JX146" s="5"/>
      <c r="JY146" s="5"/>
      <c r="JZ146" s="5"/>
      <c r="KA146" s="5"/>
      <c r="KB146" s="5"/>
      <c r="KC146" s="5"/>
      <c r="KD146" s="5"/>
      <c r="KE146" s="5"/>
      <c r="KF146" s="5"/>
      <c r="KG146" s="5"/>
      <c r="KH146" s="5"/>
      <c r="KI146" s="5"/>
      <c r="KJ146" s="5"/>
      <c r="KK146" s="5"/>
      <c r="KL146" s="5"/>
      <c r="KM146" s="5"/>
      <c r="KN146" s="5"/>
      <c r="KO146" s="5"/>
      <c r="KP146" s="5"/>
      <c r="KQ146" s="5"/>
      <c r="KR146" s="5"/>
      <c r="KS146" s="5"/>
      <c r="KT146" s="5"/>
      <c r="KU146" s="5"/>
      <c r="KV146" s="5"/>
      <c r="KW146" s="5"/>
      <c r="KX146" s="5"/>
      <c r="KY146" s="5"/>
      <c r="KZ146" s="5"/>
      <c r="LA146" s="5"/>
      <c r="LB146" s="5"/>
      <c r="LC146" s="5"/>
      <c r="LD146" s="5"/>
      <c r="LE146" s="5"/>
      <c r="LF146" s="5"/>
      <c r="LG146" s="5"/>
      <c r="LH146" s="5"/>
      <c r="LI146" s="5"/>
      <c r="LJ146" s="5"/>
      <c r="LK146" s="5"/>
      <c r="LL146" s="5"/>
      <c r="LM146" s="5"/>
      <c r="LN146" s="5"/>
      <c r="LO146" s="5"/>
      <c r="LP146" s="5"/>
      <c r="LQ146" s="5"/>
      <c r="LR146" s="5"/>
      <c r="LS146" s="5"/>
      <c r="LT146" s="5"/>
      <c r="LU146" s="5"/>
      <c r="LV146" s="5"/>
      <c r="LW146" s="5"/>
      <c r="LX146" s="5"/>
      <c r="LY146" s="5"/>
      <c r="LZ146" s="5"/>
      <c r="MA146" s="5"/>
      <c r="MB146" s="5"/>
      <c r="MC146" s="5"/>
      <c r="MD146" s="5"/>
      <c r="ME146" s="5"/>
      <c r="MF146" s="5"/>
      <c r="MG146" s="5"/>
      <c r="MH146" s="5"/>
      <c r="MI146" s="5"/>
      <c r="MJ146" s="5"/>
      <c r="MK146" s="5"/>
      <c r="ML146" s="5"/>
      <c r="MM146" s="5"/>
      <c r="MN146" s="5"/>
      <c r="MO146" s="5"/>
      <c r="MP146" s="5"/>
      <c r="MQ146" s="5"/>
      <c r="MR146" s="5"/>
      <c r="MS146" s="5"/>
      <c r="MT146" s="5"/>
      <c r="MU146" s="5"/>
      <c r="MV146" s="5"/>
      <c r="MW146" s="5"/>
      <c r="MX146" s="5"/>
      <c r="MY146" s="5"/>
      <c r="MZ146" s="5"/>
      <c r="NA146" s="5"/>
      <c r="NB146" s="5"/>
      <c r="NC146" s="5"/>
      <c r="ND146" s="5"/>
      <c r="NE146" s="5"/>
      <c r="NF146" s="5"/>
      <c r="NG146" s="5"/>
      <c r="NH146" s="5"/>
      <c r="NI146" s="5"/>
      <c r="NJ146" s="5"/>
      <c r="NK146" s="5"/>
      <c r="NL146" s="5"/>
      <c r="NM146" s="5"/>
      <c r="NN146" s="5"/>
      <c r="NO146" s="5"/>
      <c r="NP146" s="5"/>
      <c r="NQ146" s="5"/>
      <c r="NR146" s="5"/>
      <c r="NS146" s="5"/>
      <c r="NT146" s="5"/>
      <c r="NU146" s="5"/>
      <c r="NV146" s="5"/>
      <c r="NW146" s="5"/>
      <c r="NX146" s="5"/>
      <c r="NY146" s="5"/>
      <c r="NZ146" s="5"/>
      <c r="OA146" s="5"/>
      <c r="OB146" s="5"/>
      <c r="OC146" s="5"/>
      <c r="OD146" s="5"/>
      <c r="OE146" s="5"/>
      <c r="OF146" s="5"/>
      <c r="OG146" s="5"/>
      <c r="OH146" s="5"/>
      <c r="OI146" s="5"/>
      <c r="OJ146" s="5"/>
      <c r="OK146" s="5"/>
      <c r="OL146" s="5"/>
      <c r="OM146" s="5"/>
      <c r="ON146" s="5"/>
      <c r="OO146" s="5"/>
      <c r="OP146" s="5"/>
      <c r="OQ146" s="5"/>
      <c r="OR146" s="5"/>
      <c r="OS146" s="5"/>
      <c r="OT146" s="5"/>
      <c r="OU146" s="5"/>
      <c r="OV146" s="5"/>
      <c r="OW146" s="5"/>
      <c r="OX146" s="5"/>
      <c r="OY146" s="5"/>
      <c r="OZ146" s="5"/>
      <c r="PA146" s="5"/>
      <c r="PB146" s="5"/>
      <c r="PC146" s="5"/>
      <c r="PD146" s="5"/>
      <c r="PE146" s="5"/>
      <c r="PF146" s="5"/>
      <c r="PG146" s="5"/>
      <c r="PH146" s="5"/>
      <c r="PI146" s="5"/>
      <c r="PJ146" s="5"/>
      <c r="PK146" s="5"/>
      <c r="PL146" s="5"/>
      <c r="PM146" s="5"/>
      <c r="PN146" s="5"/>
      <c r="PO146" s="5"/>
      <c r="PP146" s="5"/>
      <c r="PQ146" s="5"/>
      <c r="PR146" s="5"/>
      <c r="PS146" s="5"/>
      <c r="PT146" s="5"/>
      <c r="PU146" s="5"/>
      <c r="PV146" s="5"/>
      <c r="PW146" s="5"/>
      <c r="PX146" s="5"/>
      <c r="PY146" s="5"/>
      <c r="PZ146" s="5"/>
      <c r="QA146" s="5"/>
      <c r="QB146" s="5"/>
      <c r="QC146" s="5"/>
      <c r="QD146" s="5"/>
      <c r="QE146" s="5"/>
      <c r="QF146" s="5"/>
      <c r="QG146" s="5"/>
      <c r="QH146" s="5"/>
      <c r="QI146" s="5"/>
      <c r="QJ146" s="5"/>
      <c r="QK146" s="5"/>
      <c r="QL146" s="5"/>
      <c r="QM146" s="5"/>
      <c r="QN146" s="5"/>
      <c r="QO146" s="5"/>
      <c r="QP146" s="5"/>
      <c r="QQ146" s="5"/>
      <c r="QR146" s="5"/>
      <c r="QS146" s="5"/>
      <c r="QT146" s="5"/>
      <c r="QU146" s="5"/>
      <c r="QV146" s="5"/>
      <c r="QW146" s="5"/>
      <c r="QX146" s="5"/>
      <c r="QY146" s="5"/>
      <c r="QZ146" s="5"/>
      <c r="RA146" s="5"/>
      <c r="RB146" s="5"/>
      <c r="RC146" s="5"/>
      <c r="RD146" s="5"/>
      <c r="RE146" s="5"/>
      <c r="RF146" s="5"/>
      <c r="RG146" s="5"/>
      <c r="RH146" s="5"/>
      <c r="RI146" s="5"/>
      <c r="RJ146" s="5"/>
      <c r="RK146" s="5"/>
      <c r="RL146" s="5"/>
      <c r="RM146" s="5"/>
      <c r="RN146" s="5"/>
      <c r="RO146" s="5"/>
      <c r="RP146" s="5"/>
      <c r="RQ146" s="5"/>
      <c r="RR146" s="5"/>
      <c r="RS146" s="5"/>
      <c r="RT146" s="5"/>
      <c r="RU146" s="5"/>
      <c r="RV146" s="5"/>
      <c r="RW146" s="5"/>
      <c r="RX146" s="5"/>
      <c r="RY146" s="5"/>
      <c r="RZ146" s="5"/>
      <c r="SA146" s="5"/>
      <c r="SB146" s="5"/>
      <c r="SC146" s="5"/>
      <c r="SD146" s="5"/>
      <c r="SE146" s="5"/>
      <c r="SF146" s="5"/>
      <c r="SG146" s="5"/>
      <c r="SH146" s="5"/>
      <c r="SI146" s="5"/>
      <c r="SJ146" s="5"/>
      <c r="SK146" s="5"/>
      <c r="SL146" s="5"/>
      <c r="SM146" s="5"/>
      <c r="SN146" s="5"/>
      <c r="SO146" s="5"/>
      <c r="SP146" s="5"/>
      <c r="SQ146" s="5"/>
      <c r="SR146" s="5"/>
      <c r="SS146" s="5"/>
      <c r="ST146" s="5"/>
      <c r="SU146" s="5"/>
      <c r="SV146" s="5"/>
      <c r="SW146" s="5"/>
      <c r="SX146" s="5"/>
      <c r="SY146" s="5"/>
      <c r="SZ146" s="5"/>
      <c r="TA146" s="5"/>
      <c r="TB146" s="5"/>
      <c r="TC146" s="5"/>
      <c r="TD146" s="5"/>
      <c r="TE146" s="5"/>
      <c r="TF146" s="5"/>
      <c r="TG146" s="5"/>
      <c r="TH146" s="5"/>
      <c r="TI146" s="5"/>
      <c r="TJ146" s="5"/>
      <c r="TK146" s="5"/>
      <c r="TL146" s="5"/>
      <c r="TM146" s="5"/>
      <c r="TN146" s="5"/>
      <c r="TO146" s="5"/>
      <c r="TP146" s="5"/>
      <c r="TQ146" s="5"/>
      <c r="TR146" s="5"/>
      <c r="TS146" s="5"/>
      <c r="TT146" s="5"/>
      <c r="TU146" s="5"/>
      <c r="TV146" s="5"/>
      <c r="TW146" s="5"/>
      <c r="TX146" s="5"/>
      <c r="TY146" s="5"/>
      <c r="TZ146" s="5"/>
      <c r="UA146" s="5"/>
      <c r="UB146" s="5"/>
      <c r="UC146" s="5"/>
      <c r="UD146" s="5"/>
      <c r="UE146" s="5"/>
      <c r="UF146" s="5"/>
      <c r="UG146" s="5"/>
      <c r="UH146" s="5"/>
      <c r="UI146" s="5"/>
      <c r="UJ146" s="5"/>
      <c r="UK146" s="5"/>
      <c r="UL146" s="5"/>
      <c r="UM146" s="5"/>
      <c r="UN146" s="5"/>
      <c r="UO146" s="5"/>
      <c r="UP146" s="5"/>
      <c r="UQ146" s="5"/>
      <c r="UR146" s="5"/>
      <c r="US146" s="5"/>
      <c r="UT146" s="5"/>
      <c r="UU146" s="5"/>
      <c r="UV146" s="5"/>
      <c r="UW146" s="5"/>
      <c r="UX146" s="5"/>
      <c r="UY146" s="5"/>
      <c r="UZ146" s="5"/>
      <c r="VA146" s="5"/>
      <c r="VB146" s="5"/>
      <c r="VC146" s="5"/>
      <c r="VD146" s="5"/>
      <c r="VE146" s="5"/>
      <c r="VF146" s="5"/>
      <c r="VG146" s="5"/>
      <c r="VH146" s="5"/>
      <c r="VI146" s="5"/>
      <c r="VJ146" s="5"/>
      <c r="VK146" s="5"/>
      <c r="VL146" s="5"/>
      <c r="VM146" s="5"/>
      <c r="VN146" s="5"/>
      <c r="VO146" s="5"/>
      <c r="VP146" s="5"/>
      <c r="VQ146" s="5"/>
      <c r="VR146" s="5"/>
      <c r="VS146" s="5"/>
      <c r="VT146" s="5"/>
      <c r="VU146" s="5"/>
      <c r="VV146" s="5"/>
      <c r="VW146" s="5"/>
      <c r="VX146" s="5"/>
      <c r="VY146" s="5"/>
      <c r="VZ146" s="5"/>
      <c r="WA146" s="5"/>
      <c r="WB146" s="5"/>
      <c r="WC146" s="5"/>
      <c r="WD146" s="5"/>
      <c r="WE146" s="5"/>
      <c r="WF146" s="5"/>
      <c r="WG146" s="5"/>
      <c r="WH146" s="5"/>
      <c r="WI146" s="5"/>
      <c r="WJ146" s="5"/>
      <c r="WK146" s="5"/>
      <c r="WL146" s="5"/>
      <c r="WM146" s="5"/>
      <c r="WN146" s="5"/>
      <c r="WO146" s="5"/>
      <c r="WP146" s="5"/>
      <c r="WQ146" s="5"/>
      <c r="WR146" s="5"/>
      <c r="WS146" s="5"/>
      <c r="WT146" s="5"/>
      <c r="WU146" s="5"/>
      <c r="WV146" s="5"/>
      <c r="WW146" s="5"/>
      <c r="WX146" s="5"/>
      <c r="WY146" s="5"/>
      <c r="WZ146" s="5"/>
      <c r="XA146" s="5"/>
      <c r="XB146" s="5"/>
      <c r="XC146" s="5"/>
      <c r="XD146" s="5"/>
      <c r="XE146" s="5"/>
      <c r="XF146" s="5"/>
      <c r="XG146" s="5"/>
      <c r="XH146" s="5"/>
      <c r="XI146" s="5"/>
      <c r="XJ146" s="5"/>
      <c r="XK146" s="5"/>
      <c r="XL146" s="5"/>
      <c r="XM146" s="5"/>
      <c r="XN146" s="5"/>
      <c r="XO146" s="5"/>
      <c r="XP146" s="5"/>
      <c r="XQ146" s="5"/>
      <c r="XR146" s="5"/>
      <c r="XS146" s="5"/>
      <c r="XT146" s="5"/>
      <c r="XU146" s="5"/>
      <c r="XV146" s="5"/>
      <c r="XW146" s="5"/>
      <c r="XX146" s="5"/>
      <c r="XY146" s="5"/>
      <c r="XZ146" s="5"/>
      <c r="YA146" s="5"/>
      <c r="YB146" s="5"/>
      <c r="YC146" s="5"/>
      <c r="YD146" s="5"/>
      <c r="YE146" s="5"/>
      <c r="YF146" s="5"/>
      <c r="YG146" s="5"/>
      <c r="YH146" s="5"/>
      <c r="YI146" s="5"/>
      <c r="YJ146" s="5"/>
      <c r="YK146" s="5"/>
      <c r="YL146" s="5"/>
      <c r="YM146" s="5"/>
      <c r="YN146" s="5"/>
      <c r="YO146" s="5"/>
      <c r="YP146" s="5"/>
      <c r="YQ146" s="5"/>
      <c r="YR146" s="5"/>
      <c r="YS146" s="5"/>
      <c r="YT146" s="5"/>
      <c r="YU146" s="5"/>
      <c r="YV146" s="5"/>
      <c r="YW146" s="5"/>
      <c r="YX146" s="5"/>
      <c r="YY146" s="5"/>
      <c r="YZ146" s="5"/>
    </row>
    <row r="147" spans="1:676">
      <c r="A147" s="7">
        <v>137</v>
      </c>
      <c r="B147" s="7" t="s">
        <v>344</v>
      </c>
      <c r="C147" s="10" t="s">
        <v>345</v>
      </c>
      <c r="D147" s="7" t="s">
        <v>60</v>
      </c>
      <c r="E147" s="7" t="s">
        <v>178</v>
      </c>
      <c r="F147" s="7" t="s">
        <v>283</v>
      </c>
      <c r="G147" s="7"/>
      <c r="H147" s="7" t="s">
        <v>43</v>
      </c>
      <c r="I147" s="11">
        <v>2</v>
      </c>
      <c r="J147" s="11">
        <v>0</v>
      </c>
      <c r="K147" s="11">
        <v>0</v>
      </c>
      <c r="L147" s="11">
        <v>0</v>
      </c>
      <c r="M147" s="11">
        <v>0</v>
      </c>
      <c r="N147" s="11">
        <v>0</v>
      </c>
      <c r="O147" s="11">
        <v>0.17</v>
      </c>
      <c r="P147" s="11">
        <v>0</v>
      </c>
      <c r="Q147" s="11">
        <v>0.17</v>
      </c>
      <c r="R147" s="11">
        <v>16.85</v>
      </c>
      <c r="S147" s="11">
        <v>17.02</v>
      </c>
      <c r="T147" s="11">
        <v>2</v>
      </c>
      <c r="U147" s="11">
        <v>0</v>
      </c>
      <c r="V147" s="11">
        <v>15.02</v>
      </c>
      <c r="W147" s="13">
        <v>24</v>
      </c>
      <c r="X147" s="13">
        <v>0</v>
      </c>
      <c r="Y147" s="13" t="str">
        <f>MIN(W147,S147)</f>
        <v>0</v>
      </c>
      <c r="Z147" s="13" t="str">
        <f>MIN(X147,(S147-Y147))</f>
        <v>0</v>
      </c>
      <c r="AA147" s="13" t="str">
        <f>S147-SUM(Y147,Z147)</f>
        <v>0</v>
      </c>
      <c r="AB147" s="15"/>
      <c r="AC147" s="15"/>
      <c r="AD147" s="1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  <c r="DA147" s="5"/>
      <c r="DB147" s="5"/>
      <c r="DC147" s="5"/>
      <c r="DD147" s="5"/>
      <c r="DE147" s="5"/>
      <c r="DF147" s="5"/>
      <c r="DG147" s="5"/>
      <c r="DH147" s="5"/>
      <c r="DI147" s="5"/>
      <c r="DJ147" s="5"/>
      <c r="DK147" s="5"/>
      <c r="DL147" s="5"/>
      <c r="DM147" s="5"/>
      <c r="DN147" s="5"/>
      <c r="DO147" s="5"/>
      <c r="DP147" s="5"/>
      <c r="DQ147" s="5"/>
      <c r="DR147" s="5"/>
      <c r="DS147" s="5"/>
      <c r="DT147" s="5"/>
      <c r="DU147" s="5"/>
      <c r="DV147" s="5"/>
      <c r="DW147" s="5"/>
      <c r="DX147" s="5"/>
      <c r="DY147" s="5"/>
      <c r="DZ147" s="5"/>
      <c r="EA147" s="5"/>
      <c r="EB147" s="5"/>
      <c r="EC147" s="5"/>
      <c r="ED147" s="5"/>
      <c r="EE147" s="5"/>
      <c r="EF147" s="5"/>
      <c r="EG147" s="5"/>
      <c r="EH147" s="5"/>
      <c r="EI147" s="5"/>
      <c r="EJ147" s="5"/>
      <c r="EK147" s="5"/>
      <c r="EL147" s="5"/>
      <c r="EM147" s="5"/>
      <c r="EN147" s="5"/>
      <c r="EO147" s="5"/>
      <c r="EP147" s="5"/>
      <c r="EQ147" s="5"/>
      <c r="ER147" s="5"/>
      <c r="ES147" s="5"/>
      <c r="ET147" s="5"/>
      <c r="EU147" s="5"/>
      <c r="EV147" s="5"/>
      <c r="EW147" s="5"/>
      <c r="EX147" s="5"/>
      <c r="EY147" s="5"/>
      <c r="EZ147" s="5"/>
      <c r="FA147" s="5"/>
      <c r="FB147" s="5"/>
      <c r="FC147" s="5"/>
      <c r="FD147" s="5"/>
      <c r="FE147" s="5"/>
      <c r="FF147" s="5"/>
      <c r="FG147" s="5"/>
      <c r="FH147" s="5"/>
      <c r="FI147" s="5"/>
      <c r="FJ147" s="5"/>
      <c r="FK147" s="5"/>
      <c r="FL147" s="5"/>
      <c r="FM147" s="5"/>
      <c r="FN147" s="5"/>
      <c r="FO147" s="5"/>
      <c r="FP147" s="5"/>
      <c r="FQ147" s="5"/>
      <c r="FR147" s="5"/>
      <c r="FS147" s="5"/>
      <c r="FT147" s="5"/>
      <c r="FU147" s="5"/>
      <c r="FV147" s="5"/>
      <c r="FW147" s="5"/>
      <c r="FX147" s="5"/>
      <c r="FY147" s="5"/>
      <c r="FZ147" s="5"/>
      <c r="GA147" s="5"/>
      <c r="GB147" s="5"/>
      <c r="GC147" s="5"/>
      <c r="GD147" s="5"/>
      <c r="GE147" s="5"/>
      <c r="GF147" s="5"/>
      <c r="GG147" s="5"/>
      <c r="GH147" s="5"/>
      <c r="GI147" s="5"/>
      <c r="GJ147" s="5"/>
      <c r="GK147" s="5"/>
      <c r="GL147" s="5"/>
      <c r="GM147" s="5"/>
      <c r="GN147" s="5"/>
      <c r="GO147" s="5"/>
      <c r="GP147" s="5"/>
      <c r="GQ147" s="5"/>
      <c r="GR147" s="5"/>
      <c r="GS147" s="5"/>
      <c r="GT147" s="5"/>
      <c r="GU147" s="5"/>
      <c r="GV147" s="5"/>
      <c r="GW147" s="5"/>
      <c r="GX147" s="5"/>
      <c r="GY147" s="5"/>
      <c r="GZ147" s="5"/>
      <c r="HA147" s="5"/>
      <c r="HB147" s="5"/>
      <c r="HC147" s="5"/>
      <c r="HD147" s="5"/>
      <c r="HE147" s="5"/>
      <c r="HF147" s="5"/>
      <c r="HG147" s="5"/>
      <c r="HH147" s="5"/>
      <c r="HI147" s="5"/>
      <c r="HJ147" s="5"/>
      <c r="HK147" s="5"/>
      <c r="HL147" s="5"/>
      <c r="HM147" s="5"/>
      <c r="HN147" s="5"/>
      <c r="HO147" s="5"/>
      <c r="HP147" s="5"/>
      <c r="HQ147" s="5"/>
      <c r="HR147" s="5"/>
      <c r="HS147" s="5"/>
      <c r="HT147" s="5"/>
      <c r="HU147" s="5"/>
      <c r="HV147" s="5"/>
      <c r="HW147" s="5"/>
      <c r="HX147" s="5"/>
      <c r="HY147" s="5"/>
      <c r="HZ147" s="5"/>
      <c r="IA147" s="5"/>
      <c r="IB147" s="5"/>
      <c r="IC147" s="5"/>
      <c r="ID147" s="5"/>
      <c r="IE147" s="5"/>
      <c r="IF147" s="5"/>
      <c r="IG147" s="5"/>
      <c r="IH147" s="5"/>
      <c r="II147" s="5"/>
      <c r="IJ147" s="5"/>
      <c r="IK147" s="5"/>
      <c r="IL147" s="5"/>
      <c r="IM147" s="5"/>
      <c r="IN147" s="5"/>
      <c r="IO147" s="5"/>
      <c r="IP147" s="5"/>
      <c r="IQ147" s="5"/>
      <c r="IR147" s="5"/>
      <c r="IS147" s="5"/>
      <c r="IT147" s="5"/>
      <c r="IU147" s="5"/>
      <c r="IV147" s="5"/>
      <c r="IW147" s="5"/>
      <c r="IX147" s="5"/>
      <c r="IY147" s="5"/>
      <c r="IZ147" s="5"/>
      <c r="JA147" s="5"/>
      <c r="JB147" s="5"/>
      <c r="JC147" s="5"/>
      <c r="JD147" s="5"/>
      <c r="JE147" s="5"/>
      <c r="JF147" s="5"/>
      <c r="JG147" s="5"/>
      <c r="JH147" s="5"/>
      <c r="JI147" s="5"/>
      <c r="JJ147" s="5"/>
      <c r="JK147" s="5"/>
      <c r="JL147" s="5"/>
      <c r="JM147" s="5"/>
      <c r="JN147" s="5"/>
      <c r="JO147" s="5"/>
      <c r="JP147" s="5"/>
      <c r="JQ147" s="5"/>
      <c r="JR147" s="5"/>
      <c r="JS147" s="5"/>
      <c r="JT147" s="5"/>
      <c r="JU147" s="5"/>
      <c r="JV147" s="5"/>
      <c r="JW147" s="5"/>
      <c r="JX147" s="5"/>
      <c r="JY147" s="5"/>
      <c r="JZ147" s="5"/>
      <c r="KA147" s="5"/>
      <c r="KB147" s="5"/>
      <c r="KC147" s="5"/>
      <c r="KD147" s="5"/>
      <c r="KE147" s="5"/>
      <c r="KF147" s="5"/>
      <c r="KG147" s="5"/>
      <c r="KH147" s="5"/>
      <c r="KI147" s="5"/>
      <c r="KJ147" s="5"/>
      <c r="KK147" s="5"/>
      <c r="KL147" s="5"/>
      <c r="KM147" s="5"/>
      <c r="KN147" s="5"/>
      <c r="KO147" s="5"/>
      <c r="KP147" s="5"/>
      <c r="KQ147" s="5"/>
      <c r="KR147" s="5"/>
      <c r="KS147" s="5"/>
      <c r="KT147" s="5"/>
      <c r="KU147" s="5"/>
      <c r="KV147" s="5"/>
      <c r="KW147" s="5"/>
      <c r="KX147" s="5"/>
      <c r="KY147" s="5"/>
      <c r="KZ147" s="5"/>
      <c r="LA147" s="5"/>
      <c r="LB147" s="5"/>
      <c r="LC147" s="5"/>
      <c r="LD147" s="5"/>
      <c r="LE147" s="5"/>
      <c r="LF147" s="5"/>
      <c r="LG147" s="5"/>
      <c r="LH147" s="5"/>
      <c r="LI147" s="5"/>
      <c r="LJ147" s="5"/>
      <c r="LK147" s="5"/>
      <c r="LL147" s="5"/>
      <c r="LM147" s="5"/>
      <c r="LN147" s="5"/>
      <c r="LO147" s="5"/>
      <c r="LP147" s="5"/>
      <c r="LQ147" s="5"/>
      <c r="LR147" s="5"/>
      <c r="LS147" s="5"/>
      <c r="LT147" s="5"/>
      <c r="LU147" s="5"/>
      <c r="LV147" s="5"/>
      <c r="LW147" s="5"/>
      <c r="LX147" s="5"/>
      <c r="LY147" s="5"/>
      <c r="LZ147" s="5"/>
      <c r="MA147" s="5"/>
      <c r="MB147" s="5"/>
      <c r="MC147" s="5"/>
      <c r="MD147" s="5"/>
      <c r="ME147" s="5"/>
      <c r="MF147" s="5"/>
      <c r="MG147" s="5"/>
      <c r="MH147" s="5"/>
      <c r="MI147" s="5"/>
      <c r="MJ147" s="5"/>
      <c r="MK147" s="5"/>
      <c r="ML147" s="5"/>
      <c r="MM147" s="5"/>
      <c r="MN147" s="5"/>
      <c r="MO147" s="5"/>
      <c r="MP147" s="5"/>
      <c r="MQ147" s="5"/>
      <c r="MR147" s="5"/>
      <c r="MS147" s="5"/>
      <c r="MT147" s="5"/>
      <c r="MU147" s="5"/>
      <c r="MV147" s="5"/>
      <c r="MW147" s="5"/>
      <c r="MX147" s="5"/>
      <c r="MY147" s="5"/>
      <c r="MZ147" s="5"/>
      <c r="NA147" s="5"/>
      <c r="NB147" s="5"/>
      <c r="NC147" s="5"/>
      <c r="ND147" s="5"/>
      <c r="NE147" s="5"/>
      <c r="NF147" s="5"/>
      <c r="NG147" s="5"/>
      <c r="NH147" s="5"/>
      <c r="NI147" s="5"/>
      <c r="NJ147" s="5"/>
      <c r="NK147" s="5"/>
      <c r="NL147" s="5"/>
      <c r="NM147" s="5"/>
      <c r="NN147" s="5"/>
      <c r="NO147" s="5"/>
      <c r="NP147" s="5"/>
      <c r="NQ147" s="5"/>
      <c r="NR147" s="5"/>
      <c r="NS147" s="5"/>
      <c r="NT147" s="5"/>
      <c r="NU147" s="5"/>
      <c r="NV147" s="5"/>
      <c r="NW147" s="5"/>
      <c r="NX147" s="5"/>
      <c r="NY147" s="5"/>
      <c r="NZ147" s="5"/>
      <c r="OA147" s="5"/>
      <c r="OB147" s="5"/>
      <c r="OC147" s="5"/>
      <c r="OD147" s="5"/>
      <c r="OE147" s="5"/>
      <c r="OF147" s="5"/>
      <c r="OG147" s="5"/>
      <c r="OH147" s="5"/>
      <c r="OI147" s="5"/>
      <c r="OJ147" s="5"/>
      <c r="OK147" s="5"/>
      <c r="OL147" s="5"/>
      <c r="OM147" s="5"/>
      <c r="ON147" s="5"/>
      <c r="OO147" s="5"/>
      <c r="OP147" s="5"/>
      <c r="OQ147" s="5"/>
      <c r="OR147" s="5"/>
      <c r="OS147" s="5"/>
      <c r="OT147" s="5"/>
      <c r="OU147" s="5"/>
      <c r="OV147" s="5"/>
      <c r="OW147" s="5"/>
      <c r="OX147" s="5"/>
      <c r="OY147" s="5"/>
      <c r="OZ147" s="5"/>
      <c r="PA147" s="5"/>
      <c r="PB147" s="5"/>
      <c r="PC147" s="5"/>
      <c r="PD147" s="5"/>
      <c r="PE147" s="5"/>
      <c r="PF147" s="5"/>
      <c r="PG147" s="5"/>
      <c r="PH147" s="5"/>
      <c r="PI147" s="5"/>
      <c r="PJ147" s="5"/>
      <c r="PK147" s="5"/>
      <c r="PL147" s="5"/>
      <c r="PM147" s="5"/>
      <c r="PN147" s="5"/>
      <c r="PO147" s="5"/>
      <c r="PP147" s="5"/>
      <c r="PQ147" s="5"/>
      <c r="PR147" s="5"/>
      <c r="PS147" s="5"/>
      <c r="PT147" s="5"/>
      <c r="PU147" s="5"/>
      <c r="PV147" s="5"/>
      <c r="PW147" s="5"/>
      <c r="PX147" s="5"/>
      <c r="PY147" s="5"/>
      <c r="PZ147" s="5"/>
      <c r="QA147" s="5"/>
      <c r="QB147" s="5"/>
      <c r="QC147" s="5"/>
      <c r="QD147" s="5"/>
      <c r="QE147" s="5"/>
      <c r="QF147" s="5"/>
      <c r="QG147" s="5"/>
      <c r="QH147" s="5"/>
      <c r="QI147" s="5"/>
      <c r="QJ147" s="5"/>
      <c r="QK147" s="5"/>
      <c r="QL147" s="5"/>
      <c r="QM147" s="5"/>
      <c r="QN147" s="5"/>
      <c r="QO147" s="5"/>
      <c r="QP147" s="5"/>
      <c r="QQ147" s="5"/>
      <c r="QR147" s="5"/>
      <c r="QS147" s="5"/>
      <c r="QT147" s="5"/>
      <c r="QU147" s="5"/>
      <c r="QV147" s="5"/>
      <c r="QW147" s="5"/>
      <c r="QX147" s="5"/>
      <c r="QY147" s="5"/>
      <c r="QZ147" s="5"/>
      <c r="RA147" s="5"/>
      <c r="RB147" s="5"/>
      <c r="RC147" s="5"/>
      <c r="RD147" s="5"/>
      <c r="RE147" s="5"/>
      <c r="RF147" s="5"/>
      <c r="RG147" s="5"/>
      <c r="RH147" s="5"/>
      <c r="RI147" s="5"/>
      <c r="RJ147" s="5"/>
      <c r="RK147" s="5"/>
      <c r="RL147" s="5"/>
      <c r="RM147" s="5"/>
      <c r="RN147" s="5"/>
      <c r="RO147" s="5"/>
      <c r="RP147" s="5"/>
      <c r="RQ147" s="5"/>
      <c r="RR147" s="5"/>
      <c r="RS147" s="5"/>
      <c r="RT147" s="5"/>
      <c r="RU147" s="5"/>
      <c r="RV147" s="5"/>
      <c r="RW147" s="5"/>
      <c r="RX147" s="5"/>
      <c r="RY147" s="5"/>
      <c r="RZ147" s="5"/>
      <c r="SA147" s="5"/>
      <c r="SB147" s="5"/>
      <c r="SC147" s="5"/>
      <c r="SD147" s="5"/>
      <c r="SE147" s="5"/>
      <c r="SF147" s="5"/>
      <c r="SG147" s="5"/>
      <c r="SH147" s="5"/>
      <c r="SI147" s="5"/>
      <c r="SJ147" s="5"/>
      <c r="SK147" s="5"/>
      <c r="SL147" s="5"/>
      <c r="SM147" s="5"/>
      <c r="SN147" s="5"/>
      <c r="SO147" s="5"/>
      <c r="SP147" s="5"/>
      <c r="SQ147" s="5"/>
      <c r="SR147" s="5"/>
      <c r="SS147" s="5"/>
      <c r="ST147" s="5"/>
      <c r="SU147" s="5"/>
      <c r="SV147" s="5"/>
      <c r="SW147" s="5"/>
      <c r="SX147" s="5"/>
      <c r="SY147" s="5"/>
      <c r="SZ147" s="5"/>
      <c r="TA147" s="5"/>
      <c r="TB147" s="5"/>
      <c r="TC147" s="5"/>
      <c r="TD147" s="5"/>
      <c r="TE147" s="5"/>
      <c r="TF147" s="5"/>
      <c r="TG147" s="5"/>
      <c r="TH147" s="5"/>
      <c r="TI147" s="5"/>
      <c r="TJ147" s="5"/>
      <c r="TK147" s="5"/>
      <c r="TL147" s="5"/>
      <c r="TM147" s="5"/>
      <c r="TN147" s="5"/>
      <c r="TO147" s="5"/>
      <c r="TP147" s="5"/>
      <c r="TQ147" s="5"/>
      <c r="TR147" s="5"/>
      <c r="TS147" s="5"/>
      <c r="TT147" s="5"/>
      <c r="TU147" s="5"/>
      <c r="TV147" s="5"/>
      <c r="TW147" s="5"/>
      <c r="TX147" s="5"/>
      <c r="TY147" s="5"/>
      <c r="TZ147" s="5"/>
      <c r="UA147" s="5"/>
      <c r="UB147" s="5"/>
      <c r="UC147" s="5"/>
      <c r="UD147" s="5"/>
      <c r="UE147" s="5"/>
      <c r="UF147" s="5"/>
      <c r="UG147" s="5"/>
      <c r="UH147" s="5"/>
      <c r="UI147" s="5"/>
      <c r="UJ147" s="5"/>
      <c r="UK147" s="5"/>
      <c r="UL147" s="5"/>
      <c r="UM147" s="5"/>
      <c r="UN147" s="5"/>
      <c r="UO147" s="5"/>
      <c r="UP147" s="5"/>
      <c r="UQ147" s="5"/>
      <c r="UR147" s="5"/>
      <c r="US147" s="5"/>
      <c r="UT147" s="5"/>
      <c r="UU147" s="5"/>
      <c r="UV147" s="5"/>
      <c r="UW147" s="5"/>
      <c r="UX147" s="5"/>
      <c r="UY147" s="5"/>
      <c r="UZ147" s="5"/>
      <c r="VA147" s="5"/>
      <c r="VB147" s="5"/>
      <c r="VC147" s="5"/>
      <c r="VD147" s="5"/>
      <c r="VE147" s="5"/>
      <c r="VF147" s="5"/>
      <c r="VG147" s="5"/>
      <c r="VH147" s="5"/>
      <c r="VI147" s="5"/>
      <c r="VJ147" s="5"/>
      <c r="VK147" s="5"/>
      <c r="VL147" s="5"/>
      <c r="VM147" s="5"/>
      <c r="VN147" s="5"/>
      <c r="VO147" s="5"/>
      <c r="VP147" s="5"/>
      <c r="VQ147" s="5"/>
      <c r="VR147" s="5"/>
      <c r="VS147" s="5"/>
      <c r="VT147" s="5"/>
      <c r="VU147" s="5"/>
      <c r="VV147" s="5"/>
      <c r="VW147" s="5"/>
      <c r="VX147" s="5"/>
      <c r="VY147" s="5"/>
      <c r="VZ147" s="5"/>
      <c r="WA147" s="5"/>
      <c r="WB147" s="5"/>
      <c r="WC147" s="5"/>
      <c r="WD147" s="5"/>
      <c r="WE147" s="5"/>
      <c r="WF147" s="5"/>
      <c r="WG147" s="5"/>
      <c r="WH147" s="5"/>
      <c r="WI147" s="5"/>
      <c r="WJ147" s="5"/>
      <c r="WK147" s="5"/>
      <c r="WL147" s="5"/>
      <c r="WM147" s="5"/>
      <c r="WN147" s="5"/>
      <c r="WO147" s="5"/>
      <c r="WP147" s="5"/>
      <c r="WQ147" s="5"/>
      <c r="WR147" s="5"/>
      <c r="WS147" s="5"/>
      <c r="WT147" s="5"/>
      <c r="WU147" s="5"/>
      <c r="WV147" s="5"/>
      <c r="WW147" s="5"/>
      <c r="WX147" s="5"/>
      <c r="WY147" s="5"/>
      <c r="WZ147" s="5"/>
      <c r="XA147" s="5"/>
      <c r="XB147" s="5"/>
      <c r="XC147" s="5"/>
      <c r="XD147" s="5"/>
      <c r="XE147" s="5"/>
      <c r="XF147" s="5"/>
      <c r="XG147" s="5"/>
      <c r="XH147" s="5"/>
      <c r="XI147" s="5"/>
      <c r="XJ147" s="5"/>
      <c r="XK147" s="5"/>
      <c r="XL147" s="5"/>
      <c r="XM147" s="5"/>
      <c r="XN147" s="5"/>
      <c r="XO147" s="5"/>
      <c r="XP147" s="5"/>
      <c r="XQ147" s="5"/>
      <c r="XR147" s="5"/>
      <c r="XS147" s="5"/>
      <c r="XT147" s="5"/>
      <c r="XU147" s="5"/>
      <c r="XV147" s="5"/>
      <c r="XW147" s="5"/>
      <c r="XX147" s="5"/>
      <c r="XY147" s="5"/>
      <c r="XZ147" s="5"/>
      <c r="YA147" s="5"/>
      <c r="YB147" s="5"/>
      <c r="YC147" s="5"/>
      <c r="YD147" s="5"/>
      <c r="YE147" s="5"/>
      <c r="YF147" s="5"/>
      <c r="YG147" s="5"/>
      <c r="YH147" s="5"/>
      <c r="YI147" s="5"/>
      <c r="YJ147" s="5"/>
      <c r="YK147" s="5"/>
      <c r="YL147" s="5"/>
      <c r="YM147" s="5"/>
      <c r="YN147" s="5"/>
      <c r="YO147" s="5"/>
      <c r="YP147" s="5"/>
      <c r="YQ147" s="5"/>
      <c r="YR147" s="5"/>
      <c r="YS147" s="5"/>
      <c r="YT147" s="5"/>
      <c r="YU147" s="5"/>
      <c r="YV147" s="5"/>
      <c r="YW147" s="5"/>
      <c r="YX147" s="5"/>
      <c r="YY147" s="5"/>
      <c r="YZ147" s="5"/>
    </row>
    <row r="148" spans="1:676">
      <c r="A148" s="7">
        <v>138</v>
      </c>
      <c r="B148" s="7" t="s">
        <v>346</v>
      </c>
      <c r="C148" s="10" t="s">
        <v>347</v>
      </c>
      <c r="D148" s="7" t="s">
        <v>48</v>
      </c>
      <c r="E148" s="7" t="s">
        <v>175</v>
      </c>
      <c r="F148" s="7" t="s">
        <v>291</v>
      </c>
      <c r="G148" s="7"/>
      <c r="H148" s="7" t="s">
        <v>43</v>
      </c>
      <c r="I148" s="11">
        <v>2</v>
      </c>
      <c r="J148" s="11">
        <v>3</v>
      </c>
      <c r="K148" s="11">
        <v>0</v>
      </c>
      <c r="L148" s="11">
        <v>3.92</v>
      </c>
      <c r="M148" s="11">
        <v>0</v>
      </c>
      <c r="N148" s="11">
        <v>0</v>
      </c>
      <c r="O148" s="11">
        <v>0.89</v>
      </c>
      <c r="P148" s="11">
        <v>0.95</v>
      </c>
      <c r="Q148" s="11">
        <v>5.759999999999995</v>
      </c>
      <c r="R148" s="11">
        <v>73.34999999999999</v>
      </c>
      <c r="S148" s="11">
        <v>79.10999999999999</v>
      </c>
      <c r="T148" s="11">
        <v>2</v>
      </c>
      <c r="U148" s="11">
        <v>3</v>
      </c>
      <c r="V148" s="11">
        <v>74.10999999999999</v>
      </c>
      <c r="W148" s="13">
        <v>24</v>
      </c>
      <c r="X148" s="13">
        <v>36</v>
      </c>
      <c r="Y148" s="13" t="str">
        <f>MIN(W148,S148)</f>
        <v>0</v>
      </c>
      <c r="Z148" s="13" t="str">
        <f>MIN(X148,(S148-Y148))</f>
        <v>0</v>
      </c>
      <c r="AA148" s="13" t="str">
        <f>S148-SUM(Y148,Z148)</f>
        <v>0</v>
      </c>
      <c r="AB148" s="15"/>
      <c r="AC148" s="15"/>
      <c r="AD148" s="1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5"/>
      <c r="CY148" s="5"/>
      <c r="CZ148" s="5"/>
      <c r="DA148" s="5"/>
      <c r="DB148" s="5"/>
      <c r="DC148" s="5"/>
      <c r="DD148" s="5"/>
      <c r="DE148" s="5"/>
      <c r="DF148" s="5"/>
      <c r="DG148" s="5"/>
      <c r="DH148" s="5"/>
      <c r="DI148" s="5"/>
      <c r="DJ148" s="5"/>
      <c r="DK148" s="5"/>
      <c r="DL148" s="5"/>
      <c r="DM148" s="5"/>
      <c r="DN148" s="5"/>
      <c r="DO148" s="5"/>
      <c r="DP148" s="5"/>
      <c r="DQ148" s="5"/>
      <c r="DR148" s="5"/>
      <c r="DS148" s="5"/>
      <c r="DT148" s="5"/>
      <c r="DU148" s="5"/>
      <c r="DV148" s="5"/>
      <c r="DW148" s="5"/>
      <c r="DX148" s="5"/>
      <c r="DY148" s="5"/>
      <c r="DZ148" s="5"/>
      <c r="EA148" s="5"/>
      <c r="EB148" s="5"/>
      <c r="EC148" s="5"/>
      <c r="ED148" s="5"/>
      <c r="EE148" s="5"/>
      <c r="EF148" s="5"/>
      <c r="EG148" s="5"/>
      <c r="EH148" s="5"/>
      <c r="EI148" s="5"/>
      <c r="EJ148" s="5"/>
      <c r="EK148" s="5"/>
      <c r="EL148" s="5"/>
      <c r="EM148" s="5"/>
      <c r="EN148" s="5"/>
      <c r="EO148" s="5"/>
      <c r="EP148" s="5"/>
      <c r="EQ148" s="5"/>
      <c r="ER148" s="5"/>
      <c r="ES148" s="5"/>
      <c r="ET148" s="5"/>
      <c r="EU148" s="5"/>
      <c r="EV148" s="5"/>
      <c r="EW148" s="5"/>
      <c r="EX148" s="5"/>
      <c r="EY148" s="5"/>
      <c r="EZ148" s="5"/>
      <c r="FA148" s="5"/>
      <c r="FB148" s="5"/>
      <c r="FC148" s="5"/>
      <c r="FD148" s="5"/>
      <c r="FE148" s="5"/>
      <c r="FF148" s="5"/>
      <c r="FG148" s="5"/>
      <c r="FH148" s="5"/>
      <c r="FI148" s="5"/>
      <c r="FJ148" s="5"/>
      <c r="FK148" s="5"/>
      <c r="FL148" s="5"/>
      <c r="FM148" s="5"/>
      <c r="FN148" s="5"/>
      <c r="FO148" s="5"/>
      <c r="FP148" s="5"/>
      <c r="FQ148" s="5"/>
      <c r="FR148" s="5"/>
      <c r="FS148" s="5"/>
      <c r="FT148" s="5"/>
      <c r="FU148" s="5"/>
      <c r="FV148" s="5"/>
      <c r="FW148" s="5"/>
      <c r="FX148" s="5"/>
      <c r="FY148" s="5"/>
      <c r="FZ148" s="5"/>
      <c r="GA148" s="5"/>
      <c r="GB148" s="5"/>
      <c r="GC148" s="5"/>
      <c r="GD148" s="5"/>
      <c r="GE148" s="5"/>
      <c r="GF148" s="5"/>
      <c r="GG148" s="5"/>
      <c r="GH148" s="5"/>
      <c r="GI148" s="5"/>
      <c r="GJ148" s="5"/>
      <c r="GK148" s="5"/>
      <c r="GL148" s="5"/>
      <c r="GM148" s="5"/>
      <c r="GN148" s="5"/>
      <c r="GO148" s="5"/>
      <c r="GP148" s="5"/>
      <c r="GQ148" s="5"/>
      <c r="GR148" s="5"/>
      <c r="GS148" s="5"/>
      <c r="GT148" s="5"/>
      <c r="GU148" s="5"/>
      <c r="GV148" s="5"/>
      <c r="GW148" s="5"/>
      <c r="GX148" s="5"/>
      <c r="GY148" s="5"/>
      <c r="GZ148" s="5"/>
      <c r="HA148" s="5"/>
      <c r="HB148" s="5"/>
      <c r="HC148" s="5"/>
      <c r="HD148" s="5"/>
      <c r="HE148" s="5"/>
      <c r="HF148" s="5"/>
      <c r="HG148" s="5"/>
      <c r="HH148" s="5"/>
      <c r="HI148" s="5"/>
      <c r="HJ148" s="5"/>
      <c r="HK148" s="5"/>
      <c r="HL148" s="5"/>
      <c r="HM148" s="5"/>
      <c r="HN148" s="5"/>
      <c r="HO148" s="5"/>
      <c r="HP148" s="5"/>
      <c r="HQ148" s="5"/>
      <c r="HR148" s="5"/>
      <c r="HS148" s="5"/>
      <c r="HT148" s="5"/>
      <c r="HU148" s="5"/>
      <c r="HV148" s="5"/>
      <c r="HW148" s="5"/>
      <c r="HX148" s="5"/>
      <c r="HY148" s="5"/>
      <c r="HZ148" s="5"/>
      <c r="IA148" s="5"/>
      <c r="IB148" s="5"/>
      <c r="IC148" s="5"/>
      <c r="ID148" s="5"/>
      <c r="IE148" s="5"/>
      <c r="IF148" s="5"/>
      <c r="IG148" s="5"/>
      <c r="IH148" s="5"/>
      <c r="II148" s="5"/>
      <c r="IJ148" s="5"/>
      <c r="IK148" s="5"/>
      <c r="IL148" s="5"/>
      <c r="IM148" s="5"/>
      <c r="IN148" s="5"/>
      <c r="IO148" s="5"/>
      <c r="IP148" s="5"/>
      <c r="IQ148" s="5"/>
      <c r="IR148" s="5"/>
      <c r="IS148" s="5"/>
      <c r="IT148" s="5"/>
      <c r="IU148" s="5"/>
      <c r="IV148" s="5"/>
      <c r="IW148" s="5"/>
      <c r="IX148" s="5"/>
      <c r="IY148" s="5"/>
      <c r="IZ148" s="5"/>
      <c r="JA148" s="5"/>
      <c r="JB148" s="5"/>
      <c r="JC148" s="5"/>
      <c r="JD148" s="5"/>
      <c r="JE148" s="5"/>
      <c r="JF148" s="5"/>
      <c r="JG148" s="5"/>
      <c r="JH148" s="5"/>
      <c r="JI148" s="5"/>
      <c r="JJ148" s="5"/>
      <c r="JK148" s="5"/>
      <c r="JL148" s="5"/>
      <c r="JM148" s="5"/>
      <c r="JN148" s="5"/>
      <c r="JO148" s="5"/>
      <c r="JP148" s="5"/>
      <c r="JQ148" s="5"/>
      <c r="JR148" s="5"/>
      <c r="JS148" s="5"/>
      <c r="JT148" s="5"/>
      <c r="JU148" s="5"/>
      <c r="JV148" s="5"/>
      <c r="JW148" s="5"/>
      <c r="JX148" s="5"/>
      <c r="JY148" s="5"/>
      <c r="JZ148" s="5"/>
      <c r="KA148" s="5"/>
      <c r="KB148" s="5"/>
      <c r="KC148" s="5"/>
      <c r="KD148" s="5"/>
      <c r="KE148" s="5"/>
      <c r="KF148" s="5"/>
      <c r="KG148" s="5"/>
      <c r="KH148" s="5"/>
      <c r="KI148" s="5"/>
      <c r="KJ148" s="5"/>
      <c r="KK148" s="5"/>
      <c r="KL148" s="5"/>
      <c r="KM148" s="5"/>
      <c r="KN148" s="5"/>
      <c r="KO148" s="5"/>
      <c r="KP148" s="5"/>
      <c r="KQ148" s="5"/>
      <c r="KR148" s="5"/>
      <c r="KS148" s="5"/>
      <c r="KT148" s="5"/>
      <c r="KU148" s="5"/>
      <c r="KV148" s="5"/>
      <c r="KW148" s="5"/>
      <c r="KX148" s="5"/>
      <c r="KY148" s="5"/>
      <c r="KZ148" s="5"/>
      <c r="LA148" s="5"/>
      <c r="LB148" s="5"/>
      <c r="LC148" s="5"/>
      <c r="LD148" s="5"/>
      <c r="LE148" s="5"/>
      <c r="LF148" s="5"/>
      <c r="LG148" s="5"/>
      <c r="LH148" s="5"/>
      <c r="LI148" s="5"/>
      <c r="LJ148" s="5"/>
      <c r="LK148" s="5"/>
      <c r="LL148" s="5"/>
      <c r="LM148" s="5"/>
      <c r="LN148" s="5"/>
      <c r="LO148" s="5"/>
      <c r="LP148" s="5"/>
      <c r="LQ148" s="5"/>
      <c r="LR148" s="5"/>
      <c r="LS148" s="5"/>
      <c r="LT148" s="5"/>
      <c r="LU148" s="5"/>
      <c r="LV148" s="5"/>
      <c r="LW148" s="5"/>
      <c r="LX148" s="5"/>
      <c r="LY148" s="5"/>
      <c r="LZ148" s="5"/>
      <c r="MA148" s="5"/>
      <c r="MB148" s="5"/>
      <c r="MC148" s="5"/>
      <c r="MD148" s="5"/>
      <c r="ME148" s="5"/>
      <c r="MF148" s="5"/>
      <c r="MG148" s="5"/>
      <c r="MH148" s="5"/>
      <c r="MI148" s="5"/>
      <c r="MJ148" s="5"/>
      <c r="MK148" s="5"/>
      <c r="ML148" s="5"/>
      <c r="MM148" s="5"/>
      <c r="MN148" s="5"/>
      <c r="MO148" s="5"/>
      <c r="MP148" s="5"/>
      <c r="MQ148" s="5"/>
      <c r="MR148" s="5"/>
      <c r="MS148" s="5"/>
      <c r="MT148" s="5"/>
      <c r="MU148" s="5"/>
      <c r="MV148" s="5"/>
      <c r="MW148" s="5"/>
      <c r="MX148" s="5"/>
      <c r="MY148" s="5"/>
      <c r="MZ148" s="5"/>
      <c r="NA148" s="5"/>
      <c r="NB148" s="5"/>
      <c r="NC148" s="5"/>
      <c r="ND148" s="5"/>
      <c r="NE148" s="5"/>
      <c r="NF148" s="5"/>
      <c r="NG148" s="5"/>
      <c r="NH148" s="5"/>
      <c r="NI148" s="5"/>
      <c r="NJ148" s="5"/>
      <c r="NK148" s="5"/>
      <c r="NL148" s="5"/>
      <c r="NM148" s="5"/>
      <c r="NN148" s="5"/>
      <c r="NO148" s="5"/>
      <c r="NP148" s="5"/>
      <c r="NQ148" s="5"/>
      <c r="NR148" s="5"/>
      <c r="NS148" s="5"/>
      <c r="NT148" s="5"/>
      <c r="NU148" s="5"/>
      <c r="NV148" s="5"/>
      <c r="NW148" s="5"/>
      <c r="NX148" s="5"/>
      <c r="NY148" s="5"/>
      <c r="NZ148" s="5"/>
      <c r="OA148" s="5"/>
      <c r="OB148" s="5"/>
      <c r="OC148" s="5"/>
      <c r="OD148" s="5"/>
      <c r="OE148" s="5"/>
      <c r="OF148" s="5"/>
      <c r="OG148" s="5"/>
      <c r="OH148" s="5"/>
      <c r="OI148" s="5"/>
      <c r="OJ148" s="5"/>
      <c r="OK148" s="5"/>
      <c r="OL148" s="5"/>
      <c r="OM148" s="5"/>
      <c r="ON148" s="5"/>
      <c r="OO148" s="5"/>
      <c r="OP148" s="5"/>
      <c r="OQ148" s="5"/>
      <c r="OR148" s="5"/>
      <c r="OS148" s="5"/>
      <c r="OT148" s="5"/>
      <c r="OU148" s="5"/>
      <c r="OV148" s="5"/>
      <c r="OW148" s="5"/>
      <c r="OX148" s="5"/>
      <c r="OY148" s="5"/>
      <c r="OZ148" s="5"/>
      <c r="PA148" s="5"/>
      <c r="PB148" s="5"/>
      <c r="PC148" s="5"/>
      <c r="PD148" s="5"/>
      <c r="PE148" s="5"/>
      <c r="PF148" s="5"/>
      <c r="PG148" s="5"/>
      <c r="PH148" s="5"/>
      <c r="PI148" s="5"/>
      <c r="PJ148" s="5"/>
      <c r="PK148" s="5"/>
      <c r="PL148" s="5"/>
      <c r="PM148" s="5"/>
      <c r="PN148" s="5"/>
      <c r="PO148" s="5"/>
      <c r="PP148" s="5"/>
      <c r="PQ148" s="5"/>
      <c r="PR148" s="5"/>
      <c r="PS148" s="5"/>
      <c r="PT148" s="5"/>
      <c r="PU148" s="5"/>
      <c r="PV148" s="5"/>
      <c r="PW148" s="5"/>
      <c r="PX148" s="5"/>
      <c r="PY148" s="5"/>
      <c r="PZ148" s="5"/>
      <c r="QA148" s="5"/>
      <c r="QB148" s="5"/>
      <c r="QC148" s="5"/>
      <c r="QD148" s="5"/>
      <c r="QE148" s="5"/>
      <c r="QF148" s="5"/>
      <c r="QG148" s="5"/>
      <c r="QH148" s="5"/>
      <c r="QI148" s="5"/>
      <c r="QJ148" s="5"/>
      <c r="QK148" s="5"/>
      <c r="QL148" s="5"/>
      <c r="QM148" s="5"/>
      <c r="QN148" s="5"/>
      <c r="QO148" s="5"/>
      <c r="QP148" s="5"/>
      <c r="QQ148" s="5"/>
      <c r="QR148" s="5"/>
      <c r="QS148" s="5"/>
      <c r="QT148" s="5"/>
      <c r="QU148" s="5"/>
      <c r="QV148" s="5"/>
      <c r="QW148" s="5"/>
      <c r="QX148" s="5"/>
      <c r="QY148" s="5"/>
      <c r="QZ148" s="5"/>
      <c r="RA148" s="5"/>
      <c r="RB148" s="5"/>
      <c r="RC148" s="5"/>
      <c r="RD148" s="5"/>
      <c r="RE148" s="5"/>
      <c r="RF148" s="5"/>
      <c r="RG148" s="5"/>
      <c r="RH148" s="5"/>
      <c r="RI148" s="5"/>
      <c r="RJ148" s="5"/>
      <c r="RK148" s="5"/>
      <c r="RL148" s="5"/>
      <c r="RM148" s="5"/>
      <c r="RN148" s="5"/>
      <c r="RO148" s="5"/>
      <c r="RP148" s="5"/>
      <c r="RQ148" s="5"/>
      <c r="RR148" s="5"/>
      <c r="RS148" s="5"/>
      <c r="RT148" s="5"/>
      <c r="RU148" s="5"/>
      <c r="RV148" s="5"/>
      <c r="RW148" s="5"/>
      <c r="RX148" s="5"/>
      <c r="RY148" s="5"/>
      <c r="RZ148" s="5"/>
      <c r="SA148" s="5"/>
      <c r="SB148" s="5"/>
      <c r="SC148" s="5"/>
      <c r="SD148" s="5"/>
      <c r="SE148" s="5"/>
      <c r="SF148" s="5"/>
      <c r="SG148" s="5"/>
      <c r="SH148" s="5"/>
      <c r="SI148" s="5"/>
      <c r="SJ148" s="5"/>
      <c r="SK148" s="5"/>
      <c r="SL148" s="5"/>
      <c r="SM148" s="5"/>
      <c r="SN148" s="5"/>
      <c r="SO148" s="5"/>
      <c r="SP148" s="5"/>
      <c r="SQ148" s="5"/>
      <c r="SR148" s="5"/>
      <c r="SS148" s="5"/>
      <c r="ST148" s="5"/>
      <c r="SU148" s="5"/>
      <c r="SV148" s="5"/>
      <c r="SW148" s="5"/>
      <c r="SX148" s="5"/>
      <c r="SY148" s="5"/>
      <c r="SZ148" s="5"/>
      <c r="TA148" s="5"/>
      <c r="TB148" s="5"/>
      <c r="TC148" s="5"/>
      <c r="TD148" s="5"/>
      <c r="TE148" s="5"/>
      <c r="TF148" s="5"/>
      <c r="TG148" s="5"/>
      <c r="TH148" s="5"/>
      <c r="TI148" s="5"/>
      <c r="TJ148" s="5"/>
      <c r="TK148" s="5"/>
      <c r="TL148" s="5"/>
      <c r="TM148" s="5"/>
      <c r="TN148" s="5"/>
      <c r="TO148" s="5"/>
      <c r="TP148" s="5"/>
      <c r="TQ148" s="5"/>
      <c r="TR148" s="5"/>
      <c r="TS148" s="5"/>
      <c r="TT148" s="5"/>
      <c r="TU148" s="5"/>
      <c r="TV148" s="5"/>
      <c r="TW148" s="5"/>
      <c r="TX148" s="5"/>
      <c r="TY148" s="5"/>
      <c r="TZ148" s="5"/>
      <c r="UA148" s="5"/>
      <c r="UB148" s="5"/>
      <c r="UC148" s="5"/>
      <c r="UD148" s="5"/>
      <c r="UE148" s="5"/>
      <c r="UF148" s="5"/>
      <c r="UG148" s="5"/>
      <c r="UH148" s="5"/>
      <c r="UI148" s="5"/>
      <c r="UJ148" s="5"/>
      <c r="UK148" s="5"/>
      <c r="UL148" s="5"/>
      <c r="UM148" s="5"/>
      <c r="UN148" s="5"/>
      <c r="UO148" s="5"/>
      <c r="UP148" s="5"/>
      <c r="UQ148" s="5"/>
      <c r="UR148" s="5"/>
      <c r="US148" s="5"/>
      <c r="UT148" s="5"/>
      <c r="UU148" s="5"/>
      <c r="UV148" s="5"/>
      <c r="UW148" s="5"/>
      <c r="UX148" s="5"/>
      <c r="UY148" s="5"/>
      <c r="UZ148" s="5"/>
      <c r="VA148" s="5"/>
      <c r="VB148" s="5"/>
      <c r="VC148" s="5"/>
      <c r="VD148" s="5"/>
      <c r="VE148" s="5"/>
      <c r="VF148" s="5"/>
      <c r="VG148" s="5"/>
      <c r="VH148" s="5"/>
      <c r="VI148" s="5"/>
      <c r="VJ148" s="5"/>
      <c r="VK148" s="5"/>
      <c r="VL148" s="5"/>
      <c r="VM148" s="5"/>
      <c r="VN148" s="5"/>
      <c r="VO148" s="5"/>
      <c r="VP148" s="5"/>
      <c r="VQ148" s="5"/>
      <c r="VR148" s="5"/>
      <c r="VS148" s="5"/>
      <c r="VT148" s="5"/>
      <c r="VU148" s="5"/>
      <c r="VV148" s="5"/>
      <c r="VW148" s="5"/>
      <c r="VX148" s="5"/>
      <c r="VY148" s="5"/>
      <c r="VZ148" s="5"/>
      <c r="WA148" s="5"/>
      <c r="WB148" s="5"/>
      <c r="WC148" s="5"/>
      <c r="WD148" s="5"/>
      <c r="WE148" s="5"/>
      <c r="WF148" s="5"/>
      <c r="WG148" s="5"/>
      <c r="WH148" s="5"/>
      <c r="WI148" s="5"/>
      <c r="WJ148" s="5"/>
      <c r="WK148" s="5"/>
      <c r="WL148" s="5"/>
      <c r="WM148" s="5"/>
      <c r="WN148" s="5"/>
      <c r="WO148" s="5"/>
      <c r="WP148" s="5"/>
      <c r="WQ148" s="5"/>
      <c r="WR148" s="5"/>
      <c r="WS148" s="5"/>
      <c r="WT148" s="5"/>
      <c r="WU148" s="5"/>
      <c r="WV148" s="5"/>
      <c r="WW148" s="5"/>
      <c r="WX148" s="5"/>
      <c r="WY148" s="5"/>
      <c r="WZ148" s="5"/>
      <c r="XA148" s="5"/>
      <c r="XB148" s="5"/>
      <c r="XC148" s="5"/>
      <c r="XD148" s="5"/>
      <c r="XE148" s="5"/>
      <c r="XF148" s="5"/>
      <c r="XG148" s="5"/>
      <c r="XH148" s="5"/>
      <c r="XI148" s="5"/>
      <c r="XJ148" s="5"/>
      <c r="XK148" s="5"/>
      <c r="XL148" s="5"/>
      <c r="XM148" s="5"/>
      <c r="XN148" s="5"/>
      <c r="XO148" s="5"/>
      <c r="XP148" s="5"/>
      <c r="XQ148" s="5"/>
      <c r="XR148" s="5"/>
      <c r="XS148" s="5"/>
      <c r="XT148" s="5"/>
      <c r="XU148" s="5"/>
      <c r="XV148" s="5"/>
      <c r="XW148" s="5"/>
      <c r="XX148" s="5"/>
      <c r="XY148" s="5"/>
      <c r="XZ148" s="5"/>
      <c r="YA148" s="5"/>
      <c r="YB148" s="5"/>
      <c r="YC148" s="5"/>
      <c r="YD148" s="5"/>
      <c r="YE148" s="5"/>
      <c r="YF148" s="5"/>
      <c r="YG148" s="5"/>
      <c r="YH148" s="5"/>
      <c r="YI148" s="5"/>
      <c r="YJ148" s="5"/>
      <c r="YK148" s="5"/>
      <c r="YL148" s="5"/>
      <c r="YM148" s="5"/>
      <c r="YN148" s="5"/>
      <c r="YO148" s="5"/>
      <c r="YP148" s="5"/>
      <c r="YQ148" s="5"/>
      <c r="YR148" s="5"/>
      <c r="YS148" s="5"/>
      <c r="YT148" s="5"/>
      <c r="YU148" s="5"/>
      <c r="YV148" s="5"/>
      <c r="YW148" s="5"/>
      <c r="YX148" s="5"/>
      <c r="YY148" s="5"/>
      <c r="YZ148" s="5"/>
    </row>
    <row r="149" spans="1:676">
      <c r="A149" s="7">
        <v>139</v>
      </c>
      <c r="B149" s="7" t="s">
        <v>348</v>
      </c>
      <c r="C149" s="10" t="s">
        <v>349</v>
      </c>
      <c r="D149" s="7" t="s">
        <v>40</v>
      </c>
      <c r="E149" s="7" t="s">
        <v>175</v>
      </c>
      <c r="F149" s="7" t="s">
        <v>286</v>
      </c>
      <c r="G149" s="7"/>
      <c r="H149" s="7"/>
      <c r="I149" s="11">
        <v>2</v>
      </c>
      <c r="J149" s="11">
        <v>3</v>
      </c>
      <c r="K149" s="11">
        <v>0</v>
      </c>
      <c r="L149" s="11">
        <v>0.72</v>
      </c>
      <c r="M149" s="11">
        <v>0</v>
      </c>
      <c r="N149" s="11">
        <v>0</v>
      </c>
      <c r="O149" s="11">
        <v>1.93</v>
      </c>
      <c r="P149" s="11">
        <v>0</v>
      </c>
      <c r="Q149" s="11">
        <v>2.649999999999999</v>
      </c>
      <c r="R149" s="11">
        <v>18.48</v>
      </c>
      <c r="S149" s="11">
        <v>21.13</v>
      </c>
      <c r="T149" s="11">
        <v>2</v>
      </c>
      <c r="U149" s="11">
        <v>3</v>
      </c>
      <c r="V149" s="11">
        <v>16.13</v>
      </c>
      <c r="W149" s="13">
        <v>24</v>
      </c>
      <c r="X149" s="13">
        <v>36</v>
      </c>
      <c r="Y149" s="13" t="str">
        <f>MIN(W149,S149)</f>
        <v>0</v>
      </c>
      <c r="Z149" s="13" t="str">
        <f>MIN(X149,(S149-Y149))</f>
        <v>0</v>
      </c>
      <c r="AA149" s="13" t="str">
        <f>S149-SUM(Y149,Z149)</f>
        <v>0</v>
      </c>
      <c r="AB149" s="15"/>
      <c r="AC149" s="15"/>
      <c r="AD149" s="1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  <c r="CY149" s="5"/>
      <c r="CZ149" s="5"/>
      <c r="DA149" s="5"/>
      <c r="DB149" s="5"/>
      <c r="DC149" s="5"/>
      <c r="DD149" s="5"/>
      <c r="DE149" s="5"/>
      <c r="DF149" s="5"/>
      <c r="DG149" s="5"/>
      <c r="DH149" s="5"/>
      <c r="DI149" s="5"/>
      <c r="DJ149" s="5"/>
      <c r="DK149" s="5"/>
      <c r="DL149" s="5"/>
      <c r="DM149" s="5"/>
      <c r="DN149" s="5"/>
      <c r="DO149" s="5"/>
      <c r="DP149" s="5"/>
      <c r="DQ149" s="5"/>
      <c r="DR149" s="5"/>
      <c r="DS149" s="5"/>
      <c r="DT149" s="5"/>
      <c r="DU149" s="5"/>
      <c r="DV149" s="5"/>
      <c r="DW149" s="5"/>
      <c r="DX149" s="5"/>
      <c r="DY149" s="5"/>
      <c r="DZ149" s="5"/>
      <c r="EA149" s="5"/>
      <c r="EB149" s="5"/>
      <c r="EC149" s="5"/>
      <c r="ED149" s="5"/>
      <c r="EE149" s="5"/>
      <c r="EF149" s="5"/>
      <c r="EG149" s="5"/>
      <c r="EH149" s="5"/>
      <c r="EI149" s="5"/>
      <c r="EJ149" s="5"/>
      <c r="EK149" s="5"/>
      <c r="EL149" s="5"/>
      <c r="EM149" s="5"/>
      <c r="EN149" s="5"/>
      <c r="EO149" s="5"/>
      <c r="EP149" s="5"/>
      <c r="EQ149" s="5"/>
      <c r="ER149" s="5"/>
      <c r="ES149" s="5"/>
      <c r="ET149" s="5"/>
      <c r="EU149" s="5"/>
      <c r="EV149" s="5"/>
      <c r="EW149" s="5"/>
      <c r="EX149" s="5"/>
      <c r="EY149" s="5"/>
      <c r="EZ149" s="5"/>
      <c r="FA149" s="5"/>
      <c r="FB149" s="5"/>
      <c r="FC149" s="5"/>
      <c r="FD149" s="5"/>
      <c r="FE149" s="5"/>
      <c r="FF149" s="5"/>
      <c r="FG149" s="5"/>
      <c r="FH149" s="5"/>
      <c r="FI149" s="5"/>
      <c r="FJ149" s="5"/>
      <c r="FK149" s="5"/>
      <c r="FL149" s="5"/>
      <c r="FM149" s="5"/>
      <c r="FN149" s="5"/>
      <c r="FO149" s="5"/>
      <c r="FP149" s="5"/>
      <c r="FQ149" s="5"/>
      <c r="FR149" s="5"/>
      <c r="FS149" s="5"/>
      <c r="FT149" s="5"/>
      <c r="FU149" s="5"/>
      <c r="FV149" s="5"/>
      <c r="FW149" s="5"/>
      <c r="FX149" s="5"/>
      <c r="FY149" s="5"/>
      <c r="FZ149" s="5"/>
      <c r="GA149" s="5"/>
      <c r="GB149" s="5"/>
      <c r="GC149" s="5"/>
      <c r="GD149" s="5"/>
      <c r="GE149" s="5"/>
      <c r="GF149" s="5"/>
      <c r="GG149" s="5"/>
      <c r="GH149" s="5"/>
      <c r="GI149" s="5"/>
      <c r="GJ149" s="5"/>
      <c r="GK149" s="5"/>
      <c r="GL149" s="5"/>
      <c r="GM149" s="5"/>
      <c r="GN149" s="5"/>
      <c r="GO149" s="5"/>
      <c r="GP149" s="5"/>
      <c r="GQ149" s="5"/>
      <c r="GR149" s="5"/>
      <c r="GS149" s="5"/>
      <c r="GT149" s="5"/>
      <c r="GU149" s="5"/>
      <c r="GV149" s="5"/>
      <c r="GW149" s="5"/>
      <c r="GX149" s="5"/>
      <c r="GY149" s="5"/>
      <c r="GZ149" s="5"/>
      <c r="HA149" s="5"/>
      <c r="HB149" s="5"/>
      <c r="HC149" s="5"/>
      <c r="HD149" s="5"/>
      <c r="HE149" s="5"/>
      <c r="HF149" s="5"/>
      <c r="HG149" s="5"/>
      <c r="HH149" s="5"/>
      <c r="HI149" s="5"/>
      <c r="HJ149" s="5"/>
      <c r="HK149" s="5"/>
      <c r="HL149" s="5"/>
      <c r="HM149" s="5"/>
      <c r="HN149" s="5"/>
      <c r="HO149" s="5"/>
      <c r="HP149" s="5"/>
      <c r="HQ149" s="5"/>
      <c r="HR149" s="5"/>
      <c r="HS149" s="5"/>
      <c r="HT149" s="5"/>
      <c r="HU149" s="5"/>
      <c r="HV149" s="5"/>
      <c r="HW149" s="5"/>
      <c r="HX149" s="5"/>
      <c r="HY149" s="5"/>
      <c r="HZ149" s="5"/>
      <c r="IA149" s="5"/>
      <c r="IB149" s="5"/>
      <c r="IC149" s="5"/>
      <c r="ID149" s="5"/>
      <c r="IE149" s="5"/>
      <c r="IF149" s="5"/>
      <c r="IG149" s="5"/>
      <c r="IH149" s="5"/>
      <c r="II149" s="5"/>
      <c r="IJ149" s="5"/>
      <c r="IK149" s="5"/>
      <c r="IL149" s="5"/>
      <c r="IM149" s="5"/>
      <c r="IN149" s="5"/>
      <c r="IO149" s="5"/>
      <c r="IP149" s="5"/>
      <c r="IQ149" s="5"/>
      <c r="IR149" s="5"/>
      <c r="IS149" s="5"/>
      <c r="IT149" s="5"/>
      <c r="IU149" s="5"/>
      <c r="IV149" s="5"/>
      <c r="IW149" s="5"/>
      <c r="IX149" s="5"/>
      <c r="IY149" s="5"/>
      <c r="IZ149" s="5"/>
      <c r="JA149" s="5"/>
      <c r="JB149" s="5"/>
      <c r="JC149" s="5"/>
      <c r="JD149" s="5"/>
      <c r="JE149" s="5"/>
      <c r="JF149" s="5"/>
      <c r="JG149" s="5"/>
      <c r="JH149" s="5"/>
      <c r="JI149" s="5"/>
      <c r="JJ149" s="5"/>
      <c r="JK149" s="5"/>
      <c r="JL149" s="5"/>
      <c r="JM149" s="5"/>
      <c r="JN149" s="5"/>
      <c r="JO149" s="5"/>
      <c r="JP149" s="5"/>
      <c r="JQ149" s="5"/>
      <c r="JR149" s="5"/>
      <c r="JS149" s="5"/>
      <c r="JT149" s="5"/>
      <c r="JU149" s="5"/>
      <c r="JV149" s="5"/>
      <c r="JW149" s="5"/>
      <c r="JX149" s="5"/>
      <c r="JY149" s="5"/>
      <c r="JZ149" s="5"/>
      <c r="KA149" s="5"/>
      <c r="KB149" s="5"/>
      <c r="KC149" s="5"/>
      <c r="KD149" s="5"/>
      <c r="KE149" s="5"/>
      <c r="KF149" s="5"/>
      <c r="KG149" s="5"/>
      <c r="KH149" s="5"/>
      <c r="KI149" s="5"/>
      <c r="KJ149" s="5"/>
      <c r="KK149" s="5"/>
      <c r="KL149" s="5"/>
      <c r="KM149" s="5"/>
      <c r="KN149" s="5"/>
      <c r="KO149" s="5"/>
      <c r="KP149" s="5"/>
      <c r="KQ149" s="5"/>
      <c r="KR149" s="5"/>
      <c r="KS149" s="5"/>
      <c r="KT149" s="5"/>
      <c r="KU149" s="5"/>
      <c r="KV149" s="5"/>
      <c r="KW149" s="5"/>
      <c r="KX149" s="5"/>
      <c r="KY149" s="5"/>
      <c r="KZ149" s="5"/>
      <c r="LA149" s="5"/>
      <c r="LB149" s="5"/>
      <c r="LC149" s="5"/>
      <c r="LD149" s="5"/>
      <c r="LE149" s="5"/>
      <c r="LF149" s="5"/>
      <c r="LG149" s="5"/>
      <c r="LH149" s="5"/>
      <c r="LI149" s="5"/>
      <c r="LJ149" s="5"/>
      <c r="LK149" s="5"/>
      <c r="LL149" s="5"/>
      <c r="LM149" s="5"/>
      <c r="LN149" s="5"/>
      <c r="LO149" s="5"/>
      <c r="LP149" s="5"/>
      <c r="LQ149" s="5"/>
      <c r="LR149" s="5"/>
      <c r="LS149" s="5"/>
      <c r="LT149" s="5"/>
      <c r="LU149" s="5"/>
      <c r="LV149" s="5"/>
      <c r="LW149" s="5"/>
      <c r="LX149" s="5"/>
      <c r="LY149" s="5"/>
      <c r="LZ149" s="5"/>
      <c r="MA149" s="5"/>
      <c r="MB149" s="5"/>
      <c r="MC149" s="5"/>
      <c r="MD149" s="5"/>
      <c r="ME149" s="5"/>
      <c r="MF149" s="5"/>
      <c r="MG149" s="5"/>
      <c r="MH149" s="5"/>
      <c r="MI149" s="5"/>
      <c r="MJ149" s="5"/>
      <c r="MK149" s="5"/>
      <c r="ML149" s="5"/>
      <c r="MM149" s="5"/>
      <c r="MN149" s="5"/>
      <c r="MO149" s="5"/>
      <c r="MP149" s="5"/>
      <c r="MQ149" s="5"/>
      <c r="MR149" s="5"/>
      <c r="MS149" s="5"/>
      <c r="MT149" s="5"/>
      <c r="MU149" s="5"/>
      <c r="MV149" s="5"/>
      <c r="MW149" s="5"/>
      <c r="MX149" s="5"/>
      <c r="MY149" s="5"/>
      <c r="MZ149" s="5"/>
      <c r="NA149" s="5"/>
      <c r="NB149" s="5"/>
      <c r="NC149" s="5"/>
      <c r="ND149" s="5"/>
      <c r="NE149" s="5"/>
      <c r="NF149" s="5"/>
      <c r="NG149" s="5"/>
      <c r="NH149" s="5"/>
      <c r="NI149" s="5"/>
      <c r="NJ149" s="5"/>
      <c r="NK149" s="5"/>
      <c r="NL149" s="5"/>
      <c r="NM149" s="5"/>
      <c r="NN149" s="5"/>
      <c r="NO149" s="5"/>
      <c r="NP149" s="5"/>
      <c r="NQ149" s="5"/>
      <c r="NR149" s="5"/>
      <c r="NS149" s="5"/>
      <c r="NT149" s="5"/>
      <c r="NU149" s="5"/>
      <c r="NV149" s="5"/>
      <c r="NW149" s="5"/>
      <c r="NX149" s="5"/>
      <c r="NY149" s="5"/>
      <c r="NZ149" s="5"/>
      <c r="OA149" s="5"/>
      <c r="OB149" s="5"/>
      <c r="OC149" s="5"/>
      <c r="OD149" s="5"/>
      <c r="OE149" s="5"/>
      <c r="OF149" s="5"/>
      <c r="OG149" s="5"/>
      <c r="OH149" s="5"/>
      <c r="OI149" s="5"/>
      <c r="OJ149" s="5"/>
      <c r="OK149" s="5"/>
      <c r="OL149" s="5"/>
      <c r="OM149" s="5"/>
      <c r="ON149" s="5"/>
      <c r="OO149" s="5"/>
      <c r="OP149" s="5"/>
      <c r="OQ149" s="5"/>
      <c r="OR149" s="5"/>
      <c r="OS149" s="5"/>
      <c r="OT149" s="5"/>
      <c r="OU149" s="5"/>
      <c r="OV149" s="5"/>
      <c r="OW149" s="5"/>
      <c r="OX149" s="5"/>
      <c r="OY149" s="5"/>
      <c r="OZ149" s="5"/>
      <c r="PA149" s="5"/>
      <c r="PB149" s="5"/>
      <c r="PC149" s="5"/>
      <c r="PD149" s="5"/>
      <c r="PE149" s="5"/>
      <c r="PF149" s="5"/>
      <c r="PG149" s="5"/>
      <c r="PH149" s="5"/>
      <c r="PI149" s="5"/>
      <c r="PJ149" s="5"/>
      <c r="PK149" s="5"/>
      <c r="PL149" s="5"/>
      <c r="PM149" s="5"/>
      <c r="PN149" s="5"/>
      <c r="PO149" s="5"/>
      <c r="PP149" s="5"/>
      <c r="PQ149" s="5"/>
      <c r="PR149" s="5"/>
      <c r="PS149" s="5"/>
      <c r="PT149" s="5"/>
      <c r="PU149" s="5"/>
      <c r="PV149" s="5"/>
      <c r="PW149" s="5"/>
      <c r="PX149" s="5"/>
      <c r="PY149" s="5"/>
      <c r="PZ149" s="5"/>
      <c r="QA149" s="5"/>
      <c r="QB149" s="5"/>
      <c r="QC149" s="5"/>
      <c r="QD149" s="5"/>
      <c r="QE149" s="5"/>
      <c r="QF149" s="5"/>
      <c r="QG149" s="5"/>
      <c r="QH149" s="5"/>
      <c r="QI149" s="5"/>
      <c r="QJ149" s="5"/>
      <c r="QK149" s="5"/>
      <c r="QL149" s="5"/>
      <c r="QM149" s="5"/>
      <c r="QN149" s="5"/>
      <c r="QO149" s="5"/>
      <c r="QP149" s="5"/>
      <c r="QQ149" s="5"/>
      <c r="QR149" s="5"/>
      <c r="QS149" s="5"/>
      <c r="QT149" s="5"/>
      <c r="QU149" s="5"/>
      <c r="QV149" s="5"/>
      <c r="QW149" s="5"/>
      <c r="QX149" s="5"/>
      <c r="QY149" s="5"/>
      <c r="QZ149" s="5"/>
      <c r="RA149" s="5"/>
      <c r="RB149" s="5"/>
      <c r="RC149" s="5"/>
      <c r="RD149" s="5"/>
      <c r="RE149" s="5"/>
      <c r="RF149" s="5"/>
      <c r="RG149" s="5"/>
      <c r="RH149" s="5"/>
      <c r="RI149" s="5"/>
      <c r="RJ149" s="5"/>
      <c r="RK149" s="5"/>
      <c r="RL149" s="5"/>
      <c r="RM149" s="5"/>
      <c r="RN149" s="5"/>
      <c r="RO149" s="5"/>
      <c r="RP149" s="5"/>
      <c r="RQ149" s="5"/>
      <c r="RR149" s="5"/>
      <c r="RS149" s="5"/>
      <c r="RT149" s="5"/>
      <c r="RU149" s="5"/>
      <c r="RV149" s="5"/>
      <c r="RW149" s="5"/>
      <c r="RX149" s="5"/>
      <c r="RY149" s="5"/>
      <c r="RZ149" s="5"/>
      <c r="SA149" s="5"/>
      <c r="SB149" s="5"/>
      <c r="SC149" s="5"/>
      <c r="SD149" s="5"/>
      <c r="SE149" s="5"/>
      <c r="SF149" s="5"/>
      <c r="SG149" s="5"/>
      <c r="SH149" s="5"/>
      <c r="SI149" s="5"/>
      <c r="SJ149" s="5"/>
      <c r="SK149" s="5"/>
      <c r="SL149" s="5"/>
      <c r="SM149" s="5"/>
      <c r="SN149" s="5"/>
      <c r="SO149" s="5"/>
      <c r="SP149" s="5"/>
      <c r="SQ149" s="5"/>
      <c r="SR149" s="5"/>
      <c r="SS149" s="5"/>
      <c r="ST149" s="5"/>
      <c r="SU149" s="5"/>
      <c r="SV149" s="5"/>
      <c r="SW149" s="5"/>
      <c r="SX149" s="5"/>
      <c r="SY149" s="5"/>
      <c r="SZ149" s="5"/>
      <c r="TA149" s="5"/>
      <c r="TB149" s="5"/>
      <c r="TC149" s="5"/>
      <c r="TD149" s="5"/>
      <c r="TE149" s="5"/>
      <c r="TF149" s="5"/>
      <c r="TG149" s="5"/>
      <c r="TH149" s="5"/>
      <c r="TI149" s="5"/>
      <c r="TJ149" s="5"/>
      <c r="TK149" s="5"/>
      <c r="TL149" s="5"/>
      <c r="TM149" s="5"/>
      <c r="TN149" s="5"/>
      <c r="TO149" s="5"/>
      <c r="TP149" s="5"/>
      <c r="TQ149" s="5"/>
      <c r="TR149" s="5"/>
      <c r="TS149" s="5"/>
      <c r="TT149" s="5"/>
      <c r="TU149" s="5"/>
      <c r="TV149" s="5"/>
      <c r="TW149" s="5"/>
      <c r="TX149" s="5"/>
      <c r="TY149" s="5"/>
      <c r="TZ149" s="5"/>
      <c r="UA149" s="5"/>
      <c r="UB149" s="5"/>
      <c r="UC149" s="5"/>
      <c r="UD149" s="5"/>
      <c r="UE149" s="5"/>
      <c r="UF149" s="5"/>
      <c r="UG149" s="5"/>
      <c r="UH149" s="5"/>
      <c r="UI149" s="5"/>
      <c r="UJ149" s="5"/>
      <c r="UK149" s="5"/>
      <c r="UL149" s="5"/>
      <c r="UM149" s="5"/>
      <c r="UN149" s="5"/>
      <c r="UO149" s="5"/>
      <c r="UP149" s="5"/>
      <c r="UQ149" s="5"/>
      <c r="UR149" s="5"/>
      <c r="US149" s="5"/>
      <c r="UT149" s="5"/>
      <c r="UU149" s="5"/>
      <c r="UV149" s="5"/>
      <c r="UW149" s="5"/>
      <c r="UX149" s="5"/>
      <c r="UY149" s="5"/>
      <c r="UZ149" s="5"/>
      <c r="VA149" s="5"/>
      <c r="VB149" s="5"/>
      <c r="VC149" s="5"/>
      <c r="VD149" s="5"/>
      <c r="VE149" s="5"/>
      <c r="VF149" s="5"/>
      <c r="VG149" s="5"/>
      <c r="VH149" s="5"/>
      <c r="VI149" s="5"/>
      <c r="VJ149" s="5"/>
      <c r="VK149" s="5"/>
      <c r="VL149" s="5"/>
      <c r="VM149" s="5"/>
      <c r="VN149" s="5"/>
      <c r="VO149" s="5"/>
      <c r="VP149" s="5"/>
      <c r="VQ149" s="5"/>
      <c r="VR149" s="5"/>
      <c r="VS149" s="5"/>
      <c r="VT149" s="5"/>
      <c r="VU149" s="5"/>
      <c r="VV149" s="5"/>
      <c r="VW149" s="5"/>
      <c r="VX149" s="5"/>
      <c r="VY149" s="5"/>
      <c r="VZ149" s="5"/>
      <c r="WA149" s="5"/>
      <c r="WB149" s="5"/>
      <c r="WC149" s="5"/>
      <c r="WD149" s="5"/>
      <c r="WE149" s="5"/>
      <c r="WF149" s="5"/>
      <c r="WG149" s="5"/>
      <c r="WH149" s="5"/>
      <c r="WI149" s="5"/>
      <c r="WJ149" s="5"/>
      <c r="WK149" s="5"/>
      <c r="WL149" s="5"/>
      <c r="WM149" s="5"/>
      <c r="WN149" s="5"/>
      <c r="WO149" s="5"/>
      <c r="WP149" s="5"/>
      <c r="WQ149" s="5"/>
      <c r="WR149" s="5"/>
      <c r="WS149" s="5"/>
      <c r="WT149" s="5"/>
      <c r="WU149" s="5"/>
      <c r="WV149" s="5"/>
      <c r="WW149" s="5"/>
      <c r="WX149" s="5"/>
      <c r="WY149" s="5"/>
      <c r="WZ149" s="5"/>
      <c r="XA149" s="5"/>
      <c r="XB149" s="5"/>
      <c r="XC149" s="5"/>
      <c r="XD149" s="5"/>
      <c r="XE149" s="5"/>
      <c r="XF149" s="5"/>
      <c r="XG149" s="5"/>
      <c r="XH149" s="5"/>
      <c r="XI149" s="5"/>
      <c r="XJ149" s="5"/>
      <c r="XK149" s="5"/>
      <c r="XL149" s="5"/>
      <c r="XM149" s="5"/>
      <c r="XN149" s="5"/>
      <c r="XO149" s="5"/>
      <c r="XP149" s="5"/>
      <c r="XQ149" s="5"/>
      <c r="XR149" s="5"/>
      <c r="XS149" s="5"/>
      <c r="XT149" s="5"/>
      <c r="XU149" s="5"/>
      <c r="XV149" s="5"/>
      <c r="XW149" s="5"/>
      <c r="XX149" s="5"/>
      <c r="XY149" s="5"/>
      <c r="XZ149" s="5"/>
      <c r="YA149" s="5"/>
      <c r="YB149" s="5"/>
      <c r="YC149" s="5"/>
      <c r="YD149" s="5"/>
      <c r="YE149" s="5"/>
      <c r="YF149" s="5"/>
      <c r="YG149" s="5"/>
      <c r="YH149" s="5"/>
      <c r="YI149" s="5"/>
      <c r="YJ149" s="5"/>
      <c r="YK149" s="5"/>
      <c r="YL149" s="5"/>
      <c r="YM149" s="5"/>
      <c r="YN149" s="5"/>
      <c r="YO149" s="5"/>
      <c r="YP149" s="5"/>
      <c r="YQ149" s="5"/>
      <c r="YR149" s="5"/>
      <c r="YS149" s="5"/>
      <c r="YT149" s="5"/>
      <c r="YU149" s="5"/>
      <c r="YV149" s="5"/>
      <c r="YW149" s="5"/>
      <c r="YX149" s="5"/>
      <c r="YY149" s="5"/>
      <c r="YZ149" s="5"/>
    </row>
    <row r="150" spans="1:676">
      <c r="A150" s="7">
        <v>140</v>
      </c>
      <c r="B150" s="7" t="s">
        <v>350</v>
      </c>
      <c r="C150" s="10" t="s">
        <v>351</v>
      </c>
      <c r="D150" s="7" t="s">
        <v>48</v>
      </c>
      <c r="E150" s="7" t="s">
        <v>175</v>
      </c>
      <c r="F150" s="7" t="s">
        <v>286</v>
      </c>
      <c r="G150" s="7"/>
      <c r="H150" s="7"/>
      <c r="I150" s="11">
        <v>2</v>
      </c>
      <c r="J150" s="11">
        <v>3</v>
      </c>
      <c r="K150" s="11">
        <v>0</v>
      </c>
      <c r="L150" s="11">
        <v>2.04</v>
      </c>
      <c r="M150" s="11">
        <v>0</v>
      </c>
      <c r="N150" s="11">
        <v>0</v>
      </c>
      <c r="O150" s="11">
        <v>2.93</v>
      </c>
      <c r="P150" s="11">
        <v>0</v>
      </c>
      <c r="Q150" s="11">
        <v>4.97</v>
      </c>
      <c r="R150" s="11">
        <v>76.81999999999998</v>
      </c>
      <c r="S150" s="11">
        <v>81.78999999999998</v>
      </c>
      <c r="T150" s="11">
        <v>2</v>
      </c>
      <c r="U150" s="11">
        <v>3</v>
      </c>
      <c r="V150" s="11">
        <v>76.78999999999998</v>
      </c>
      <c r="W150" s="13">
        <v>24</v>
      </c>
      <c r="X150" s="13">
        <v>36</v>
      </c>
      <c r="Y150" s="13" t="str">
        <f>MIN(W150,S150)</f>
        <v>0</v>
      </c>
      <c r="Z150" s="13" t="str">
        <f>MIN(X150,(S150-Y150))</f>
        <v>0</v>
      </c>
      <c r="AA150" s="13" t="str">
        <f>S150-SUM(Y150,Z150)</f>
        <v>0</v>
      </c>
      <c r="AB150" s="15"/>
      <c r="AC150" s="15"/>
      <c r="AD150" s="1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5"/>
      <c r="DH150" s="5"/>
      <c r="DI150" s="5"/>
      <c r="DJ150" s="5"/>
      <c r="DK150" s="5"/>
      <c r="DL150" s="5"/>
      <c r="DM150" s="5"/>
      <c r="DN150" s="5"/>
      <c r="DO150" s="5"/>
      <c r="DP150" s="5"/>
      <c r="DQ150" s="5"/>
      <c r="DR150" s="5"/>
      <c r="DS150" s="5"/>
      <c r="DT150" s="5"/>
      <c r="DU150" s="5"/>
      <c r="DV150" s="5"/>
      <c r="DW150" s="5"/>
      <c r="DX150" s="5"/>
      <c r="DY150" s="5"/>
      <c r="DZ150" s="5"/>
      <c r="EA150" s="5"/>
      <c r="EB150" s="5"/>
      <c r="EC150" s="5"/>
      <c r="ED150" s="5"/>
      <c r="EE150" s="5"/>
      <c r="EF150" s="5"/>
      <c r="EG150" s="5"/>
      <c r="EH150" s="5"/>
      <c r="EI150" s="5"/>
      <c r="EJ150" s="5"/>
      <c r="EK150" s="5"/>
      <c r="EL150" s="5"/>
      <c r="EM150" s="5"/>
      <c r="EN150" s="5"/>
      <c r="EO150" s="5"/>
      <c r="EP150" s="5"/>
      <c r="EQ150" s="5"/>
      <c r="ER150" s="5"/>
      <c r="ES150" s="5"/>
      <c r="ET150" s="5"/>
      <c r="EU150" s="5"/>
      <c r="EV150" s="5"/>
      <c r="EW150" s="5"/>
      <c r="EX150" s="5"/>
      <c r="EY150" s="5"/>
      <c r="EZ150" s="5"/>
      <c r="FA150" s="5"/>
      <c r="FB150" s="5"/>
      <c r="FC150" s="5"/>
      <c r="FD150" s="5"/>
      <c r="FE150" s="5"/>
      <c r="FF150" s="5"/>
      <c r="FG150" s="5"/>
      <c r="FH150" s="5"/>
      <c r="FI150" s="5"/>
      <c r="FJ150" s="5"/>
      <c r="FK150" s="5"/>
      <c r="FL150" s="5"/>
      <c r="FM150" s="5"/>
      <c r="FN150" s="5"/>
      <c r="FO150" s="5"/>
      <c r="FP150" s="5"/>
      <c r="FQ150" s="5"/>
      <c r="FR150" s="5"/>
      <c r="FS150" s="5"/>
      <c r="FT150" s="5"/>
      <c r="FU150" s="5"/>
      <c r="FV150" s="5"/>
      <c r="FW150" s="5"/>
      <c r="FX150" s="5"/>
      <c r="FY150" s="5"/>
      <c r="FZ150" s="5"/>
      <c r="GA150" s="5"/>
      <c r="GB150" s="5"/>
      <c r="GC150" s="5"/>
      <c r="GD150" s="5"/>
      <c r="GE150" s="5"/>
      <c r="GF150" s="5"/>
      <c r="GG150" s="5"/>
      <c r="GH150" s="5"/>
      <c r="GI150" s="5"/>
      <c r="GJ150" s="5"/>
      <c r="GK150" s="5"/>
      <c r="GL150" s="5"/>
      <c r="GM150" s="5"/>
      <c r="GN150" s="5"/>
      <c r="GO150" s="5"/>
      <c r="GP150" s="5"/>
      <c r="GQ150" s="5"/>
      <c r="GR150" s="5"/>
      <c r="GS150" s="5"/>
      <c r="GT150" s="5"/>
      <c r="GU150" s="5"/>
      <c r="GV150" s="5"/>
      <c r="GW150" s="5"/>
      <c r="GX150" s="5"/>
      <c r="GY150" s="5"/>
      <c r="GZ150" s="5"/>
      <c r="HA150" s="5"/>
      <c r="HB150" s="5"/>
      <c r="HC150" s="5"/>
      <c r="HD150" s="5"/>
      <c r="HE150" s="5"/>
      <c r="HF150" s="5"/>
      <c r="HG150" s="5"/>
      <c r="HH150" s="5"/>
      <c r="HI150" s="5"/>
      <c r="HJ150" s="5"/>
      <c r="HK150" s="5"/>
      <c r="HL150" s="5"/>
      <c r="HM150" s="5"/>
      <c r="HN150" s="5"/>
      <c r="HO150" s="5"/>
      <c r="HP150" s="5"/>
      <c r="HQ150" s="5"/>
      <c r="HR150" s="5"/>
      <c r="HS150" s="5"/>
      <c r="HT150" s="5"/>
      <c r="HU150" s="5"/>
      <c r="HV150" s="5"/>
      <c r="HW150" s="5"/>
      <c r="HX150" s="5"/>
      <c r="HY150" s="5"/>
      <c r="HZ150" s="5"/>
      <c r="IA150" s="5"/>
      <c r="IB150" s="5"/>
      <c r="IC150" s="5"/>
      <c r="ID150" s="5"/>
      <c r="IE150" s="5"/>
      <c r="IF150" s="5"/>
      <c r="IG150" s="5"/>
      <c r="IH150" s="5"/>
      <c r="II150" s="5"/>
      <c r="IJ150" s="5"/>
      <c r="IK150" s="5"/>
      <c r="IL150" s="5"/>
      <c r="IM150" s="5"/>
      <c r="IN150" s="5"/>
      <c r="IO150" s="5"/>
      <c r="IP150" s="5"/>
      <c r="IQ150" s="5"/>
      <c r="IR150" s="5"/>
      <c r="IS150" s="5"/>
      <c r="IT150" s="5"/>
      <c r="IU150" s="5"/>
      <c r="IV150" s="5"/>
      <c r="IW150" s="5"/>
      <c r="IX150" s="5"/>
      <c r="IY150" s="5"/>
      <c r="IZ150" s="5"/>
      <c r="JA150" s="5"/>
      <c r="JB150" s="5"/>
      <c r="JC150" s="5"/>
      <c r="JD150" s="5"/>
      <c r="JE150" s="5"/>
      <c r="JF150" s="5"/>
      <c r="JG150" s="5"/>
      <c r="JH150" s="5"/>
      <c r="JI150" s="5"/>
      <c r="JJ150" s="5"/>
      <c r="JK150" s="5"/>
      <c r="JL150" s="5"/>
      <c r="JM150" s="5"/>
      <c r="JN150" s="5"/>
      <c r="JO150" s="5"/>
      <c r="JP150" s="5"/>
      <c r="JQ150" s="5"/>
      <c r="JR150" s="5"/>
      <c r="JS150" s="5"/>
      <c r="JT150" s="5"/>
      <c r="JU150" s="5"/>
      <c r="JV150" s="5"/>
      <c r="JW150" s="5"/>
      <c r="JX150" s="5"/>
      <c r="JY150" s="5"/>
      <c r="JZ150" s="5"/>
      <c r="KA150" s="5"/>
      <c r="KB150" s="5"/>
      <c r="KC150" s="5"/>
      <c r="KD150" s="5"/>
      <c r="KE150" s="5"/>
      <c r="KF150" s="5"/>
      <c r="KG150" s="5"/>
      <c r="KH150" s="5"/>
      <c r="KI150" s="5"/>
      <c r="KJ150" s="5"/>
      <c r="KK150" s="5"/>
      <c r="KL150" s="5"/>
      <c r="KM150" s="5"/>
      <c r="KN150" s="5"/>
      <c r="KO150" s="5"/>
      <c r="KP150" s="5"/>
      <c r="KQ150" s="5"/>
      <c r="KR150" s="5"/>
      <c r="KS150" s="5"/>
      <c r="KT150" s="5"/>
      <c r="KU150" s="5"/>
      <c r="KV150" s="5"/>
      <c r="KW150" s="5"/>
      <c r="KX150" s="5"/>
      <c r="KY150" s="5"/>
      <c r="KZ150" s="5"/>
      <c r="LA150" s="5"/>
      <c r="LB150" s="5"/>
      <c r="LC150" s="5"/>
      <c r="LD150" s="5"/>
      <c r="LE150" s="5"/>
      <c r="LF150" s="5"/>
      <c r="LG150" s="5"/>
      <c r="LH150" s="5"/>
      <c r="LI150" s="5"/>
      <c r="LJ150" s="5"/>
      <c r="LK150" s="5"/>
      <c r="LL150" s="5"/>
      <c r="LM150" s="5"/>
      <c r="LN150" s="5"/>
      <c r="LO150" s="5"/>
      <c r="LP150" s="5"/>
      <c r="LQ150" s="5"/>
      <c r="LR150" s="5"/>
      <c r="LS150" s="5"/>
      <c r="LT150" s="5"/>
      <c r="LU150" s="5"/>
      <c r="LV150" s="5"/>
      <c r="LW150" s="5"/>
      <c r="LX150" s="5"/>
      <c r="LY150" s="5"/>
      <c r="LZ150" s="5"/>
      <c r="MA150" s="5"/>
      <c r="MB150" s="5"/>
      <c r="MC150" s="5"/>
      <c r="MD150" s="5"/>
      <c r="ME150" s="5"/>
      <c r="MF150" s="5"/>
      <c r="MG150" s="5"/>
      <c r="MH150" s="5"/>
      <c r="MI150" s="5"/>
      <c r="MJ150" s="5"/>
      <c r="MK150" s="5"/>
      <c r="ML150" s="5"/>
      <c r="MM150" s="5"/>
      <c r="MN150" s="5"/>
      <c r="MO150" s="5"/>
      <c r="MP150" s="5"/>
      <c r="MQ150" s="5"/>
      <c r="MR150" s="5"/>
      <c r="MS150" s="5"/>
      <c r="MT150" s="5"/>
      <c r="MU150" s="5"/>
      <c r="MV150" s="5"/>
      <c r="MW150" s="5"/>
      <c r="MX150" s="5"/>
      <c r="MY150" s="5"/>
      <c r="MZ150" s="5"/>
      <c r="NA150" s="5"/>
      <c r="NB150" s="5"/>
      <c r="NC150" s="5"/>
      <c r="ND150" s="5"/>
      <c r="NE150" s="5"/>
      <c r="NF150" s="5"/>
      <c r="NG150" s="5"/>
      <c r="NH150" s="5"/>
      <c r="NI150" s="5"/>
      <c r="NJ150" s="5"/>
      <c r="NK150" s="5"/>
      <c r="NL150" s="5"/>
      <c r="NM150" s="5"/>
      <c r="NN150" s="5"/>
      <c r="NO150" s="5"/>
      <c r="NP150" s="5"/>
      <c r="NQ150" s="5"/>
      <c r="NR150" s="5"/>
      <c r="NS150" s="5"/>
      <c r="NT150" s="5"/>
      <c r="NU150" s="5"/>
      <c r="NV150" s="5"/>
      <c r="NW150" s="5"/>
      <c r="NX150" s="5"/>
      <c r="NY150" s="5"/>
      <c r="NZ150" s="5"/>
      <c r="OA150" s="5"/>
      <c r="OB150" s="5"/>
      <c r="OC150" s="5"/>
      <c r="OD150" s="5"/>
      <c r="OE150" s="5"/>
      <c r="OF150" s="5"/>
      <c r="OG150" s="5"/>
      <c r="OH150" s="5"/>
      <c r="OI150" s="5"/>
      <c r="OJ150" s="5"/>
      <c r="OK150" s="5"/>
      <c r="OL150" s="5"/>
      <c r="OM150" s="5"/>
      <c r="ON150" s="5"/>
      <c r="OO150" s="5"/>
      <c r="OP150" s="5"/>
      <c r="OQ150" s="5"/>
      <c r="OR150" s="5"/>
      <c r="OS150" s="5"/>
      <c r="OT150" s="5"/>
      <c r="OU150" s="5"/>
      <c r="OV150" s="5"/>
      <c r="OW150" s="5"/>
      <c r="OX150" s="5"/>
      <c r="OY150" s="5"/>
      <c r="OZ150" s="5"/>
      <c r="PA150" s="5"/>
      <c r="PB150" s="5"/>
      <c r="PC150" s="5"/>
      <c r="PD150" s="5"/>
      <c r="PE150" s="5"/>
      <c r="PF150" s="5"/>
      <c r="PG150" s="5"/>
      <c r="PH150" s="5"/>
      <c r="PI150" s="5"/>
      <c r="PJ150" s="5"/>
      <c r="PK150" s="5"/>
      <c r="PL150" s="5"/>
      <c r="PM150" s="5"/>
      <c r="PN150" s="5"/>
      <c r="PO150" s="5"/>
      <c r="PP150" s="5"/>
      <c r="PQ150" s="5"/>
      <c r="PR150" s="5"/>
      <c r="PS150" s="5"/>
      <c r="PT150" s="5"/>
      <c r="PU150" s="5"/>
      <c r="PV150" s="5"/>
      <c r="PW150" s="5"/>
      <c r="PX150" s="5"/>
      <c r="PY150" s="5"/>
      <c r="PZ150" s="5"/>
      <c r="QA150" s="5"/>
      <c r="QB150" s="5"/>
      <c r="QC150" s="5"/>
      <c r="QD150" s="5"/>
      <c r="QE150" s="5"/>
      <c r="QF150" s="5"/>
      <c r="QG150" s="5"/>
      <c r="QH150" s="5"/>
      <c r="QI150" s="5"/>
      <c r="QJ150" s="5"/>
      <c r="QK150" s="5"/>
      <c r="QL150" s="5"/>
      <c r="QM150" s="5"/>
      <c r="QN150" s="5"/>
      <c r="QO150" s="5"/>
      <c r="QP150" s="5"/>
      <c r="QQ150" s="5"/>
      <c r="QR150" s="5"/>
      <c r="QS150" s="5"/>
      <c r="QT150" s="5"/>
      <c r="QU150" s="5"/>
      <c r="QV150" s="5"/>
      <c r="QW150" s="5"/>
      <c r="QX150" s="5"/>
      <c r="QY150" s="5"/>
      <c r="QZ150" s="5"/>
      <c r="RA150" s="5"/>
      <c r="RB150" s="5"/>
      <c r="RC150" s="5"/>
      <c r="RD150" s="5"/>
      <c r="RE150" s="5"/>
      <c r="RF150" s="5"/>
      <c r="RG150" s="5"/>
      <c r="RH150" s="5"/>
      <c r="RI150" s="5"/>
      <c r="RJ150" s="5"/>
      <c r="RK150" s="5"/>
      <c r="RL150" s="5"/>
      <c r="RM150" s="5"/>
      <c r="RN150" s="5"/>
      <c r="RO150" s="5"/>
      <c r="RP150" s="5"/>
      <c r="RQ150" s="5"/>
      <c r="RR150" s="5"/>
      <c r="RS150" s="5"/>
      <c r="RT150" s="5"/>
      <c r="RU150" s="5"/>
      <c r="RV150" s="5"/>
      <c r="RW150" s="5"/>
      <c r="RX150" s="5"/>
      <c r="RY150" s="5"/>
      <c r="RZ150" s="5"/>
      <c r="SA150" s="5"/>
      <c r="SB150" s="5"/>
      <c r="SC150" s="5"/>
      <c r="SD150" s="5"/>
      <c r="SE150" s="5"/>
      <c r="SF150" s="5"/>
      <c r="SG150" s="5"/>
      <c r="SH150" s="5"/>
      <c r="SI150" s="5"/>
      <c r="SJ150" s="5"/>
      <c r="SK150" s="5"/>
      <c r="SL150" s="5"/>
      <c r="SM150" s="5"/>
      <c r="SN150" s="5"/>
      <c r="SO150" s="5"/>
      <c r="SP150" s="5"/>
      <c r="SQ150" s="5"/>
      <c r="SR150" s="5"/>
      <c r="SS150" s="5"/>
      <c r="ST150" s="5"/>
      <c r="SU150" s="5"/>
      <c r="SV150" s="5"/>
      <c r="SW150" s="5"/>
      <c r="SX150" s="5"/>
      <c r="SY150" s="5"/>
      <c r="SZ150" s="5"/>
      <c r="TA150" s="5"/>
      <c r="TB150" s="5"/>
      <c r="TC150" s="5"/>
      <c r="TD150" s="5"/>
      <c r="TE150" s="5"/>
      <c r="TF150" s="5"/>
      <c r="TG150" s="5"/>
      <c r="TH150" s="5"/>
      <c r="TI150" s="5"/>
      <c r="TJ150" s="5"/>
      <c r="TK150" s="5"/>
      <c r="TL150" s="5"/>
      <c r="TM150" s="5"/>
      <c r="TN150" s="5"/>
      <c r="TO150" s="5"/>
      <c r="TP150" s="5"/>
      <c r="TQ150" s="5"/>
      <c r="TR150" s="5"/>
      <c r="TS150" s="5"/>
      <c r="TT150" s="5"/>
      <c r="TU150" s="5"/>
      <c r="TV150" s="5"/>
      <c r="TW150" s="5"/>
      <c r="TX150" s="5"/>
      <c r="TY150" s="5"/>
      <c r="TZ150" s="5"/>
      <c r="UA150" s="5"/>
      <c r="UB150" s="5"/>
      <c r="UC150" s="5"/>
      <c r="UD150" s="5"/>
      <c r="UE150" s="5"/>
      <c r="UF150" s="5"/>
      <c r="UG150" s="5"/>
      <c r="UH150" s="5"/>
      <c r="UI150" s="5"/>
      <c r="UJ150" s="5"/>
      <c r="UK150" s="5"/>
      <c r="UL150" s="5"/>
      <c r="UM150" s="5"/>
      <c r="UN150" s="5"/>
      <c r="UO150" s="5"/>
      <c r="UP150" s="5"/>
      <c r="UQ150" s="5"/>
      <c r="UR150" s="5"/>
      <c r="US150" s="5"/>
      <c r="UT150" s="5"/>
      <c r="UU150" s="5"/>
      <c r="UV150" s="5"/>
      <c r="UW150" s="5"/>
      <c r="UX150" s="5"/>
      <c r="UY150" s="5"/>
      <c r="UZ150" s="5"/>
      <c r="VA150" s="5"/>
      <c r="VB150" s="5"/>
      <c r="VC150" s="5"/>
      <c r="VD150" s="5"/>
      <c r="VE150" s="5"/>
      <c r="VF150" s="5"/>
      <c r="VG150" s="5"/>
      <c r="VH150" s="5"/>
      <c r="VI150" s="5"/>
      <c r="VJ150" s="5"/>
      <c r="VK150" s="5"/>
      <c r="VL150" s="5"/>
      <c r="VM150" s="5"/>
      <c r="VN150" s="5"/>
      <c r="VO150" s="5"/>
      <c r="VP150" s="5"/>
      <c r="VQ150" s="5"/>
      <c r="VR150" s="5"/>
      <c r="VS150" s="5"/>
      <c r="VT150" s="5"/>
      <c r="VU150" s="5"/>
      <c r="VV150" s="5"/>
      <c r="VW150" s="5"/>
      <c r="VX150" s="5"/>
      <c r="VY150" s="5"/>
      <c r="VZ150" s="5"/>
      <c r="WA150" s="5"/>
      <c r="WB150" s="5"/>
      <c r="WC150" s="5"/>
      <c r="WD150" s="5"/>
      <c r="WE150" s="5"/>
      <c r="WF150" s="5"/>
      <c r="WG150" s="5"/>
      <c r="WH150" s="5"/>
      <c r="WI150" s="5"/>
      <c r="WJ150" s="5"/>
      <c r="WK150" s="5"/>
      <c r="WL150" s="5"/>
      <c r="WM150" s="5"/>
      <c r="WN150" s="5"/>
      <c r="WO150" s="5"/>
      <c r="WP150" s="5"/>
      <c r="WQ150" s="5"/>
      <c r="WR150" s="5"/>
      <c r="WS150" s="5"/>
      <c r="WT150" s="5"/>
      <c r="WU150" s="5"/>
      <c r="WV150" s="5"/>
      <c r="WW150" s="5"/>
      <c r="WX150" s="5"/>
      <c r="WY150" s="5"/>
      <c r="WZ150" s="5"/>
      <c r="XA150" s="5"/>
      <c r="XB150" s="5"/>
      <c r="XC150" s="5"/>
      <c r="XD150" s="5"/>
      <c r="XE150" s="5"/>
      <c r="XF150" s="5"/>
      <c r="XG150" s="5"/>
      <c r="XH150" s="5"/>
      <c r="XI150" s="5"/>
      <c r="XJ150" s="5"/>
      <c r="XK150" s="5"/>
      <c r="XL150" s="5"/>
      <c r="XM150" s="5"/>
      <c r="XN150" s="5"/>
      <c r="XO150" s="5"/>
      <c r="XP150" s="5"/>
      <c r="XQ150" s="5"/>
      <c r="XR150" s="5"/>
      <c r="XS150" s="5"/>
      <c r="XT150" s="5"/>
      <c r="XU150" s="5"/>
      <c r="XV150" s="5"/>
      <c r="XW150" s="5"/>
      <c r="XX150" s="5"/>
      <c r="XY150" s="5"/>
      <c r="XZ150" s="5"/>
      <c r="YA150" s="5"/>
      <c r="YB150" s="5"/>
      <c r="YC150" s="5"/>
      <c r="YD150" s="5"/>
      <c r="YE150" s="5"/>
      <c r="YF150" s="5"/>
      <c r="YG150" s="5"/>
      <c r="YH150" s="5"/>
      <c r="YI150" s="5"/>
      <c r="YJ150" s="5"/>
      <c r="YK150" s="5"/>
      <c r="YL150" s="5"/>
      <c r="YM150" s="5"/>
      <c r="YN150" s="5"/>
      <c r="YO150" s="5"/>
      <c r="YP150" s="5"/>
      <c r="YQ150" s="5"/>
      <c r="YR150" s="5"/>
      <c r="YS150" s="5"/>
      <c r="YT150" s="5"/>
      <c r="YU150" s="5"/>
      <c r="YV150" s="5"/>
      <c r="YW150" s="5"/>
      <c r="YX150" s="5"/>
      <c r="YY150" s="5"/>
      <c r="YZ150" s="5"/>
    </row>
    <row r="151" spans="1:676">
      <c r="A151" s="7">
        <v>141</v>
      </c>
      <c r="B151" s="7" t="s">
        <v>352</v>
      </c>
      <c r="C151" s="10" t="s">
        <v>353</v>
      </c>
      <c r="D151" s="7" t="s">
        <v>60</v>
      </c>
      <c r="E151" s="7" t="s">
        <v>175</v>
      </c>
      <c r="F151" s="7" t="s">
        <v>291</v>
      </c>
      <c r="G151" s="7"/>
      <c r="H151" s="7"/>
      <c r="I151" s="11">
        <v>2</v>
      </c>
      <c r="J151" s="11">
        <v>3</v>
      </c>
      <c r="K151" s="11">
        <v>0</v>
      </c>
      <c r="L151" s="11">
        <v>3.7</v>
      </c>
      <c r="M151" s="11">
        <v>0</v>
      </c>
      <c r="N151" s="11">
        <v>0</v>
      </c>
      <c r="O151" s="11">
        <v>0.76</v>
      </c>
      <c r="P151" s="11">
        <v>0</v>
      </c>
      <c r="Q151" s="11">
        <v>4.46</v>
      </c>
      <c r="R151" s="11">
        <v>54.80999999999999</v>
      </c>
      <c r="S151" s="11">
        <v>59.26999999999999</v>
      </c>
      <c r="T151" s="11">
        <v>2</v>
      </c>
      <c r="U151" s="11">
        <v>3</v>
      </c>
      <c r="V151" s="11">
        <v>54.26999999999999</v>
      </c>
      <c r="W151" s="13">
        <v>24</v>
      </c>
      <c r="X151" s="13">
        <v>36</v>
      </c>
      <c r="Y151" s="13" t="str">
        <f>MIN(W151,S151)</f>
        <v>0</v>
      </c>
      <c r="Z151" s="13" t="str">
        <f>MIN(X151,(S151-Y151))</f>
        <v>0</v>
      </c>
      <c r="AA151" s="13" t="str">
        <f>S151-SUM(Y151,Z151)</f>
        <v>0</v>
      </c>
      <c r="AB151" s="15"/>
      <c r="AC151" s="15"/>
      <c r="AD151" s="1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  <c r="CY151" s="5"/>
      <c r="CZ151" s="5"/>
      <c r="DA151" s="5"/>
      <c r="DB151" s="5"/>
      <c r="DC151" s="5"/>
      <c r="DD151" s="5"/>
      <c r="DE151" s="5"/>
      <c r="DF151" s="5"/>
      <c r="DG151" s="5"/>
      <c r="DH151" s="5"/>
      <c r="DI151" s="5"/>
      <c r="DJ151" s="5"/>
      <c r="DK151" s="5"/>
      <c r="DL151" s="5"/>
      <c r="DM151" s="5"/>
      <c r="DN151" s="5"/>
      <c r="DO151" s="5"/>
      <c r="DP151" s="5"/>
      <c r="DQ151" s="5"/>
      <c r="DR151" s="5"/>
      <c r="DS151" s="5"/>
      <c r="DT151" s="5"/>
      <c r="DU151" s="5"/>
      <c r="DV151" s="5"/>
      <c r="DW151" s="5"/>
      <c r="DX151" s="5"/>
      <c r="DY151" s="5"/>
      <c r="DZ151" s="5"/>
      <c r="EA151" s="5"/>
      <c r="EB151" s="5"/>
      <c r="EC151" s="5"/>
      <c r="ED151" s="5"/>
      <c r="EE151" s="5"/>
      <c r="EF151" s="5"/>
      <c r="EG151" s="5"/>
      <c r="EH151" s="5"/>
      <c r="EI151" s="5"/>
      <c r="EJ151" s="5"/>
      <c r="EK151" s="5"/>
      <c r="EL151" s="5"/>
      <c r="EM151" s="5"/>
      <c r="EN151" s="5"/>
      <c r="EO151" s="5"/>
      <c r="EP151" s="5"/>
      <c r="EQ151" s="5"/>
      <c r="ER151" s="5"/>
      <c r="ES151" s="5"/>
      <c r="ET151" s="5"/>
      <c r="EU151" s="5"/>
      <c r="EV151" s="5"/>
      <c r="EW151" s="5"/>
      <c r="EX151" s="5"/>
      <c r="EY151" s="5"/>
      <c r="EZ151" s="5"/>
      <c r="FA151" s="5"/>
      <c r="FB151" s="5"/>
      <c r="FC151" s="5"/>
      <c r="FD151" s="5"/>
      <c r="FE151" s="5"/>
      <c r="FF151" s="5"/>
      <c r="FG151" s="5"/>
      <c r="FH151" s="5"/>
      <c r="FI151" s="5"/>
      <c r="FJ151" s="5"/>
      <c r="FK151" s="5"/>
      <c r="FL151" s="5"/>
      <c r="FM151" s="5"/>
      <c r="FN151" s="5"/>
      <c r="FO151" s="5"/>
      <c r="FP151" s="5"/>
      <c r="FQ151" s="5"/>
      <c r="FR151" s="5"/>
      <c r="FS151" s="5"/>
      <c r="FT151" s="5"/>
      <c r="FU151" s="5"/>
      <c r="FV151" s="5"/>
      <c r="FW151" s="5"/>
      <c r="FX151" s="5"/>
      <c r="FY151" s="5"/>
      <c r="FZ151" s="5"/>
      <c r="GA151" s="5"/>
      <c r="GB151" s="5"/>
      <c r="GC151" s="5"/>
      <c r="GD151" s="5"/>
      <c r="GE151" s="5"/>
      <c r="GF151" s="5"/>
      <c r="GG151" s="5"/>
      <c r="GH151" s="5"/>
      <c r="GI151" s="5"/>
      <c r="GJ151" s="5"/>
      <c r="GK151" s="5"/>
      <c r="GL151" s="5"/>
      <c r="GM151" s="5"/>
      <c r="GN151" s="5"/>
      <c r="GO151" s="5"/>
      <c r="GP151" s="5"/>
      <c r="GQ151" s="5"/>
      <c r="GR151" s="5"/>
      <c r="GS151" s="5"/>
      <c r="GT151" s="5"/>
      <c r="GU151" s="5"/>
      <c r="GV151" s="5"/>
      <c r="GW151" s="5"/>
      <c r="GX151" s="5"/>
      <c r="GY151" s="5"/>
      <c r="GZ151" s="5"/>
      <c r="HA151" s="5"/>
      <c r="HB151" s="5"/>
      <c r="HC151" s="5"/>
      <c r="HD151" s="5"/>
      <c r="HE151" s="5"/>
      <c r="HF151" s="5"/>
      <c r="HG151" s="5"/>
      <c r="HH151" s="5"/>
      <c r="HI151" s="5"/>
      <c r="HJ151" s="5"/>
      <c r="HK151" s="5"/>
      <c r="HL151" s="5"/>
      <c r="HM151" s="5"/>
      <c r="HN151" s="5"/>
      <c r="HO151" s="5"/>
      <c r="HP151" s="5"/>
      <c r="HQ151" s="5"/>
      <c r="HR151" s="5"/>
      <c r="HS151" s="5"/>
      <c r="HT151" s="5"/>
      <c r="HU151" s="5"/>
      <c r="HV151" s="5"/>
      <c r="HW151" s="5"/>
      <c r="HX151" s="5"/>
      <c r="HY151" s="5"/>
      <c r="HZ151" s="5"/>
      <c r="IA151" s="5"/>
      <c r="IB151" s="5"/>
      <c r="IC151" s="5"/>
      <c r="ID151" s="5"/>
      <c r="IE151" s="5"/>
      <c r="IF151" s="5"/>
      <c r="IG151" s="5"/>
      <c r="IH151" s="5"/>
      <c r="II151" s="5"/>
      <c r="IJ151" s="5"/>
      <c r="IK151" s="5"/>
      <c r="IL151" s="5"/>
      <c r="IM151" s="5"/>
      <c r="IN151" s="5"/>
      <c r="IO151" s="5"/>
      <c r="IP151" s="5"/>
      <c r="IQ151" s="5"/>
      <c r="IR151" s="5"/>
      <c r="IS151" s="5"/>
      <c r="IT151" s="5"/>
      <c r="IU151" s="5"/>
      <c r="IV151" s="5"/>
      <c r="IW151" s="5"/>
      <c r="IX151" s="5"/>
      <c r="IY151" s="5"/>
      <c r="IZ151" s="5"/>
      <c r="JA151" s="5"/>
      <c r="JB151" s="5"/>
      <c r="JC151" s="5"/>
      <c r="JD151" s="5"/>
      <c r="JE151" s="5"/>
      <c r="JF151" s="5"/>
      <c r="JG151" s="5"/>
      <c r="JH151" s="5"/>
      <c r="JI151" s="5"/>
      <c r="JJ151" s="5"/>
      <c r="JK151" s="5"/>
      <c r="JL151" s="5"/>
      <c r="JM151" s="5"/>
      <c r="JN151" s="5"/>
      <c r="JO151" s="5"/>
      <c r="JP151" s="5"/>
      <c r="JQ151" s="5"/>
      <c r="JR151" s="5"/>
      <c r="JS151" s="5"/>
      <c r="JT151" s="5"/>
      <c r="JU151" s="5"/>
      <c r="JV151" s="5"/>
      <c r="JW151" s="5"/>
      <c r="JX151" s="5"/>
      <c r="JY151" s="5"/>
      <c r="JZ151" s="5"/>
      <c r="KA151" s="5"/>
      <c r="KB151" s="5"/>
      <c r="KC151" s="5"/>
      <c r="KD151" s="5"/>
      <c r="KE151" s="5"/>
      <c r="KF151" s="5"/>
      <c r="KG151" s="5"/>
      <c r="KH151" s="5"/>
      <c r="KI151" s="5"/>
      <c r="KJ151" s="5"/>
      <c r="KK151" s="5"/>
      <c r="KL151" s="5"/>
      <c r="KM151" s="5"/>
      <c r="KN151" s="5"/>
      <c r="KO151" s="5"/>
      <c r="KP151" s="5"/>
      <c r="KQ151" s="5"/>
      <c r="KR151" s="5"/>
      <c r="KS151" s="5"/>
      <c r="KT151" s="5"/>
      <c r="KU151" s="5"/>
      <c r="KV151" s="5"/>
      <c r="KW151" s="5"/>
      <c r="KX151" s="5"/>
      <c r="KY151" s="5"/>
      <c r="KZ151" s="5"/>
      <c r="LA151" s="5"/>
      <c r="LB151" s="5"/>
      <c r="LC151" s="5"/>
      <c r="LD151" s="5"/>
      <c r="LE151" s="5"/>
      <c r="LF151" s="5"/>
      <c r="LG151" s="5"/>
      <c r="LH151" s="5"/>
      <c r="LI151" s="5"/>
      <c r="LJ151" s="5"/>
      <c r="LK151" s="5"/>
      <c r="LL151" s="5"/>
      <c r="LM151" s="5"/>
      <c r="LN151" s="5"/>
      <c r="LO151" s="5"/>
      <c r="LP151" s="5"/>
      <c r="LQ151" s="5"/>
      <c r="LR151" s="5"/>
      <c r="LS151" s="5"/>
      <c r="LT151" s="5"/>
      <c r="LU151" s="5"/>
      <c r="LV151" s="5"/>
      <c r="LW151" s="5"/>
      <c r="LX151" s="5"/>
      <c r="LY151" s="5"/>
      <c r="LZ151" s="5"/>
      <c r="MA151" s="5"/>
      <c r="MB151" s="5"/>
      <c r="MC151" s="5"/>
      <c r="MD151" s="5"/>
      <c r="ME151" s="5"/>
      <c r="MF151" s="5"/>
      <c r="MG151" s="5"/>
      <c r="MH151" s="5"/>
      <c r="MI151" s="5"/>
      <c r="MJ151" s="5"/>
      <c r="MK151" s="5"/>
      <c r="ML151" s="5"/>
      <c r="MM151" s="5"/>
      <c r="MN151" s="5"/>
      <c r="MO151" s="5"/>
      <c r="MP151" s="5"/>
      <c r="MQ151" s="5"/>
      <c r="MR151" s="5"/>
      <c r="MS151" s="5"/>
      <c r="MT151" s="5"/>
      <c r="MU151" s="5"/>
      <c r="MV151" s="5"/>
      <c r="MW151" s="5"/>
      <c r="MX151" s="5"/>
      <c r="MY151" s="5"/>
      <c r="MZ151" s="5"/>
      <c r="NA151" s="5"/>
      <c r="NB151" s="5"/>
      <c r="NC151" s="5"/>
      <c r="ND151" s="5"/>
      <c r="NE151" s="5"/>
      <c r="NF151" s="5"/>
      <c r="NG151" s="5"/>
      <c r="NH151" s="5"/>
      <c r="NI151" s="5"/>
      <c r="NJ151" s="5"/>
      <c r="NK151" s="5"/>
      <c r="NL151" s="5"/>
      <c r="NM151" s="5"/>
      <c r="NN151" s="5"/>
      <c r="NO151" s="5"/>
      <c r="NP151" s="5"/>
      <c r="NQ151" s="5"/>
      <c r="NR151" s="5"/>
      <c r="NS151" s="5"/>
      <c r="NT151" s="5"/>
      <c r="NU151" s="5"/>
      <c r="NV151" s="5"/>
      <c r="NW151" s="5"/>
      <c r="NX151" s="5"/>
      <c r="NY151" s="5"/>
      <c r="NZ151" s="5"/>
      <c r="OA151" s="5"/>
      <c r="OB151" s="5"/>
      <c r="OC151" s="5"/>
      <c r="OD151" s="5"/>
      <c r="OE151" s="5"/>
      <c r="OF151" s="5"/>
      <c r="OG151" s="5"/>
      <c r="OH151" s="5"/>
      <c r="OI151" s="5"/>
      <c r="OJ151" s="5"/>
      <c r="OK151" s="5"/>
      <c r="OL151" s="5"/>
      <c r="OM151" s="5"/>
      <c r="ON151" s="5"/>
      <c r="OO151" s="5"/>
      <c r="OP151" s="5"/>
      <c r="OQ151" s="5"/>
      <c r="OR151" s="5"/>
      <c r="OS151" s="5"/>
      <c r="OT151" s="5"/>
      <c r="OU151" s="5"/>
      <c r="OV151" s="5"/>
      <c r="OW151" s="5"/>
      <c r="OX151" s="5"/>
      <c r="OY151" s="5"/>
      <c r="OZ151" s="5"/>
      <c r="PA151" s="5"/>
      <c r="PB151" s="5"/>
      <c r="PC151" s="5"/>
      <c r="PD151" s="5"/>
      <c r="PE151" s="5"/>
      <c r="PF151" s="5"/>
      <c r="PG151" s="5"/>
      <c r="PH151" s="5"/>
      <c r="PI151" s="5"/>
      <c r="PJ151" s="5"/>
      <c r="PK151" s="5"/>
      <c r="PL151" s="5"/>
      <c r="PM151" s="5"/>
      <c r="PN151" s="5"/>
      <c r="PO151" s="5"/>
      <c r="PP151" s="5"/>
      <c r="PQ151" s="5"/>
      <c r="PR151" s="5"/>
      <c r="PS151" s="5"/>
      <c r="PT151" s="5"/>
      <c r="PU151" s="5"/>
      <c r="PV151" s="5"/>
      <c r="PW151" s="5"/>
      <c r="PX151" s="5"/>
      <c r="PY151" s="5"/>
      <c r="PZ151" s="5"/>
      <c r="QA151" s="5"/>
      <c r="QB151" s="5"/>
      <c r="QC151" s="5"/>
      <c r="QD151" s="5"/>
      <c r="QE151" s="5"/>
      <c r="QF151" s="5"/>
      <c r="QG151" s="5"/>
      <c r="QH151" s="5"/>
      <c r="QI151" s="5"/>
      <c r="QJ151" s="5"/>
      <c r="QK151" s="5"/>
      <c r="QL151" s="5"/>
      <c r="QM151" s="5"/>
      <c r="QN151" s="5"/>
      <c r="QO151" s="5"/>
      <c r="QP151" s="5"/>
      <c r="QQ151" s="5"/>
      <c r="QR151" s="5"/>
      <c r="QS151" s="5"/>
      <c r="QT151" s="5"/>
      <c r="QU151" s="5"/>
      <c r="QV151" s="5"/>
      <c r="QW151" s="5"/>
      <c r="QX151" s="5"/>
      <c r="QY151" s="5"/>
      <c r="QZ151" s="5"/>
      <c r="RA151" s="5"/>
      <c r="RB151" s="5"/>
      <c r="RC151" s="5"/>
      <c r="RD151" s="5"/>
      <c r="RE151" s="5"/>
      <c r="RF151" s="5"/>
      <c r="RG151" s="5"/>
      <c r="RH151" s="5"/>
      <c r="RI151" s="5"/>
      <c r="RJ151" s="5"/>
      <c r="RK151" s="5"/>
      <c r="RL151" s="5"/>
      <c r="RM151" s="5"/>
      <c r="RN151" s="5"/>
      <c r="RO151" s="5"/>
      <c r="RP151" s="5"/>
      <c r="RQ151" s="5"/>
      <c r="RR151" s="5"/>
      <c r="RS151" s="5"/>
      <c r="RT151" s="5"/>
      <c r="RU151" s="5"/>
      <c r="RV151" s="5"/>
      <c r="RW151" s="5"/>
      <c r="RX151" s="5"/>
      <c r="RY151" s="5"/>
      <c r="RZ151" s="5"/>
      <c r="SA151" s="5"/>
      <c r="SB151" s="5"/>
      <c r="SC151" s="5"/>
      <c r="SD151" s="5"/>
      <c r="SE151" s="5"/>
      <c r="SF151" s="5"/>
      <c r="SG151" s="5"/>
      <c r="SH151" s="5"/>
      <c r="SI151" s="5"/>
      <c r="SJ151" s="5"/>
      <c r="SK151" s="5"/>
      <c r="SL151" s="5"/>
      <c r="SM151" s="5"/>
      <c r="SN151" s="5"/>
      <c r="SO151" s="5"/>
      <c r="SP151" s="5"/>
      <c r="SQ151" s="5"/>
      <c r="SR151" s="5"/>
      <c r="SS151" s="5"/>
      <c r="ST151" s="5"/>
      <c r="SU151" s="5"/>
      <c r="SV151" s="5"/>
      <c r="SW151" s="5"/>
      <c r="SX151" s="5"/>
      <c r="SY151" s="5"/>
      <c r="SZ151" s="5"/>
      <c r="TA151" s="5"/>
      <c r="TB151" s="5"/>
      <c r="TC151" s="5"/>
      <c r="TD151" s="5"/>
      <c r="TE151" s="5"/>
      <c r="TF151" s="5"/>
      <c r="TG151" s="5"/>
      <c r="TH151" s="5"/>
      <c r="TI151" s="5"/>
      <c r="TJ151" s="5"/>
      <c r="TK151" s="5"/>
      <c r="TL151" s="5"/>
      <c r="TM151" s="5"/>
      <c r="TN151" s="5"/>
      <c r="TO151" s="5"/>
      <c r="TP151" s="5"/>
      <c r="TQ151" s="5"/>
      <c r="TR151" s="5"/>
      <c r="TS151" s="5"/>
      <c r="TT151" s="5"/>
      <c r="TU151" s="5"/>
      <c r="TV151" s="5"/>
      <c r="TW151" s="5"/>
      <c r="TX151" s="5"/>
      <c r="TY151" s="5"/>
      <c r="TZ151" s="5"/>
      <c r="UA151" s="5"/>
      <c r="UB151" s="5"/>
      <c r="UC151" s="5"/>
      <c r="UD151" s="5"/>
      <c r="UE151" s="5"/>
      <c r="UF151" s="5"/>
      <c r="UG151" s="5"/>
      <c r="UH151" s="5"/>
      <c r="UI151" s="5"/>
      <c r="UJ151" s="5"/>
      <c r="UK151" s="5"/>
      <c r="UL151" s="5"/>
      <c r="UM151" s="5"/>
      <c r="UN151" s="5"/>
      <c r="UO151" s="5"/>
      <c r="UP151" s="5"/>
      <c r="UQ151" s="5"/>
      <c r="UR151" s="5"/>
      <c r="US151" s="5"/>
      <c r="UT151" s="5"/>
      <c r="UU151" s="5"/>
      <c r="UV151" s="5"/>
      <c r="UW151" s="5"/>
      <c r="UX151" s="5"/>
      <c r="UY151" s="5"/>
      <c r="UZ151" s="5"/>
      <c r="VA151" s="5"/>
      <c r="VB151" s="5"/>
      <c r="VC151" s="5"/>
      <c r="VD151" s="5"/>
      <c r="VE151" s="5"/>
      <c r="VF151" s="5"/>
      <c r="VG151" s="5"/>
      <c r="VH151" s="5"/>
      <c r="VI151" s="5"/>
      <c r="VJ151" s="5"/>
      <c r="VK151" s="5"/>
      <c r="VL151" s="5"/>
      <c r="VM151" s="5"/>
      <c r="VN151" s="5"/>
      <c r="VO151" s="5"/>
      <c r="VP151" s="5"/>
      <c r="VQ151" s="5"/>
      <c r="VR151" s="5"/>
      <c r="VS151" s="5"/>
      <c r="VT151" s="5"/>
      <c r="VU151" s="5"/>
      <c r="VV151" s="5"/>
      <c r="VW151" s="5"/>
      <c r="VX151" s="5"/>
      <c r="VY151" s="5"/>
      <c r="VZ151" s="5"/>
      <c r="WA151" s="5"/>
      <c r="WB151" s="5"/>
      <c r="WC151" s="5"/>
      <c r="WD151" s="5"/>
      <c r="WE151" s="5"/>
      <c r="WF151" s="5"/>
      <c r="WG151" s="5"/>
      <c r="WH151" s="5"/>
      <c r="WI151" s="5"/>
      <c r="WJ151" s="5"/>
      <c r="WK151" s="5"/>
      <c r="WL151" s="5"/>
      <c r="WM151" s="5"/>
      <c r="WN151" s="5"/>
      <c r="WO151" s="5"/>
      <c r="WP151" s="5"/>
      <c r="WQ151" s="5"/>
      <c r="WR151" s="5"/>
      <c r="WS151" s="5"/>
      <c r="WT151" s="5"/>
      <c r="WU151" s="5"/>
      <c r="WV151" s="5"/>
      <c r="WW151" s="5"/>
      <c r="WX151" s="5"/>
      <c r="WY151" s="5"/>
      <c r="WZ151" s="5"/>
      <c r="XA151" s="5"/>
      <c r="XB151" s="5"/>
      <c r="XC151" s="5"/>
      <c r="XD151" s="5"/>
      <c r="XE151" s="5"/>
      <c r="XF151" s="5"/>
      <c r="XG151" s="5"/>
      <c r="XH151" s="5"/>
      <c r="XI151" s="5"/>
      <c r="XJ151" s="5"/>
      <c r="XK151" s="5"/>
      <c r="XL151" s="5"/>
      <c r="XM151" s="5"/>
      <c r="XN151" s="5"/>
      <c r="XO151" s="5"/>
      <c r="XP151" s="5"/>
      <c r="XQ151" s="5"/>
      <c r="XR151" s="5"/>
      <c r="XS151" s="5"/>
      <c r="XT151" s="5"/>
      <c r="XU151" s="5"/>
      <c r="XV151" s="5"/>
      <c r="XW151" s="5"/>
      <c r="XX151" s="5"/>
      <c r="XY151" s="5"/>
      <c r="XZ151" s="5"/>
      <c r="YA151" s="5"/>
      <c r="YB151" s="5"/>
      <c r="YC151" s="5"/>
      <c r="YD151" s="5"/>
      <c r="YE151" s="5"/>
      <c r="YF151" s="5"/>
      <c r="YG151" s="5"/>
      <c r="YH151" s="5"/>
      <c r="YI151" s="5"/>
      <c r="YJ151" s="5"/>
      <c r="YK151" s="5"/>
      <c r="YL151" s="5"/>
      <c r="YM151" s="5"/>
      <c r="YN151" s="5"/>
      <c r="YO151" s="5"/>
      <c r="YP151" s="5"/>
      <c r="YQ151" s="5"/>
      <c r="YR151" s="5"/>
      <c r="YS151" s="5"/>
      <c r="YT151" s="5"/>
      <c r="YU151" s="5"/>
      <c r="YV151" s="5"/>
      <c r="YW151" s="5"/>
      <c r="YX151" s="5"/>
      <c r="YY151" s="5"/>
      <c r="YZ151" s="5"/>
    </row>
    <row r="152" spans="1:676">
      <c r="A152" s="7">
        <v>142</v>
      </c>
      <c r="B152" s="7" t="s">
        <v>354</v>
      </c>
      <c r="C152" s="10" t="s">
        <v>355</v>
      </c>
      <c r="D152" s="7" t="s">
        <v>60</v>
      </c>
      <c r="E152" s="7" t="s">
        <v>175</v>
      </c>
      <c r="F152" s="7" t="s">
        <v>286</v>
      </c>
      <c r="G152" s="7"/>
      <c r="H152" s="7"/>
      <c r="I152" s="11">
        <v>2</v>
      </c>
      <c r="J152" s="11">
        <v>3</v>
      </c>
      <c r="K152" s="11">
        <v>0</v>
      </c>
      <c r="L152" s="11">
        <v>5.080000000000001</v>
      </c>
      <c r="M152" s="11">
        <v>0</v>
      </c>
      <c r="N152" s="11">
        <v>0</v>
      </c>
      <c r="O152" s="11">
        <v>1.15</v>
      </c>
      <c r="P152" s="11">
        <v>0</v>
      </c>
      <c r="Q152" s="11">
        <v>6.230000000000001</v>
      </c>
      <c r="R152" s="11">
        <v>56.20999999999999</v>
      </c>
      <c r="S152" s="11">
        <v>62.43999999999999</v>
      </c>
      <c r="T152" s="11">
        <v>2</v>
      </c>
      <c r="U152" s="11">
        <v>3</v>
      </c>
      <c r="V152" s="11">
        <v>57.43999999999999</v>
      </c>
      <c r="W152" s="13">
        <v>24</v>
      </c>
      <c r="X152" s="13">
        <v>36</v>
      </c>
      <c r="Y152" s="13" t="str">
        <f>MIN(W152,S152)</f>
        <v>0</v>
      </c>
      <c r="Z152" s="13" t="str">
        <f>MIN(X152,(S152-Y152))</f>
        <v>0</v>
      </c>
      <c r="AA152" s="13" t="str">
        <f>S152-SUM(Y152,Z152)</f>
        <v>0</v>
      </c>
      <c r="AB152" s="15"/>
      <c r="AC152" s="15"/>
      <c r="AD152" s="1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  <c r="CY152" s="5"/>
      <c r="CZ152" s="5"/>
      <c r="DA152" s="5"/>
      <c r="DB152" s="5"/>
      <c r="DC152" s="5"/>
      <c r="DD152" s="5"/>
      <c r="DE152" s="5"/>
      <c r="DF152" s="5"/>
      <c r="DG152" s="5"/>
      <c r="DH152" s="5"/>
      <c r="DI152" s="5"/>
      <c r="DJ152" s="5"/>
      <c r="DK152" s="5"/>
      <c r="DL152" s="5"/>
      <c r="DM152" s="5"/>
      <c r="DN152" s="5"/>
      <c r="DO152" s="5"/>
      <c r="DP152" s="5"/>
      <c r="DQ152" s="5"/>
      <c r="DR152" s="5"/>
      <c r="DS152" s="5"/>
      <c r="DT152" s="5"/>
      <c r="DU152" s="5"/>
      <c r="DV152" s="5"/>
      <c r="DW152" s="5"/>
      <c r="DX152" s="5"/>
      <c r="DY152" s="5"/>
      <c r="DZ152" s="5"/>
      <c r="EA152" s="5"/>
      <c r="EB152" s="5"/>
      <c r="EC152" s="5"/>
      <c r="ED152" s="5"/>
      <c r="EE152" s="5"/>
      <c r="EF152" s="5"/>
      <c r="EG152" s="5"/>
      <c r="EH152" s="5"/>
      <c r="EI152" s="5"/>
      <c r="EJ152" s="5"/>
      <c r="EK152" s="5"/>
      <c r="EL152" s="5"/>
      <c r="EM152" s="5"/>
      <c r="EN152" s="5"/>
      <c r="EO152" s="5"/>
      <c r="EP152" s="5"/>
      <c r="EQ152" s="5"/>
      <c r="ER152" s="5"/>
      <c r="ES152" s="5"/>
      <c r="ET152" s="5"/>
      <c r="EU152" s="5"/>
      <c r="EV152" s="5"/>
      <c r="EW152" s="5"/>
      <c r="EX152" s="5"/>
      <c r="EY152" s="5"/>
      <c r="EZ152" s="5"/>
      <c r="FA152" s="5"/>
      <c r="FB152" s="5"/>
      <c r="FC152" s="5"/>
      <c r="FD152" s="5"/>
      <c r="FE152" s="5"/>
      <c r="FF152" s="5"/>
      <c r="FG152" s="5"/>
      <c r="FH152" s="5"/>
      <c r="FI152" s="5"/>
      <c r="FJ152" s="5"/>
      <c r="FK152" s="5"/>
      <c r="FL152" s="5"/>
      <c r="FM152" s="5"/>
      <c r="FN152" s="5"/>
      <c r="FO152" s="5"/>
      <c r="FP152" s="5"/>
      <c r="FQ152" s="5"/>
      <c r="FR152" s="5"/>
      <c r="FS152" s="5"/>
      <c r="FT152" s="5"/>
      <c r="FU152" s="5"/>
      <c r="FV152" s="5"/>
      <c r="FW152" s="5"/>
      <c r="FX152" s="5"/>
      <c r="FY152" s="5"/>
      <c r="FZ152" s="5"/>
      <c r="GA152" s="5"/>
      <c r="GB152" s="5"/>
      <c r="GC152" s="5"/>
      <c r="GD152" s="5"/>
      <c r="GE152" s="5"/>
      <c r="GF152" s="5"/>
      <c r="GG152" s="5"/>
      <c r="GH152" s="5"/>
      <c r="GI152" s="5"/>
      <c r="GJ152" s="5"/>
      <c r="GK152" s="5"/>
      <c r="GL152" s="5"/>
      <c r="GM152" s="5"/>
      <c r="GN152" s="5"/>
      <c r="GO152" s="5"/>
      <c r="GP152" s="5"/>
      <c r="GQ152" s="5"/>
      <c r="GR152" s="5"/>
      <c r="GS152" s="5"/>
      <c r="GT152" s="5"/>
      <c r="GU152" s="5"/>
      <c r="GV152" s="5"/>
      <c r="GW152" s="5"/>
      <c r="GX152" s="5"/>
      <c r="GY152" s="5"/>
      <c r="GZ152" s="5"/>
      <c r="HA152" s="5"/>
      <c r="HB152" s="5"/>
      <c r="HC152" s="5"/>
      <c r="HD152" s="5"/>
      <c r="HE152" s="5"/>
      <c r="HF152" s="5"/>
      <c r="HG152" s="5"/>
      <c r="HH152" s="5"/>
      <c r="HI152" s="5"/>
      <c r="HJ152" s="5"/>
      <c r="HK152" s="5"/>
      <c r="HL152" s="5"/>
      <c r="HM152" s="5"/>
      <c r="HN152" s="5"/>
      <c r="HO152" s="5"/>
      <c r="HP152" s="5"/>
      <c r="HQ152" s="5"/>
      <c r="HR152" s="5"/>
      <c r="HS152" s="5"/>
      <c r="HT152" s="5"/>
      <c r="HU152" s="5"/>
      <c r="HV152" s="5"/>
      <c r="HW152" s="5"/>
      <c r="HX152" s="5"/>
      <c r="HY152" s="5"/>
      <c r="HZ152" s="5"/>
      <c r="IA152" s="5"/>
      <c r="IB152" s="5"/>
      <c r="IC152" s="5"/>
      <c r="ID152" s="5"/>
      <c r="IE152" s="5"/>
      <c r="IF152" s="5"/>
      <c r="IG152" s="5"/>
      <c r="IH152" s="5"/>
      <c r="II152" s="5"/>
      <c r="IJ152" s="5"/>
      <c r="IK152" s="5"/>
      <c r="IL152" s="5"/>
      <c r="IM152" s="5"/>
      <c r="IN152" s="5"/>
      <c r="IO152" s="5"/>
      <c r="IP152" s="5"/>
      <c r="IQ152" s="5"/>
      <c r="IR152" s="5"/>
      <c r="IS152" s="5"/>
      <c r="IT152" s="5"/>
      <c r="IU152" s="5"/>
      <c r="IV152" s="5"/>
      <c r="IW152" s="5"/>
      <c r="IX152" s="5"/>
      <c r="IY152" s="5"/>
      <c r="IZ152" s="5"/>
      <c r="JA152" s="5"/>
      <c r="JB152" s="5"/>
      <c r="JC152" s="5"/>
      <c r="JD152" s="5"/>
      <c r="JE152" s="5"/>
      <c r="JF152" s="5"/>
      <c r="JG152" s="5"/>
      <c r="JH152" s="5"/>
      <c r="JI152" s="5"/>
      <c r="JJ152" s="5"/>
      <c r="JK152" s="5"/>
      <c r="JL152" s="5"/>
      <c r="JM152" s="5"/>
      <c r="JN152" s="5"/>
      <c r="JO152" s="5"/>
      <c r="JP152" s="5"/>
      <c r="JQ152" s="5"/>
      <c r="JR152" s="5"/>
      <c r="JS152" s="5"/>
      <c r="JT152" s="5"/>
      <c r="JU152" s="5"/>
      <c r="JV152" s="5"/>
      <c r="JW152" s="5"/>
      <c r="JX152" s="5"/>
      <c r="JY152" s="5"/>
      <c r="JZ152" s="5"/>
      <c r="KA152" s="5"/>
      <c r="KB152" s="5"/>
      <c r="KC152" s="5"/>
      <c r="KD152" s="5"/>
      <c r="KE152" s="5"/>
      <c r="KF152" s="5"/>
      <c r="KG152" s="5"/>
      <c r="KH152" s="5"/>
      <c r="KI152" s="5"/>
      <c r="KJ152" s="5"/>
      <c r="KK152" s="5"/>
      <c r="KL152" s="5"/>
      <c r="KM152" s="5"/>
      <c r="KN152" s="5"/>
      <c r="KO152" s="5"/>
      <c r="KP152" s="5"/>
      <c r="KQ152" s="5"/>
      <c r="KR152" s="5"/>
      <c r="KS152" s="5"/>
      <c r="KT152" s="5"/>
      <c r="KU152" s="5"/>
      <c r="KV152" s="5"/>
      <c r="KW152" s="5"/>
      <c r="KX152" s="5"/>
      <c r="KY152" s="5"/>
      <c r="KZ152" s="5"/>
      <c r="LA152" s="5"/>
      <c r="LB152" s="5"/>
      <c r="LC152" s="5"/>
      <c r="LD152" s="5"/>
      <c r="LE152" s="5"/>
      <c r="LF152" s="5"/>
      <c r="LG152" s="5"/>
      <c r="LH152" s="5"/>
      <c r="LI152" s="5"/>
      <c r="LJ152" s="5"/>
      <c r="LK152" s="5"/>
      <c r="LL152" s="5"/>
      <c r="LM152" s="5"/>
      <c r="LN152" s="5"/>
      <c r="LO152" s="5"/>
      <c r="LP152" s="5"/>
      <c r="LQ152" s="5"/>
      <c r="LR152" s="5"/>
      <c r="LS152" s="5"/>
      <c r="LT152" s="5"/>
      <c r="LU152" s="5"/>
      <c r="LV152" s="5"/>
      <c r="LW152" s="5"/>
      <c r="LX152" s="5"/>
      <c r="LY152" s="5"/>
      <c r="LZ152" s="5"/>
      <c r="MA152" s="5"/>
      <c r="MB152" s="5"/>
      <c r="MC152" s="5"/>
      <c r="MD152" s="5"/>
      <c r="ME152" s="5"/>
      <c r="MF152" s="5"/>
      <c r="MG152" s="5"/>
      <c r="MH152" s="5"/>
      <c r="MI152" s="5"/>
      <c r="MJ152" s="5"/>
      <c r="MK152" s="5"/>
      <c r="ML152" s="5"/>
      <c r="MM152" s="5"/>
      <c r="MN152" s="5"/>
      <c r="MO152" s="5"/>
      <c r="MP152" s="5"/>
      <c r="MQ152" s="5"/>
      <c r="MR152" s="5"/>
      <c r="MS152" s="5"/>
      <c r="MT152" s="5"/>
      <c r="MU152" s="5"/>
      <c r="MV152" s="5"/>
      <c r="MW152" s="5"/>
      <c r="MX152" s="5"/>
      <c r="MY152" s="5"/>
      <c r="MZ152" s="5"/>
      <c r="NA152" s="5"/>
      <c r="NB152" s="5"/>
      <c r="NC152" s="5"/>
      <c r="ND152" s="5"/>
      <c r="NE152" s="5"/>
      <c r="NF152" s="5"/>
      <c r="NG152" s="5"/>
      <c r="NH152" s="5"/>
      <c r="NI152" s="5"/>
      <c r="NJ152" s="5"/>
      <c r="NK152" s="5"/>
      <c r="NL152" s="5"/>
      <c r="NM152" s="5"/>
      <c r="NN152" s="5"/>
      <c r="NO152" s="5"/>
      <c r="NP152" s="5"/>
      <c r="NQ152" s="5"/>
      <c r="NR152" s="5"/>
      <c r="NS152" s="5"/>
      <c r="NT152" s="5"/>
      <c r="NU152" s="5"/>
      <c r="NV152" s="5"/>
      <c r="NW152" s="5"/>
      <c r="NX152" s="5"/>
      <c r="NY152" s="5"/>
      <c r="NZ152" s="5"/>
      <c r="OA152" s="5"/>
      <c r="OB152" s="5"/>
      <c r="OC152" s="5"/>
      <c r="OD152" s="5"/>
      <c r="OE152" s="5"/>
      <c r="OF152" s="5"/>
      <c r="OG152" s="5"/>
      <c r="OH152" s="5"/>
      <c r="OI152" s="5"/>
      <c r="OJ152" s="5"/>
      <c r="OK152" s="5"/>
      <c r="OL152" s="5"/>
      <c r="OM152" s="5"/>
      <c r="ON152" s="5"/>
      <c r="OO152" s="5"/>
      <c r="OP152" s="5"/>
      <c r="OQ152" s="5"/>
      <c r="OR152" s="5"/>
      <c r="OS152" s="5"/>
      <c r="OT152" s="5"/>
      <c r="OU152" s="5"/>
      <c r="OV152" s="5"/>
      <c r="OW152" s="5"/>
      <c r="OX152" s="5"/>
      <c r="OY152" s="5"/>
      <c r="OZ152" s="5"/>
      <c r="PA152" s="5"/>
      <c r="PB152" s="5"/>
      <c r="PC152" s="5"/>
      <c r="PD152" s="5"/>
      <c r="PE152" s="5"/>
      <c r="PF152" s="5"/>
      <c r="PG152" s="5"/>
      <c r="PH152" s="5"/>
      <c r="PI152" s="5"/>
      <c r="PJ152" s="5"/>
      <c r="PK152" s="5"/>
      <c r="PL152" s="5"/>
      <c r="PM152" s="5"/>
      <c r="PN152" s="5"/>
      <c r="PO152" s="5"/>
      <c r="PP152" s="5"/>
      <c r="PQ152" s="5"/>
      <c r="PR152" s="5"/>
      <c r="PS152" s="5"/>
      <c r="PT152" s="5"/>
      <c r="PU152" s="5"/>
      <c r="PV152" s="5"/>
      <c r="PW152" s="5"/>
      <c r="PX152" s="5"/>
      <c r="PY152" s="5"/>
      <c r="PZ152" s="5"/>
      <c r="QA152" s="5"/>
      <c r="QB152" s="5"/>
      <c r="QC152" s="5"/>
      <c r="QD152" s="5"/>
      <c r="QE152" s="5"/>
      <c r="QF152" s="5"/>
      <c r="QG152" s="5"/>
      <c r="QH152" s="5"/>
      <c r="QI152" s="5"/>
      <c r="QJ152" s="5"/>
      <c r="QK152" s="5"/>
      <c r="QL152" s="5"/>
      <c r="QM152" s="5"/>
      <c r="QN152" s="5"/>
      <c r="QO152" s="5"/>
      <c r="QP152" s="5"/>
      <c r="QQ152" s="5"/>
      <c r="QR152" s="5"/>
      <c r="QS152" s="5"/>
      <c r="QT152" s="5"/>
      <c r="QU152" s="5"/>
      <c r="QV152" s="5"/>
      <c r="QW152" s="5"/>
      <c r="QX152" s="5"/>
      <c r="QY152" s="5"/>
      <c r="QZ152" s="5"/>
      <c r="RA152" s="5"/>
      <c r="RB152" s="5"/>
      <c r="RC152" s="5"/>
      <c r="RD152" s="5"/>
      <c r="RE152" s="5"/>
      <c r="RF152" s="5"/>
      <c r="RG152" s="5"/>
      <c r="RH152" s="5"/>
      <c r="RI152" s="5"/>
      <c r="RJ152" s="5"/>
      <c r="RK152" s="5"/>
      <c r="RL152" s="5"/>
      <c r="RM152" s="5"/>
      <c r="RN152" s="5"/>
      <c r="RO152" s="5"/>
      <c r="RP152" s="5"/>
      <c r="RQ152" s="5"/>
      <c r="RR152" s="5"/>
      <c r="RS152" s="5"/>
      <c r="RT152" s="5"/>
      <c r="RU152" s="5"/>
      <c r="RV152" s="5"/>
      <c r="RW152" s="5"/>
      <c r="RX152" s="5"/>
      <c r="RY152" s="5"/>
      <c r="RZ152" s="5"/>
      <c r="SA152" s="5"/>
      <c r="SB152" s="5"/>
      <c r="SC152" s="5"/>
      <c r="SD152" s="5"/>
      <c r="SE152" s="5"/>
      <c r="SF152" s="5"/>
      <c r="SG152" s="5"/>
      <c r="SH152" s="5"/>
      <c r="SI152" s="5"/>
      <c r="SJ152" s="5"/>
      <c r="SK152" s="5"/>
      <c r="SL152" s="5"/>
      <c r="SM152" s="5"/>
      <c r="SN152" s="5"/>
      <c r="SO152" s="5"/>
      <c r="SP152" s="5"/>
      <c r="SQ152" s="5"/>
      <c r="SR152" s="5"/>
      <c r="SS152" s="5"/>
      <c r="ST152" s="5"/>
      <c r="SU152" s="5"/>
      <c r="SV152" s="5"/>
      <c r="SW152" s="5"/>
      <c r="SX152" s="5"/>
      <c r="SY152" s="5"/>
      <c r="SZ152" s="5"/>
      <c r="TA152" s="5"/>
      <c r="TB152" s="5"/>
      <c r="TC152" s="5"/>
      <c r="TD152" s="5"/>
      <c r="TE152" s="5"/>
      <c r="TF152" s="5"/>
      <c r="TG152" s="5"/>
      <c r="TH152" s="5"/>
      <c r="TI152" s="5"/>
      <c r="TJ152" s="5"/>
      <c r="TK152" s="5"/>
      <c r="TL152" s="5"/>
      <c r="TM152" s="5"/>
      <c r="TN152" s="5"/>
      <c r="TO152" s="5"/>
      <c r="TP152" s="5"/>
      <c r="TQ152" s="5"/>
      <c r="TR152" s="5"/>
      <c r="TS152" s="5"/>
      <c r="TT152" s="5"/>
      <c r="TU152" s="5"/>
      <c r="TV152" s="5"/>
      <c r="TW152" s="5"/>
      <c r="TX152" s="5"/>
      <c r="TY152" s="5"/>
      <c r="TZ152" s="5"/>
      <c r="UA152" s="5"/>
      <c r="UB152" s="5"/>
      <c r="UC152" s="5"/>
      <c r="UD152" s="5"/>
      <c r="UE152" s="5"/>
      <c r="UF152" s="5"/>
      <c r="UG152" s="5"/>
      <c r="UH152" s="5"/>
      <c r="UI152" s="5"/>
      <c r="UJ152" s="5"/>
      <c r="UK152" s="5"/>
      <c r="UL152" s="5"/>
      <c r="UM152" s="5"/>
      <c r="UN152" s="5"/>
      <c r="UO152" s="5"/>
      <c r="UP152" s="5"/>
      <c r="UQ152" s="5"/>
      <c r="UR152" s="5"/>
      <c r="US152" s="5"/>
      <c r="UT152" s="5"/>
      <c r="UU152" s="5"/>
      <c r="UV152" s="5"/>
      <c r="UW152" s="5"/>
      <c r="UX152" s="5"/>
      <c r="UY152" s="5"/>
      <c r="UZ152" s="5"/>
      <c r="VA152" s="5"/>
      <c r="VB152" s="5"/>
      <c r="VC152" s="5"/>
      <c r="VD152" s="5"/>
      <c r="VE152" s="5"/>
      <c r="VF152" s="5"/>
      <c r="VG152" s="5"/>
      <c r="VH152" s="5"/>
      <c r="VI152" s="5"/>
      <c r="VJ152" s="5"/>
      <c r="VK152" s="5"/>
      <c r="VL152" s="5"/>
      <c r="VM152" s="5"/>
      <c r="VN152" s="5"/>
      <c r="VO152" s="5"/>
      <c r="VP152" s="5"/>
      <c r="VQ152" s="5"/>
      <c r="VR152" s="5"/>
      <c r="VS152" s="5"/>
      <c r="VT152" s="5"/>
      <c r="VU152" s="5"/>
      <c r="VV152" s="5"/>
      <c r="VW152" s="5"/>
      <c r="VX152" s="5"/>
      <c r="VY152" s="5"/>
      <c r="VZ152" s="5"/>
      <c r="WA152" s="5"/>
      <c r="WB152" s="5"/>
      <c r="WC152" s="5"/>
      <c r="WD152" s="5"/>
      <c r="WE152" s="5"/>
      <c r="WF152" s="5"/>
      <c r="WG152" s="5"/>
      <c r="WH152" s="5"/>
      <c r="WI152" s="5"/>
      <c r="WJ152" s="5"/>
      <c r="WK152" s="5"/>
      <c r="WL152" s="5"/>
      <c r="WM152" s="5"/>
      <c r="WN152" s="5"/>
      <c r="WO152" s="5"/>
      <c r="WP152" s="5"/>
      <c r="WQ152" s="5"/>
      <c r="WR152" s="5"/>
      <c r="WS152" s="5"/>
      <c r="WT152" s="5"/>
      <c r="WU152" s="5"/>
      <c r="WV152" s="5"/>
      <c r="WW152" s="5"/>
      <c r="WX152" s="5"/>
      <c r="WY152" s="5"/>
      <c r="WZ152" s="5"/>
      <c r="XA152" s="5"/>
      <c r="XB152" s="5"/>
      <c r="XC152" s="5"/>
      <c r="XD152" s="5"/>
      <c r="XE152" s="5"/>
      <c r="XF152" s="5"/>
      <c r="XG152" s="5"/>
      <c r="XH152" s="5"/>
      <c r="XI152" s="5"/>
      <c r="XJ152" s="5"/>
      <c r="XK152" s="5"/>
      <c r="XL152" s="5"/>
      <c r="XM152" s="5"/>
      <c r="XN152" s="5"/>
      <c r="XO152" s="5"/>
      <c r="XP152" s="5"/>
      <c r="XQ152" s="5"/>
      <c r="XR152" s="5"/>
      <c r="XS152" s="5"/>
      <c r="XT152" s="5"/>
      <c r="XU152" s="5"/>
      <c r="XV152" s="5"/>
      <c r="XW152" s="5"/>
      <c r="XX152" s="5"/>
      <c r="XY152" s="5"/>
      <c r="XZ152" s="5"/>
      <c r="YA152" s="5"/>
      <c r="YB152" s="5"/>
      <c r="YC152" s="5"/>
      <c r="YD152" s="5"/>
      <c r="YE152" s="5"/>
      <c r="YF152" s="5"/>
      <c r="YG152" s="5"/>
      <c r="YH152" s="5"/>
      <c r="YI152" s="5"/>
      <c r="YJ152" s="5"/>
      <c r="YK152" s="5"/>
      <c r="YL152" s="5"/>
      <c r="YM152" s="5"/>
      <c r="YN152" s="5"/>
      <c r="YO152" s="5"/>
      <c r="YP152" s="5"/>
      <c r="YQ152" s="5"/>
      <c r="YR152" s="5"/>
      <c r="YS152" s="5"/>
      <c r="YT152" s="5"/>
      <c r="YU152" s="5"/>
      <c r="YV152" s="5"/>
      <c r="YW152" s="5"/>
      <c r="YX152" s="5"/>
      <c r="YY152" s="5"/>
      <c r="YZ152" s="5"/>
    </row>
    <row r="153" spans="1:676">
      <c r="A153" s="7">
        <v>143</v>
      </c>
      <c r="B153" s="7" t="s">
        <v>356</v>
      </c>
      <c r="C153" s="10" t="s">
        <v>357</v>
      </c>
      <c r="D153" s="7" t="s">
        <v>48</v>
      </c>
      <c r="E153" s="7" t="s">
        <v>175</v>
      </c>
      <c r="F153" s="7" t="s">
        <v>283</v>
      </c>
      <c r="G153" s="7"/>
      <c r="H153" s="7" t="s">
        <v>43</v>
      </c>
      <c r="I153" s="11">
        <v>2</v>
      </c>
      <c r="J153" s="11">
        <v>0</v>
      </c>
      <c r="K153" s="11">
        <v>0</v>
      </c>
      <c r="L153" s="11">
        <v>0.51</v>
      </c>
      <c r="M153" s="11">
        <v>0</v>
      </c>
      <c r="N153" s="11">
        <v>0</v>
      </c>
      <c r="O153" s="11">
        <v>0.24</v>
      </c>
      <c r="P153" s="11">
        <v>0.95</v>
      </c>
      <c r="Q153" s="11">
        <v>1.7</v>
      </c>
      <c r="R153" s="11">
        <v>40.86999999999999</v>
      </c>
      <c r="S153" s="11">
        <v>42.56999999999999</v>
      </c>
      <c r="T153" s="11">
        <v>2</v>
      </c>
      <c r="U153" s="11">
        <v>0</v>
      </c>
      <c r="V153" s="11">
        <v>40.56999999999999</v>
      </c>
      <c r="W153" s="13">
        <v>24</v>
      </c>
      <c r="X153" s="13">
        <v>0</v>
      </c>
      <c r="Y153" s="13" t="str">
        <f>MIN(W153,S153)</f>
        <v>0</v>
      </c>
      <c r="Z153" s="13" t="str">
        <f>MIN(X153,(S153-Y153))</f>
        <v>0</v>
      </c>
      <c r="AA153" s="13" t="str">
        <f>S153-SUM(Y153,Z153)</f>
        <v>0</v>
      </c>
      <c r="AB153" s="15"/>
      <c r="AC153" s="15"/>
      <c r="AD153" s="1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Y153" s="5"/>
      <c r="CZ153" s="5"/>
      <c r="DA153" s="5"/>
      <c r="DB153" s="5"/>
      <c r="DC153" s="5"/>
      <c r="DD153" s="5"/>
      <c r="DE153" s="5"/>
      <c r="DF153" s="5"/>
      <c r="DG153" s="5"/>
      <c r="DH153" s="5"/>
      <c r="DI153" s="5"/>
      <c r="DJ153" s="5"/>
      <c r="DK153" s="5"/>
      <c r="DL153" s="5"/>
      <c r="DM153" s="5"/>
      <c r="DN153" s="5"/>
      <c r="DO153" s="5"/>
      <c r="DP153" s="5"/>
      <c r="DQ153" s="5"/>
      <c r="DR153" s="5"/>
      <c r="DS153" s="5"/>
      <c r="DT153" s="5"/>
      <c r="DU153" s="5"/>
      <c r="DV153" s="5"/>
      <c r="DW153" s="5"/>
      <c r="DX153" s="5"/>
      <c r="DY153" s="5"/>
      <c r="DZ153" s="5"/>
      <c r="EA153" s="5"/>
      <c r="EB153" s="5"/>
      <c r="EC153" s="5"/>
      <c r="ED153" s="5"/>
      <c r="EE153" s="5"/>
      <c r="EF153" s="5"/>
      <c r="EG153" s="5"/>
      <c r="EH153" s="5"/>
      <c r="EI153" s="5"/>
      <c r="EJ153" s="5"/>
      <c r="EK153" s="5"/>
      <c r="EL153" s="5"/>
      <c r="EM153" s="5"/>
      <c r="EN153" s="5"/>
      <c r="EO153" s="5"/>
      <c r="EP153" s="5"/>
      <c r="EQ153" s="5"/>
      <c r="ER153" s="5"/>
      <c r="ES153" s="5"/>
      <c r="ET153" s="5"/>
      <c r="EU153" s="5"/>
      <c r="EV153" s="5"/>
      <c r="EW153" s="5"/>
      <c r="EX153" s="5"/>
      <c r="EY153" s="5"/>
      <c r="EZ153" s="5"/>
      <c r="FA153" s="5"/>
      <c r="FB153" s="5"/>
      <c r="FC153" s="5"/>
      <c r="FD153" s="5"/>
      <c r="FE153" s="5"/>
      <c r="FF153" s="5"/>
      <c r="FG153" s="5"/>
      <c r="FH153" s="5"/>
      <c r="FI153" s="5"/>
      <c r="FJ153" s="5"/>
      <c r="FK153" s="5"/>
      <c r="FL153" s="5"/>
      <c r="FM153" s="5"/>
      <c r="FN153" s="5"/>
      <c r="FO153" s="5"/>
      <c r="FP153" s="5"/>
      <c r="FQ153" s="5"/>
      <c r="FR153" s="5"/>
      <c r="FS153" s="5"/>
      <c r="FT153" s="5"/>
      <c r="FU153" s="5"/>
      <c r="FV153" s="5"/>
      <c r="FW153" s="5"/>
      <c r="FX153" s="5"/>
      <c r="FY153" s="5"/>
      <c r="FZ153" s="5"/>
      <c r="GA153" s="5"/>
      <c r="GB153" s="5"/>
      <c r="GC153" s="5"/>
      <c r="GD153" s="5"/>
      <c r="GE153" s="5"/>
      <c r="GF153" s="5"/>
      <c r="GG153" s="5"/>
      <c r="GH153" s="5"/>
      <c r="GI153" s="5"/>
      <c r="GJ153" s="5"/>
      <c r="GK153" s="5"/>
      <c r="GL153" s="5"/>
      <c r="GM153" s="5"/>
      <c r="GN153" s="5"/>
      <c r="GO153" s="5"/>
      <c r="GP153" s="5"/>
      <c r="GQ153" s="5"/>
      <c r="GR153" s="5"/>
      <c r="GS153" s="5"/>
      <c r="GT153" s="5"/>
      <c r="GU153" s="5"/>
      <c r="GV153" s="5"/>
      <c r="GW153" s="5"/>
      <c r="GX153" s="5"/>
      <c r="GY153" s="5"/>
      <c r="GZ153" s="5"/>
      <c r="HA153" s="5"/>
      <c r="HB153" s="5"/>
      <c r="HC153" s="5"/>
      <c r="HD153" s="5"/>
      <c r="HE153" s="5"/>
      <c r="HF153" s="5"/>
      <c r="HG153" s="5"/>
      <c r="HH153" s="5"/>
      <c r="HI153" s="5"/>
      <c r="HJ153" s="5"/>
      <c r="HK153" s="5"/>
      <c r="HL153" s="5"/>
      <c r="HM153" s="5"/>
      <c r="HN153" s="5"/>
      <c r="HO153" s="5"/>
      <c r="HP153" s="5"/>
      <c r="HQ153" s="5"/>
      <c r="HR153" s="5"/>
      <c r="HS153" s="5"/>
      <c r="HT153" s="5"/>
      <c r="HU153" s="5"/>
      <c r="HV153" s="5"/>
      <c r="HW153" s="5"/>
      <c r="HX153" s="5"/>
      <c r="HY153" s="5"/>
      <c r="HZ153" s="5"/>
      <c r="IA153" s="5"/>
      <c r="IB153" s="5"/>
      <c r="IC153" s="5"/>
      <c r="ID153" s="5"/>
      <c r="IE153" s="5"/>
      <c r="IF153" s="5"/>
      <c r="IG153" s="5"/>
      <c r="IH153" s="5"/>
      <c r="II153" s="5"/>
      <c r="IJ153" s="5"/>
      <c r="IK153" s="5"/>
      <c r="IL153" s="5"/>
      <c r="IM153" s="5"/>
      <c r="IN153" s="5"/>
      <c r="IO153" s="5"/>
      <c r="IP153" s="5"/>
      <c r="IQ153" s="5"/>
      <c r="IR153" s="5"/>
      <c r="IS153" s="5"/>
      <c r="IT153" s="5"/>
      <c r="IU153" s="5"/>
      <c r="IV153" s="5"/>
      <c r="IW153" s="5"/>
      <c r="IX153" s="5"/>
      <c r="IY153" s="5"/>
      <c r="IZ153" s="5"/>
      <c r="JA153" s="5"/>
      <c r="JB153" s="5"/>
      <c r="JC153" s="5"/>
      <c r="JD153" s="5"/>
      <c r="JE153" s="5"/>
      <c r="JF153" s="5"/>
      <c r="JG153" s="5"/>
      <c r="JH153" s="5"/>
      <c r="JI153" s="5"/>
      <c r="JJ153" s="5"/>
      <c r="JK153" s="5"/>
      <c r="JL153" s="5"/>
      <c r="JM153" s="5"/>
      <c r="JN153" s="5"/>
      <c r="JO153" s="5"/>
      <c r="JP153" s="5"/>
      <c r="JQ153" s="5"/>
      <c r="JR153" s="5"/>
      <c r="JS153" s="5"/>
      <c r="JT153" s="5"/>
      <c r="JU153" s="5"/>
      <c r="JV153" s="5"/>
      <c r="JW153" s="5"/>
      <c r="JX153" s="5"/>
      <c r="JY153" s="5"/>
      <c r="JZ153" s="5"/>
      <c r="KA153" s="5"/>
      <c r="KB153" s="5"/>
      <c r="KC153" s="5"/>
      <c r="KD153" s="5"/>
      <c r="KE153" s="5"/>
      <c r="KF153" s="5"/>
      <c r="KG153" s="5"/>
      <c r="KH153" s="5"/>
      <c r="KI153" s="5"/>
      <c r="KJ153" s="5"/>
      <c r="KK153" s="5"/>
      <c r="KL153" s="5"/>
      <c r="KM153" s="5"/>
      <c r="KN153" s="5"/>
      <c r="KO153" s="5"/>
      <c r="KP153" s="5"/>
      <c r="KQ153" s="5"/>
      <c r="KR153" s="5"/>
      <c r="KS153" s="5"/>
      <c r="KT153" s="5"/>
      <c r="KU153" s="5"/>
      <c r="KV153" s="5"/>
      <c r="KW153" s="5"/>
      <c r="KX153" s="5"/>
      <c r="KY153" s="5"/>
      <c r="KZ153" s="5"/>
      <c r="LA153" s="5"/>
      <c r="LB153" s="5"/>
      <c r="LC153" s="5"/>
      <c r="LD153" s="5"/>
      <c r="LE153" s="5"/>
      <c r="LF153" s="5"/>
      <c r="LG153" s="5"/>
      <c r="LH153" s="5"/>
      <c r="LI153" s="5"/>
      <c r="LJ153" s="5"/>
      <c r="LK153" s="5"/>
      <c r="LL153" s="5"/>
      <c r="LM153" s="5"/>
      <c r="LN153" s="5"/>
      <c r="LO153" s="5"/>
      <c r="LP153" s="5"/>
      <c r="LQ153" s="5"/>
      <c r="LR153" s="5"/>
      <c r="LS153" s="5"/>
      <c r="LT153" s="5"/>
      <c r="LU153" s="5"/>
      <c r="LV153" s="5"/>
      <c r="LW153" s="5"/>
      <c r="LX153" s="5"/>
      <c r="LY153" s="5"/>
      <c r="LZ153" s="5"/>
      <c r="MA153" s="5"/>
      <c r="MB153" s="5"/>
      <c r="MC153" s="5"/>
      <c r="MD153" s="5"/>
      <c r="ME153" s="5"/>
      <c r="MF153" s="5"/>
      <c r="MG153" s="5"/>
      <c r="MH153" s="5"/>
      <c r="MI153" s="5"/>
      <c r="MJ153" s="5"/>
      <c r="MK153" s="5"/>
      <c r="ML153" s="5"/>
      <c r="MM153" s="5"/>
      <c r="MN153" s="5"/>
      <c r="MO153" s="5"/>
      <c r="MP153" s="5"/>
      <c r="MQ153" s="5"/>
      <c r="MR153" s="5"/>
      <c r="MS153" s="5"/>
      <c r="MT153" s="5"/>
      <c r="MU153" s="5"/>
      <c r="MV153" s="5"/>
      <c r="MW153" s="5"/>
      <c r="MX153" s="5"/>
      <c r="MY153" s="5"/>
      <c r="MZ153" s="5"/>
      <c r="NA153" s="5"/>
      <c r="NB153" s="5"/>
      <c r="NC153" s="5"/>
      <c r="ND153" s="5"/>
      <c r="NE153" s="5"/>
      <c r="NF153" s="5"/>
      <c r="NG153" s="5"/>
      <c r="NH153" s="5"/>
      <c r="NI153" s="5"/>
      <c r="NJ153" s="5"/>
      <c r="NK153" s="5"/>
      <c r="NL153" s="5"/>
      <c r="NM153" s="5"/>
      <c r="NN153" s="5"/>
      <c r="NO153" s="5"/>
      <c r="NP153" s="5"/>
      <c r="NQ153" s="5"/>
      <c r="NR153" s="5"/>
      <c r="NS153" s="5"/>
      <c r="NT153" s="5"/>
      <c r="NU153" s="5"/>
      <c r="NV153" s="5"/>
      <c r="NW153" s="5"/>
      <c r="NX153" s="5"/>
      <c r="NY153" s="5"/>
      <c r="NZ153" s="5"/>
      <c r="OA153" s="5"/>
      <c r="OB153" s="5"/>
      <c r="OC153" s="5"/>
      <c r="OD153" s="5"/>
      <c r="OE153" s="5"/>
      <c r="OF153" s="5"/>
      <c r="OG153" s="5"/>
      <c r="OH153" s="5"/>
      <c r="OI153" s="5"/>
      <c r="OJ153" s="5"/>
      <c r="OK153" s="5"/>
      <c r="OL153" s="5"/>
      <c r="OM153" s="5"/>
      <c r="ON153" s="5"/>
      <c r="OO153" s="5"/>
      <c r="OP153" s="5"/>
      <c r="OQ153" s="5"/>
      <c r="OR153" s="5"/>
      <c r="OS153" s="5"/>
      <c r="OT153" s="5"/>
      <c r="OU153" s="5"/>
      <c r="OV153" s="5"/>
      <c r="OW153" s="5"/>
      <c r="OX153" s="5"/>
      <c r="OY153" s="5"/>
      <c r="OZ153" s="5"/>
      <c r="PA153" s="5"/>
      <c r="PB153" s="5"/>
      <c r="PC153" s="5"/>
      <c r="PD153" s="5"/>
      <c r="PE153" s="5"/>
      <c r="PF153" s="5"/>
      <c r="PG153" s="5"/>
      <c r="PH153" s="5"/>
      <c r="PI153" s="5"/>
      <c r="PJ153" s="5"/>
      <c r="PK153" s="5"/>
      <c r="PL153" s="5"/>
      <c r="PM153" s="5"/>
      <c r="PN153" s="5"/>
      <c r="PO153" s="5"/>
      <c r="PP153" s="5"/>
      <c r="PQ153" s="5"/>
      <c r="PR153" s="5"/>
      <c r="PS153" s="5"/>
      <c r="PT153" s="5"/>
      <c r="PU153" s="5"/>
      <c r="PV153" s="5"/>
      <c r="PW153" s="5"/>
      <c r="PX153" s="5"/>
      <c r="PY153" s="5"/>
      <c r="PZ153" s="5"/>
      <c r="QA153" s="5"/>
      <c r="QB153" s="5"/>
      <c r="QC153" s="5"/>
      <c r="QD153" s="5"/>
      <c r="QE153" s="5"/>
      <c r="QF153" s="5"/>
      <c r="QG153" s="5"/>
      <c r="QH153" s="5"/>
      <c r="QI153" s="5"/>
      <c r="QJ153" s="5"/>
      <c r="QK153" s="5"/>
      <c r="QL153" s="5"/>
      <c r="QM153" s="5"/>
      <c r="QN153" s="5"/>
      <c r="QO153" s="5"/>
      <c r="QP153" s="5"/>
      <c r="QQ153" s="5"/>
      <c r="QR153" s="5"/>
      <c r="QS153" s="5"/>
      <c r="QT153" s="5"/>
      <c r="QU153" s="5"/>
      <c r="QV153" s="5"/>
      <c r="QW153" s="5"/>
      <c r="QX153" s="5"/>
      <c r="QY153" s="5"/>
      <c r="QZ153" s="5"/>
      <c r="RA153" s="5"/>
      <c r="RB153" s="5"/>
      <c r="RC153" s="5"/>
      <c r="RD153" s="5"/>
      <c r="RE153" s="5"/>
      <c r="RF153" s="5"/>
      <c r="RG153" s="5"/>
      <c r="RH153" s="5"/>
      <c r="RI153" s="5"/>
      <c r="RJ153" s="5"/>
      <c r="RK153" s="5"/>
      <c r="RL153" s="5"/>
      <c r="RM153" s="5"/>
      <c r="RN153" s="5"/>
      <c r="RO153" s="5"/>
      <c r="RP153" s="5"/>
      <c r="RQ153" s="5"/>
      <c r="RR153" s="5"/>
      <c r="RS153" s="5"/>
      <c r="RT153" s="5"/>
      <c r="RU153" s="5"/>
      <c r="RV153" s="5"/>
      <c r="RW153" s="5"/>
      <c r="RX153" s="5"/>
      <c r="RY153" s="5"/>
      <c r="RZ153" s="5"/>
      <c r="SA153" s="5"/>
      <c r="SB153" s="5"/>
      <c r="SC153" s="5"/>
      <c r="SD153" s="5"/>
      <c r="SE153" s="5"/>
      <c r="SF153" s="5"/>
      <c r="SG153" s="5"/>
      <c r="SH153" s="5"/>
      <c r="SI153" s="5"/>
      <c r="SJ153" s="5"/>
      <c r="SK153" s="5"/>
      <c r="SL153" s="5"/>
      <c r="SM153" s="5"/>
      <c r="SN153" s="5"/>
      <c r="SO153" s="5"/>
      <c r="SP153" s="5"/>
      <c r="SQ153" s="5"/>
      <c r="SR153" s="5"/>
      <c r="SS153" s="5"/>
      <c r="ST153" s="5"/>
      <c r="SU153" s="5"/>
      <c r="SV153" s="5"/>
      <c r="SW153" s="5"/>
      <c r="SX153" s="5"/>
      <c r="SY153" s="5"/>
      <c r="SZ153" s="5"/>
      <c r="TA153" s="5"/>
      <c r="TB153" s="5"/>
      <c r="TC153" s="5"/>
      <c r="TD153" s="5"/>
      <c r="TE153" s="5"/>
      <c r="TF153" s="5"/>
      <c r="TG153" s="5"/>
      <c r="TH153" s="5"/>
      <c r="TI153" s="5"/>
      <c r="TJ153" s="5"/>
      <c r="TK153" s="5"/>
      <c r="TL153" s="5"/>
      <c r="TM153" s="5"/>
      <c r="TN153" s="5"/>
      <c r="TO153" s="5"/>
      <c r="TP153" s="5"/>
      <c r="TQ153" s="5"/>
      <c r="TR153" s="5"/>
      <c r="TS153" s="5"/>
      <c r="TT153" s="5"/>
      <c r="TU153" s="5"/>
      <c r="TV153" s="5"/>
      <c r="TW153" s="5"/>
      <c r="TX153" s="5"/>
      <c r="TY153" s="5"/>
      <c r="TZ153" s="5"/>
      <c r="UA153" s="5"/>
      <c r="UB153" s="5"/>
      <c r="UC153" s="5"/>
      <c r="UD153" s="5"/>
      <c r="UE153" s="5"/>
      <c r="UF153" s="5"/>
      <c r="UG153" s="5"/>
      <c r="UH153" s="5"/>
      <c r="UI153" s="5"/>
      <c r="UJ153" s="5"/>
      <c r="UK153" s="5"/>
      <c r="UL153" s="5"/>
      <c r="UM153" s="5"/>
      <c r="UN153" s="5"/>
      <c r="UO153" s="5"/>
      <c r="UP153" s="5"/>
      <c r="UQ153" s="5"/>
      <c r="UR153" s="5"/>
      <c r="US153" s="5"/>
      <c r="UT153" s="5"/>
      <c r="UU153" s="5"/>
      <c r="UV153" s="5"/>
      <c r="UW153" s="5"/>
      <c r="UX153" s="5"/>
      <c r="UY153" s="5"/>
      <c r="UZ153" s="5"/>
      <c r="VA153" s="5"/>
      <c r="VB153" s="5"/>
      <c r="VC153" s="5"/>
      <c r="VD153" s="5"/>
      <c r="VE153" s="5"/>
      <c r="VF153" s="5"/>
      <c r="VG153" s="5"/>
      <c r="VH153" s="5"/>
      <c r="VI153" s="5"/>
      <c r="VJ153" s="5"/>
      <c r="VK153" s="5"/>
      <c r="VL153" s="5"/>
      <c r="VM153" s="5"/>
      <c r="VN153" s="5"/>
      <c r="VO153" s="5"/>
      <c r="VP153" s="5"/>
      <c r="VQ153" s="5"/>
      <c r="VR153" s="5"/>
      <c r="VS153" s="5"/>
      <c r="VT153" s="5"/>
      <c r="VU153" s="5"/>
      <c r="VV153" s="5"/>
      <c r="VW153" s="5"/>
      <c r="VX153" s="5"/>
      <c r="VY153" s="5"/>
      <c r="VZ153" s="5"/>
      <c r="WA153" s="5"/>
      <c r="WB153" s="5"/>
      <c r="WC153" s="5"/>
      <c r="WD153" s="5"/>
      <c r="WE153" s="5"/>
      <c r="WF153" s="5"/>
      <c r="WG153" s="5"/>
      <c r="WH153" s="5"/>
      <c r="WI153" s="5"/>
      <c r="WJ153" s="5"/>
      <c r="WK153" s="5"/>
      <c r="WL153" s="5"/>
      <c r="WM153" s="5"/>
      <c r="WN153" s="5"/>
      <c r="WO153" s="5"/>
      <c r="WP153" s="5"/>
      <c r="WQ153" s="5"/>
      <c r="WR153" s="5"/>
      <c r="WS153" s="5"/>
      <c r="WT153" s="5"/>
      <c r="WU153" s="5"/>
      <c r="WV153" s="5"/>
      <c r="WW153" s="5"/>
      <c r="WX153" s="5"/>
      <c r="WY153" s="5"/>
      <c r="WZ153" s="5"/>
      <c r="XA153" s="5"/>
      <c r="XB153" s="5"/>
      <c r="XC153" s="5"/>
      <c r="XD153" s="5"/>
      <c r="XE153" s="5"/>
      <c r="XF153" s="5"/>
      <c r="XG153" s="5"/>
      <c r="XH153" s="5"/>
      <c r="XI153" s="5"/>
      <c r="XJ153" s="5"/>
      <c r="XK153" s="5"/>
      <c r="XL153" s="5"/>
      <c r="XM153" s="5"/>
      <c r="XN153" s="5"/>
      <c r="XO153" s="5"/>
      <c r="XP153" s="5"/>
      <c r="XQ153" s="5"/>
      <c r="XR153" s="5"/>
      <c r="XS153" s="5"/>
      <c r="XT153" s="5"/>
      <c r="XU153" s="5"/>
      <c r="XV153" s="5"/>
      <c r="XW153" s="5"/>
      <c r="XX153" s="5"/>
      <c r="XY153" s="5"/>
      <c r="XZ153" s="5"/>
      <c r="YA153" s="5"/>
      <c r="YB153" s="5"/>
      <c r="YC153" s="5"/>
      <c r="YD153" s="5"/>
      <c r="YE153" s="5"/>
      <c r="YF153" s="5"/>
      <c r="YG153" s="5"/>
      <c r="YH153" s="5"/>
      <c r="YI153" s="5"/>
      <c r="YJ153" s="5"/>
      <c r="YK153" s="5"/>
      <c r="YL153" s="5"/>
      <c r="YM153" s="5"/>
      <c r="YN153" s="5"/>
      <c r="YO153" s="5"/>
      <c r="YP153" s="5"/>
      <c r="YQ153" s="5"/>
      <c r="YR153" s="5"/>
      <c r="YS153" s="5"/>
      <c r="YT153" s="5"/>
      <c r="YU153" s="5"/>
      <c r="YV153" s="5"/>
      <c r="YW153" s="5"/>
      <c r="YX153" s="5"/>
      <c r="YY153" s="5"/>
      <c r="YZ153" s="5"/>
    </row>
    <row r="154" spans="1:676">
      <c r="A154" s="7">
        <v>144</v>
      </c>
      <c r="B154" s="7" t="s">
        <v>358</v>
      </c>
      <c r="C154" s="10" t="s">
        <v>359</v>
      </c>
      <c r="D154" s="7" t="s">
        <v>40</v>
      </c>
      <c r="E154" s="7" t="s">
        <v>175</v>
      </c>
      <c r="F154" s="7" t="s">
        <v>291</v>
      </c>
      <c r="G154" s="7"/>
      <c r="H154" s="7"/>
      <c r="I154" s="11">
        <v>2</v>
      </c>
      <c r="J154" s="11">
        <v>3</v>
      </c>
      <c r="K154" s="11">
        <v>0</v>
      </c>
      <c r="L154" s="11">
        <v>2.29</v>
      </c>
      <c r="M154" s="11">
        <v>0</v>
      </c>
      <c r="N154" s="11">
        <v>0</v>
      </c>
      <c r="O154" s="11">
        <v>0.38</v>
      </c>
      <c r="P154" s="11">
        <v>0</v>
      </c>
      <c r="Q154" s="11">
        <v>2.67</v>
      </c>
      <c r="R154" s="11">
        <v>46.41</v>
      </c>
      <c r="S154" s="11">
        <v>49.08</v>
      </c>
      <c r="T154" s="11">
        <v>2</v>
      </c>
      <c r="U154" s="11">
        <v>3</v>
      </c>
      <c r="V154" s="11">
        <v>44.08</v>
      </c>
      <c r="W154" s="13">
        <v>24</v>
      </c>
      <c r="X154" s="13">
        <v>36</v>
      </c>
      <c r="Y154" s="13" t="str">
        <f>MIN(W154,S154)</f>
        <v>0</v>
      </c>
      <c r="Z154" s="13" t="str">
        <f>MIN(X154,(S154-Y154))</f>
        <v>0</v>
      </c>
      <c r="AA154" s="13" t="str">
        <f>S154-SUM(Y154,Z154)</f>
        <v>0</v>
      </c>
      <c r="AB154" s="15"/>
      <c r="AC154" s="15"/>
      <c r="AD154" s="1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  <c r="DG154" s="5"/>
      <c r="DH154" s="5"/>
      <c r="DI154" s="5"/>
      <c r="DJ154" s="5"/>
      <c r="DK154" s="5"/>
      <c r="DL154" s="5"/>
      <c r="DM154" s="5"/>
      <c r="DN154" s="5"/>
      <c r="DO154" s="5"/>
      <c r="DP154" s="5"/>
      <c r="DQ154" s="5"/>
      <c r="DR154" s="5"/>
      <c r="DS154" s="5"/>
      <c r="DT154" s="5"/>
      <c r="DU154" s="5"/>
      <c r="DV154" s="5"/>
      <c r="DW154" s="5"/>
      <c r="DX154" s="5"/>
      <c r="DY154" s="5"/>
      <c r="DZ154" s="5"/>
      <c r="EA154" s="5"/>
      <c r="EB154" s="5"/>
      <c r="EC154" s="5"/>
      <c r="ED154" s="5"/>
      <c r="EE154" s="5"/>
      <c r="EF154" s="5"/>
      <c r="EG154" s="5"/>
      <c r="EH154" s="5"/>
      <c r="EI154" s="5"/>
      <c r="EJ154" s="5"/>
      <c r="EK154" s="5"/>
      <c r="EL154" s="5"/>
      <c r="EM154" s="5"/>
      <c r="EN154" s="5"/>
      <c r="EO154" s="5"/>
      <c r="EP154" s="5"/>
      <c r="EQ154" s="5"/>
      <c r="ER154" s="5"/>
      <c r="ES154" s="5"/>
      <c r="ET154" s="5"/>
      <c r="EU154" s="5"/>
      <c r="EV154" s="5"/>
      <c r="EW154" s="5"/>
      <c r="EX154" s="5"/>
      <c r="EY154" s="5"/>
      <c r="EZ154" s="5"/>
      <c r="FA154" s="5"/>
      <c r="FB154" s="5"/>
      <c r="FC154" s="5"/>
      <c r="FD154" s="5"/>
      <c r="FE154" s="5"/>
      <c r="FF154" s="5"/>
      <c r="FG154" s="5"/>
      <c r="FH154" s="5"/>
      <c r="FI154" s="5"/>
      <c r="FJ154" s="5"/>
      <c r="FK154" s="5"/>
      <c r="FL154" s="5"/>
      <c r="FM154" s="5"/>
      <c r="FN154" s="5"/>
      <c r="FO154" s="5"/>
      <c r="FP154" s="5"/>
      <c r="FQ154" s="5"/>
      <c r="FR154" s="5"/>
      <c r="FS154" s="5"/>
      <c r="FT154" s="5"/>
      <c r="FU154" s="5"/>
      <c r="FV154" s="5"/>
      <c r="FW154" s="5"/>
      <c r="FX154" s="5"/>
      <c r="FY154" s="5"/>
      <c r="FZ154" s="5"/>
      <c r="GA154" s="5"/>
      <c r="GB154" s="5"/>
      <c r="GC154" s="5"/>
      <c r="GD154" s="5"/>
      <c r="GE154" s="5"/>
      <c r="GF154" s="5"/>
      <c r="GG154" s="5"/>
      <c r="GH154" s="5"/>
      <c r="GI154" s="5"/>
      <c r="GJ154" s="5"/>
      <c r="GK154" s="5"/>
      <c r="GL154" s="5"/>
      <c r="GM154" s="5"/>
      <c r="GN154" s="5"/>
      <c r="GO154" s="5"/>
      <c r="GP154" s="5"/>
      <c r="GQ154" s="5"/>
      <c r="GR154" s="5"/>
      <c r="GS154" s="5"/>
      <c r="GT154" s="5"/>
      <c r="GU154" s="5"/>
      <c r="GV154" s="5"/>
      <c r="GW154" s="5"/>
      <c r="GX154" s="5"/>
      <c r="GY154" s="5"/>
      <c r="GZ154" s="5"/>
      <c r="HA154" s="5"/>
      <c r="HB154" s="5"/>
      <c r="HC154" s="5"/>
      <c r="HD154" s="5"/>
      <c r="HE154" s="5"/>
      <c r="HF154" s="5"/>
      <c r="HG154" s="5"/>
      <c r="HH154" s="5"/>
      <c r="HI154" s="5"/>
      <c r="HJ154" s="5"/>
      <c r="HK154" s="5"/>
      <c r="HL154" s="5"/>
      <c r="HM154" s="5"/>
      <c r="HN154" s="5"/>
      <c r="HO154" s="5"/>
      <c r="HP154" s="5"/>
      <c r="HQ154" s="5"/>
      <c r="HR154" s="5"/>
      <c r="HS154" s="5"/>
      <c r="HT154" s="5"/>
      <c r="HU154" s="5"/>
      <c r="HV154" s="5"/>
      <c r="HW154" s="5"/>
      <c r="HX154" s="5"/>
      <c r="HY154" s="5"/>
      <c r="HZ154" s="5"/>
      <c r="IA154" s="5"/>
      <c r="IB154" s="5"/>
      <c r="IC154" s="5"/>
      <c r="ID154" s="5"/>
      <c r="IE154" s="5"/>
      <c r="IF154" s="5"/>
      <c r="IG154" s="5"/>
      <c r="IH154" s="5"/>
      <c r="II154" s="5"/>
      <c r="IJ154" s="5"/>
      <c r="IK154" s="5"/>
      <c r="IL154" s="5"/>
      <c r="IM154" s="5"/>
      <c r="IN154" s="5"/>
      <c r="IO154" s="5"/>
      <c r="IP154" s="5"/>
      <c r="IQ154" s="5"/>
      <c r="IR154" s="5"/>
      <c r="IS154" s="5"/>
      <c r="IT154" s="5"/>
      <c r="IU154" s="5"/>
      <c r="IV154" s="5"/>
      <c r="IW154" s="5"/>
      <c r="IX154" s="5"/>
      <c r="IY154" s="5"/>
      <c r="IZ154" s="5"/>
      <c r="JA154" s="5"/>
      <c r="JB154" s="5"/>
      <c r="JC154" s="5"/>
      <c r="JD154" s="5"/>
      <c r="JE154" s="5"/>
      <c r="JF154" s="5"/>
      <c r="JG154" s="5"/>
      <c r="JH154" s="5"/>
      <c r="JI154" s="5"/>
      <c r="JJ154" s="5"/>
      <c r="JK154" s="5"/>
      <c r="JL154" s="5"/>
      <c r="JM154" s="5"/>
      <c r="JN154" s="5"/>
      <c r="JO154" s="5"/>
      <c r="JP154" s="5"/>
      <c r="JQ154" s="5"/>
      <c r="JR154" s="5"/>
      <c r="JS154" s="5"/>
      <c r="JT154" s="5"/>
      <c r="JU154" s="5"/>
      <c r="JV154" s="5"/>
      <c r="JW154" s="5"/>
      <c r="JX154" s="5"/>
      <c r="JY154" s="5"/>
      <c r="JZ154" s="5"/>
      <c r="KA154" s="5"/>
      <c r="KB154" s="5"/>
      <c r="KC154" s="5"/>
      <c r="KD154" s="5"/>
      <c r="KE154" s="5"/>
      <c r="KF154" s="5"/>
      <c r="KG154" s="5"/>
      <c r="KH154" s="5"/>
      <c r="KI154" s="5"/>
      <c r="KJ154" s="5"/>
      <c r="KK154" s="5"/>
      <c r="KL154" s="5"/>
      <c r="KM154" s="5"/>
      <c r="KN154" s="5"/>
      <c r="KO154" s="5"/>
      <c r="KP154" s="5"/>
      <c r="KQ154" s="5"/>
      <c r="KR154" s="5"/>
      <c r="KS154" s="5"/>
      <c r="KT154" s="5"/>
      <c r="KU154" s="5"/>
      <c r="KV154" s="5"/>
      <c r="KW154" s="5"/>
      <c r="KX154" s="5"/>
      <c r="KY154" s="5"/>
      <c r="KZ154" s="5"/>
      <c r="LA154" s="5"/>
      <c r="LB154" s="5"/>
      <c r="LC154" s="5"/>
      <c r="LD154" s="5"/>
      <c r="LE154" s="5"/>
      <c r="LF154" s="5"/>
      <c r="LG154" s="5"/>
      <c r="LH154" s="5"/>
      <c r="LI154" s="5"/>
      <c r="LJ154" s="5"/>
      <c r="LK154" s="5"/>
      <c r="LL154" s="5"/>
      <c r="LM154" s="5"/>
      <c r="LN154" s="5"/>
      <c r="LO154" s="5"/>
      <c r="LP154" s="5"/>
      <c r="LQ154" s="5"/>
      <c r="LR154" s="5"/>
      <c r="LS154" s="5"/>
      <c r="LT154" s="5"/>
      <c r="LU154" s="5"/>
      <c r="LV154" s="5"/>
      <c r="LW154" s="5"/>
      <c r="LX154" s="5"/>
      <c r="LY154" s="5"/>
      <c r="LZ154" s="5"/>
      <c r="MA154" s="5"/>
      <c r="MB154" s="5"/>
      <c r="MC154" s="5"/>
      <c r="MD154" s="5"/>
      <c r="ME154" s="5"/>
      <c r="MF154" s="5"/>
      <c r="MG154" s="5"/>
      <c r="MH154" s="5"/>
      <c r="MI154" s="5"/>
      <c r="MJ154" s="5"/>
      <c r="MK154" s="5"/>
      <c r="ML154" s="5"/>
      <c r="MM154" s="5"/>
      <c r="MN154" s="5"/>
      <c r="MO154" s="5"/>
      <c r="MP154" s="5"/>
      <c r="MQ154" s="5"/>
      <c r="MR154" s="5"/>
      <c r="MS154" s="5"/>
      <c r="MT154" s="5"/>
      <c r="MU154" s="5"/>
      <c r="MV154" s="5"/>
      <c r="MW154" s="5"/>
      <c r="MX154" s="5"/>
      <c r="MY154" s="5"/>
      <c r="MZ154" s="5"/>
      <c r="NA154" s="5"/>
      <c r="NB154" s="5"/>
      <c r="NC154" s="5"/>
      <c r="ND154" s="5"/>
      <c r="NE154" s="5"/>
      <c r="NF154" s="5"/>
      <c r="NG154" s="5"/>
      <c r="NH154" s="5"/>
      <c r="NI154" s="5"/>
      <c r="NJ154" s="5"/>
      <c r="NK154" s="5"/>
      <c r="NL154" s="5"/>
      <c r="NM154" s="5"/>
      <c r="NN154" s="5"/>
      <c r="NO154" s="5"/>
      <c r="NP154" s="5"/>
      <c r="NQ154" s="5"/>
      <c r="NR154" s="5"/>
      <c r="NS154" s="5"/>
      <c r="NT154" s="5"/>
      <c r="NU154" s="5"/>
      <c r="NV154" s="5"/>
      <c r="NW154" s="5"/>
      <c r="NX154" s="5"/>
      <c r="NY154" s="5"/>
      <c r="NZ154" s="5"/>
      <c r="OA154" s="5"/>
      <c r="OB154" s="5"/>
      <c r="OC154" s="5"/>
      <c r="OD154" s="5"/>
      <c r="OE154" s="5"/>
      <c r="OF154" s="5"/>
      <c r="OG154" s="5"/>
      <c r="OH154" s="5"/>
      <c r="OI154" s="5"/>
      <c r="OJ154" s="5"/>
      <c r="OK154" s="5"/>
      <c r="OL154" s="5"/>
      <c r="OM154" s="5"/>
      <c r="ON154" s="5"/>
      <c r="OO154" s="5"/>
      <c r="OP154" s="5"/>
      <c r="OQ154" s="5"/>
      <c r="OR154" s="5"/>
      <c r="OS154" s="5"/>
      <c r="OT154" s="5"/>
      <c r="OU154" s="5"/>
      <c r="OV154" s="5"/>
      <c r="OW154" s="5"/>
      <c r="OX154" s="5"/>
      <c r="OY154" s="5"/>
      <c r="OZ154" s="5"/>
      <c r="PA154" s="5"/>
      <c r="PB154" s="5"/>
      <c r="PC154" s="5"/>
      <c r="PD154" s="5"/>
      <c r="PE154" s="5"/>
      <c r="PF154" s="5"/>
      <c r="PG154" s="5"/>
      <c r="PH154" s="5"/>
      <c r="PI154" s="5"/>
      <c r="PJ154" s="5"/>
      <c r="PK154" s="5"/>
      <c r="PL154" s="5"/>
      <c r="PM154" s="5"/>
      <c r="PN154" s="5"/>
      <c r="PO154" s="5"/>
      <c r="PP154" s="5"/>
      <c r="PQ154" s="5"/>
      <c r="PR154" s="5"/>
      <c r="PS154" s="5"/>
      <c r="PT154" s="5"/>
      <c r="PU154" s="5"/>
      <c r="PV154" s="5"/>
      <c r="PW154" s="5"/>
      <c r="PX154" s="5"/>
      <c r="PY154" s="5"/>
      <c r="PZ154" s="5"/>
      <c r="QA154" s="5"/>
      <c r="QB154" s="5"/>
      <c r="QC154" s="5"/>
      <c r="QD154" s="5"/>
      <c r="QE154" s="5"/>
      <c r="QF154" s="5"/>
      <c r="QG154" s="5"/>
      <c r="QH154" s="5"/>
      <c r="QI154" s="5"/>
      <c r="QJ154" s="5"/>
      <c r="QK154" s="5"/>
      <c r="QL154" s="5"/>
      <c r="QM154" s="5"/>
      <c r="QN154" s="5"/>
      <c r="QO154" s="5"/>
      <c r="QP154" s="5"/>
      <c r="QQ154" s="5"/>
      <c r="QR154" s="5"/>
      <c r="QS154" s="5"/>
      <c r="QT154" s="5"/>
      <c r="QU154" s="5"/>
      <c r="QV154" s="5"/>
      <c r="QW154" s="5"/>
      <c r="QX154" s="5"/>
      <c r="QY154" s="5"/>
      <c r="QZ154" s="5"/>
      <c r="RA154" s="5"/>
      <c r="RB154" s="5"/>
      <c r="RC154" s="5"/>
      <c r="RD154" s="5"/>
      <c r="RE154" s="5"/>
      <c r="RF154" s="5"/>
      <c r="RG154" s="5"/>
      <c r="RH154" s="5"/>
      <c r="RI154" s="5"/>
      <c r="RJ154" s="5"/>
      <c r="RK154" s="5"/>
      <c r="RL154" s="5"/>
      <c r="RM154" s="5"/>
      <c r="RN154" s="5"/>
      <c r="RO154" s="5"/>
      <c r="RP154" s="5"/>
      <c r="RQ154" s="5"/>
      <c r="RR154" s="5"/>
      <c r="RS154" s="5"/>
      <c r="RT154" s="5"/>
      <c r="RU154" s="5"/>
      <c r="RV154" s="5"/>
      <c r="RW154" s="5"/>
      <c r="RX154" s="5"/>
      <c r="RY154" s="5"/>
      <c r="RZ154" s="5"/>
      <c r="SA154" s="5"/>
      <c r="SB154" s="5"/>
      <c r="SC154" s="5"/>
      <c r="SD154" s="5"/>
      <c r="SE154" s="5"/>
      <c r="SF154" s="5"/>
      <c r="SG154" s="5"/>
      <c r="SH154" s="5"/>
      <c r="SI154" s="5"/>
      <c r="SJ154" s="5"/>
      <c r="SK154" s="5"/>
      <c r="SL154" s="5"/>
      <c r="SM154" s="5"/>
      <c r="SN154" s="5"/>
      <c r="SO154" s="5"/>
      <c r="SP154" s="5"/>
      <c r="SQ154" s="5"/>
      <c r="SR154" s="5"/>
      <c r="SS154" s="5"/>
      <c r="ST154" s="5"/>
      <c r="SU154" s="5"/>
      <c r="SV154" s="5"/>
      <c r="SW154" s="5"/>
      <c r="SX154" s="5"/>
      <c r="SY154" s="5"/>
      <c r="SZ154" s="5"/>
      <c r="TA154" s="5"/>
      <c r="TB154" s="5"/>
      <c r="TC154" s="5"/>
      <c r="TD154" s="5"/>
      <c r="TE154" s="5"/>
      <c r="TF154" s="5"/>
      <c r="TG154" s="5"/>
      <c r="TH154" s="5"/>
      <c r="TI154" s="5"/>
      <c r="TJ154" s="5"/>
      <c r="TK154" s="5"/>
      <c r="TL154" s="5"/>
      <c r="TM154" s="5"/>
      <c r="TN154" s="5"/>
      <c r="TO154" s="5"/>
      <c r="TP154" s="5"/>
      <c r="TQ154" s="5"/>
      <c r="TR154" s="5"/>
      <c r="TS154" s="5"/>
      <c r="TT154" s="5"/>
      <c r="TU154" s="5"/>
      <c r="TV154" s="5"/>
      <c r="TW154" s="5"/>
      <c r="TX154" s="5"/>
      <c r="TY154" s="5"/>
      <c r="TZ154" s="5"/>
      <c r="UA154" s="5"/>
      <c r="UB154" s="5"/>
      <c r="UC154" s="5"/>
      <c r="UD154" s="5"/>
      <c r="UE154" s="5"/>
      <c r="UF154" s="5"/>
      <c r="UG154" s="5"/>
      <c r="UH154" s="5"/>
      <c r="UI154" s="5"/>
      <c r="UJ154" s="5"/>
      <c r="UK154" s="5"/>
      <c r="UL154" s="5"/>
      <c r="UM154" s="5"/>
      <c r="UN154" s="5"/>
      <c r="UO154" s="5"/>
      <c r="UP154" s="5"/>
      <c r="UQ154" s="5"/>
      <c r="UR154" s="5"/>
      <c r="US154" s="5"/>
      <c r="UT154" s="5"/>
      <c r="UU154" s="5"/>
      <c r="UV154" s="5"/>
      <c r="UW154" s="5"/>
      <c r="UX154" s="5"/>
      <c r="UY154" s="5"/>
      <c r="UZ154" s="5"/>
      <c r="VA154" s="5"/>
      <c r="VB154" s="5"/>
      <c r="VC154" s="5"/>
      <c r="VD154" s="5"/>
      <c r="VE154" s="5"/>
      <c r="VF154" s="5"/>
      <c r="VG154" s="5"/>
      <c r="VH154" s="5"/>
      <c r="VI154" s="5"/>
      <c r="VJ154" s="5"/>
      <c r="VK154" s="5"/>
      <c r="VL154" s="5"/>
      <c r="VM154" s="5"/>
      <c r="VN154" s="5"/>
      <c r="VO154" s="5"/>
      <c r="VP154" s="5"/>
      <c r="VQ154" s="5"/>
      <c r="VR154" s="5"/>
      <c r="VS154" s="5"/>
      <c r="VT154" s="5"/>
      <c r="VU154" s="5"/>
      <c r="VV154" s="5"/>
      <c r="VW154" s="5"/>
      <c r="VX154" s="5"/>
      <c r="VY154" s="5"/>
      <c r="VZ154" s="5"/>
      <c r="WA154" s="5"/>
      <c r="WB154" s="5"/>
      <c r="WC154" s="5"/>
      <c r="WD154" s="5"/>
      <c r="WE154" s="5"/>
      <c r="WF154" s="5"/>
      <c r="WG154" s="5"/>
      <c r="WH154" s="5"/>
      <c r="WI154" s="5"/>
      <c r="WJ154" s="5"/>
      <c r="WK154" s="5"/>
      <c r="WL154" s="5"/>
      <c r="WM154" s="5"/>
      <c r="WN154" s="5"/>
      <c r="WO154" s="5"/>
      <c r="WP154" s="5"/>
      <c r="WQ154" s="5"/>
      <c r="WR154" s="5"/>
      <c r="WS154" s="5"/>
      <c r="WT154" s="5"/>
      <c r="WU154" s="5"/>
      <c r="WV154" s="5"/>
      <c r="WW154" s="5"/>
      <c r="WX154" s="5"/>
      <c r="WY154" s="5"/>
      <c r="WZ154" s="5"/>
      <c r="XA154" s="5"/>
      <c r="XB154" s="5"/>
      <c r="XC154" s="5"/>
      <c r="XD154" s="5"/>
      <c r="XE154" s="5"/>
      <c r="XF154" s="5"/>
      <c r="XG154" s="5"/>
      <c r="XH154" s="5"/>
      <c r="XI154" s="5"/>
      <c r="XJ154" s="5"/>
      <c r="XK154" s="5"/>
      <c r="XL154" s="5"/>
      <c r="XM154" s="5"/>
      <c r="XN154" s="5"/>
      <c r="XO154" s="5"/>
      <c r="XP154" s="5"/>
      <c r="XQ154" s="5"/>
      <c r="XR154" s="5"/>
      <c r="XS154" s="5"/>
      <c r="XT154" s="5"/>
      <c r="XU154" s="5"/>
      <c r="XV154" s="5"/>
      <c r="XW154" s="5"/>
      <c r="XX154" s="5"/>
      <c r="XY154" s="5"/>
      <c r="XZ154" s="5"/>
      <c r="YA154" s="5"/>
      <c r="YB154" s="5"/>
      <c r="YC154" s="5"/>
      <c r="YD154" s="5"/>
      <c r="YE154" s="5"/>
      <c r="YF154" s="5"/>
      <c r="YG154" s="5"/>
      <c r="YH154" s="5"/>
      <c r="YI154" s="5"/>
      <c r="YJ154" s="5"/>
      <c r="YK154" s="5"/>
      <c r="YL154" s="5"/>
      <c r="YM154" s="5"/>
      <c r="YN154" s="5"/>
      <c r="YO154" s="5"/>
      <c r="YP154" s="5"/>
      <c r="YQ154" s="5"/>
      <c r="YR154" s="5"/>
      <c r="YS154" s="5"/>
      <c r="YT154" s="5"/>
      <c r="YU154" s="5"/>
      <c r="YV154" s="5"/>
      <c r="YW154" s="5"/>
      <c r="YX154" s="5"/>
      <c r="YY154" s="5"/>
      <c r="YZ154" s="5"/>
    </row>
    <row r="155" spans="1:676">
      <c r="A155" s="7">
        <v>145</v>
      </c>
      <c r="B155" s="7" t="s">
        <v>360</v>
      </c>
      <c r="C155" s="10" t="s">
        <v>361</v>
      </c>
      <c r="D155" s="7" t="s">
        <v>48</v>
      </c>
      <c r="E155" s="7" t="s">
        <v>175</v>
      </c>
      <c r="F155" s="7" t="s">
        <v>291</v>
      </c>
      <c r="G155" s="7"/>
      <c r="H155" s="7"/>
      <c r="I155" s="11">
        <v>2</v>
      </c>
      <c r="J155" s="11">
        <v>3</v>
      </c>
      <c r="K155" s="11">
        <v>0</v>
      </c>
      <c r="L155" s="11">
        <v>3.779999999999999</v>
      </c>
      <c r="M155" s="11">
        <v>0</v>
      </c>
      <c r="N155" s="11">
        <v>0</v>
      </c>
      <c r="O155" s="11">
        <v>2.42</v>
      </c>
      <c r="P155" s="11">
        <v>0</v>
      </c>
      <c r="Q155" s="11">
        <v>6.199999999999999</v>
      </c>
      <c r="R155" s="11">
        <v>84.61999999999996</v>
      </c>
      <c r="S155" s="11">
        <v>90.81999999999996</v>
      </c>
      <c r="T155" s="11">
        <v>2</v>
      </c>
      <c r="U155" s="11">
        <v>3</v>
      </c>
      <c r="V155" s="11">
        <v>85.81999999999996</v>
      </c>
      <c r="W155" s="13">
        <v>24</v>
      </c>
      <c r="X155" s="13">
        <v>36</v>
      </c>
      <c r="Y155" s="13" t="str">
        <f>MIN(W155,S155)</f>
        <v>0</v>
      </c>
      <c r="Z155" s="13" t="str">
        <f>MIN(X155,(S155-Y155))</f>
        <v>0</v>
      </c>
      <c r="AA155" s="13" t="str">
        <f>S155-SUM(Y155,Z155)</f>
        <v>0</v>
      </c>
      <c r="AB155" s="15"/>
      <c r="AC155" s="15"/>
      <c r="AD155" s="1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  <c r="CY155" s="5"/>
      <c r="CZ155" s="5"/>
      <c r="DA155" s="5"/>
      <c r="DB155" s="5"/>
      <c r="DC155" s="5"/>
      <c r="DD155" s="5"/>
      <c r="DE155" s="5"/>
      <c r="DF155" s="5"/>
      <c r="DG155" s="5"/>
      <c r="DH155" s="5"/>
      <c r="DI155" s="5"/>
      <c r="DJ155" s="5"/>
      <c r="DK155" s="5"/>
      <c r="DL155" s="5"/>
      <c r="DM155" s="5"/>
      <c r="DN155" s="5"/>
      <c r="DO155" s="5"/>
      <c r="DP155" s="5"/>
      <c r="DQ155" s="5"/>
      <c r="DR155" s="5"/>
      <c r="DS155" s="5"/>
      <c r="DT155" s="5"/>
      <c r="DU155" s="5"/>
      <c r="DV155" s="5"/>
      <c r="DW155" s="5"/>
      <c r="DX155" s="5"/>
      <c r="DY155" s="5"/>
      <c r="DZ155" s="5"/>
      <c r="EA155" s="5"/>
      <c r="EB155" s="5"/>
      <c r="EC155" s="5"/>
      <c r="ED155" s="5"/>
      <c r="EE155" s="5"/>
      <c r="EF155" s="5"/>
      <c r="EG155" s="5"/>
      <c r="EH155" s="5"/>
      <c r="EI155" s="5"/>
      <c r="EJ155" s="5"/>
      <c r="EK155" s="5"/>
      <c r="EL155" s="5"/>
      <c r="EM155" s="5"/>
      <c r="EN155" s="5"/>
      <c r="EO155" s="5"/>
      <c r="EP155" s="5"/>
      <c r="EQ155" s="5"/>
      <c r="ER155" s="5"/>
      <c r="ES155" s="5"/>
      <c r="ET155" s="5"/>
      <c r="EU155" s="5"/>
      <c r="EV155" s="5"/>
      <c r="EW155" s="5"/>
      <c r="EX155" s="5"/>
      <c r="EY155" s="5"/>
      <c r="EZ155" s="5"/>
      <c r="FA155" s="5"/>
      <c r="FB155" s="5"/>
      <c r="FC155" s="5"/>
      <c r="FD155" s="5"/>
      <c r="FE155" s="5"/>
      <c r="FF155" s="5"/>
      <c r="FG155" s="5"/>
      <c r="FH155" s="5"/>
      <c r="FI155" s="5"/>
      <c r="FJ155" s="5"/>
      <c r="FK155" s="5"/>
      <c r="FL155" s="5"/>
      <c r="FM155" s="5"/>
      <c r="FN155" s="5"/>
      <c r="FO155" s="5"/>
      <c r="FP155" s="5"/>
      <c r="FQ155" s="5"/>
      <c r="FR155" s="5"/>
      <c r="FS155" s="5"/>
      <c r="FT155" s="5"/>
      <c r="FU155" s="5"/>
      <c r="FV155" s="5"/>
      <c r="FW155" s="5"/>
      <c r="FX155" s="5"/>
      <c r="FY155" s="5"/>
      <c r="FZ155" s="5"/>
      <c r="GA155" s="5"/>
      <c r="GB155" s="5"/>
      <c r="GC155" s="5"/>
      <c r="GD155" s="5"/>
      <c r="GE155" s="5"/>
      <c r="GF155" s="5"/>
      <c r="GG155" s="5"/>
      <c r="GH155" s="5"/>
      <c r="GI155" s="5"/>
      <c r="GJ155" s="5"/>
      <c r="GK155" s="5"/>
      <c r="GL155" s="5"/>
      <c r="GM155" s="5"/>
      <c r="GN155" s="5"/>
      <c r="GO155" s="5"/>
      <c r="GP155" s="5"/>
      <c r="GQ155" s="5"/>
      <c r="GR155" s="5"/>
      <c r="GS155" s="5"/>
      <c r="GT155" s="5"/>
      <c r="GU155" s="5"/>
      <c r="GV155" s="5"/>
      <c r="GW155" s="5"/>
      <c r="GX155" s="5"/>
      <c r="GY155" s="5"/>
      <c r="GZ155" s="5"/>
      <c r="HA155" s="5"/>
      <c r="HB155" s="5"/>
      <c r="HC155" s="5"/>
      <c r="HD155" s="5"/>
      <c r="HE155" s="5"/>
      <c r="HF155" s="5"/>
      <c r="HG155" s="5"/>
      <c r="HH155" s="5"/>
      <c r="HI155" s="5"/>
      <c r="HJ155" s="5"/>
      <c r="HK155" s="5"/>
      <c r="HL155" s="5"/>
      <c r="HM155" s="5"/>
      <c r="HN155" s="5"/>
      <c r="HO155" s="5"/>
      <c r="HP155" s="5"/>
      <c r="HQ155" s="5"/>
      <c r="HR155" s="5"/>
      <c r="HS155" s="5"/>
      <c r="HT155" s="5"/>
      <c r="HU155" s="5"/>
      <c r="HV155" s="5"/>
      <c r="HW155" s="5"/>
      <c r="HX155" s="5"/>
      <c r="HY155" s="5"/>
      <c r="HZ155" s="5"/>
      <c r="IA155" s="5"/>
      <c r="IB155" s="5"/>
      <c r="IC155" s="5"/>
      <c r="ID155" s="5"/>
      <c r="IE155" s="5"/>
      <c r="IF155" s="5"/>
      <c r="IG155" s="5"/>
      <c r="IH155" s="5"/>
      <c r="II155" s="5"/>
      <c r="IJ155" s="5"/>
      <c r="IK155" s="5"/>
      <c r="IL155" s="5"/>
      <c r="IM155" s="5"/>
      <c r="IN155" s="5"/>
      <c r="IO155" s="5"/>
      <c r="IP155" s="5"/>
      <c r="IQ155" s="5"/>
      <c r="IR155" s="5"/>
      <c r="IS155" s="5"/>
      <c r="IT155" s="5"/>
      <c r="IU155" s="5"/>
      <c r="IV155" s="5"/>
      <c r="IW155" s="5"/>
      <c r="IX155" s="5"/>
      <c r="IY155" s="5"/>
      <c r="IZ155" s="5"/>
      <c r="JA155" s="5"/>
      <c r="JB155" s="5"/>
      <c r="JC155" s="5"/>
      <c r="JD155" s="5"/>
      <c r="JE155" s="5"/>
      <c r="JF155" s="5"/>
      <c r="JG155" s="5"/>
      <c r="JH155" s="5"/>
      <c r="JI155" s="5"/>
      <c r="JJ155" s="5"/>
      <c r="JK155" s="5"/>
      <c r="JL155" s="5"/>
      <c r="JM155" s="5"/>
      <c r="JN155" s="5"/>
      <c r="JO155" s="5"/>
      <c r="JP155" s="5"/>
      <c r="JQ155" s="5"/>
      <c r="JR155" s="5"/>
      <c r="JS155" s="5"/>
      <c r="JT155" s="5"/>
      <c r="JU155" s="5"/>
      <c r="JV155" s="5"/>
      <c r="JW155" s="5"/>
      <c r="JX155" s="5"/>
      <c r="JY155" s="5"/>
      <c r="JZ155" s="5"/>
      <c r="KA155" s="5"/>
      <c r="KB155" s="5"/>
      <c r="KC155" s="5"/>
      <c r="KD155" s="5"/>
      <c r="KE155" s="5"/>
      <c r="KF155" s="5"/>
      <c r="KG155" s="5"/>
      <c r="KH155" s="5"/>
      <c r="KI155" s="5"/>
      <c r="KJ155" s="5"/>
      <c r="KK155" s="5"/>
      <c r="KL155" s="5"/>
      <c r="KM155" s="5"/>
      <c r="KN155" s="5"/>
      <c r="KO155" s="5"/>
      <c r="KP155" s="5"/>
      <c r="KQ155" s="5"/>
      <c r="KR155" s="5"/>
      <c r="KS155" s="5"/>
      <c r="KT155" s="5"/>
      <c r="KU155" s="5"/>
      <c r="KV155" s="5"/>
      <c r="KW155" s="5"/>
      <c r="KX155" s="5"/>
      <c r="KY155" s="5"/>
      <c r="KZ155" s="5"/>
      <c r="LA155" s="5"/>
      <c r="LB155" s="5"/>
      <c r="LC155" s="5"/>
      <c r="LD155" s="5"/>
      <c r="LE155" s="5"/>
      <c r="LF155" s="5"/>
      <c r="LG155" s="5"/>
      <c r="LH155" s="5"/>
      <c r="LI155" s="5"/>
      <c r="LJ155" s="5"/>
      <c r="LK155" s="5"/>
      <c r="LL155" s="5"/>
      <c r="LM155" s="5"/>
      <c r="LN155" s="5"/>
      <c r="LO155" s="5"/>
      <c r="LP155" s="5"/>
      <c r="LQ155" s="5"/>
      <c r="LR155" s="5"/>
      <c r="LS155" s="5"/>
      <c r="LT155" s="5"/>
      <c r="LU155" s="5"/>
      <c r="LV155" s="5"/>
      <c r="LW155" s="5"/>
      <c r="LX155" s="5"/>
      <c r="LY155" s="5"/>
      <c r="LZ155" s="5"/>
      <c r="MA155" s="5"/>
      <c r="MB155" s="5"/>
      <c r="MC155" s="5"/>
      <c r="MD155" s="5"/>
      <c r="ME155" s="5"/>
      <c r="MF155" s="5"/>
      <c r="MG155" s="5"/>
      <c r="MH155" s="5"/>
      <c r="MI155" s="5"/>
      <c r="MJ155" s="5"/>
      <c r="MK155" s="5"/>
      <c r="ML155" s="5"/>
      <c r="MM155" s="5"/>
      <c r="MN155" s="5"/>
      <c r="MO155" s="5"/>
      <c r="MP155" s="5"/>
      <c r="MQ155" s="5"/>
      <c r="MR155" s="5"/>
      <c r="MS155" s="5"/>
      <c r="MT155" s="5"/>
      <c r="MU155" s="5"/>
      <c r="MV155" s="5"/>
      <c r="MW155" s="5"/>
      <c r="MX155" s="5"/>
      <c r="MY155" s="5"/>
      <c r="MZ155" s="5"/>
      <c r="NA155" s="5"/>
      <c r="NB155" s="5"/>
      <c r="NC155" s="5"/>
      <c r="ND155" s="5"/>
      <c r="NE155" s="5"/>
      <c r="NF155" s="5"/>
      <c r="NG155" s="5"/>
      <c r="NH155" s="5"/>
      <c r="NI155" s="5"/>
      <c r="NJ155" s="5"/>
      <c r="NK155" s="5"/>
      <c r="NL155" s="5"/>
      <c r="NM155" s="5"/>
      <c r="NN155" s="5"/>
      <c r="NO155" s="5"/>
      <c r="NP155" s="5"/>
      <c r="NQ155" s="5"/>
      <c r="NR155" s="5"/>
      <c r="NS155" s="5"/>
      <c r="NT155" s="5"/>
      <c r="NU155" s="5"/>
      <c r="NV155" s="5"/>
      <c r="NW155" s="5"/>
      <c r="NX155" s="5"/>
      <c r="NY155" s="5"/>
      <c r="NZ155" s="5"/>
      <c r="OA155" s="5"/>
      <c r="OB155" s="5"/>
      <c r="OC155" s="5"/>
      <c r="OD155" s="5"/>
      <c r="OE155" s="5"/>
      <c r="OF155" s="5"/>
      <c r="OG155" s="5"/>
      <c r="OH155" s="5"/>
      <c r="OI155" s="5"/>
      <c r="OJ155" s="5"/>
      <c r="OK155" s="5"/>
      <c r="OL155" s="5"/>
      <c r="OM155" s="5"/>
      <c r="ON155" s="5"/>
      <c r="OO155" s="5"/>
      <c r="OP155" s="5"/>
      <c r="OQ155" s="5"/>
      <c r="OR155" s="5"/>
      <c r="OS155" s="5"/>
      <c r="OT155" s="5"/>
      <c r="OU155" s="5"/>
      <c r="OV155" s="5"/>
      <c r="OW155" s="5"/>
      <c r="OX155" s="5"/>
      <c r="OY155" s="5"/>
      <c r="OZ155" s="5"/>
      <c r="PA155" s="5"/>
      <c r="PB155" s="5"/>
      <c r="PC155" s="5"/>
      <c r="PD155" s="5"/>
      <c r="PE155" s="5"/>
      <c r="PF155" s="5"/>
      <c r="PG155" s="5"/>
      <c r="PH155" s="5"/>
      <c r="PI155" s="5"/>
      <c r="PJ155" s="5"/>
      <c r="PK155" s="5"/>
      <c r="PL155" s="5"/>
      <c r="PM155" s="5"/>
      <c r="PN155" s="5"/>
      <c r="PO155" s="5"/>
      <c r="PP155" s="5"/>
      <c r="PQ155" s="5"/>
      <c r="PR155" s="5"/>
      <c r="PS155" s="5"/>
      <c r="PT155" s="5"/>
      <c r="PU155" s="5"/>
      <c r="PV155" s="5"/>
      <c r="PW155" s="5"/>
      <c r="PX155" s="5"/>
      <c r="PY155" s="5"/>
      <c r="PZ155" s="5"/>
      <c r="QA155" s="5"/>
      <c r="QB155" s="5"/>
      <c r="QC155" s="5"/>
      <c r="QD155" s="5"/>
      <c r="QE155" s="5"/>
      <c r="QF155" s="5"/>
      <c r="QG155" s="5"/>
      <c r="QH155" s="5"/>
      <c r="QI155" s="5"/>
      <c r="QJ155" s="5"/>
      <c r="QK155" s="5"/>
      <c r="QL155" s="5"/>
      <c r="QM155" s="5"/>
      <c r="QN155" s="5"/>
      <c r="QO155" s="5"/>
      <c r="QP155" s="5"/>
      <c r="QQ155" s="5"/>
      <c r="QR155" s="5"/>
      <c r="QS155" s="5"/>
      <c r="QT155" s="5"/>
      <c r="QU155" s="5"/>
      <c r="QV155" s="5"/>
      <c r="QW155" s="5"/>
      <c r="QX155" s="5"/>
      <c r="QY155" s="5"/>
      <c r="QZ155" s="5"/>
      <c r="RA155" s="5"/>
      <c r="RB155" s="5"/>
      <c r="RC155" s="5"/>
      <c r="RD155" s="5"/>
      <c r="RE155" s="5"/>
      <c r="RF155" s="5"/>
      <c r="RG155" s="5"/>
      <c r="RH155" s="5"/>
      <c r="RI155" s="5"/>
      <c r="RJ155" s="5"/>
      <c r="RK155" s="5"/>
      <c r="RL155" s="5"/>
      <c r="RM155" s="5"/>
      <c r="RN155" s="5"/>
      <c r="RO155" s="5"/>
      <c r="RP155" s="5"/>
      <c r="RQ155" s="5"/>
      <c r="RR155" s="5"/>
      <c r="RS155" s="5"/>
      <c r="RT155" s="5"/>
      <c r="RU155" s="5"/>
      <c r="RV155" s="5"/>
      <c r="RW155" s="5"/>
      <c r="RX155" s="5"/>
      <c r="RY155" s="5"/>
      <c r="RZ155" s="5"/>
      <c r="SA155" s="5"/>
      <c r="SB155" s="5"/>
      <c r="SC155" s="5"/>
      <c r="SD155" s="5"/>
      <c r="SE155" s="5"/>
      <c r="SF155" s="5"/>
      <c r="SG155" s="5"/>
      <c r="SH155" s="5"/>
      <c r="SI155" s="5"/>
      <c r="SJ155" s="5"/>
      <c r="SK155" s="5"/>
      <c r="SL155" s="5"/>
      <c r="SM155" s="5"/>
      <c r="SN155" s="5"/>
      <c r="SO155" s="5"/>
      <c r="SP155" s="5"/>
      <c r="SQ155" s="5"/>
      <c r="SR155" s="5"/>
      <c r="SS155" s="5"/>
      <c r="ST155" s="5"/>
      <c r="SU155" s="5"/>
      <c r="SV155" s="5"/>
      <c r="SW155" s="5"/>
      <c r="SX155" s="5"/>
      <c r="SY155" s="5"/>
      <c r="SZ155" s="5"/>
      <c r="TA155" s="5"/>
      <c r="TB155" s="5"/>
      <c r="TC155" s="5"/>
      <c r="TD155" s="5"/>
      <c r="TE155" s="5"/>
      <c r="TF155" s="5"/>
      <c r="TG155" s="5"/>
      <c r="TH155" s="5"/>
      <c r="TI155" s="5"/>
      <c r="TJ155" s="5"/>
      <c r="TK155" s="5"/>
      <c r="TL155" s="5"/>
      <c r="TM155" s="5"/>
      <c r="TN155" s="5"/>
      <c r="TO155" s="5"/>
      <c r="TP155" s="5"/>
      <c r="TQ155" s="5"/>
      <c r="TR155" s="5"/>
      <c r="TS155" s="5"/>
      <c r="TT155" s="5"/>
      <c r="TU155" s="5"/>
      <c r="TV155" s="5"/>
      <c r="TW155" s="5"/>
      <c r="TX155" s="5"/>
      <c r="TY155" s="5"/>
      <c r="TZ155" s="5"/>
      <c r="UA155" s="5"/>
      <c r="UB155" s="5"/>
      <c r="UC155" s="5"/>
      <c r="UD155" s="5"/>
      <c r="UE155" s="5"/>
      <c r="UF155" s="5"/>
      <c r="UG155" s="5"/>
      <c r="UH155" s="5"/>
      <c r="UI155" s="5"/>
      <c r="UJ155" s="5"/>
      <c r="UK155" s="5"/>
      <c r="UL155" s="5"/>
      <c r="UM155" s="5"/>
      <c r="UN155" s="5"/>
      <c r="UO155" s="5"/>
      <c r="UP155" s="5"/>
      <c r="UQ155" s="5"/>
      <c r="UR155" s="5"/>
      <c r="US155" s="5"/>
      <c r="UT155" s="5"/>
      <c r="UU155" s="5"/>
      <c r="UV155" s="5"/>
      <c r="UW155" s="5"/>
      <c r="UX155" s="5"/>
      <c r="UY155" s="5"/>
      <c r="UZ155" s="5"/>
      <c r="VA155" s="5"/>
      <c r="VB155" s="5"/>
      <c r="VC155" s="5"/>
      <c r="VD155" s="5"/>
      <c r="VE155" s="5"/>
      <c r="VF155" s="5"/>
      <c r="VG155" s="5"/>
      <c r="VH155" s="5"/>
      <c r="VI155" s="5"/>
      <c r="VJ155" s="5"/>
      <c r="VK155" s="5"/>
      <c r="VL155" s="5"/>
      <c r="VM155" s="5"/>
      <c r="VN155" s="5"/>
      <c r="VO155" s="5"/>
      <c r="VP155" s="5"/>
      <c r="VQ155" s="5"/>
      <c r="VR155" s="5"/>
      <c r="VS155" s="5"/>
      <c r="VT155" s="5"/>
      <c r="VU155" s="5"/>
      <c r="VV155" s="5"/>
      <c r="VW155" s="5"/>
      <c r="VX155" s="5"/>
      <c r="VY155" s="5"/>
      <c r="VZ155" s="5"/>
      <c r="WA155" s="5"/>
      <c r="WB155" s="5"/>
      <c r="WC155" s="5"/>
      <c r="WD155" s="5"/>
      <c r="WE155" s="5"/>
      <c r="WF155" s="5"/>
      <c r="WG155" s="5"/>
      <c r="WH155" s="5"/>
      <c r="WI155" s="5"/>
      <c r="WJ155" s="5"/>
      <c r="WK155" s="5"/>
      <c r="WL155" s="5"/>
      <c r="WM155" s="5"/>
      <c r="WN155" s="5"/>
      <c r="WO155" s="5"/>
      <c r="WP155" s="5"/>
      <c r="WQ155" s="5"/>
      <c r="WR155" s="5"/>
      <c r="WS155" s="5"/>
      <c r="WT155" s="5"/>
      <c r="WU155" s="5"/>
      <c r="WV155" s="5"/>
      <c r="WW155" s="5"/>
      <c r="WX155" s="5"/>
      <c r="WY155" s="5"/>
      <c r="WZ155" s="5"/>
      <c r="XA155" s="5"/>
      <c r="XB155" s="5"/>
      <c r="XC155" s="5"/>
      <c r="XD155" s="5"/>
      <c r="XE155" s="5"/>
      <c r="XF155" s="5"/>
      <c r="XG155" s="5"/>
      <c r="XH155" s="5"/>
      <c r="XI155" s="5"/>
      <c r="XJ155" s="5"/>
      <c r="XK155" s="5"/>
      <c r="XL155" s="5"/>
      <c r="XM155" s="5"/>
      <c r="XN155" s="5"/>
      <c r="XO155" s="5"/>
      <c r="XP155" s="5"/>
      <c r="XQ155" s="5"/>
      <c r="XR155" s="5"/>
      <c r="XS155" s="5"/>
      <c r="XT155" s="5"/>
      <c r="XU155" s="5"/>
      <c r="XV155" s="5"/>
      <c r="XW155" s="5"/>
      <c r="XX155" s="5"/>
      <c r="XY155" s="5"/>
      <c r="XZ155" s="5"/>
      <c r="YA155" s="5"/>
      <c r="YB155" s="5"/>
      <c r="YC155" s="5"/>
      <c r="YD155" s="5"/>
      <c r="YE155" s="5"/>
      <c r="YF155" s="5"/>
      <c r="YG155" s="5"/>
      <c r="YH155" s="5"/>
      <c r="YI155" s="5"/>
      <c r="YJ155" s="5"/>
      <c r="YK155" s="5"/>
      <c r="YL155" s="5"/>
      <c r="YM155" s="5"/>
      <c r="YN155" s="5"/>
      <c r="YO155" s="5"/>
      <c r="YP155" s="5"/>
      <c r="YQ155" s="5"/>
      <c r="YR155" s="5"/>
      <c r="YS155" s="5"/>
      <c r="YT155" s="5"/>
      <c r="YU155" s="5"/>
      <c r="YV155" s="5"/>
      <c r="YW155" s="5"/>
      <c r="YX155" s="5"/>
      <c r="YY155" s="5"/>
      <c r="YZ155" s="5"/>
    </row>
    <row r="156" spans="1:676">
      <c r="A156" s="7">
        <v>146</v>
      </c>
      <c r="B156" s="7" t="s">
        <v>362</v>
      </c>
      <c r="C156" s="10" t="s">
        <v>363</v>
      </c>
      <c r="D156" s="7" t="s">
        <v>60</v>
      </c>
      <c r="E156" s="7" t="s">
        <v>175</v>
      </c>
      <c r="F156" s="7" t="s">
        <v>286</v>
      </c>
      <c r="G156" s="7"/>
      <c r="H156" s="7"/>
      <c r="I156" s="11">
        <v>2</v>
      </c>
      <c r="J156" s="11">
        <v>3</v>
      </c>
      <c r="K156" s="11">
        <v>0</v>
      </c>
      <c r="L156" s="11">
        <v>1.73</v>
      </c>
      <c r="M156" s="11">
        <v>0</v>
      </c>
      <c r="N156" s="11">
        <v>0</v>
      </c>
      <c r="O156" s="11">
        <v>2.17</v>
      </c>
      <c r="P156" s="11">
        <v>0</v>
      </c>
      <c r="Q156" s="11">
        <v>3.899999999999999</v>
      </c>
      <c r="R156" s="11">
        <v>37.32</v>
      </c>
      <c r="S156" s="11">
        <v>41.22</v>
      </c>
      <c r="T156" s="11">
        <v>2</v>
      </c>
      <c r="U156" s="11">
        <v>3</v>
      </c>
      <c r="V156" s="11">
        <v>36.22</v>
      </c>
      <c r="W156" s="13">
        <v>24</v>
      </c>
      <c r="X156" s="13">
        <v>36</v>
      </c>
      <c r="Y156" s="13" t="str">
        <f>MIN(W156,S156)</f>
        <v>0</v>
      </c>
      <c r="Z156" s="13" t="str">
        <f>MIN(X156,(S156-Y156))</f>
        <v>0</v>
      </c>
      <c r="AA156" s="13" t="str">
        <f>S156-SUM(Y156,Z156)</f>
        <v>0</v>
      </c>
      <c r="AB156" s="15"/>
      <c r="AC156" s="15"/>
      <c r="AD156" s="1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  <c r="DJ156" s="5"/>
      <c r="DK156" s="5"/>
      <c r="DL156" s="5"/>
      <c r="DM156" s="5"/>
      <c r="DN156" s="5"/>
      <c r="DO156" s="5"/>
      <c r="DP156" s="5"/>
      <c r="DQ156" s="5"/>
      <c r="DR156" s="5"/>
      <c r="DS156" s="5"/>
      <c r="DT156" s="5"/>
      <c r="DU156" s="5"/>
      <c r="DV156" s="5"/>
      <c r="DW156" s="5"/>
      <c r="DX156" s="5"/>
      <c r="DY156" s="5"/>
      <c r="DZ156" s="5"/>
      <c r="EA156" s="5"/>
      <c r="EB156" s="5"/>
      <c r="EC156" s="5"/>
      <c r="ED156" s="5"/>
      <c r="EE156" s="5"/>
      <c r="EF156" s="5"/>
      <c r="EG156" s="5"/>
      <c r="EH156" s="5"/>
      <c r="EI156" s="5"/>
      <c r="EJ156" s="5"/>
      <c r="EK156" s="5"/>
      <c r="EL156" s="5"/>
      <c r="EM156" s="5"/>
      <c r="EN156" s="5"/>
      <c r="EO156" s="5"/>
      <c r="EP156" s="5"/>
      <c r="EQ156" s="5"/>
      <c r="ER156" s="5"/>
      <c r="ES156" s="5"/>
      <c r="ET156" s="5"/>
      <c r="EU156" s="5"/>
      <c r="EV156" s="5"/>
      <c r="EW156" s="5"/>
      <c r="EX156" s="5"/>
      <c r="EY156" s="5"/>
      <c r="EZ156" s="5"/>
      <c r="FA156" s="5"/>
      <c r="FB156" s="5"/>
      <c r="FC156" s="5"/>
      <c r="FD156" s="5"/>
      <c r="FE156" s="5"/>
      <c r="FF156" s="5"/>
      <c r="FG156" s="5"/>
      <c r="FH156" s="5"/>
      <c r="FI156" s="5"/>
      <c r="FJ156" s="5"/>
      <c r="FK156" s="5"/>
      <c r="FL156" s="5"/>
      <c r="FM156" s="5"/>
      <c r="FN156" s="5"/>
      <c r="FO156" s="5"/>
      <c r="FP156" s="5"/>
      <c r="FQ156" s="5"/>
      <c r="FR156" s="5"/>
      <c r="FS156" s="5"/>
      <c r="FT156" s="5"/>
      <c r="FU156" s="5"/>
      <c r="FV156" s="5"/>
      <c r="FW156" s="5"/>
      <c r="FX156" s="5"/>
      <c r="FY156" s="5"/>
      <c r="FZ156" s="5"/>
      <c r="GA156" s="5"/>
      <c r="GB156" s="5"/>
      <c r="GC156" s="5"/>
      <c r="GD156" s="5"/>
      <c r="GE156" s="5"/>
      <c r="GF156" s="5"/>
      <c r="GG156" s="5"/>
      <c r="GH156" s="5"/>
      <c r="GI156" s="5"/>
      <c r="GJ156" s="5"/>
      <c r="GK156" s="5"/>
      <c r="GL156" s="5"/>
      <c r="GM156" s="5"/>
      <c r="GN156" s="5"/>
      <c r="GO156" s="5"/>
      <c r="GP156" s="5"/>
      <c r="GQ156" s="5"/>
      <c r="GR156" s="5"/>
      <c r="GS156" s="5"/>
      <c r="GT156" s="5"/>
      <c r="GU156" s="5"/>
      <c r="GV156" s="5"/>
      <c r="GW156" s="5"/>
      <c r="GX156" s="5"/>
      <c r="GY156" s="5"/>
      <c r="GZ156" s="5"/>
      <c r="HA156" s="5"/>
      <c r="HB156" s="5"/>
      <c r="HC156" s="5"/>
      <c r="HD156" s="5"/>
      <c r="HE156" s="5"/>
      <c r="HF156" s="5"/>
      <c r="HG156" s="5"/>
      <c r="HH156" s="5"/>
      <c r="HI156" s="5"/>
      <c r="HJ156" s="5"/>
      <c r="HK156" s="5"/>
      <c r="HL156" s="5"/>
      <c r="HM156" s="5"/>
      <c r="HN156" s="5"/>
      <c r="HO156" s="5"/>
      <c r="HP156" s="5"/>
      <c r="HQ156" s="5"/>
      <c r="HR156" s="5"/>
      <c r="HS156" s="5"/>
      <c r="HT156" s="5"/>
      <c r="HU156" s="5"/>
      <c r="HV156" s="5"/>
      <c r="HW156" s="5"/>
      <c r="HX156" s="5"/>
      <c r="HY156" s="5"/>
      <c r="HZ156" s="5"/>
      <c r="IA156" s="5"/>
      <c r="IB156" s="5"/>
      <c r="IC156" s="5"/>
      <c r="ID156" s="5"/>
      <c r="IE156" s="5"/>
      <c r="IF156" s="5"/>
      <c r="IG156" s="5"/>
      <c r="IH156" s="5"/>
      <c r="II156" s="5"/>
      <c r="IJ156" s="5"/>
      <c r="IK156" s="5"/>
      <c r="IL156" s="5"/>
      <c r="IM156" s="5"/>
      <c r="IN156" s="5"/>
      <c r="IO156" s="5"/>
      <c r="IP156" s="5"/>
      <c r="IQ156" s="5"/>
      <c r="IR156" s="5"/>
      <c r="IS156" s="5"/>
      <c r="IT156" s="5"/>
      <c r="IU156" s="5"/>
      <c r="IV156" s="5"/>
      <c r="IW156" s="5"/>
      <c r="IX156" s="5"/>
      <c r="IY156" s="5"/>
      <c r="IZ156" s="5"/>
      <c r="JA156" s="5"/>
      <c r="JB156" s="5"/>
      <c r="JC156" s="5"/>
      <c r="JD156" s="5"/>
      <c r="JE156" s="5"/>
      <c r="JF156" s="5"/>
      <c r="JG156" s="5"/>
      <c r="JH156" s="5"/>
      <c r="JI156" s="5"/>
      <c r="JJ156" s="5"/>
      <c r="JK156" s="5"/>
      <c r="JL156" s="5"/>
      <c r="JM156" s="5"/>
      <c r="JN156" s="5"/>
      <c r="JO156" s="5"/>
      <c r="JP156" s="5"/>
      <c r="JQ156" s="5"/>
      <c r="JR156" s="5"/>
      <c r="JS156" s="5"/>
      <c r="JT156" s="5"/>
      <c r="JU156" s="5"/>
      <c r="JV156" s="5"/>
      <c r="JW156" s="5"/>
      <c r="JX156" s="5"/>
      <c r="JY156" s="5"/>
      <c r="JZ156" s="5"/>
      <c r="KA156" s="5"/>
      <c r="KB156" s="5"/>
      <c r="KC156" s="5"/>
      <c r="KD156" s="5"/>
      <c r="KE156" s="5"/>
      <c r="KF156" s="5"/>
      <c r="KG156" s="5"/>
      <c r="KH156" s="5"/>
      <c r="KI156" s="5"/>
      <c r="KJ156" s="5"/>
      <c r="KK156" s="5"/>
      <c r="KL156" s="5"/>
      <c r="KM156" s="5"/>
      <c r="KN156" s="5"/>
      <c r="KO156" s="5"/>
      <c r="KP156" s="5"/>
      <c r="KQ156" s="5"/>
      <c r="KR156" s="5"/>
      <c r="KS156" s="5"/>
      <c r="KT156" s="5"/>
      <c r="KU156" s="5"/>
      <c r="KV156" s="5"/>
      <c r="KW156" s="5"/>
      <c r="KX156" s="5"/>
      <c r="KY156" s="5"/>
      <c r="KZ156" s="5"/>
      <c r="LA156" s="5"/>
      <c r="LB156" s="5"/>
      <c r="LC156" s="5"/>
      <c r="LD156" s="5"/>
      <c r="LE156" s="5"/>
      <c r="LF156" s="5"/>
      <c r="LG156" s="5"/>
      <c r="LH156" s="5"/>
      <c r="LI156" s="5"/>
      <c r="LJ156" s="5"/>
      <c r="LK156" s="5"/>
      <c r="LL156" s="5"/>
      <c r="LM156" s="5"/>
      <c r="LN156" s="5"/>
      <c r="LO156" s="5"/>
      <c r="LP156" s="5"/>
      <c r="LQ156" s="5"/>
      <c r="LR156" s="5"/>
      <c r="LS156" s="5"/>
      <c r="LT156" s="5"/>
      <c r="LU156" s="5"/>
      <c r="LV156" s="5"/>
      <c r="LW156" s="5"/>
      <c r="LX156" s="5"/>
      <c r="LY156" s="5"/>
      <c r="LZ156" s="5"/>
      <c r="MA156" s="5"/>
      <c r="MB156" s="5"/>
      <c r="MC156" s="5"/>
      <c r="MD156" s="5"/>
      <c r="ME156" s="5"/>
      <c r="MF156" s="5"/>
      <c r="MG156" s="5"/>
      <c r="MH156" s="5"/>
      <c r="MI156" s="5"/>
      <c r="MJ156" s="5"/>
      <c r="MK156" s="5"/>
      <c r="ML156" s="5"/>
      <c r="MM156" s="5"/>
      <c r="MN156" s="5"/>
      <c r="MO156" s="5"/>
      <c r="MP156" s="5"/>
      <c r="MQ156" s="5"/>
      <c r="MR156" s="5"/>
      <c r="MS156" s="5"/>
      <c r="MT156" s="5"/>
      <c r="MU156" s="5"/>
      <c r="MV156" s="5"/>
      <c r="MW156" s="5"/>
      <c r="MX156" s="5"/>
      <c r="MY156" s="5"/>
      <c r="MZ156" s="5"/>
      <c r="NA156" s="5"/>
      <c r="NB156" s="5"/>
      <c r="NC156" s="5"/>
      <c r="ND156" s="5"/>
      <c r="NE156" s="5"/>
      <c r="NF156" s="5"/>
      <c r="NG156" s="5"/>
      <c r="NH156" s="5"/>
      <c r="NI156" s="5"/>
      <c r="NJ156" s="5"/>
      <c r="NK156" s="5"/>
      <c r="NL156" s="5"/>
      <c r="NM156" s="5"/>
      <c r="NN156" s="5"/>
      <c r="NO156" s="5"/>
      <c r="NP156" s="5"/>
      <c r="NQ156" s="5"/>
      <c r="NR156" s="5"/>
      <c r="NS156" s="5"/>
      <c r="NT156" s="5"/>
      <c r="NU156" s="5"/>
      <c r="NV156" s="5"/>
      <c r="NW156" s="5"/>
      <c r="NX156" s="5"/>
      <c r="NY156" s="5"/>
      <c r="NZ156" s="5"/>
      <c r="OA156" s="5"/>
      <c r="OB156" s="5"/>
      <c r="OC156" s="5"/>
      <c r="OD156" s="5"/>
      <c r="OE156" s="5"/>
      <c r="OF156" s="5"/>
      <c r="OG156" s="5"/>
      <c r="OH156" s="5"/>
      <c r="OI156" s="5"/>
      <c r="OJ156" s="5"/>
      <c r="OK156" s="5"/>
      <c r="OL156" s="5"/>
      <c r="OM156" s="5"/>
      <c r="ON156" s="5"/>
      <c r="OO156" s="5"/>
      <c r="OP156" s="5"/>
      <c r="OQ156" s="5"/>
      <c r="OR156" s="5"/>
      <c r="OS156" s="5"/>
      <c r="OT156" s="5"/>
      <c r="OU156" s="5"/>
      <c r="OV156" s="5"/>
      <c r="OW156" s="5"/>
      <c r="OX156" s="5"/>
      <c r="OY156" s="5"/>
      <c r="OZ156" s="5"/>
      <c r="PA156" s="5"/>
      <c r="PB156" s="5"/>
      <c r="PC156" s="5"/>
      <c r="PD156" s="5"/>
      <c r="PE156" s="5"/>
      <c r="PF156" s="5"/>
      <c r="PG156" s="5"/>
      <c r="PH156" s="5"/>
      <c r="PI156" s="5"/>
      <c r="PJ156" s="5"/>
      <c r="PK156" s="5"/>
      <c r="PL156" s="5"/>
      <c r="PM156" s="5"/>
      <c r="PN156" s="5"/>
      <c r="PO156" s="5"/>
      <c r="PP156" s="5"/>
      <c r="PQ156" s="5"/>
      <c r="PR156" s="5"/>
      <c r="PS156" s="5"/>
      <c r="PT156" s="5"/>
      <c r="PU156" s="5"/>
      <c r="PV156" s="5"/>
      <c r="PW156" s="5"/>
      <c r="PX156" s="5"/>
      <c r="PY156" s="5"/>
      <c r="PZ156" s="5"/>
      <c r="QA156" s="5"/>
      <c r="QB156" s="5"/>
      <c r="QC156" s="5"/>
      <c r="QD156" s="5"/>
      <c r="QE156" s="5"/>
      <c r="QF156" s="5"/>
      <c r="QG156" s="5"/>
      <c r="QH156" s="5"/>
      <c r="QI156" s="5"/>
      <c r="QJ156" s="5"/>
      <c r="QK156" s="5"/>
      <c r="QL156" s="5"/>
      <c r="QM156" s="5"/>
      <c r="QN156" s="5"/>
      <c r="QO156" s="5"/>
      <c r="QP156" s="5"/>
      <c r="QQ156" s="5"/>
      <c r="QR156" s="5"/>
      <c r="QS156" s="5"/>
      <c r="QT156" s="5"/>
      <c r="QU156" s="5"/>
      <c r="QV156" s="5"/>
      <c r="QW156" s="5"/>
      <c r="QX156" s="5"/>
      <c r="QY156" s="5"/>
      <c r="QZ156" s="5"/>
      <c r="RA156" s="5"/>
      <c r="RB156" s="5"/>
      <c r="RC156" s="5"/>
      <c r="RD156" s="5"/>
      <c r="RE156" s="5"/>
      <c r="RF156" s="5"/>
      <c r="RG156" s="5"/>
      <c r="RH156" s="5"/>
      <c r="RI156" s="5"/>
      <c r="RJ156" s="5"/>
      <c r="RK156" s="5"/>
      <c r="RL156" s="5"/>
      <c r="RM156" s="5"/>
      <c r="RN156" s="5"/>
      <c r="RO156" s="5"/>
      <c r="RP156" s="5"/>
      <c r="RQ156" s="5"/>
      <c r="RR156" s="5"/>
      <c r="RS156" s="5"/>
      <c r="RT156" s="5"/>
      <c r="RU156" s="5"/>
      <c r="RV156" s="5"/>
      <c r="RW156" s="5"/>
      <c r="RX156" s="5"/>
      <c r="RY156" s="5"/>
      <c r="RZ156" s="5"/>
      <c r="SA156" s="5"/>
      <c r="SB156" s="5"/>
      <c r="SC156" s="5"/>
      <c r="SD156" s="5"/>
      <c r="SE156" s="5"/>
      <c r="SF156" s="5"/>
      <c r="SG156" s="5"/>
      <c r="SH156" s="5"/>
      <c r="SI156" s="5"/>
      <c r="SJ156" s="5"/>
      <c r="SK156" s="5"/>
      <c r="SL156" s="5"/>
      <c r="SM156" s="5"/>
      <c r="SN156" s="5"/>
      <c r="SO156" s="5"/>
      <c r="SP156" s="5"/>
      <c r="SQ156" s="5"/>
      <c r="SR156" s="5"/>
      <c r="SS156" s="5"/>
      <c r="ST156" s="5"/>
      <c r="SU156" s="5"/>
      <c r="SV156" s="5"/>
      <c r="SW156" s="5"/>
      <c r="SX156" s="5"/>
      <c r="SY156" s="5"/>
      <c r="SZ156" s="5"/>
      <c r="TA156" s="5"/>
      <c r="TB156" s="5"/>
      <c r="TC156" s="5"/>
      <c r="TD156" s="5"/>
      <c r="TE156" s="5"/>
      <c r="TF156" s="5"/>
      <c r="TG156" s="5"/>
      <c r="TH156" s="5"/>
      <c r="TI156" s="5"/>
      <c r="TJ156" s="5"/>
      <c r="TK156" s="5"/>
      <c r="TL156" s="5"/>
      <c r="TM156" s="5"/>
      <c r="TN156" s="5"/>
      <c r="TO156" s="5"/>
      <c r="TP156" s="5"/>
      <c r="TQ156" s="5"/>
      <c r="TR156" s="5"/>
      <c r="TS156" s="5"/>
      <c r="TT156" s="5"/>
      <c r="TU156" s="5"/>
      <c r="TV156" s="5"/>
      <c r="TW156" s="5"/>
      <c r="TX156" s="5"/>
      <c r="TY156" s="5"/>
      <c r="TZ156" s="5"/>
      <c r="UA156" s="5"/>
      <c r="UB156" s="5"/>
      <c r="UC156" s="5"/>
      <c r="UD156" s="5"/>
      <c r="UE156" s="5"/>
      <c r="UF156" s="5"/>
      <c r="UG156" s="5"/>
      <c r="UH156" s="5"/>
      <c r="UI156" s="5"/>
      <c r="UJ156" s="5"/>
      <c r="UK156" s="5"/>
      <c r="UL156" s="5"/>
      <c r="UM156" s="5"/>
      <c r="UN156" s="5"/>
      <c r="UO156" s="5"/>
      <c r="UP156" s="5"/>
      <c r="UQ156" s="5"/>
      <c r="UR156" s="5"/>
      <c r="US156" s="5"/>
      <c r="UT156" s="5"/>
      <c r="UU156" s="5"/>
      <c r="UV156" s="5"/>
      <c r="UW156" s="5"/>
      <c r="UX156" s="5"/>
      <c r="UY156" s="5"/>
      <c r="UZ156" s="5"/>
      <c r="VA156" s="5"/>
      <c r="VB156" s="5"/>
      <c r="VC156" s="5"/>
      <c r="VD156" s="5"/>
      <c r="VE156" s="5"/>
      <c r="VF156" s="5"/>
      <c r="VG156" s="5"/>
      <c r="VH156" s="5"/>
      <c r="VI156" s="5"/>
      <c r="VJ156" s="5"/>
      <c r="VK156" s="5"/>
      <c r="VL156" s="5"/>
      <c r="VM156" s="5"/>
      <c r="VN156" s="5"/>
      <c r="VO156" s="5"/>
      <c r="VP156" s="5"/>
      <c r="VQ156" s="5"/>
      <c r="VR156" s="5"/>
      <c r="VS156" s="5"/>
      <c r="VT156" s="5"/>
      <c r="VU156" s="5"/>
      <c r="VV156" s="5"/>
      <c r="VW156" s="5"/>
      <c r="VX156" s="5"/>
      <c r="VY156" s="5"/>
      <c r="VZ156" s="5"/>
      <c r="WA156" s="5"/>
      <c r="WB156" s="5"/>
      <c r="WC156" s="5"/>
      <c r="WD156" s="5"/>
      <c r="WE156" s="5"/>
      <c r="WF156" s="5"/>
      <c r="WG156" s="5"/>
      <c r="WH156" s="5"/>
      <c r="WI156" s="5"/>
      <c r="WJ156" s="5"/>
      <c r="WK156" s="5"/>
      <c r="WL156" s="5"/>
      <c r="WM156" s="5"/>
      <c r="WN156" s="5"/>
      <c r="WO156" s="5"/>
      <c r="WP156" s="5"/>
      <c r="WQ156" s="5"/>
      <c r="WR156" s="5"/>
      <c r="WS156" s="5"/>
      <c r="WT156" s="5"/>
      <c r="WU156" s="5"/>
      <c r="WV156" s="5"/>
      <c r="WW156" s="5"/>
      <c r="WX156" s="5"/>
      <c r="WY156" s="5"/>
      <c r="WZ156" s="5"/>
      <c r="XA156" s="5"/>
      <c r="XB156" s="5"/>
      <c r="XC156" s="5"/>
      <c r="XD156" s="5"/>
      <c r="XE156" s="5"/>
      <c r="XF156" s="5"/>
      <c r="XG156" s="5"/>
      <c r="XH156" s="5"/>
      <c r="XI156" s="5"/>
      <c r="XJ156" s="5"/>
      <c r="XK156" s="5"/>
      <c r="XL156" s="5"/>
      <c r="XM156" s="5"/>
      <c r="XN156" s="5"/>
      <c r="XO156" s="5"/>
      <c r="XP156" s="5"/>
      <c r="XQ156" s="5"/>
      <c r="XR156" s="5"/>
      <c r="XS156" s="5"/>
      <c r="XT156" s="5"/>
      <c r="XU156" s="5"/>
      <c r="XV156" s="5"/>
      <c r="XW156" s="5"/>
      <c r="XX156" s="5"/>
      <c r="XY156" s="5"/>
      <c r="XZ156" s="5"/>
      <c r="YA156" s="5"/>
      <c r="YB156" s="5"/>
      <c r="YC156" s="5"/>
      <c r="YD156" s="5"/>
      <c r="YE156" s="5"/>
      <c r="YF156" s="5"/>
      <c r="YG156" s="5"/>
      <c r="YH156" s="5"/>
      <c r="YI156" s="5"/>
      <c r="YJ156" s="5"/>
      <c r="YK156" s="5"/>
      <c r="YL156" s="5"/>
      <c r="YM156" s="5"/>
      <c r="YN156" s="5"/>
      <c r="YO156" s="5"/>
      <c r="YP156" s="5"/>
      <c r="YQ156" s="5"/>
      <c r="YR156" s="5"/>
      <c r="YS156" s="5"/>
      <c r="YT156" s="5"/>
      <c r="YU156" s="5"/>
      <c r="YV156" s="5"/>
      <c r="YW156" s="5"/>
      <c r="YX156" s="5"/>
      <c r="YY156" s="5"/>
      <c r="YZ156" s="5"/>
    </row>
    <row r="157" spans="1:676">
      <c r="A157" s="7">
        <v>147</v>
      </c>
      <c r="B157" s="7" t="s">
        <v>364</v>
      </c>
      <c r="C157" s="10" t="s">
        <v>365</v>
      </c>
      <c r="D157" s="7" t="s">
        <v>48</v>
      </c>
      <c r="E157" s="7" t="s">
        <v>175</v>
      </c>
      <c r="F157" s="7" t="s">
        <v>286</v>
      </c>
      <c r="G157" s="7"/>
      <c r="H157" s="7"/>
      <c r="I157" s="11">
        <v>2</v>
      </c>
      <c r="J157" s="11">
        <v>3</v>
      </c>
      <c r="K157" s="11">
        <v>0</v>
      </c>
      <c r="L157" s="11">
        <v>4.14</v>
      </c>
      <c r="M157" s="11">
        <v>0.17</v>
      </c>
      <c r="N157" s="11">
        <v>0</v>
      </c>
      <c r="O157" s="11">
        <v>1.55</v>
      </c>
      <c r="P157" s="11">
        <v>0</v>
      </c>
      <c r="Q157" s="11">
        <v>5.859999999999999</v>
      </c>
      <c r="R157" s="11">
        <v>85.33999999999993</v>
      </c>
      <c r="S157" s="11">
        <v>91.19999999999993</v>
      </c>
      <c r="T157" s="11">
        <v>2</v>
      </c>
      <c r="U157" s="11">
        <v>3</v>
      </c>
      <c r="V157" s="11">
        <v>86.19999999999993</v>
      </c>
      <c r="W157" s="13">
        <v>24</v>
      </c>
      <c r="X157" s="13">
        <v>36</v>
      </c>
      <c r="Y157" s="13" t="str">
        <f>MIN(W157,S157)</f>
        <v>0</v>
      </c>
      <c r="Z157" s="13" t="str">
        <f>MIN(X157,(S157-Y157))</f>
        <v>0</v>
      </c>
      <c r="AA157" s="13" t="str">
        <f>S157-SUM(Y157,Z157)</f>
        <v>0</v>
      </c>
      <c r="AB157" s="15"/>
      <c r="AC157" s="15"/>
      <c r="AD157" s="1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5"/>
      <c r="DH157" s="5"/>
      <c r="DI157" s="5"/>
      <c r="DJ157" s="5"/>
      <c r="DK157" s="5"/>
      <c r="DL157" s="5"/>
      <c r="DM157" s="5"/>
      <c r="DN157" s="5"/>
      <c r="DO157" s="5"/>
      <c r="DP157" s="5"/>
      <c r="DQ157" s="5"/>
      <c r="DR157" s="5"/>
      <c r="DS157" s="5"/>
      <c r="DT157" s="5"/>
      <c r="DU157" s="5"/>
      <c r="DV157" s="5"/>
      <c r="DW157" s="5"/>
      <c r="DX157" s="5"/>
      <c r="DY157" s="5"/>
      <c r="DZ157" s="5"/>
      <c r="EA157" s="5"/>
      <c r="EB157" s="5"/>
      <c r="EC157" s="5"/>
      <c r="ED157" s="5"/>
      <c r="EE157" s="5"/>
      <c r="EF157" s="5"/>
      <c r="EG157" s="5"/>
      <c r="EH157" s="5"/>
      <c r="EI157" s="5"/>
      <c r="EJ157" s="5"/>
      <c r="EK157" s="5"/>
      <c r="EL157" s="5"/>
      <c r="EM157" s="5"/>
      <c r="EN157" s="5"/>
      <c r="EO157" s="5"/>
      <c r="EP157" s="5"/>
      <c r="EQ157" s="5"/>
      <c r="ER157" s="5"/>
      <c r="ES157" s="5"/>
      <c r="ET157" s="5"/>
      <c r="EU157" s="5"/>
      <c r="EV157" s="5"/>
      <c r="EW157" s="5"/>
      <c r="EX157" s="5"/>
      <c r="EY157" s="5"/>
      <c r="EZ157" s="5"/>
      <c r="FA157" s="5"/>
      <c r="FB157" s="5"/>
      <c r="FC157" s="5"/>
      <c r="FD157" s="5"/>
      <c r="FE157" s="5"/>
      <c r="FF157" s="5"/>
      <c r="FG157" s="5"/>
      <c r="FH157" s="5"/>
      <c r="FI157" s="5"/>
      <c r="FJ157" s="5"/>
      <c r="FK157" s="5"/>
      <c r="FL157" s="5"/>
      <c r="FM157" s="5"/>
      <c r="FN157" s="5"/>
      <c r="FO157" s="5"/>
      <c r="FP157" s="5"/>
      <c r="FQ157" s="5"/>
      <c r="FR157" s="5"/>
      <c r="FS157" s="5"/>
      <c r="FT157" s="5"/>
      <c r="FU157" s="5"/>
      <c r="FV157" s="5"/>
      <c r="FW157" s="5"/>
      <c r="FX157" s="5"/>
      <c r="FY157" s="5"/>
      <c r="FZ157" s="5"/>
      <c r="GA157" s="5"/>
      <c r="GB157" s="5"/>
      <c r="GC157" s="5"/>
      <c r="GD157" s="5"/>
      <c r="GE157" s="5"/>
      <c r="GF157" s="5"/>
      <c r="GG157" s="5"/>
      <c r="GH157" s="5"/>
      <c r="GI157" s="5"/>
      <c r="GJ157" s="5"/>
      <c r="GK157" s="5"/>
      <c r="GL157" s="5"/>
      <c r="GM157" s="5"/>
      <c r="GN157" s="5"/>
      <c r="GO157" s="5"/>
      <c r="GP157" s="5"/>
      <c r="GQ157" s="5"/>
      <c r="GR157" s="5"/>
      <c r="GS157" s="5"/>
      <c r="GT157" s="5"/>
      <c r="GU157" s="5"/>
      <c r="GV157" s="5"/>
      <c r="GW157" s="5"/>
      <c r="GX157" s="5"/>
      <c r="GY157" s="5"/>
      <c r="GZ157" s="5"/>
      <c r="HA157" s="5"/>
      <c r="HB157" s="5"/>
      <c r="HC157" s="5"/>
      <c r="HD157" s="5"/>
      <c r="HE157" s="5"/>
      <c r="HF157" s="5"/>
      <c r="HG157" s="5"/>
      <c r="HH157" s="5"/>
      <c r="HI157" s="5"/>
      <c r="HJ157" s="5"/>
      <c r="HK157" s="5"/>
      <c r="HL157" s="5"/>
      <c r="HM157" s="5"/>
      <c r="HN157" s="5"/>
      <c r="HO157" s="5"/>
      <c r="HP157" s="5"/>
      <c r="HQ157" s="5"/>
      <c r="HR157" s="5"/>
      <c r="HS157" s="5"/>
      <c r="HT157" s="5"/>
      <c r="HU157" s="5"/>
      <c r="HV157" s="5"/>
      <c r="HW157" s="5"/>
      <c r="HX157" s="5"/>
      <c r="HY157" s="5"/>
      <c r="HZ157" s="5"/>
      <c r="IA157" s="5"/>
      <c r="IB157" s="5"/>
      <c r="IC157" s="5"/>
      <c r="ID157" s="5"/>
      <c r="IE157" s="5"/>
      <c r="IF157" s="5"/>
      <c r="IG157" s="5"/>
      <c r="IH157" s="5"/>
      <c r="II157" s="5"/>
      <c r="IJ157" s="5"/>
      <c r="IK157" s="5"/>
      <c r="IL157" s="5"/>
      <c r="IM157" s="5"/>
      <c r="IN157" s="5"/>
      <c r="IO157" s="5"/>
      <c r="IP157" s="5"/>
      <c r="IQ157" s="5"/>
      <c r="IR157" s="5"/>
      <c r="IS157" s="5"/>
      <c r="IT157" s="5"/>
      <c r="IU157" s="5"/>
      <c r="IV157" s="5"/>
      <c r="IW157" s="5"/>
      <c r="IX157" s="5"/>
      <c r="IY157" s="5"/>
      <c r="IZ157" s="5"/>
      <c r="JA157" s="5"/>
      <c r="JB157" s="5"/>
      <c r="JC157" s="5"/>
      <c r="JD157" s="5"/>
      <c r="JE157" s="5"/>
      <c r="JF157" s="5"/>
      <c r="JG157" s="5"/>
      <c r="JH157" s="5"/>
      <c r="JI157" s="5"/>
      <c r="JJ157" s="5"/>
      <c r="JK157" s="5"/>
      <c r="JL157" s="5"/>
      <c r="JM157" s="5"/>
      <c r="JN157" s="5"/>
      <c r="JO157" s="5"/>
      <c r="JP157" s="5"/>
      <c r="JQ157" s="5"/>
      <c r="JR157" s="5"/>
      <c r="JS157" s="5"/>
      <c r="JT157" s="5"/>
      <c r="JU157" s="5"/>
      <c r="JV157" s="5"/>
      <c r="JW157" s="5"/>
      <c r="JX157" s="5"/>
      <c r="JY157" s="5"/>
      <c r="JZ157" s="5"/>
      <c r="KA157" s="5"/>
      <c r="KB157" s="5"/>
      <c r="KC157" s="5"/>
      <c r="KD157" s="5"/>
      <c r="KE157" s="5"/>
      <c r="KF157" s="5"/>
      <c r="KG157" s="5"/>
      <c r="KH157" s="5"/>
      <c r="KI157" s="5"/>
      <c r="KJ157" s="5"/>
      <c r="KK157" s="5"/>
      <c r="KL157" s="5"/>
      <c r="KM157" s="5"/>
      <c r="KN157" s="5"/>
      <c r="KO157" s="5"/>
      <c r="KP157" s="5"/>
      <c r="KQ157" s="5"/>
      <c r="KR157" s="5"/>
      <c r="KS157" s="5"/>
      <c r="KT157" s="5"/>
      <c r="KU157" s="5"/>
      <c r="KV157" s="5"/>
      <c r="KW157" s="5"/>
      <c r="KX157" s="5"/>
      <c r="KY157" s="5"/>
      <c r="KZ157" s="5"/>
      <c r="LA157" s="5"/>
      <c r="LB157" s="5"/>
      <c r="LC157" s="5"/>
      <c r="LD157" s="5"/>
      <c r="LE157" s="5"/>
      <c r="LF157" s="5"/>
      <c r="LG157" s="5"/>
      <c r="LH157" s="5"/>
      <c r="LI157" s="5"/>
      <c r="LJ157" s="5"/>
      <c r="LK157" s="5"/>
      <c r="LL157" s="5"/>
      <c r="LM157" s="5"/>
      <c r="LN157" s="5"/>
      <c r="LO157" s="5"/>
      <c r="LP157" s="5"/>
      <c r="LQ157" s="5"/>
      <c r="LR157" s="5"/>
      <c r="LS157" s="5"/>
      <c r="LT157" s="5"/>
      <c r="LU157" s="5"/>
      <c r="LV157" s="5"/>
      <c r="LW157" s="5"/>
      <c r="LX157" s="5"/>
      <c r="LY157" s="5"/>
      <c r="LZ157" s="5"/>
      <c r="MA157" s="5"/>
      <c r="MB157" s="5"/>
      <c r="MC157" s="5"/>
      <c r="MD157" s="5"/>
      <c r="ME157" s="5"/>
      <c r="MF157" s="5"/>
      <c r="MG157" s="5"/>
      <c r="MH157" s="5"/>
      <c r="MI157" s="5"/>
      <c r="MJ157" s="5"/>
      <c r="MK157" s="5"/>
      <c r="ML157" s="5"/>
      <c r="MM157" s="5"/>
      <c r="MN157" s="5"/>
      <c r="MO157" s="5"/>
      <c r="MP157" s="5"/>
      <c r="MQ157" s="5"/>
      <c r="MR157" s="5"/>
      <c r="MS157" s="5"/>
      <c r="MT157" s="5"/>
      <c r="MU157" s="5"/>
      <c r="MV157" s="5"/>
      <c r="MW157" s="5"/>
      <c r="MX157" s="5"/>
      <c r="MY157" s="5"/>
      <c r="MZ157" s="5"/>
      <c r="NA157" s="5"/>
      <c r="NB157" s="5"/>
      <c r="NC157" s="5"/>
      <c r="ND157" s="5"/>
      <c r="NE157" s="5"/>
      <c r="NF157" s="5"/>
      <c r="NG157" s="5"/>
      <c r="NH157" s="5"/>
      <c r="NI157" s="5"/>
      <c r="NJ157" s="5"/>
      <c r="NK157" s="5"/>
      <c r="NL157" s="5"/>
      <c r="NM157" s="5"/>
      <c r="NN157" s="5"/>
      <c r="NO157" s="5"/>
      <c r="NP157" s="5"/>
      <c r="NQ157" s="5"/>
      <c r="NR157" s="5"/>
      <c r="NS157" s="5"/>
      <c r="NT157" s="5"/>
      <c r="NU157" s="5"/>
      <c r="NV157" s="5"/>
      <c r="NW157" s="5"/>
      <c r="NX157" s="5"/>
      <c r="NY157" s="5"/>
      <c r="NZ157" s="5"/>
      <c r="OA157" s="5"/>
      <c r="OB157" s="5"/>
      <c r="OC157" s="5"/>
      <c r="OD157" s="5"/>
      <c r="OE157" s="5"/>
      <c r="OF157" s="5"/>
      <c r="OG157" s="5"/>
      <c r="OH157" s="5"/>
      <c r="OI157" s="5"/>
      <c r="OJ157" s="5"/>
      <c r="OK157" s="5"/>
      <c r="OL157" s="5"/>
      <c r="OM157" s="5"/>
      <c r="ON157" s="5"/>
      <c r="OO157" s="5"/>
      <c r="OP157" s="5"/>
      <c r="OQ157" s="5"/>
      <c r="OR157" s="5"/>
      <c r="OS157" s="5"/>
      <c r="OT157" s="5"/>
      <c r="OU157" s="5"/>
      <c r="OV157" s="5"/>
      <c r="OW157" s="5"/>
      <c r="OX157" s="5"/>
      <c r="OY157" s="5"/>
      <c r="OZ157" s="5"/>
      <c r="PA157" s="5"/>
      <c r="PB157" s="5"/>
      <c r="PC157" s="5"/>
      <c r="PD157" s="5"/>
      <c r="PE157" s="5"/>
      <c r="PF157" s="5"/>
      <c r="PG157" s="5"/>
      <c r="PH157" s="5"/>
      <c r="PI157" s="5"/>
      <c r="PJ157" s="5"/>
      <c r="PK157" s="5"/>
      <c r="PL157" s="5"/>
      <c r="PM157" s="5"/>
      <c r="PN157" s="5"/>
      <c r="PO157" s="5"/>
      <c r="PP157" s="5"/>
      <c r="PQ157" s="5"/>
      <c r="PR157" s="5"/>
      <c r="PS157" s="5"/>
      <c r="PT157" s="5"/>
      <c r="PU157" s="5"/>
      <c r="PV157" s="5"/>
      <c r="PW157" s="5"/>
      <c r="PX157" s="5"/>
      <c r="PY157" s="5"/>
      <c r="PZ157" s="5"/>
      <c r="QA157" s="5"/>
      <c r="QB157" s="5"/>
      <c r="QC157" s="5"/>
      <c r="QD157" s="5"/>
      <c r="QE157" s="5"/>
      <c r="QF157" s="5"/>
      <c r="QG157" s="5"/>
      <c r="QH157" s="5"/>
      <c r="QI157" s="5"/>
      <c r="QJ157" s="5"/>
      <c r="QK157" s="5"/>
      <c r="QL157" s="5"/>
      <c r="QM157" s="5"/>
      <c r="QN157" s="5"/>
      <c r="QO157" s="5"/>
      <c r="QP157" s="5"/>
      <c r="QQ157" s="5"/>
      <c r="QR157" s="5"/>
      <c r="QS157" s="5"/>
      <c r="QT157" s="5"/>
      <c r="QU157" s="5"/>
      <c r="QV157" s="5"/>
      <c r="QW157" s="5"/>
      <c r="QX157" s="5"/>
      <c r="QY157" s="5"/>
      <c r="QZ157" s="5"/>
      <c r="RA157" s="5"/>
      <c r="RB157" s="5"/>
      <c r="RC157" s="5"/>
      <c r="RD157" s="5"/>
      <c r="RE157" s="5"/>
      <c r="RF157" s="5"/>
      <c r="RG157" s="5"/>
      <c r="RH157" s="5"/>
      <c r="RI157" s="5"/>
      <c r="RJ157" s="5"/>
      <c r="RK157" s="5"/>
      <c r="RL157" s="5"/>
      <c r="RM157" s="5"/>
      <c r="RN157" s="5"/>
      <c r="RO157" s="5"/>
      <c r="RP157" s="5"/>
      <c r="RQ157" s="5"/>
      <c r="RR157" s="5"/>
      <c r="RS157" s="5"/>
      <c r="RT157" s="5"/>
      <c r="RU157" s="5"/>
      <c r="RV157" s="5"/>
      <c r="RW157" s="5"/>
      <c r="RX157" s="5"/>
      <c r="RY157" s="5"/>
      <c r="RZ157" s="5"/>
      <c r="SA157" s="5"/>
      <c r="SB157" s="5"/>
      <c r="SC157" s="5"/>
      <c r="SD157" s="5"/>
      <c r="SE157" s="5"/>
      <c r="SF157" s="5"/>
      <c r="SG157" s="5"/>
      <c r="SH157" s="5"/>
      <c r="SI157" s="5"/>
      <c r="SJ157" s="5"/>
      <c r="SK157" s="5"/>
      <c r="SL157" s="5"/>
      <c r="SM157" s="5"/>
      <c r="SN157" s="5"/>
      <c r="SO157" s="5"/>
      <c r="SP157" s="5"/>
      <c r="SQ157" s="5"/>
      <c r="SR157" s="5"/>
      <c r="SS157" s="5"/>
      <c r="ST157" s="5"/>
      <c r="SU157" s="5"/>
      <c r="SV157" s="5"/>
      <c r="SW157" s="5"/>
      <c r="SX157" s="5"/>
      <c r="SY157" s="5"/>
      <c r="SZ157" s="5"/>
      <c r="TA157" s="5"/>
      <c r="TB157" s="5"/>
      <c r="TC157" s="5"/>
      <c r="TD157" s="5"/>
      <c r="TE157" s="5"/>
      <c r="TF157" s="5"/>
      <c r="TG157" s="5"/>
      <c r="TH157" s="5"/>
      <c r="TI157" s="5"/>
      <c r="TJ157" s="5"/>
      <c r="TK157" s="5"/>
      <c r="TL157" s="5"/>
      <c r="TM157" s="5"/>
      <c r="TN157" s="5"/>
      <c r="TO157" s="5"/>
      <c r="TP157" s="5"/>
      <c r="TQ157" s="5"/>
      <c r="TR157" s="5"/>
      <c r="TS157" s="5"/>
      <c r="TT157" s="5"/>
      <c r="TU157" s="5"/>
      <c r="TV157" s="5"/>
      <c r="TW157" s="5"/>
      <c r="TX157" s="5"/>
      <c r="TY157" s="5"/>
      <c r="TZ157" s="5"/>
      <c r="UA157" s="5"/>
      <c r="UB157" s="5"/>
      <c r="UC157" s="5"/>
      <c r="UD157" s="5"/>
      <c r="UE157" s="5"/>
      <c r="UF157" s="5"/>
      <c r="UG157" s="5"/>
      <c r="UH157" s="5"/>
      <c r="UI157" s="5"/>
      <c r="UJ157" s="5"/>
      <c r="UK157" s="5"/>
      <c r="UL157" s="5"/>
      <c r="UM157" s="5"/>
      <c r="UN157" s="5"/>
      <c r="UO157" s="5"/>
      <c r="UP157" s="5"/>
      <c r="UQ157" s="5"/>
      <c r="UR157" s="5"/>
      <c r="US157" s="5"/>
      <c r="UT157" s="5"/>
      <c r="UU157" s="5"/>
      <c r="UV157" s="5"/>
      <c r="UW157" s="5"/>
      <c r="UX157" s="5"/>
      <c r="UY157" s="5"/>
      <c r="UZ157" s="5"/>
      <c r="VA157" s="5"/>
      <c r="VB157" s="5"/>
      <c r="VC157" s="5"/>
      <c r="VD157" s="5"/>
      <c r="VE157" s="5"/>
      <c r="VF157" s="5"/>
      <c r="VG157" s="5"/>
      <c r="VH157" s="5"/>
      <c r="VI157" s="5"/>
      <c r="VJ157" s="5"/>
      <c r="VK157" s="5"/>
      <c r="VL157" s="5"/>
      <c r="VM157" s="5"/>
      <c r="VN157" s="5"/>
      <c r="VO157" s="5"/>
      <c r="VP157" s="5"/>
      <c r="VQ157" s="5"/>
      <c r="VR157" s="5"/>
      <c r="VS157" s="5"/>
      <c r="VT157" s="5"/>
      <c r="VU157" s="5"/>
      <c r="VV157" s="5"/>
      <c r="VW157" s="5"/>
      <c r="VX157" s="5"/>
      <c r="VY157" s="5"/>
      <c r="VZ157" s="5"/>
      <c r="WA157" s="5"/>
      <c r="WB157" s="5"/>
      <c r="WC157" s="5"/>
      <c r="WD157" s="5"/>
      <c r="WE157" s="5"/>
      <c r="WF157" s="5"/>
      <c r="WG157" s="5"/>
      <c r="WH157" s="5"/>
      <c r="WI157" s="5"/>
      <c r="WJ157" s="5"/>
      <c r="WK157" s="5"/>
      <c r="WL157" s="5"/>
      <c r="WM157" s="5"/>
      <c r="WN157" s="5"/>
      <c r="WO157" s="5"/>
      <c r="WP157" s="5"/>
      <c r="WQ157" s="5"/>
      <c r="WR157" s="5"/>
      <c r="WS157" s="5"/>
      <c r="WT157" s="5"/>
      <c r="WU157" s="5"/>
      <c r="WV157" s="5"/>
      <c r="WW157" s="5"/>
      <c r="WX157" s="5"/>
      <c r="WY157" s="5"/>
      <c r="WZ157" s="5"/>
      <c r="XA157" s="5"/>
      <c r="XB157" s="5"/>
      <c r="XC157" s="5"/>
      <c r="XD157" s="5"/>
      <c r="XE157" s="5"/>
      <c r="XF157" s="5"/>
      <c r="XG157" s="5"/>
      <c r="XH157" s="5"/>
      <c r="XI157" s="5"/>
      <c r="XJ157" s="5"/>
      <c r="XK157" s="5"/>
      <c r="XL157" s="5"/>
      <c r="XM157" s="5"/>
      <c r="XN157" s="5"/>
      <c r="XO157" s="5"/>
      <c r="XP157" s="5"/>
      <c r="XQ157" s="5"/>
      <c r="XR157" s="5"/>
      <c r="XS157" s="5"/>
      <c r="XT157" s="5"/>
      <c r="XU157" s="5"/>
      <c r="XV157" s="5"/>
      <c r="XW157" s="5"/>
      <c r="XX157" s="5"/>
      <c r="XY157" s="5"/>
      <c r="XZ157" s="5"/>
      <c r="YA157" s="5"/>
      <c r="YB157" s="5"/>
      <c r="YC157" s="5"/>
      <c r="YD157" s="5"/>
      <c r="YE157" s="5"/>
      <c r="YF157" s="5"/>
      <c r="YG157" s="5"/>
      <c r="YH157" s="5"/>
      <c r="YI157" s="5"/>
      <c r="YJ157" s="5"/>
      <c r="YK157" s="5"/>
      <c r="YL157" s="5"/>
      <c r="YM157" s="5"/>
      <c r="YN157" s="5"/>
      <c r="YO157" s="5"/>
      <c r="YP157" s="5"/>
      <c r="YQ157" s="5"/>
      <c r="YR157" s="5"/>
      <c r="YS157" s="5"/>
      <c r="YT157" s="5"/>
      <c r="YU157" s="5"/>
      <c r="YV157" s="5"/>
      <c r="YW157" s="5"/>
      <c r="YX157" s="5"/>
      <c r="YY157" s="5"/>
      <c r="YZ157" s="5"/>
    </row>
    <row r="158" spans="1:676">
      <c r="A158" s="7">
        <v>148</v>
      </c>
      <c r="B158" s="7" t="s">
        <v>366</v>
      </c>
      <c r="C158" s="10" t="s">
        <v>367</v>
      </c>
      <c r="D158" s="7" t="s">
        <v>60</v>
      </c>
      <c r="E158" s="7" t="s">
        <v>175</v>
      </c>
      <c r="F158" s="7" t="s">
        <v>291</v>
      </c>
      <c r="G158" s="7"/>
      <c r="H158" s="7"/>
      <c r="I158" s="11">
        <v>2</v>
      </c>
      <c r="J158" s="11">
        <v>3</v>
      </c>
      <c r="K158" s="11">
        <v>0</v>
      </c>
      <c r="L158" s="11">
        <v>4.010000000000001</v>
      </c>
      <c r="M158" s="11">
        <v>0</v>
      </c>
      <c r="N158" s="11">
        <v>0</v>
      </c>
      <c r="O158" s="11">
        <v>2.73</v>
      </c>
      <c r="P158" s="11">
        <v>0</v>
      </c>
      <c r="Q158" s="11">
        <v>6.74</v>
      </c>
      <c r="R158" s="11">
        <v>70.74999999999996</v>
      </c>
      <c r="S158" s="11">
        <v>77.48999999999995</v>
      </c>
      <c r="T158" s="11">
        <v>2</v>
      </c>
      <c r="U158" s="11">
        <v>3</v>
      </c>
      <c r="V158" s="11">
        <v>72.48999999999995</v>
      </c>
      <c r="W158" s="13">
        <v>24</v>
      </c>
      <c r="X158" s="13">
        <v>36</v>
      </c>
      <c r="Y158" s="13" t="str">
        <f>MIN(W158,S158)</f>
        <v>0</v>
      </c>
      <c r="Z158" s="13" t="str">
        <f>MIN(X158,(S158-Y158))</f>
        <v>0</v>
      </c>
      <c r="AA158" s="13" t="str">
        <f>S158-SUM(Y158,Z158)</f>
        <v>0</v>
      </c>
      <c r="AB158" s="15"/>
      <c r="AC158" s="15"/>
      <c r="AD158" s="1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/>
      <c r="DI158" s="5"/>
      <c r="DJ158" s="5"/>
      <c r="DK158" s="5"/>
      <c r="DL158" s="5"/>
      <c r="DM158" s="5"/>
      <c r="DN158" s="5"/>
      <c r="DO158" s="5"/>
      <c r="DP158" s="5"/>
      <c r="DQ158" s="5"/>
      <c r="DR158" s="5"/>
      <c r="DS158" s="5"/>
      <c r="DT158" s="5"/>
      <c r="DU158" s="5"/>
      <c r="DV158" s="5"/>
      <c r="DW158" s="5"/>
      <c r="DX158" s="5"/>
      <c r="DY158" s="5"/>
      <c r="DZ158" s="5"/>
      <c r="EA158" s="5"/>
      <c r="EB158" s="5"/>
      <c r="EC158" s="5"/>
      <c r="ED158" s="5"/>
      <c r="EE158" s="5"/>
      <c r="EF158" s="5"/>
      <c r="EG158" s="5"/>
      <c r="EH158" s="5"/>
      <c r="EI158" s="5"/>
      <c r="EJ158" s="5"/>
      <c r="EK158" s="5"/>
      <c r="EL158" s="5"/>
      <c r="EM158" s="5"/>
      <c r="EN158" s="5"/>
      <c r="EO158" s="5"/>
      <c r="EP158" s="5"/>
      <c r="EQ158" s="5"/>
      <c r="ER158" s="5"/>
      <c r="ES158" s="5"/>
      <c r="ET158" s="5"/>
      <c r="EU158" s="5"/>
      <c r="EV158" s="5"/>
      <c r="EW158" s="5"/>
      <c r="EX158" s="5"/>
      <c r="EY158" s="5"/>
      <c r="EZ158" s="5"/>
      <c r="FA158" s="5"/>
      <c r="FB158" s="5"/>
      <c r="FC158" s="5"/>
      <c r="FD158" s="5"/>
      <c r="FE158" s="5"/>
      <c r="FF158" s="5"/>
      <c r="FG158" s="5"/>
      <c r="FH158" s="5"/>
      <c r="FI158" s="5"/>
      <c r="FJ158" s="5"/>
      <c r="FK158" s="5"/>
      <c r="FL158" s="5"/>
      <c r="FM158" s="5"/>
      <c r="FN158" s="5"/>
      <c r="FO158" s="5"/>
      <c r="FP158" s="5"/>
      <c r="FQ158" s="5"/>
      <c r="FR158" s="5"/>
      <c r="FS158" s="5"/>
      <c r="FT158" s="5"/>
      <c r="FU158" s="5"/>
      <c r="FV158" s="5"/>
      <c r="FW158" s="5"/>
      <c r="FX158" s="5"/>
      <c r="FY158" s="5"/>
      <c r="FZ158" s="5"/>
      <c r="GA158" s="5"/>
      <c r="GB158" s="5"/>
      <c r="GC158" s="5"/>
      <c r="GD158" s="5"/>
      <c r="GE158" s="5"/>
      <c r="GF158" s="5"/>
      <c r="GG158" s="5"/>
      <c r="GH158" s="5"/>
      <c r="GI158" s="5"/>
      <c r="GJ158" s="5"/>
      <c r="GK158" s="5"/>
      <c r="GL158" s="5"/>
      <c r="GM158" s="5"/>
      <c r="GN158" s="5"/>
      <c r="GO158" s="5"/>
      <c r="GP158" s="5"/>
      <c r="GQ158" s="5"/>
      <c r="GR158" s="5"/>
      <c r="GS158" s="5"/>
      <c r="GT158" s="5"/>
      <c r="GU158" s="5"/>
      <c r="GV158" s="5"/>
      <c r="GW158" s="5"/>
      <c r="GX158" s="5"/>
      <c r="GY158" s="5"/>
      <c r="GZ158" s="5"/>
      <c r="HA158" s="5"/>
      <c r="HB158" s="5"/>
      <c r="HC158" s="5"/>
      <c r="HD158" s="5"/>
      <c r="HE158" s="5"/>
      <c r="HF158" s="5"/>
      <c r="HG158" s="5"/>
      <c r="HH158" s="5"/>
      <c r="HI158" s="5"/>
      <c r="HJ158" s="5"/>
      <c r="HK158" s="5"/>
      <c r="HL158" s="5"/>
      <c r="HM158" s="5"/>
      <c r="HN158" s="5"/>
      <c r="HO158" s="5"/>
      <c r="HP158" s="5"/>
      <c r="HQ158" s="5"/>
      <c r="HR158" s="5"/>
      <c r="HS158" s="5"/>
      <c r="HT158" s="5"/>
      <c r="HU158" s="5"/>
      <c r="HV158" s="5"/>
      <c r="HW158" s="5"/>
      <c r="HX158" s="5"/>
      <c r="HY158" s="5"/>
      <c r="HZ158" s="5"/>
      <c r="IA158" s="5"/>
      <c r="IB158" s="5"/>
      <c r="IC158" s="5"/>
      <c r="ID158" s="5"/>
      <c r="IE158" s="5"/>
      <c r="IF158" s="5"/>
      <c r="IG158" s="5"/>
      <c r="IH158" s="5"/>
      <c r="II158" s="5"/>
      <c r="IJ158" s="5"/>
      <c r="IK158" s="5"/>
      <c r="IL158" s="5"/>
      <c r="IM158" s="5"/>
      <c r="IN158" s="5"/>
      <c r="IO158" s="5"/>
      <c r="IP158" s="5"/>
      <c r="IQ158" s="5"/>
      <c r="IR158" s="5"/>
      <c r="IS158" s="5"/>
      <c r="IT158" s="5"/>
      <c r="IU158" s="5"/>
      <c r="IV158" s="5"/>
      <c r="IW158" s="5"/>
      <c r="IX158" s="5"/>
      <c r="IY158" s="5"/>
      <c r="IZ158" s="5"/>
      <c r="JA158" s="5"/>
      <c r="JB158" s="5"/>
      <c r="JC158" s="5"/>
      <c r="JD158" s="5"/>
      <c r="JE158" s="5"/>
      <c r="JF158" s="5"/>
      <c r="JG158" s="5"/>
      <c r="JH158" s="5"/>
      <c r="JI158" s="5"/>
      <c r="JJ158" s="5"/>
      <c r="JK158" s="5"/>
      <c r="JL158" s="5"/>
      <c r="JM158" s="5"/>
      <c r="JN158" s="5"/>
      <c r="JO158" s="5"/>
      <c r="JP158" s="5"/>
      <c r="JQ158" s="5"/>
      <c r="JR158" s="5"/>
      <c r="JS158" s="5"/>
      <c r="JT158" s="5"/>
      <c r="JU158" s="5"/>
      <c r="JV158" s="5"/>
      <c r="JW158" s="5"/>
      <c r="JX158" s="5"/>
      <c r="JY158" s="5"/>
      <c r="JZ158" s="5"/>
      <c r="KA158" s="5"/>
      <c r="KB158" s="5"/>
      <c r="KC158" s="5"/>
      <c r="KD158" s="5"/>
      <c r="KE158" s="5"/>
      <c r="KF158" s="5"/>
      <c r="KG158" s="5"/>
      <c r="KH158" s="5"/>
      <c r="KI158" s="5"/>
      <c r="KJ158" s="5"/>
      <c r="KK158" s="5"/>
      <c r="KL158" s="5"/>
      <c r="KM158" s="5"/>
      <c r="KN158" s="5"/>
      <c r="KO158" s="5"/>
      <c r="KP158" s="5"/>
      <c r="KQ158" s="5"/>
      <c r="KR158" s="5"/>
      <c r="KS158" s="5"/>
      <c r="KT158" s="5"/>
      <c r="KU158" s="5"/>
      <c r="KV158" s="5"/>
      <c r="KW158" s="5"/>
      <c r="KX158" s="5"/>
      <c r="KY158" s="5"/>
      <c r="KZ158" s="5"/>
      <c r="LA158" s="5"/>
      <c r="LB158" s="5"/>
      <c r="LC158" s="5"/>
      <c r="LD158" s="5"/>
      <c r="LE158" s="5"/>
      <c r="LF158" s="5"/>
      <c r="LG158" s="5"/>
      <c r="LH158" s="5"/>
      <c r="LI158" s="5"/>
      <c r="LJ158" s="5"/>
      <c r="LK158" s="5"/>
      <c r="LL158" s="5"/>
      <c r="LM158" s="5"/>
      <c r="LN158" s="5"/>
      <c r="LO158" s="5"/>
      <c r="LP158" s="5"/>
      <c r="LQ158" s="5"/>
      <c r="LR158" s="5"/>
      <c r="LS158" s="5"/>
      <c r="LT158" s="5"/>
      <c r="LU158" s="5"/>
      <c r="LV158" s="5"/>
      <c r="LW158" s="5"/>
      <c r="LX158" s="5"/>
      <c r="LY158" s="5"/>
      <c r="LZ158" s="5"/>
      <c r="MA158" s="5"/>
      <c r="MB158" s="5"/>
      <c r="MC158" s="5"/>
      <c r="MD158" s="5"/>
      <c r="ME158" s="5"/>
      <c r="MF158" s="5"/>
      <c r="MG158" s="5"/>
      <c r="MH158" s="5"/>
      <c r="MI158" s="5"/>
      <c r="MJ158" s="5"/>
      <c r="MK158" s="5"/>
      <c r="ML158" s="5"/>
      <c r="MM158" s="5"/>
      <c r="MN158" s="5"/>
      <c r="MO158" s="5"/>
      <c r="MP158" s="5"/>
      <c r="MQ158" s="5"/>
      <c r="MR158" s="5"/>
      <c r="MS158" s="5"/>
      <c r="MT158" s="5"/>
      <c r="MU158" s="5"/>
      <c r="MV158" s="5"/>
      <c r="MW158" s="5"/>
      <c r="MX158" s="5"/>
      <c r="MY158" s="5"/>
      <c r="MZ158" s="5"/>
      <c r="NA158" s="5"/>
      <c r="NB158" s="5"/>
      <c r="NC158" s="5"/>
      <c r="ND158" s="5"/>
      <c r="NE158" s="5"/>
      <c r="NF158" s="5"/>
      <c r="NG158" s="5"/>
      <c r="NH158" s="5"/>
      <c r="NI158" s="5"/>
      <c r="NJ158" s="5"/>
      <c r="NK158" s="5"/>
      <c r="NL158" s="5"/>
      <c r="NM158" s="5"/>
      <c r="NN158" s="5"/>
      <c r="NO158" s="5"/>
      <c r="NP158" s="5"/>
      <c r="NQ158" s="5"/>
      <c r="NR158" s="5"/>
      <c r="NS158" s="5"/>
      <c r="NT158" s="5"/>
      <c r="NU158" s="5"/>
      <c r="NV158" s="5"/>
      <c r="NW158" s="5"/>
      <c r="NX158" s="5"/>
      <c r="NY158" s="5"/>
      <c r="NZ158" s="5"/>
      <c r="OA158" s="5"/>
      <c r="OB158" s="5"/>
      <c r="OC158" s="5"/>
      <c r="OD158" s="5"/>
      <c r="OE158" s="5"/>
      <c r="OF158" s="5"/>
      <c r="OG158" s="5"/>
      <c r="OH158" s="5"/>
      <c r="OI158" s="5"/>
      <c r="OJ158" s="5"/>
      <c r="OK158" s="5"/>
      <c r="OL158" s="5"/>
      <c r="OM158" s="5"/>
      <c r="ON158" s="5"/>
      <c r="OO158" s="5"/>
      <c r="OP158" s="5"/>
      <c r="OQ158" s="5"/>
      <c r="OR158" s="5"/>
      <c r="OS158" s="5"/>
      <c r="OT158" s="5"/>
      <c r="OU158" s="5"/>
      <c r="OV158" s="5"/>
      <c r="OW158" s="5"/>
      <c r="OX158" s="5"/>
      <c r="OY158" s="5"/>
      <c r="OZ158" s="5"/>
      <c r="PA158" s="5"/>
      <c r="PB158" s="5"/>
      <c r="PC158" s="5"/>
      <c r="PD158" s="5"/>
      <c r="PE158" s="5"/>
      <c r="PF158" s="5"/>
      <c r="PG158" s="5"/>
      <c r="PH158" s="5"/>
      <c r="PI158" s="5"/>
      <c r="PJ158" s="5"/>
      <c r="PK158" s="5"/>
      <c r="PL158" s="5"/>
      <c r="PM158" s="5"/>
      <c r="PN158" s="5"/>
      <c r="PO158" s="5"/>
      <c r="PP158" s="5"/>
      <c r="PQ158" s="5"/>
      <c r="PR158" s="5"/>
      <c r="PS158" s="5"/>
      <c r="PT158" s="5"/>
      <c r="PU158" s="5"/>
      <c r="PV158" s="5"/>
      <c r="PW158" s="5"/>
      <c r="PX158" s="5"/>
      <c r="PY158" s="5"/>
      <c r="PZ158" s="5"/>
      <c r="QA158" s="5"/>
      <c r="QB158" s="5"/>
      <c r="QC158" s="5"/>
      <c r="QD158" s="5"/>
      <c r="QE158" s="5"/>
      <c r="QF158" s="5"/>
      <c r="QG158" s="5"/>
      <c r="QH158" s="5"/>
      <c r="QI158" s="5"/>
      <c r="QJ158" s="5"/>
      <c r="QK158" s="5"/>
      <c r="QL158" s="5"/>
      <c r="QM158" s="5"/>
      <c r="QN158" s="5"/>
      <c r="QO158" s="5"/>
      <c r="QP158" s="5"/>
      <c r="QQ158" s="5"/>
      <c r="QR158" s="5"/>
      <c r="QS158" s="5"/>
      <c r="QT158" s="5"/>
      <c r="QU158" s="5"/>
      <c r="QV158" s="5"/>
      <c r="QW158" s="5"/>
      <c r="QX158" s="5"/>
      <c r="QY158" s="5"/>
      <c r="QZ158" s="5"/>
      <c r="RA158" s="5"/>
      <c r="RB158" s="5"/>
      <c r="RC158" s="5"/>
      <c r="RD158" s="5"/>
      <c r="RE158" s="5"/>
      <c r="RF158" s="5"/>
      <c r="RG158" s="5"/>
      <c r="RH158" s="5"/>
      <c r="RI158" s="5"/>
      <c r="RJ158" s="5"/>
      <c r="RK158" s="5"/>
      <c r="RL158" s="5"/>
      <c r="RM158" s="5"/>
      <c r="RN158" s="5"/>
      <c r="RO158" s="5"/>
      <c r="RP158" s="5"/>
      <c r="RQ158" s="5"/>
      <c r="RR158" s="5"/>
      <c r="RS158" s="5"/>
      <c r="RT158" s="5"/>
      <c r="RU158" s="5"/>
      <c r="RV158" s="5"/>
      <c r="RW158" s="5"/>
      <c r="RX158" s="5"/>
      <c r="RY158" s="5"/>
      <c r="RZ158" s="5"/>
      <c r="SA158" s="5"/>
      <c r="SB158" s="5"/>
      <c r="SC158" s="5"/>
      <c r="SD158" s="5"/>
      <c r="SE158" s="5"/>
      <c r="SF158" s="5"/>
      <c r="SG158" s="5"/>
      <c r="SH158" s="5"/>
      <c r="SI158" s="5"/>
      <c r="SJ158" s="5"/>
      <c r="SK158" s="5"/>
      <c r="SL158" s="5"/>
      <c r="SM158" s="5"/>
      <c r="SN158" s="5"/>
      <c r="SO158" s="5"/>
      <c r="SP158" s="5"/>
      <c r="SQ158" s="5"/>
      <c r="SR158" s="5"/>
      <c r="SS158" s="5"/>
      <c r="ST158" s="5"/>
      <c r="SU158" s="5"/>
      <c r="SV158" s="5"/>
      <c r="SW158" s="5"/>
      <c r="SX158" s="5"/>
      <c r="SY158" s="5"/>
      <c r="SZ158" s="5"/>
      <c r="TA158" s="5"/>
      <c r="TB158" s="5"/>
      <c r="TC158" s="5"/>
      <c r="TD158" s="5"/>
      <c r="TE158" s="5"/>
      <c r="TF158" s="5"/>
      <c r="TG158" s="5"/>
      <c r="TH158" s="5"/>
      <c r="TI158" s="5"/>
      <c r="TJ158" s="5"/>
      <c r="TK158" s="5"/>
      <c r="TL158" s="5"/>
      <c r="TM158" s="5"/>
      <c r="TN158" s="5"/>
      <c r="TO158" s="5"/>
      <c r="TP158" s="5"/>
      <c r="TQ158" s="5"/>
      <c r="TR158" s="5"/>
      <c r="TS158" s="5"/>
      <c r="TT158" s="5"/>
      <c r="TU158" s="5"/>
      <c r="TV158" s="5"/>
      <c r="TW158" s="5"/>
      <c r="TX158" s="5"/>
      <c r="TY158" s="5"/>
      <c r="TZ158" s="5"/>
      <c r="UA158" s="5"/>
      <c r="UB158" s="5"/>
      <c r="UC158" s="5"/>
      <c r="UD158" s="5"/>
      <c r="UE158" s="5"/>
      <c r="UF158" s="5"/>
      <c r="UG158" s="5"/>
      <c r="UH158" s="5"/>
      <c r="UI158" s="5"/>
      <c r="UJ158" s="5"/>
      <c r="UK158" s="5"/>
      <c r="UL158" s="5"/>
      <c r="UM158" s="5"/>
      <c r="UN158" s="5"/>
      <c r="UO158" s="5"/>
      <c r="UP158" s="5"/>
      <c r="UQ158" s="5"/>
      <c r="UR158" s="5"/>
      <c r="US158" s="5"/>
      <c r="UT158" s="5"/>
      <c r="UU158" s="5"/>
      <c r="UV158" s="5"/>
      <c r="UW158" s="5"/>
      <c r="UX158" s="5"/>
      <c r="UY158" s="5"/>
      <c r="UZ158" s="5"/>
      <c r="VA158" s="5"/>
      <c r="VB158" s="5"/>
      <c r="VC158" s="5"/>
      <c r="VD158" s="5"/>
      <c r="VE158" s="5"/>
      <c r="VF158" s="5"/>
      <c r="VG158" s="5"/>
      <c r="VH158" s="5"/>
      <c r="VI158" s="5"/>
      <c r="VJ158" s="5"/>
      <c r="VK158" s="5"/>
      <c r="VL158" s="5"/>
      <c r="VM158" s="5"/>
      <c r="VN158" s="5"/>
      <c r="VO158" s="5"/>
      <c r="VP158" s="5"/>
      <c r="VQ158" s="5"/>
      <c r="VR158" s="5"/>
      <c r="VS158" s="5"/>
      <c r="VT158" s="5"/>
      <c r="VU158" s="5"/>
      <c r="VV158" s="5"/>
      <c r="VW158" s="5"/>
      <c r="VX158" s="5"/>
      <c r="VY158" s="5"/>
      <c r="VZ158" s="5"/>
      <c r="WA158" s="5"/>
      <c r="WB158" s="5"/>
      <c r="WC158" s="5"/>
      <c r="WD158" s="5"/>
      <c r="WE158" s="5"/>
      <c r="WF158" s="5"/>
      <c r="WG158" s="5"/>
      <c r="WH158" s="5"/>
      <c r="WI158" s="5"/>
      <c r="WJ158" s="5"/>
      <c r="WK158" s="5"/>
      <c r="WL158" s="5"/>
      <c r="WM158" s="5"/>
      <c r="WN158" s="5"/>
      <c r="WO158" s="5"/>
      <c r="WP158" s="5"/>
      <c r="WQ158" s="5"/>
      <c r="WR158" s="5"/>
      <c r="WS158" s="5"/>
      <c r="WT158" s="5"/>
      <c r="WU158" s="5"/>
      <c r="WV158" s="5"/>
      <c r="WW158" s="5"/>
      <c r="WX158" s="5"/>
      <c r="WY158" s="5"/>
      <c r="WZ158" s="5"/>
      <c r="XA158" s="5"/>
      <c r="XB158" s="5"/>
      <c r="XC158" s="5"/>
      <c r="XD158" s="5"/>
      <c r="XE158" s="5"/>
      <c r="XF158" s="5"/>
      <c r="XG158" s="5"/>
      <c r="XH158" s="5"/>
      <c r="XI158" s="5"/>
      <c r="XJ158" s="5"/>
      <c r="XK158" s="5"/>
      <c r="XL158" s="5"/>
      <c r="XM158" s="5"/>
      <c r="XN158" s="5"/>
      <c r="XO158" s="5"/>
      <c r="XP158" s="5"/>
      <c r="XQ158" s="5"/>
      <c r="XR158" s="5"/>
      <c r="XS158" s="5"/>
      <c r="XT158" s="5"/>
      <c r="XU158" s="5"/>
      <c r="XV158" s="5"/>
      <c r="XW158" s="5"/>
      <c r="XX158" s="5"/>
      <c r="XY158" s="5"/>
      <c r="XZ158" s="5"/>
      <c r="YA158" s="5"/>
      <c r="YB158" s="5"/>
      <c r="YC158" s="5"/>
      <c r="YD158" s="5"/>
      <c r="YE158" s="5"/>
      <c r="YF158" s="5"/>
      <c r="YG158" s="5"/>
      <c r="YH158" s="5"/>
      <c r="YI158" s="5"/>
      <c r="YJ158" s="5"/>
      <c r="YK158" s="5"/>
      <c r="YL158" s="5"/>
      <c r="YM158" s="5"/>
      <c r="YN158" s="5"/>
      <c r="YO158" s="5"/>
      <c r="YP158" s="5"/>
      <c r="YQ158" s="5"/>
      <c r="YR158" s="5"/>
      <c r="YS158" s="5"/>
      <c r="YT158" s="5"/>
      <c r="YU158" s="5"/>
      <c r="YV158" s="5"/>
      <c r="YW158" s="5"/>
      <c r="YX158" s="5"/>
      <c r="YY158" s="5"/>
      <c r="YZ158" s="5"/>
    </row>
    <row r="159" spans="1:676">
      <c r="A159" s="7">
        <v>149</v>
      </c>
      <c r="B159" s="7" t="s">
        <v>368</v>
      </c>
      <c r="C159" s="10" t="s">
        <v>369</v>
      </c>
      <c r="D159" s="7" t="s">
        <v>40</v>
      </c>
      <c r="E159" s="7" t="s">
        <v>175</v>
      </c>
      <c r="F159" s="7" t="s">
        <v>291</v>
      </c>
      <c r="G159" s="7"/>
      <c r="H159" s="7"/>
      <c r="I159" s="11">
        <v>2</v>
      </c>
      <c r="J159" s="11">
        <v>3</v>
      </c>
      <c r="K159" s="11">
        <v>0</v>
      </c>
      <c r="L159" s="11">
        <v>2.07</v>
      </c>
      <c r="M159" s="11">
        <v>0</v>
      </c>
      <c r="N159" s="11">
        <v>0</v>
      </c>
      <c r="O159" s="11">
        <v>0.6</v>
      </c>
      <c r="P159" s="11">
        <v>0</v>
      </c>
      <c r="Q159" s="11">
        <v>2.67</v>
      </c>
      <c r="R159" s="11">
        <v>44.05</v>
      </c>
      <c r="S159" s="11">
        <v>46.72</v>
      </c>
      <c r="T159" s="11">
        <v>2</v>
      </c>
      <c r="U159" s="11">
        <v>3</v>
      </c>
      <c r="V159" s="11">
        <v>41.72</v>
      </c>
      <c r="W159" s="13">
        <v>24</v>
      </c>
      <c r="X159" s="13">
        <v>36</v>
      </c>
      <c r="Y159" s="13" t="str">
        <f>MIN(W159,S159)</f>
        <v>0</v>
      </c>
      <c r="Z159" s="13" t="str">
        <f>MIN(X159,(S159-Y159))</f>
        <v>0</v>
      </c>
      <c r="AA159" s="13" t="str">
        <f>S159-SUM(Y159,Z159)</f>
        <v>0</v>
      </c>
      <c r="AB159" s="15"/>
      <c r="AC159" s="15"/>
      <c r="AD159" s="1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  <c r="DJ159" s="5"/>
      <c r="DK159" s="5"/>
      <c r="DL159" s="5"/>
      <c r="DM159" s="5"/>
      <c r="DN159" s="5"/>
      <c r="DO159" s="5"/>
      <c r="DP159" s="5"/>
      <c r="DQ159" s="5"/>
      <c r="DR159" s="5"/>
      <c r="DS159" s="5"/>
      <c r="DT159" s="5"/>
      <c r="DU159" s="5"/>
      <c r="DV159" s="5"/>
      <c r="DW159" s="5"/>
      <c r="DX159" s="5"/>
      <c r="DY159" s="5"/>
      <c r="DZ159" s="5"/>
      <c r="EA159" s="5"/>
      <c r="EB159" s="5"/>
      <c r="EC159" s="5"/>
      <c r="ED159" s="5"/>
      <c r="EE159" s="5"/>
      <c r="EF159" s="5"/>
      <c r="EG159" s="5"/>
      <c r="EH159" s="5"/>
      <c r="EI159" s="5"/>
      <c r="EJ159" s="5"/>
      <c r="EK159" s="5"/>
      <c r="EL159" s="5"/>
      <c r="EM159" s="5"/>
      <c r="EN159" s="5"/>
      <c r="EO159" s="5"/>
      <c r="EP159" s="5"/>
      <c r="EQ159" s="5"/>
      <c r="ER159" s="5"/>
      <c r="ES159" s="5"/>
      <c r="ET159" s="5"/>
      <c r="EU159" s="5"/>
      <c r="EV159" s="5"/>
      <c r="EW159" s="5"/>
      <c r="EX159" s="5"/>
      <c r="EY159" s="5"/>
      <c r="EZ159" s="5"/>
      <c r="FA159" s="5"/>
      <c r="FB159" s="5"/>
      <c r="FC159" s="5"/>
      <c r="FD159" s="5"/>
      <c r="FE159" s="5"/>
      <c r="FF159" s="5"/>
      <c r="FG159" s="5"/>
      <c r="FH159" s="5"/>
      <c r="FI159" s="5"/>
      <c r="FJ159" s="5"/>
      <c r="FK159" s="5"/>
      <c r="FL159" s="5"/>
      <c r="FM159" s="5"/>
      <c r="FN159" s="5"/>
      <c r="FO159" s="5"/>
      <c r="FP159" s="5"/>
      <c r="FQ159" s="5"/>
      <c r="FR159" s="5"/>
      <c r="FS159" s="5"/>
      <c r="FT159" s="5"/>
      <c r="FU159" s="5"/>
      <c r="FV159" s="5"/>
      <c r="FW159" s="5"/>
      <c r="FX159" s="5"/>
      <c r="FY159" s="5"/>
      <c r="FZ159" s="5"/>
      <c r="GA159" s="5"/>
      <c r="GB159" s="5"/>
      <c r="GC159" s="5"/>
      <c r="GD159" s="5"/>
      <c r="GE159" s="5"/>
      <c r="GF159" s="5"/>
      <c r="GG159" s="5"/>
      <c r="GH159" s="5"/>
      <c r="GI159" s="5"/>
      <c r="GJ159" s="5"/>
      <c r="GK159" s="5"/>
      <c r="GL159" s="5"/>
      <c r="GM159" s="5"/>
      <c r="GN159" s="5"/>
      <c r="GO159" s="5"/>
      <c r="GP159" s="5"/>
      <c r="GQ159" s="5"/>
      <c r="GR159" s="5"/>
      <c r="GS159" s="5"/>
      <c r="GT159" s="5"/>
      <c r="GU159" s="5"/>
      <c r="GV159" s="5"/>
      <c r="GW159" s="5"/>
      <c r="GX159" s="5"/>
      <c r="GY159" s="5"/>
      <c r="GZ159" s="5"/>
      <c r="HA159" s="5"/>
      <c r="HB159" s="5"/>
      <c r="HC159" s="5"/>
      <c r="HD159" s="5"/>
      <c r="HE159" s="5"/>
      <c r="HF159" s="5"/>
      <c r="HG159" s="5"/>
      <c r="HH159" s="5"/>
      <c r="HI159" s="5"/>
      <c r="HJ159" s="5"/>
      <c r="HK159" s="5"/>
      <c r="HL159" s="5"/>
      <c r="HM159" s="5"/>
      <c r="HN159" s="5"/>
      <c r="HO159" s="5"/>
      <c r="HP159" s="5"/>
      <c r="HQ159" s="5"/>
      <c r="HR159" s="5"/>
      <c r="HS159" s="5"/>
      <c r="HT159" s="5"/>
      <c r="HU159" s="5"/>
      <c r="HV159" s="5"/>
      <c r="HW159" s="5"/>
      <c r="HX159" s="5"/>
      <c r="HY159" s="5"/>
      <c r="HZ159" s="5"/>
      <c r="IA159" s="5"/>
      <c r="IB159" s="5"/>
      <c r="IC159" s="5"/>
      <c r="ID159" s="5"/>
      <c r="IE159" s="5"/>
      <c r="IF159" s="5"/>
      <c r="IG159" s="5"/>
      <c r="IH159" s="5"/>
      <c r="II159" s="5"/>
      <c r="IJ159" s="5"/>
      <c r="IK159" s="5"/>
      <c r="IL159" s="5"/>
      <c r="IM159" s="5"/>
      <c r="IN159" s="5"/>
      <c r="IO159" s="5"/>
      <c r="IP159" s="5"/>
      <c r="IQ159" s="5"/>
      <c r="IR159" s="5"/>
      <c r="IS159" s="5"/>
      <c r="IT159" s="5"/>
      <c r="IU159" s="5"/>
      <c r="IV159" s="5"/>
      <c r="IW159" s="5"/>
      <c r="IX159" s="5"/>
      <c r="IY159" s="5"/>
      <c r="IZ159" s="5"/>
      <c r="JA159" s="5"/>
      <c r="JB159" s="5"/>
      <c r="JC159" s="5"/>
      <c r="JD159" s="5"/>
      <c r="JE159" s="5"/>
      <c r="JF159" s="5"/>
      <c r="JG159" s="5"/>
      <c r="JH159" s="5"/>
      <c r="JI159" s="5"/>
      <c r="JJ159" s="5"/>
      <c r="JK159" s="5"/>
      <c r="JL159" s="5"/>
      <c r="JM159" s="5"/>
      <c r="JN159" s="5"/>
      <c r="JO159" s="5"/>
      <c r="JP159" s="5"/>
      <c r="JQ159" s="5"/>
      <c r="JR159" s="5"/>
      <c r="JS159" s="5"/>
      <c r="JT159" s="5"/>
      <c r="JU159" s="5"/>
      <c r="JV159" s="5"/>
      <c r="JW159" s="5"/>
      <c r="JX159" s="5"/>
      <c r="JY159" s="5"/>
      <c r="JZ159" s="5"/>
      <c r="KA159" s="5"/>
      <c r="KB159" s="5"/>
      <c r="KC159" s="5"/>
      <c r="KD159" s="5"/>
      <c r="KE159" s="5"/>
      <c r="KF159" s="5"/>
      <c r="KG159" s="5"/>
      <c r="KH159" s="5"/>
      <c r="KI159" s="5"/>
      <c r="KJ159" s="5"/>
      <c r="KK159" s="5"/>
      <c r="KL159" s="5"/>
      <c r="KM159" s="5"/>
      <c r="KN159" s="5"/>
      <c r="KO159" s="5"/>
      <c r="KP159" s="5"/>
      <c r="KQ159" s="5"/>
      <c r="KR159" s="5"/>
      <c r="KS159" s="5"/>
      <c r="KT159" s="5"/>
      <c r="KU159" s="5"/>
      <c r="KV159" s="5"/>
      <c r="KW159" s="5"/>
      <c r="KX159" s="5"/>
      <c r="KY159" s="5"/>
      <c r="KZ159" s="5"/>
      <c r="LA159" s="5"/>
      <c r="LB159" s="5"/>
      <c r="LC159" s="5"/>
      <c r="LD159" s="5"/>
      <c r="LE159" s="5"/>
      <c r="LF159" s="5"/>
      <c r="LG159" s="5"/>
      <c r="LH159" s="5"/>
      <c r="LI159" s="5"/>
      <c r="LJ159" s="5"/>
      <c r="LK159" s="5"/>
      <c r="LL159" s="5"/>
      <c r="LM159" s="5"/>
      <c r="LN159" s="5"/>
      <c r="LO159" s="5"/>
      <c r="LP159" s="5"/>
      <c r="LQ159" s="5"/>
      <c r="LR159" s="5"/>
      <c r="LS159" s="5"/>
      <c r="LT159" s="5"/>
      <c r="LU159" s="5"/>
      <c r="LV159" s="5"/>
      <c r="LW159" s="5"/>
      <c r="LX159" s="5"/>
      <c r="LY159" s="5"/>
      <c r="LZ159" s="5"/>
      <c r="MA159" s="5"/>
      <c r="MB159" s="5"/>
      <c r="MC159" s="5"/>
      <c r="MD159" s="5"/>
      <c r="ME159" s="5"/>
      <c r="MF159" s="5"/>
      <c r="MG159" s="5"/>
      <c r="MH159" s="5"/>
      <c r="MI159" s="5"/>
      <c r="MJ159" s="5"/>
      <c r="MK159" s="5"/>
      <c r="ML159" s="5"/>
      <c r="MM159" s="5"/>
      <c r="MN159" s="5"/>
      <c r="MO159" s="5"/>
      <c r="MP159" s="5"/>
      <c r="MQ159" s="5"/>
      <c r="MR159" s="5"/>
      <c r="MS159" s="5"/>
      <c r="MT159" s="5"/>
      <c r="MU159" s="5"/>
      <c r="MV159" s="5"/>
      <c r="MW159" s="5"/>
      <c r="MX159" s="5"/>
      <c r="MY159" s="5"/>
      <c r="MZ159" s="5"/>
      <c r="NA159" s="5"/>
      <c r="NB159" s="5"/>
      <c r="NC159" s="5"/>
      <c r="ND159" s="5"/>
      <c r="NE159" s="5"/>
      <c r="NF159" s="5"/>
      <c r="NG159" s="5"/>
      <c r="NH159" s="5"/>
      <c r="NI159" s="5"/>
      <c r="NJ159" s="5"/>
      <c r="NK159" s="5"/>
      <c r="NL159" s="5"/>
      <c r="NM159" s="5"/>
      <c r="NN159" s="5"/>
      <c r="NO159" s="5"/>
      <c r="NP159" s="5"/>
      <c r="NQ159" s="5"/>
      <c r="NR159" s="5"/>
      <c r="NS159" s="5"/>
      <c r="NT159" s="5"/>
      <c r="NU159" s="5"/>
      <c r="NV159" s="5"/>
      <c r="NW159" s="5"/>
      <c r="NX159" s="5"/>
      <c r="NY159" s="5"/>
      <c r="NZ159" s="5"/>
      <c r="OA159" s="5"/>
      <c r="OB159" s="5"/>
      <c r="OC159" s="5"/>
      <c r="OD159" s="5"/>
      <c r="OE159" s="5"/>
      <c r="OF159" s="5"/>
      <c r="OG159" s="5"/>
      <c r="OH159" s="5"/>
      <c r="OI159" s="5"/>
      <c r="OJ159" s="5"/>
      <c r="OK159" s="5"/>
      <c r="OL159" s="5"/>
      <c r="OM159" s="5"/>
      <c r="ON159" s="5"/>
      <c r="OO159" s="5"/>
      <c r="OP159" s="5"/>
      <c r="OQ159" s="5"/>
      <c r="OR159" s="5"/>
      <c r="OS159" s="5"/>
      <c r="OT159" s="5"/>
      <c r="OU159" s="5"/>
      <c r="OV159" s="5"/>
      <c r="OW159" s="5"/>
      <c r="OX159" s="5"/>
      <c r="OY159" s="5"/>
      <c r="OZ159" s="5"/>
      <c r="PA159" s="5"/>
      <c r="PB159" s="5"/>
      <c r="PC159" s="5"/>
      <c r="PD159" s="5"/>
      <c r="PE159" s="5"/>
      <c r="PF159" s="5"/>
      <c r="PG159" s="5"/>
      <c r="PH159" s="5"/>
      <c r="PI159" s="5"/>
      <c r="PJ159" s="5"/>
      <c r="PK159" s="5"/>
      <c r="PL159" s="5"/>
      <c r="PM159" s="5"/>
      <c r="PN159" s="5"/>
      <c r="PO159" s="5"/>
      <c r="PP159" s="5"/>
      <c r="PQ159" s="5"/>
      <c r="PR159" s="5"/>
      <c r="PS159" s="5"/>
      <c r="PT159" s="5"/>
      <c r="PU159" s="5"/>
      <c r="PV159" s="5"/>
      <c r="PW159" s="5"/>
      <c r="PX159" s="5"/>
      <c r="PY159" s="5"/>
      <c r="PZ159" s="5"/>
      <c r="QA159" s="5"/>
      <c r="QB159" s="5"/>
      <c r="QC159" s="5"/>
      <c r="QD159" s="5"/>
      <c r="QE159" s="5"/>
      <c r="QF159" s="5"/>
      <c r="QG159" s="5"/>
      <c r="QH159" s="5"/>
      <c r="QI159" s="5"/>
      <c r="QJ159" s="5"/>
      <c r="QK159" s="5"/>
      <c r="QL159" s="5"/>
      <c r="QM159" s="5"/>
      <c r="QN159" s="5"/>
      <c r="QO159" s="5"/>
      <c r="QP159" s="5"/>
      <c r="QQ159" s="5"/>
      <c r="QR159" s="5"/>
      <c r="QS159" s="5"/>
      <c r="QT159" s="5"/>
      <c r="QU159" s="5"/>
      <c r="QV159" s="5"/>
      <c r="QW159" s="5"/>
      <c r="QX159" s="5"/>
      <c r="QY159" s="5"/>
      <c r="QZ159" s="5"/>
      <c r="RA159" s="5"/>
      <c r="RB159" s="5"/>
      <c r="RC159" s="5"/>
      <c r="RD159" s="5"/>
      <c r="RE159" s="5"/>
      <c r="RF159" s="5"/>
      <c r="RG159" s="5"/>
      <c r="RH159" s="5"/>
      <c r="RI159" s="5"/>
      <c r="RJ159" s="5"/>
      <c r="RK159" s="5"/>
      <c r="RL159" s="5"/>
      <c r="RM159" s="5"/>
      <c r="RN159" s="5"/>
      <c r="RO159" s="5"/>
      <c r="RP159" s="5"/>
      <c r="RQ159" s="5"/>
      <c r="RR159" s="5"/>
      <c r="RS159" s="5"/>
      <c r="RT159" s="5"/>
      <c r="RU159" s="5"/>
      <c r="RV159" s="5"/>
      <c r="RW159" s="5"/>
      <c r="RX159" s="5"/>
      <c r="RY159" s="5"/>
      <c r="RZ159" s="5"/>
      <c r="SA159" s="5"/>
      <c r="SB159" s="5"/>
      <c r="SC159" s="5"/>
      <c r="SD159" s="5"/>
      <c r="SE159" s="5"/>
      <c r="SF159" s="5"/>
      <c r="SG159" s="5"/>
      <c r="SH159" s="5"/>
      <c r="SI159" s="5"/>
      <c r="SJ159" s="5"/>
      <c r="SK159" s="5"/>
      <c r="SL159" s="5"/>
      <c r="SM159" s="5"/>
      <c r="SN159" s="5"/>
      <c r="SO159" s="5"/>
      <c r="SP159" s="5"/>
      <c r="SQ159" s="5"/>
      <c r="SR159" s="5"/>
      <c r="SS159" s="5"/>
      <c r="ST159" s="5"/>
      <c r="SU159" s="5"/>
      <c r="SV159" s="5"/>
      <c r="SW159" s="5"/>
      <c r="SX159" s="5"/>
      <c r="SY159" s="5"/>
      <c r="SZ159" s="5"/>
      <c r="TA159" s="5"/>
      <c r="TB159" s="5"/>
      <c r="TC159" s="5"/>
      <c r="TD159" s="5"/>
      <c r="TE159" s="5"/>
      <c r="TF159" s="5"/>
      <c r="TG159" s="5"/>
      <c r="TH159" s="5"/>
      <c r="TI159" s="5"/>
      <c r="TJ159" s="5"/>
      <c r="TK159" s="5"/>
      <c r="TL159" s="5"/>
      <c r="TM159" s="5"/>
      <c r="TN159" s="5"/>
      <c r="TO159" s="5"/>
      <c r="TP159" s="5"/>
      <c r="TQ159" s="5"/>
      <c r="TR159" s="5"/>
      <c r="TS159" s="5"/>
      <c r="TT159" s="5"/>
      <c r="TU159" s="5"/>
      <c r="TV159" s="5"/>
      <c r="TW159" s="5"/>
      <c r="TX159" s="5"/>
      <c r="TY159" s="5"/>
      <c r="TZ159" s="5"/>
      <c r="UA159" s="5"/>
      <c r="UB159" s="5"/>
      <c r="UC159" s="5"/>
      <c r="UD159" s="5"/>
      <c r="UE159" s="5"/>
      <c r="UF159" s="5"/>
      <c r="UG159" s="5"/>
      <c r="UH159" s="5"/>
      <c r="UI159" s="5"/>
      <c r="UJ159" s="5"/>
      <c r="UK159" s="5"/>
      <c r="UL159" s="5"/>
      <c r="UM159" s="5"/>
      <c r="UN159" s="5"/>
      <c r="UO159" s="5"/>
      <c r="UP159" s="5"/>
      <c r="UQ159" s="5"/>
      <c r="UR159" s="5"/>
      <c r="US159" s="5"/>
      <c r="UT159" s="5"/>
      <c r="UU159" s="5"/>
      <c r="UV159" s="5"/>
      <c r="UW159" s="5"/>
      <c r="UX159" s="5"/>
      <c r="UY159" s="5"/>
      <c r="UZ159" s="5"/>
      <c r="VA159" s="5"/>
      <c r="VB159" s="5"/>
      <c r="VC159" s="5"/>
      <c r="VD159" s="5"/>
      <c r="VE159" s="5"/>
      <c r="VF159" s="5"/>
      <c r="VG159" s="5"/>
      <c r="VH159" s="5"/>
      <c r="VI159" s="5"/>
      <c r="VJ159" s="5"/>
      <c r="VK159" s="5"/>
      <c r="VL159" s="5"/>
      <c r="VM159" s="5"/>
      <c r="VN159" s="5"/>
      <c r="VO159" s="5"/>
      <c r="VP159" s="5"/>
      <c r="VQ159" s="5"/>
      <c r="VR159" s="5"/>
      <c r="VS159" s="5"/>
      <c r="VT159" s="5"/>
      <c r="VU159" s="5"/>
      <c r="VV159" s="5"/>
      <c r="VW159" s="5"/>
      <c r="VX159" s="5"/>
      <c r="VY159" s="5"/>
      <c r="VZ159" s="5"/>
      <c r="WA159" s="5"/>
      <c r="WB159" s="5"/>
      <c r="WC159" s="5"/>
      <c r="WD159" s="5"/>
      <c r="WE159" s="5"/>
      <c r="WF159" s="5"/>
      <c r="WG159" s="5"/>
      <c r="WH159" s="5"/>
      <c r="WI159" s="5"/>
      <c r="WJ159" s="5"/>
      <c r="WK159" s="5"/>
      <c r="WL159" s="5"/>
      <c r="WM159" s="5"/>
      <c r="WN159" s="5"/>
      <c r="WO159" s="5"/>
      <c r="WP159" s="5"/>
      <c r="WQ159" s="5"/>
      <c r="WR159" s="5"/>
      <c r="WS159" s="5"/>
      <c r="WT159" s="5"/>
      <c r="WU159" s="5"/>
      <c r="WV159" s="5"/>
      <c r="WW159" s="5"/>
      <c r="WX159" s="5"/>
      <c r="WY159" s="5"/>
      <c r="WZ159" s="5"/>
      <c r="XA159" s="5"/>
      <c r="XB159" s="5"/>
      <c r="XC159" s="5"/>
      <c r="XD159" s="5"/>
      <c r="XE159" s="5"/>
      <c r="XF159" s="5"/>
      <c r="XG159" s="5"/>
      <c r="XH159" s="5"/>
      <c r="XI159" s="5"/>
      <c r="XJ159" s="5"/>
      <c r="XK159" s="5"/>
      <c r="XL159" s="5"/>
      <c r="XM159" s="5"/>
      <c r="XN159" s="5"/>
      <c r="XO159" s="5"/>
      <c r="XP159" s="5"/>
      <c r="XQ159" s="5"/>
      <c r="XR159" s="5"/>
      <c r="XS159" s="5"/>
      <c r="XT159" s="5"/>
      <c r="XU159" s="5"/>
      <c r="XV159" s="5"/>
      <c r="XW159" s="5"/>
      <c r="XX159" s="5"/>
      <c r="XY159" s="5"/>
      <c r="XZ159" s="5"/>
      <c r="YA159" s="5"/>
      <c r="YB159" s="5"/>
      <c r="YC159" s="5"/>
      <c r="YD159" s="5"/>
      <c r="YE159" s="5"/>
      <c r="YF159" s="5"/>
      <c r="YG159" s="5"/>
      <c r="YH159" s="5"/>
      <c r="YI159" s="5"/>
      <c r="YJ159" s="5"/>
      <c r="YK159" s="5"/>
      <c r="YL159" s="5"/>
      <c r="YM159" s="5"/>
      <c r="YN159" s="5"/>
      <c r="YO159" s="5"/>
      <c r="YP159" s="5"/>
      <c r="YQ159" s="5"/>
      <c r="YR159" s="5"/>
      <c r="YS159" s="5"/>
      <c r="YT159" s="5"/>
      <c r="YU159" s="5"/>
      <c r="YV159" s="5"/>
      <c r="YW159" s="5"/>
      <c r="YX159" s="5"/>
      <c r="YY159" s="5"/>
      <c r="YZ159" s="5"/>
    </row>
    <row r="160" spans="1:676">
      <c r="A160" s="7">
        <v>150</v>
      </c>
      <c r="B160" s="7" t="s">
        <v>370</v>
      </c>
      <c r="C160" s="10" t="s">
        <v>371</v>
      </c>
      <c r="D160" s="7" t="s">
        <v>60</v>
      </c>
      <c r="E160" s="7" t="s">
        <v>175</v>
      </c>
      <c r="F160" s="7" t="s">
        <v>291</v>
      </c>
      <c r="G160" s="7"/>
      <c r="H160" s="7"/>
      <c r="I160" s="11">
        <v>2</v>
      </c>
      <c r="J160" s="11">
        <v>3</v>
      </c>
      <c r="K160" s="11">
        <v>0</v>
      </c>
      <c r="L160" s="11">
        <v>3.160000000000001</v>
      </c>
      <c r="M160" s="11">
        <v>0</v>
      </c>
      <c r="N160" s="11">
        <v>0</v>
      </c>
      <c r="O160" s="11">
        <v>2.1</v>
      </c>
      <c r="P160" s="11">
        <v>0</v>
      </c>
      <c r="Q160" s="11">
        <v>5.26</v>
      </c>
      <c r="R160" s="11">
        <v>43.76000000000001</v>
      </c>
      <c r="S160" s="11">
        <v>49.02</v>
      </c>
      <c r="T160" s="11">
        <v>2</v>
      </c>
      <c r="U160" s="11">
        <v>3</v>
      </c>
      <c r="V160" s="11">
        <v>44.02</v>
      </c>
      <c r="W160" s="13">
        <v>24</v>
      </c>
      <c r="X160" s="13">
        <v>36</v>
      </c>
      <c r="Y160" s="13" t="str">
        <f>MIN(W160,S160)</f>
        <v>0</v>
      </c>
      <c r="Z160" s="13" t="str">
        <f>MIN(X160,(S160-Y160))</f>
        <v>0</v>
      </c>
      <c r="AA160" s="13" t="str">
        <f>S160-SUM(Y160,Z160)</f>
        <v>0</v>
      </c>
      <c r="AB160" s="15"/>
      <c r="AC160" s="15"/>
      <c r="AD160" s="1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5"/>
      <c r="CY160" s="5"/>
      <c r="CZ160" s="5"/>
      <c r="DA160" s="5"/>
      <c r="DB160" s="5"/>
      <c r="DC160" s="5"/>
      <c r="DD160" s="5"/>
      <c r="DE160" s="5"/>
      <c r="DF160" s="5"/>
      <c r="DG160" s="5"/>
      <c r="DH160" s="5"/>
      <c r="DI160" s="5"/>
      <c r="DJ160" s="5"/>
      <c r="DK160" s="5"/>
      <c r="DL160" s="5"/>
      <c r="DM160" s="5"/>
      <c r="DN160" s="5"/>
      <c r="DO160" s="5"/>
      <c r="DP160" s="5"/>
      <c r="DQ160" s="5"/>
      <c r="DR160" s="5"/>
      <c r="DS160" s="5"/>
      <c r="DT160" s="5"/>
      <c r="DU160" s="5"/>
      <c r="DV160" s="5"/>
      <c r="DW160" s="5"/>
      <c r="DX160" s="5"/>
      <c r="DY160" s="5"/>
      <c r="DZ160" s="5"/>
      <c r="EA160" s="5"/>
      <c r="EB160" s="5"/>
      <c r="EC160" s="5"/>
      <c r="ED160" s="5"/>
      <c r="EE160" s="5"/>
      <c r="EF160" s="5"/>
      <c r="EG160" s="5"/>
      <c r="EH160" s="5"/>
      <c r="EI160" s="5"/>
      <c r="EJ160" s="5"/>
      <c r="EK160" s="5"/>
      <c r="EL160" s="5"/>
      <c r="EM160" s="5"/>
      <c r="EN160" s="5"/>
      <c r="EO160" s="5"/>
      <c r="EP160" s="5"/>
      <c r="EQ160" s="5"/>
      <c r="ER160" s="5"/>
      <c r="ES160" s="5"/>
      <c r="ET160" s="5"/>
      <c r="EU160" s="5"/>
      <c r="EV160" s="5"/>
      <c r="EW160" s="5"/>
      <c r="EX160" s="5"/>
      <c r="EY160" s="5"/>
      <c r="EZ160" s="5"/>
      <c r="FA160" s="5"/>
      <c r="FB160" s="5"/>
      <c r="FC160" s="5"/>
      <c r="FD160" s="5"/>
      <c r="FE160" s="5"/>
      <c r="FF160" s="5"/>
      <c r="FG160" s="5"/>
      <c r="FH160" s="5"/>
      <c r="FI160" s="5"/>
      <c r="FJ160" s="5"/>
      <c r="FK160" s="5"/>
      <c r="FL160" s="5"/>
      <c r="FM160" s="5"/>
      <c r="FN160" s="5"/>
      <c r="FO160" s="5"/>
      <c r="FP160" s="5"/>
      <c r="FQ160" s="5"/>
      <c r="FR160" s="5"/>
      <c r="FS160" s="5"/>
      <c r="FT160" s="5"/>
      <c r="FU160" s="5"/>
      <c r="FV160" s="5"/>
      <c r="FW160" s="5"/>
      <c r="FX160" s="5"/>
      <c r="FY160" s="5"/>
      <c r="FZ160" s="5"/>
      <c r="GA160" s="5"/>
      <c r="GB160" s="5"/>
      <c r="GC160" s="5"/>
      <c r="GD160" s="5"/>
      <c r="GE160" s="5"/>
      <c r="GF160" s="5"/>
      <c r="GG160" s="5"/>
      <c r="GH160" s="5"/>
      <c r="GI160" s="5"/>
      <c r="GJ160" s="5"/>
      <c r="GK160" s="5"/>
      <c r="GL160" s="5"/>
      <c r="GM160" s="5"/>
      <c r="GN160" s="5"/>
      <c r="GO160" s="5"/>
      <c r="GP160" s="5"/>
      <c r="GQ160" s="5"/>
      <c r="GR160" s="5"/>
      <c r="GS160" s="5"/>
      <c r="GT160" s="5"/>
      <c r="GU160" s="5"/>
      <c r="GV160" s="5"/>
      <c r="GW160" s="5"/>
      <c r="GX160" s="5"/>
      <c r="GY160" s="5"/>
      <c r="GZ160" s="5"/>
      <c r="HA160" s="5"/>
      <c r="HB160" s="5"/>
      <c r="HC160" s="5"/>
      <c r="HD160" s="5"/>
      <c r="HE160" s="5"/>
      <c r="HF160" s="5"/>
      <c r="HG160" s="5"/>
      <c r="HH160" s="5"/>
      <c r="HI160" s="5"/>
      <c r="HJ160" s="5"/>
      <c r="HK160" s="5"/>
      <c r="HL160" s="5"/>
      <c r="HM160" s="5"/>
      <c r="HN160" s="5"/>
      <c r="HO160" s="5"/>
      <c r="HP160" s="5"/>
      <c r="HQ160" s="5"/>
      <c r="HR160" s="5"/>
      <c r="HS160" s="5"/>
      <c r="HT160" s="5"/>
      <c r="HU160" s="5"/>
      <c r="HV160" s="5"/>
      <c r="HW160" s="5"/>
      <c r="HX160" s="5"/>
      <c r="HY160" s="5"/>
      <c r="HZ160" s="5"/>
      <c r="IA160" s="5"/>
      <c r="IB160" s="5"/>
      <c r="IC160" s="5"/>
      <c r="ID160" s="5"/>
      <c r="IE160" s="5"/>
      <c r="IF160" s="5"/>
      <c r="IG160" s="5"/>
      <c r="IH160" s="5"/>
      <c r="II160" s="5"/>
      <c r="IJ160" s="5"/>
      <c r="IK160" s="5"/>
      <c r="IL160" s="5"/>
      <c r="IM160" s="5"/>
      <c r="IN160" s="5"/>
      <c r="IO160" s="5"/>
      <c r="IP160" s="5"/>
      <c r="IQ160" s="5"/>
      <c r="IR160" s="5"/>
      <c r="IS160" s="5"/>
      <c r="IT160" s="5"/>
      <c r="IU160" s="5"/>
      <c r="IV160" s="5"/>
      <c r="IW160" s="5"/>
      <c r="IX160" s="5"/>
      <c r="IY160" s="5"/>
      <c r="IZ160" s="5"/>
      <c r="JA160" s="5"/>
      <c r="JB160" s="5"/>
      <c r="JC160" s="5"/>
      <c r="JD160" s="5"/>
      <c r="JE160" s="5"/>
      <c r="JF160" s="5"/>
      <c r="JG160" s="5"/>
      <c r="JH160" s="5"/>
      <c r="JI160" s="5"/>
      <c r="JJ160" s="5"/>
      <c r="JK160" s="5"/>
      <c r="JL160" s="5"/>
      <c r="JM160" s="5"/>
      <c r="JN160" s="5"/>
      <c r="JO160" s="5"/>
      <c r="JP160" s="5"/>
      <c r="JQ160" s="5"/>
      <c r="JR160" s="5"/>
      <c r="JS160" s="5"/>
      <c r="JT160" s="5"/>
      <c r="JU160" s="5"/>
      <c r="JV160" s="5"/>
      <c r="JW160" s="5"/>
      <c r="JX160" s="5"/>
      <c r="JY160" s="5"/>
      <c r="JZ160" s="5"/>
      <c r="KA160" s="5"/>
      <c r="KB160" s="5"/>
      <c r="KC160" s="5"/>
      <c r="KD160" s="5"/>
      <c r="KE160" s="5"/>
      <c r="KF160" s="5"/>
      <c r="KG160" s="5"/>
      <c r="KH160" s="5"/>
      <c r="KI160" s="5"/>
      <c r="KJ160" s="5"/>
      <c r="KK160" s="5"/>
      <c r="KL160" s="5"/>
      <c r="KM160" s="5"/>
      <c r="KN160" s="5"/>
      <c r="KO160" s="5"/>
      <c r="KP160" s="5"/>
      <c r="KQ160" s="5"/>
      <c r="KR160" s="5"/>
      <c r="KS160" s="5"/>
      <c r="KT160" s="5"/>
      <c r="KU160" s="5"/>
      <c r="KV160" s="5"/>
      <c r="KW160" s="5"/>
      <c r="KX160" s="5"/>
      <c r="KY160" s="5"/>
      <c r="KZ160" s="5"/>
      <c r="LA160" s="5"/>
      <c r="LB160" s="5"/>
      <c r="LC160" s="5"/>
      <c r="LD160" s="5"/>
      <c r="LE160" s="5"/>
      <c r="LF160" s="5"/>
      <c r="LG160" s="5"/>
      <c r="LH160" s="5"/>
      <c r="LI160" s="5"/>
      <c r="LJ160" s="5"/>
      <c r="LK160" s="5"/>
      <c r="LL160" s="5"/>
      <c r="LM160" s="5"/>
      <c r="LN160" s="5"/>
      <c r="LO160" s="5"/>
      <c r="LP160" s="5"/>
      <c r="LQ160" s="5"/>
      <c r="LR160" s="5"/>
      <c r="LS160" s="5"/>
      <c r="LT160" s="5"/>
      <c r="LU160" s="5"/>
      <c r="LV160" s="5"/>
      <c r="LW160" s="5"/>
      <c r="LX160" s="5"/>
      <c r="LY160" s="5"/>
      <c r="LZ160" s="5"/>
      <c r="MA160" s="5"/>
      <c r="MB160" s="5"/>
      <c r="MC160" s="5"/>
      <c r="MD160" s="5"/>
      <c r="ME160" s="5"/>
      <c r="MF160" s="5"/>
      <c r="MG160" s="5"/>
      <c r="MH160" s="5"/>
      <c r="MI160" s="5"/>
      <c r="MJ160" s="5"/>
      <c r="MK160" s="5"/>
      <c r="ML160" s="5"/>
      <c r="MM160" s="5"/>
      <c r="MN160" s="5"/>
      <c r="MO160" s="5"/>
      <c r="MP160" s="5"/>
      <c r="MQ160" s="5"/>
      <c r="MR160" s="5"/>
      <c r="MS160" s="5"/>
      <c r="MT160" s="5"/>
      <c r="MU160" s="5"/>
      <c r="MV160" s="5"/>
      <c r="MW160" s="5"/>
      <c r="MX160" s="5"/>
      <c r="MY160" s="5"/>
      <c r="MZ160" s="5"/>
      <c r="NA160" s="5"/>
      <c r="NB160" s="5"/>
      <c r="NC160" s="5"/>
      <c r="ND160" s="5"/>
      <c r="NE160" s="5"/>
      <c r="NF160" s="5"/>
      <c r="NG160" s="5"/>
      <c r="NH160" s="5"/>
      <c r="NI160" s="5"/>
      <c r="NJ160" s="5"/>
      <c r="NK160" s="5"/>
      <c r="NL160" s="5"/>
      <c r="NM160" s="5"/>
      <c r="NN160" s="5"/>
      <c r="NO160" s="5"/>
      <c r="NP160" s="5"/>
      <c r="NQ160" s="5"/>
      <c r="NR160" s="5"/>
      <c r="NS160" s="5"/>
      <c r="NT160" s="5"/>
      <c r="NU160" s="5"/>
      <c r="NV160" s="5"/>
      <c r="NW160" s="5"/>
      <c r="NX160" s="5"/>
      <c r="NY160" s="5"/>
      <c r="NZ160" s="5"/>
      <c r="OA160" s="5"/>
      <c r="OB160" s="5"/>
      <c r="OC160" s="5"/>
      <c r="OD160" s="5"/>
      <c r="OE160" s="5"/>
      <c r="OF160" s="5"/>
      <c r="OG160" s="5"/>
      <c r="OH160" s="5"/>
      <c r="OI160" s="5"/>
      <c r="OJ160" s="5"/>
      <c r="OK160" s="5"/>
      <c r="OL160" s="5"/>
      <c r="OM160" s="5"/>
      <c r="ON160" s="5"/>
      <c r="OO160" s="5"/>
      <c r="OP160" s="5"/>
      <c r="OQ160" s="5"/>
      <c r="OR160" s="5"/>
      <c r="OS160" s="5"/>
      <c r="OT160" s="5"/>
      <c r="OU160" s="5"/>
      <c r="OV160" s="5"/>
      <c r="OW160" s="5"/>
      <c r="OX160" s="5"/>
      <c r="OY160" s="5"/>
      <c r="OZ160" s="5"/>
      <c r="PA160" s="5"/>
      <c r="PB160" s="5"/>
      <c r="PC160" s="5"/>
      <c r="PD160" s="5"/>
      <c r="PE160" s="5"/>
      <c r="PF160" s="5"/>
      <c r="PG160" s="5"/>
      <c r="PH160" s="5"/>
      <c r="PI160" s="5"/>
      <c r="PJ160" s="5"/>
      <c r="PK160" s="5"/>
      <c r="PL160" s="5"/>
      <c r="PM160" s="5"/>
      <c r="PN160" s="5"/>
      <c r="PO160" s="5"/>
      <c r="PP160" s="5"/>
      <c r="PQ160" s="5"/>
      <c r="PR160" s="5"/>
      <c r="PS160" s="5"/>
      <c r="PT160" s="5"/>
      <c r="PU160" s="5"/>
      <c r="PV160" s="5"/>
      <c r="PW160" s="5"/>
      <c r="PX160" s="5"/>
      <c r="PY160" s="5"/>
      <c r="PZ160" s="5"/>
      <c r="QA160" s="5"/>
      <c r="QB160" s="5"/>
      <c r="QC160" s="5"/>
      <c r="QD160" s="5"/>
      <c r="QE160" s="5"/>
      <c r="QF160" s="5"/>
      <c r="QG160" s="5"/>
      <c r="QH160" s="5"/>
      <c r="QI160" s="5"/>
      <c r="QJ160" s="5"/>
      <c r="QK160" s="5"/>
      <c r="QL160" s="5"/>
      <c r="QM160" s="5"/>
      <c r="QN160" s="5"/>
      <c r="QO160" s="5"/>
      <c r="QP160" s="5"/>
      <c r="QQ160" s="5"/>
      <c r="QR160" s="5"/>
      <c r="QS160" s="5"/>
      <c r="QT160" s="5"/>
      <c r="QU160" s="5"/>
      <c r="QV160" s="5"/>
      <c r="QW160" s="5"/>
      <c r="QX160" s="5"/>
      <c r="QY160" s="5"/>
      <c r="QZ160" s="5"/>
      <c r="RA160" s="5"/>
      <c r="RB160" s="5"/>
      <c r="RC160" s="5"/>
      <c r="RD160" s="5"/>
      <c r="RE160" s="5"/>
      <c r="RF160" s="5"/>
      <c r="RG160" s="5"/>
      <c r="RH160" s="5"/>
      <c r="RI160" s="5"/>
      <c r="RJ160" s="5"/>
      <c r="RK160" s="5"/>
      <c r="RL160" s="5"/>
      <c r="RM160" s="5"/>
      <c r="RN160" s="5"/>
      <c r="RO160" s="5"/>
      <c r="RP160" s="5"/>
      <c r="RQ160" s="5"/>
      <c r="RR160" s="5"/>
      <c r="RS160" s="5"/>
      <c r="RT160" s="5"/>
      <c r="RU160" s="5"/>
      <c r="RV160" s="5"/>
      <c r="RW160" s="5"/>
      <c r="RX160" s="5"/>
      <c r="RY160" s="5"/>
      <c r="RZ160" s="5"/>
      <c r="SA160" s="5"/>
      <c r="SB160" s="5"/>
      <c r="SC160" s="5"/>
      <c r="SD160" s="5"/>
      <c r="SE160" s="5"/>
      <c r="SF160" s="5"/>
      <c r="SG160" s="5"/>
      <c r="SH160" s="5"/>
      <c r="SI160" s="5"/>
      <c r="SJ160" s="5"/>
      <c r="SK160" s="5"/>
      <c r="SL160" s="5"/>
      <c r="SM160" s="5"/>
      <c r="SN160" s="5"/>
      <c r="SO160" s="5"/>
      <c r="SP160" s="5"/>
      <c r="SQ160" s="5"/>
      <c r="SR160" s="5"/>
      <c r="SS160" s="5"/>
      <c r="ST160" s="5"/>
      <c r="SU160" s="5"/>
      <c r="SV160" s="5"/>
      <c r="SW160" s="5"/>
      <c r="SX160" s="5"/>
      <c r="SY160" s="5"/>
      <c r="SZ160" s="5"/>
      <c r="TA160" s="5"/>
      <c r="TB160" s="5"/>
      <c r="TC160" s="5"/>
      <c r="TD160" s="5"/>
      <c r="TE160" s="5"/>
      <c r="TF160" s="5"/>
      <c r="TG160" s="5"/>
      <c r="TH160" s="5"/>
      <c r="TI160" s="5"/>
      <c r="TJ160" s="5"/>
      <c r="TK160" s="5"/>
      <c r="TL160" s="5"/>
      <c r="TM160" s="5"/>
      <c r="TN160" s="5"/>
      <c r="TO160" s="5"/>
      <c r="TP160" s="5"/>
      <c r="TQ160" s="5"/>
      <c r="TR160" s="5"/>
      <c r="TS160" s="5"/>
      <c r="TT160" s="5"/>
      <c r="TU160" s="5"/>
      <c r="TV160" s="5"/>
      <c r="TW160" s="5"/>
      <c r="TX160" s="5"/>
      <c r="TY160" s="5"/>
      <c r="TZ160" s="5"/>
      <c r="UA160" s="5"/>
      <c r="UB160" s="5"/>
      <c r="UC160" s="5"/>
      <c r="UD160" s="5"/>
      <c r="UE160" s="5"/>
      <c r="UF160" s="5"/>
      <c r="UG160" s="5"/>
      <c r="UH160" s="5"/>
      <c r="UI160" s="5"/>
      <c r="UJ160" s="5"/>
      <c r="UK160" s="5"/>
      <c r="UL160" s="5"/>
      <c r="UM160" s="5"/>
      <c r="UN160" s="5"/>
      <c r="UO160" s="5"/>
      <c r="UP160" s="5"/>
      <c r="UQ160" s="5"/>
      <c r="UR160" s="5"/>
      <c r="US160" s="5"/>
      <c r="UT160" s="5"/>
      <c r="UU160" s="5"/>
      <c r="UV160" s="5"/>
      <c r="UW160" s="5"/>
      <c r="UX160" s="5"/>
      <c r="UY160" s="5"/>
      <c r="UZ160" s="5"/>
      <c r="VA160" s="5"/>
      <c r="VB160" s="5"/>
      <c r="VC160" s="5"/>
      <c r="VD160" s="5"/>
      <c r="VE160" s="5"/>
      <c r="VF160" s="5"/>
      <c r="VG160" s="5"/>
      <c r="VH160" s="5"/>
      <c r="VI160" s="5"/>
      <c r="VJ160" s="5"/>
      <c r="VK160" s="5"/>
      <c r="VL160" s="5"/>
      <c r="VM160" s="5"/>
      <c r="VN160" s="5"/>
      <c r="VO160" s="5"/>
      <c r="VP160" s="5"/>
      <c r="VQ160" s="5"/>
      <c r="VR160" s="5"/>
      <c r="VS160" s="5"/>
      <c r="VT160" s="5"/>
      <c r="VU160" s="5"/>
      <c r="VV160" s="5"/>
      <c r="VW160" s="5"/>
      <c r="VX160" s="5"/>
      <c r="VY160" s="5"/>
      <c r="VZ160" s="5"/>
      <c r="WA160" s="5"/>
      <c r="WB160" s="5"/>
      <c r="WC160" s="5"/>
      <c r="WD160" s="5"/>
      <c r="WE160" s="5"/>
      <c r="WF160" s="5"/>
      <c r="WG160" s="5"/>
      <c r="WH160" s="5"/>
      <c r="WI160" s="5"/>
      <c r="WJ160" s="5"/>
      <c r="WK160" s="5"/>
      <c r="WL160" s="5"/>
      <c r="WM160" s="5"/>
      <c r="WN160" s="5"/>
      <c r="WO160" s="5"/>
      <c r="WP160" s="5"/>
      <c r="WQ160" s="5"/>
      <c r="WR160" s="5"/>
      <c r="WS160" s="5"/>
      <c r="WT160" s="5"/>
      <c r="WU160" s="5"/>
      <c r="WV160" s="5"/>
      <c r="WW160" s="5"/>
      <c r="WX160" s="5"/>
      <c r="WY160" s="5"/>
      <c r="WZ160" s="5"/>
      <c r="XA160" s="5"/>
      <c r="XB160" s="5"/>
      <c r="XC160" s="5"/>
      <c r="XD160" s="5"/>
      <c r="XE160" s="5"/>
      <c r="XF160" s="5"/>
      <c r="XG160" s="5"/>
      <c r="XH160" s="5"/>
      <c r="XI160" s="5"/>
      <c r="XJ160" s="5"/>
      <c r="XK160" s="5"/>
      <c r="XL160" s="5"/>
      <c r="XM160" s="5"/>
      <c r="XN160" s="5"/>
      <c r="XO160" s="5"/>
      <c r="XP160" s="5"/>
      <c r="XQ160" s="5"/>
      <c r="XR160" s="5"/>
      <c r="XS160" s="5"/>
      <c r="XT160" s="5"/>
      <c r="XU160" s="5"/>
      <c r="XV160" s="5"/>
      <c r="XW160" s="5"/>
      <c r="XX160" s="5"/>
      <c r="XY160" s="5"/>
      <c r="XZ160" s="5"/>
      <c r="YA160" s="5"/>
      <c r="YB160" s="5"/>
      <c r="YC160" s="5"/>
      <c r="YD160" s="5"/>
      <c r="YE160" s="5"/>
      <c r="YF160" s="5"/>
      <c r="YG160" s="5"/>
      <c r="YH160" s="5"/>
      <c r="YI160" s="5"/>
      <c r="YJ160" s="5"/>
      <c r="YK160" s="5"/>
      <c r="YL160" s="5"/>
      <c r="YM160" s="5"/>
      <c r="YN160" s="5"/>
      <c r="YO160" s="5"/>
      <c r="YP160" s="5"/>
      <c r="YQ160" s="5"/>
      <c r="YR160" s="5"/>
      <c r="YS160" s="5"/>
      <c r="YT160" s="5"/>
      <c r="YU160" s="5"/>
      <c r="YV160" s="5"/>
      <c r="YW160" s="5"/>
      <c r="YX160" s="5"/>
      <c r="YY160" s="5"/>
      <c r="YZ160" s="5"/>
    </row>
    <row r="161" spans="1:676">
      <c r="A161" s="7">
        <v>151</v>
      </c>
      <c r="B161" s="7" t="s">
        <v>372</v>
      </c>
      <c r="C161" s="10" t="s">
        <v>373</v>
      </c>
      <c r="D161" s="7" t="s">
        <v>60</v>
      </c>
      <c r="E161" s="7" t="s">
        <v>167</v>
      </c>
      <c r="F161" s="7" t="s">
        <v>283</v>
      </c>
      <c r="G161" s="7"/>
      <c r="H161" s="7" t="s">
        <v>43</v>
      </c>
      <c r="I161" s="11">
        <v>2</v>
      </c>
      <c r="J161" s="11">
        <v>0</v>
      </c>
      <c r="K161" s="11">
        <v>0</v>
      </c>
      <c r="L161" s="11">
        <v>0</v>
      </c>
      <c r="M161" s="11">
        <v>0</v>
      </c>
      <c r="N161" s="11">
        <v>0</v>
      </c>
      <c r="O161" s="11">
        <v>0</v>
      </c>
      <c r="P161" s="11">
        <v>0</v>
      </c>
      <c r="Q161" s="11">
        <v>0</v>
      </c>
      <c r="R161" s="11">
        <v>5.67</v>
      </c>
      <c r="S161" s="11">
        <v>5.67</v>
      </c>
      <c r="T161" s="11">
        <v>2</v>
      </c>
      <c r="U161" s="11">
        <v>0</v>
      </c>
      <c r="V161" s="11">
        <v>3.67</v>
      </c>
      <c r="W161" s="13">
        <v>24</v>
      </c>
      <c r="X161" s="13">
        <v>0</v>
      </c>
      <c r="Y161" s="13" t="str">
        <f>MIN(W161,S161)</f>
        <v>0</v>
      </c>
      <c r="Z161" s="13" t="str">
        <f>MIN(X161,(S161-Y161))</f>
        <v>0</v>
      </c>
      <c r="AA161" s="13" t="str">
        <f>S161-SUM(Y161,Z161)</f>
        <v>0</v>
      </c>
      <c r="AB161" s="15"/>
      <c r="AC161" s="15"/>
      <c r="AD161" s="1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/>
      <c r="CX161" s="5"/>
      <c r="CY161" s="5"/>
      <c r="CZ161" s="5"/>
      <c r="DA161" s="5"/>
      <c r="DB161" s="5"/>
      <c r="DC161" s="5"/>
      <c r="DD161" s="5"/>
      <c r="DE161" s="5"/>
      <c r="DF161" s="5"/>
      <c r="DG161" s="5"/>
      <c r="DH161" s="5"/>
      <c r="DI161" s="5"/>
      <c r="DJ161" s="5"/>
      <c r="DK161" s="5"/>
      <c r="DL161" s="5"/>
      <c r="DM161" s="5"/>
      <c r="DN161" s="5"/>
      <c r="DO161" s="5"/>
      <c r="DP161" s="5"/>
      <c r="DQ161" s="5"/>
      <c r="DR161" s="5"/>
      <c r="DS161" s="5"/>
      <c r="DT161" s="5"/>
      <c r="DU161" s="5"/>
      <c r="DV161" s="5"/>
      <c r="DW161" s="5"/>
      <c r="DX161" s="5"/>
      <c r="DY161" s="5"/>
      <c r="DZ161" s="5"/>
      <c r="EA161" s="5"/>
      <c r="EB161" s="5"/>
      <c r="EC161" s="5"/>
      <c r="ED161" s="5"/>
      <c r="EE161" s="5"/>
      <c r="EF161" s="5"/>
      <c r="EG161" s="5"/>
      <c r="EH161" s="5"/>
      <c r="EI161" s="5"/>
      <c r="EJ161" s="5"/>
      <c r="EK161" s="5"/>
      <c r="EL161" s="5"/>
      <c r="EM161" s="5"/>
      <c r="EN161" s="5"/>
      <c r="EO161" s="5"/>
      <c r="EP161" s="5"/>
      <c r="EQ161" s="5"/>
      <c r="ER161" s="5"/>
      <c r="ES161" s="5"/>
      <c r="ET161" s="5"/>
      <c r="EU161" s="5"/>
      <c r="EV161" s="5"/>
      <c r="EW161" s="5"/>
      <c r="EX161" s="5"/>
      <c r="EY161" s="5"/>
      <c r="EZ161" s="5"/>
      <c r="FA161" s="5"/>
      <c r="FB161" s="5"/>
      <c r="FC161" s="5"/>
      <c r="FD161" s="5"/>
      <c r="FE161" s="5"/>
      <c r="FF161" s="5"/>
      <c r="FG161" s="5"/>
      <c r="FH161" s="5"/>
      <c r="FI161" s="5"/>
      <c r="FJ161" s="5"/>
      <c r="FK161" s="5"/>
      <c r="FL161" s="5"/>
      <c r="FM161" s="5"/>
      <c r="FN161" s="5"/>
      <c r="FO161" s="5"/>
      <c r="FP161" s="5"/>
      <c r="FQ161" s="5"/>
      <c r="FR161" s="5"/>
      <c r="FS161" s="5"/>
      <c r="FT161" s="5"/>
      <c r="FU161" s="5"/>
      <c r="FV161" s="5"/>
      <c r="FW161" s="5"/>
      <c r="FX161" s="5"/>
      <c r="FY161" s="5"/>
      <c r="FZ161" s="5"/>
      <c r="GA161" s="5"/>
      <c r="GB161" s="5"/>
      <c r="GC161" s="5"/>
      <c r="GD161" s="5"/>
      <c r="GE161" s="5"/>
      <c r="GF161" s="5"/>
      <c r="GG161" s="5"/>
      <c r="GH161" s="5"/>
      <c r="GI161" s="5"/>
      <c r="GJ161" s="5"/>
      <c r="GK161" s="5"/>
      <c r="GL161" s="5"/>
      <c r="GM161" s="5"/>
      <c r="GN161" s="5"/>
      <c r="GO161" s="5"/>
      <c r="GP161" s="5"/>
      <c r="GQ161" s="5"/>
      <c r="GR161" s="5"/>
      <c r="GS161" s="5"/>
      <c r="GT161" s="5"/>
      <c r="GU161" s="5"/>
      <c r="GV161" s="5"/>
      <c r="GW161" s="5"/>
      <c r="GX161" s="5"/>
      <c r="GY161" s="5"/>
      <c r="GZ161" s="5"/>
      <c r="HA161" s="5"/>
      <c r="HB161" s="5"/>
      <c r="HC161" s="5"/>
      <c r="HD161" s="5"/>
      <c r="HE161" s="5"/>
      <c r="HF161" s="5"/>
      <c r="HG161" s="5"/>
      <c r="HH161" s="5"/>
      <c r="HI161" s="5"/>
      <c r="HJ161" s="5"/>
      <c r="HK161" s="5"/>
      <c r="HL161" s="5"/>
      <c r="HM161" s="5"/>
      <c r="HN161" s="5"/>
      <c r="HO161" s="5"/>
      <c r="HP161" s="5"/>
      <c r="HQ161" s="5"/>
      <c r="HR161" s="5"/>
      <c r="HS161" s="5"/>
      <c r="HT161" s="5"/>
      <c r="HU161" s="5"/>
      <c r="HV161" s="5"/>
      <c r="HW161" s="5"/>
      <c r="HX161" s="5"/>
      <c r="HY161" s="5"/>
      <c r="HZ161" s="5"/>
      <c r="IA161" s="5"/>
      <c r="IB161" s="5"/>
      <c r="IC161" s="5"/>
      <c r="ID161" s="5"/>
      <c r="IE161" s="5"/>
      <c r="IF161" s="5"/>
      <c r="IG161" s="5"/>
      <c r="IH161" s="5"/>
      <c r="II161" s="5"/>
      <c r="IJ161" s="5"/>
      <c r="IK161" s="5"/>
      <c r="IL161" s="5"/>
      <c r="IM161" s="5"/>
      <c r="IN161" s="5"/>
      <c r="IO161" s="5"/>
      <c r="IP161" s="5"/>
      <c r="IQ161" s="5"/>
      <c r="IR161" s="5"/>
      <c r="IS161" s="5"/>
      <c r="IT161" s="5"/>
      <c r="IU161" s="5"/>
      <c r="IV161" s="5"/>
      <c r="IW161" s="5"/>
      <c r="IX161" s="5"/>
      <c r="IY161" s="5"/>
      <c r="IZ161" s="5"/>
      <c r="JA161" s="5"/>
      <c r="JB161" s="5"/>
      <c r="JC161" s="5"/>
      <c r="JD161" s="5"/>
      <c r="JE161" s="5"/>
      <c r="JF161" s="5"/>
      <c r="JG161" s="5"/>
      <c r="JH161" s="5"/>
      <c r="JI161" s="5"/>
      <c r="JJ161" s="5"/>
      <c r="JK161" s="5"/>
      <c r="JL161" s="5"/>
      <c r="JM161" s="5"/>
      <c r="JN161" s="5"/>
      <c r="JO161" s="5"/>
      <c r="JP161" s="5"/>
      <c r="JQ161" s="5"/>
      <c r="JR161" s="5"/>
      <c r="JS161" s="5"/>
      <c r="JT161" s="5"/>
      <c r="JU161" s="5"/>
      <c r="JV161" s="5"/>
      <c r="JW161" s="5"/>
      <c r="JX161" s="5"/>
      <c r="JY161" s="5"/>
      <c r="JZ161" s="5"/>
      <c r="KA161" s="5"/>
      <c r="KB161" s="5"/>
      <c r="KC161" s="5"/>
      <c r="KD161" s="5"/>
      <c r="KE161" s="5"/>
      <c r="KF161" s="5"/>
      <c r="KG161" s="5"/>
      <c r="KH161" s="5"/>
      <c r="KI161" s="5"/>
      <c r="KJ161" s="5"/>
      <c r="KK161" s="5"/>
      <c r="KL161" s="5"/>
      <c r="KM161" s="5"/>
      <c r="KN161" s="5"/>
      <c r="KO161" s="5"/>
      <c r="KP161" s="5"/>
      <c r="KQ161" s="5"/>
      <c r="KR161" s="5"/>
      <c r="KS161" s="5"/>
      <c r="KT161" s="5"/>
      <c r="KU161" s="5"/>
      <c r="KV161" s="5"/>
      <c r="KW161" s="5"/>
      <c r="KX161" s="5"/>
      <c r="KY161" s="5"/>
      <c r="KZ161" s="5"/>
      <c r="LA161" s="5"/>
      <c r="LB161" s="5"/>
      <c r="LC161" s="5"/>
      <c r="LD161" s="5"/>
      <c r="LE161" s="5"/>
      <c r="LF161" s="5"/>
      <c r="LG161" s="5"/>
      <c r="LH161" s="5"/>
      <c r="LI161" s="5"/>
      <c r="LJ161" s="5"/>
      <c r="LK161" s="5"/>
      <c r="LL161" s="5"/>
      <c r="LM161" s="5"/>
      <c r="LN161" s="5"/>
      <c r="LO161" s="5"/>
      <c r="LP161" s="5"/>
      <c r="LQ161" s="5"/>
      <c r="LR161" s="5"/>
      <c r="LS161" s="5"/>
      <c r="LT161" s="5"/>
      <c r="LU161" s="5"/>
      <c r="LV161" s="5"/>
      <c r="LW161" s="5"/>
      <c r="LX161" s="5"/>
      <c r="LY161" s="5"/>
      <c r="LZ161" s="5"/>
      <c r="MA161" s="5"/>
      <c r="MB161" s="5"/>
      <c r="MC161" s="5"/>
      <c r="MD161" s="5"/>
      <c r="ME161" s="5"/>
      <c r="MF161" s="5"/>
      <c r="MG161" s="5"/>
      <c r="MH161" s="5"/>
      <c r="MI161" s="5"/>
      <c r="MJ161" s="5"/>
      <c r="MK161" s="5"/>
      <c r="ML161" s="5"/>
      <c r="MM161" s="5"/>
      <c r="MN161" s="5"/>
      <c r="MO161" s="5"/>
      <c r="MP161" s="5"/>
      <c r="MQ161" s="5"/>
      <c r="MR161" s="5"/>
      <c r="MS161" s="5"/>
      <c r="MT161" s="5"/>
      <c r="MU161" s="5"/>
      <c r="MV161" s="5"/>
      <c r="MW161" s="5"/>
      <c r="MX161" s="5"/>
      <c r="MY161" s="5"/>
      <c r="MZ161" s="5"/>
      <c r="NA161" s="5"/>
      <c r="NB161" s="5"/>
      <c r="NC161" s="5"/>
      <c r="ND161" s="5"/>
      <c r="NE161" s="5"/>
      <c r="NF161" s="5"/>
      <c r="NG161" s="5"/>
      <c r="NH161" s="5"/>
      <c r="NI161" s="5"/>
      <c r="NJ161" s="5"/>
      <c r="NK161" s="5"/>
      <c r="NL161" s="5"/>
      <c r="NM161" s="5"/>
      <c r="NN161" s="5"/>
      <c r="NO161" s="5"/>
      <c r="NP161" s="5"/>
      <c r="NQ161" s="5"/>
      <c r="NR161" s="5"/>
      <c r="NS161" s="5"/>
      <c r="NT161" s="5"/>
      <c r="NU161" s="5"/>
      <c r="NV161" s="5"/>
      <c r="NW161" s="5"/>
      <c r="NX161" s="5"/>
      <c r="NY161" s="5"/>
      <c r="NZ161" s="5"/>
      <c r="OA161" s="5"/>
      <c r="OB161" s="5"/>
      <c r="OC161" s="5"/>
      <c r="OD161" s="5"/>
      <c r="OE161" s="5"/>
      <c r="OF161" s="5"/>
      <c r="OG161" s="5"/>
      <c r="OH161" s="5"/>
      <c r="OI161" s="5"/>
      <c r="OJ161" s="5"/>
      <c r="OK161" s="5"/>
      <c r="OL161" s="5"/>
      <c r="OM161" s="5"/>
      <c r="ON161" s="5"/>
      <c r="OO161" s="5"/>
      <c r="OP161" s="5"/>
      <c r="OQ161" s="5"/>
      <c r="OR161" s="5"/>
      <c r="OS161" s="5"/>
      <c r="OT161" s="5"/>
      <c r="OU161" s="5"/>
      <c r="OV161" s="5"/>
      <c r="OW161" s="5"/>
      <c r="OX161" s="5"/>
      <c r="OY161" s="5"/>
      <c r="OZ161" s="5"/>
      <c r="PA161" s="5"/>
      <c r="PB161" s="5"/>
      <c r="PC161" s="5"/>
      <c r="PD161" s="5"/>
      <c r="PE161" s="5"/>
      <c r="PF161" s="5"/>
      <c r="PG161" s="5"/>
      <c r="PH161" s="5"/>
      <c r="PI161" s="5"/>
      <c r="PJ161" s="5"/>
      <c r="PK161" s="5"/>
      <c r="PL161" s="5"/>
      <c r="PM161" s="5"/>
      <c r="PN161" s="5"/>
      <c r="PO161" s="5"/>
      <c r="PP161" s="5"/>
      <c r="PQ161" s="5"/>
      <c r="PR161" s="5"/>
      <c r="PS161" s="5"/>
      <c r="PT161" s="5"/>
      <c r="PU161" s="5"/>
      <c r="PV161" s="5"/>
      <c r="PW161" s="5"/>
      <c r="PX161" s="5"/>
      <c r="PY161" s="5"/>
      <c r="PZ161" s="5"/>
      <c r="QA161" s="5"/>
      <c r="QB161" s="5"/>
      <c r="QC161" s="5"/>
      <c r="QD161" s="5"/>
      <c r="QE161" s="5"/>
      <c r="QF161" s="5"/>
      <c r="QG161" s="5"/>
      <c r="QH161" s="5"/>
      <c r="QI161" s="5"/>
      <c r="QJ161" s="5"/>
      <c r="QK161" s="5"/>
      <c r="QL161" s="5"/>
      <c r="QM161" s="5"/>
      <c r="QN161" s="5"/>
      <c r="QO161" s="5"/>
      <c r="QP161" s="5"/>
      <c r="QQ161" s="5"/>
      <c r="QR161" s="5"/>
      <c r="QS161" s="5"/>
      <c r="QT161" s="5"/>
      <c r="QU161" s="5"/>
      <c r="QV161" s="5"/>
      <c r="QW161" s="5"/>
      <c r="QX161" s="5"/>
      <c r="QY161" s="5"/>
      <c r="QZ161" s="5"/>
      <c r="RA161" s="5"/>
      <c r="RB161" s="5"/>
      <c r="RC161" s="5"/>
      <c r="RD161" s="5"/>
      <c r="RE161" s="5"/>
      <c r="RF161" s="5"/>
      <c r="RG161" s="5"/>
      <c r="RH161" s="5"/>
      <c r="RI161" s="5"/>
      <c r="RJ161" s="5"/>
      <c r="RK161" s="5"/>
      <c r="RL161" s="5"/>
      <c r="RM161" s="5"/>
      <c r="RN161" s="5"/>
      <c r="RO161" s="5"/>
      <c r="RP161" s="5"/>
      <c r="RQ161" s="5"/>
      <c r="RR161" s="5"/>
      <c r="RS161" s="5"/>
      <c r="RT161" s="5"/>
      <c r="RU161" s="5"/>
      <c r="RV161" s="5"/>
      <c r="RW161" s="5"/>
      <c r="RX161" s="5"/>
      <c r="RY161" s="5"/>
      <c r="RZ161" s="5"/>
      <c r="SA161" s="5"/>
      <c r="SB161" s="5"/>
      <c r="SC161" s="5"/>
      <c r="SD161" s="5"/>
      <c r="SE161" s="5"/>
      <c r="SF161" s="5"/>
      <c r="SG161" s="5"/>
      <c r="SH161" s="5"/>
      <c r="SI161" s="5"/>
      <c r="SJ161" s="5"/>
      <c r="SK161" s="5"/>
      <c r="SL161" s="5"/>
      <c r="SM161" s="5"/>
      <c r="SN161" s="5"/>
      <c r="SO161" s="5"/>
      <c r="SP161" s="5"/>
      <c r="SQ161" s="5"/>
      <c r="SR161" s="5"/>
      <c r="SS161" s="5"/>
      <c r="ST161" s="5"/>
      <c r="SU161" s="5"/>
      <c r="SV161" s="5"/>
      <c r="SW161" s="5"/>
      <c r="SX161" s="5"/>
      <c r="SY161" s="5"/>
      <c r="SZ161" s="5"/>
      <c r="TA161" s="5"/>
      <c r="TB161" s="5"/>
      <c r="TC161" s="5"/>
      <c r="TD161" s="5"/>
      <c r="TE161" s="5"/>
      <c r="TF161" s="5"/>
      <c r="TG161" s="5"/>
      <c r="TH161" s="5"/>
      <c r="TI161" s="5"/>
      <c r="TJ161" s="5"/>
      <c r="TK161" s="5"/>
      <c r="TL161" s="5"/>
      <c r="TM161" s="5"/>
      <c r="TN161" s="5"/>
      <c r="TO161" s="5"/>
      <c r="TP161" s="5"/>
      <c r="TQ161" s="5"/>
      <c r="TR161" s="5"/>
      <c r="TS161" s="5"/>
      <c r="TT161" s="5"/>
      <c r="TU161" s="5"/>
      <c r="TV161" s="5"/>
      <c r="TW161" s="5"/>
      <c r="TX161" s="5"/>
      <c r="TY161" s="5"/>
      <c r="TZ161" s="5"/>
      <c r="UA161" s="5"/>
      <c r="UB161" s="5"/>
      <c r="UC161" s="5"/>
      <c r="UD161" s="5"/>
      <c r="UE161" s="5"/>
      <c r="UF161" s="5"/>
      <c r="UG161" s="5"/>
      <c r="UH161" s="5"/>
      <c r="UI161" s="5"/>
      <c r="UJ161" s="5"/>
      <c r="UK161" s="5"/>
      <c r="UL161" s="5"/>
      <c r="UM161" s="5"/>
      <c r="UN161" s="5"/>
      <c r="UO161" s="5"/>
      <c r="UP161" s="5"/>
      <c r="UQ161" s="5"/>
      <c r="UR161" s="5"/>
      <c r="US161" s="5"/>
      <c r="UT161" s="5"/>
      <c r="UU161" s="5"/>
      <c r="UV161" s="5"/>
      <c r="UW161" s="5"/>
      <c r="UX161" s="5"/>
      <c r="UY161" s="5"/>
      <c r="UZ161" s="5"/>
      <c r="VA161" s="5"/>
      <c r="VB161" s="5"/>
      <c r="VC161" s="5"/>
      <c r="VD161" s="5"/>
      <c r="VE161" s="5"/>
      <c r="VF161" s="5"/>
      <c r="VG161" s="5"/>
      <c r="VH161" s="5"/>
      <c r="VI161" s="5"/>
      <c r="VJ161" s="5"/>
      <c r="VK161" s="5"/>
      <c r="VL161" s="5"/>
      <c r="VM161" s="5"/>
      <c r="VN161" s="5"/>
      <c r="VO161" s="5"/>
      <c r="VP161" s="5"/>
      <c r="VQ161" s="5"/>
      <c r="VR161" s="5"/>
      <c r="VS161" s="5"/>
      <c r="VT161" s="5"/>
      <c r="VU161" s="5"/>
      <c r="VV161" s="5"/>
      <c r="VW161" s="5"/>
      <c r="VX161" s="5"/>
      <c r="VY161" s="5"/>
      <c r="VZ161" s="5"/>
      <c r="WA161" s="5"/>
      <c r="WB161" s="5"/>
      <c r="WC161" s="5"/>
      <c r="WD161" s="5"/>
      <c r="WE161" s="5"/>
      <c r="WF161" s="5"/>
      <c r="WG161" s="5"/>
      <c r="WH161" s="5"/>
      <c r="WI161" s="5"/>
      <c r="WJ161" s="5"/>
      <c r="WK161" s="5"/>
      <c r="WL161" s="5"/>
      <c r="WM161" s="5"/>
      <c r="WN161" s="5"/>
      <c r="WO161" s="5"/>
      <c r="WP161" s="5"/>
      <c r="WQ161" s="5"/>
      <c r="WR161" s="5"/>
      <c r="WS161" s="5"/>
      <c r="WT161" s="5"/>
      <c r="WU161" s="5"/>
      <c r="WV161" s="5"/>
      <c r="WW161" s="5"/>
      <c r="WX161" s="5"/>
      <c r="WY161" s="5"/>
      <c r="WZ161" s="5"/>
      <c r="XA161" s="5"/>
      <c r="XB161" s="5"/>
      <c r="XC161" s="5"/>
      <c r="XD161" s="5"/>
      <c r="XE161" s="5"/>
      <c r="XF161" s="5"/>
      <c r="XG161" s="5"/>
      <c r="XH161" s="5"/>
      <c r="XI161" s="5"/>
      <c r="XJ161" s="5"/>
      <c r="XK161" s="5"/>
      <c r="XL161" s="5"/>
      <c r="XM161" s="5"/>
      <c r="XN161" s="5"/>
      <c r="XO161" s="5"/>
      <c r="XP161" s="5"/>
      <c r="XQ161" s="5"/>
      <c r="XR161" s="5"/>
      <c r="XS161" s="5"/>
      <c r="XT161" s="5"/>
      <c r="XU161" s="5"/>
      <c r="XV161" s="5"/>
      <c r="XW161" s="5"/>
      <c r="XX161" s="5"/>
      <c r="XY161" s="5"/>
      <c r="XZ161" s="5"/>
      <c r="YA161" s="5"/>
      <c r="YB161" s="5"/>
      <c r="YC161" s="5"/>
      <c r="YD161" s="5"/>
      <c r="YE161" s="5"/>
      <c r="YF161" s="5"/>
      <c r="YG161" s="5"/>
      <c r="YH161" s="5"/>
      <c r="YI161" s="5"/>
      <c r="YJ161" s="5"/>
      <c r="YK161" s="5"/>
      <c r="YL161" s="5"/>
      <c r="YM161" s="5"/>
      <c r="YN161" s="5"/>
      <c r="YO161" s="5"/>
      <c r="YP161" s="5"/>
      <c r="YQ161" s="5"/>
      <c r="YR161" s="5"/>
      <c r="YS161" s="5"/>
      <c r="YT161" s="5"/>
      <c r="YU161" s="5"/>
      <c r="YV161" s="5"/>
      <c r="YW161" s="5"/>
      <c r="YX161" s="5"/>
      <c r="YY161" s="5"/>
      <c r="YZ161" s="5"/>
    </row>
    <row r="162" spans="1:676">
      <c r="A162" s="7">
        <v>152</v>
      </c>
      <c r="B162" s="7" t="s">
        <v>374</v>
      </c>
      <c r="C162" s="10" t="s">
        <v>375</v>
      </c>
      <c r="D162" s="7" t="s">
        <v>60</v>
      </c>
      <c r="E162" s="7" t="s">
        <v>175</v>
      </c>
      <c r="F162" s="7" t="s">
        <v>283</v>
      </c>
      <c r="G162" s="7"/>
      <c r="H162" s="7"/>
      <c r="I162" s="11">
        <v>2</v>
      </c>
      <c r="J162" s="11">
        <v>0</v>
      </c>
      <c r="K162" s="11">
        <v>0</v>
      </c>
      <c r="L162" s="11">
        <v>0.7100000000000001</v>
      </c>
      <c r="M162" s="11">
        <v>0</v>
      </c>
      <c r="N162" s="11">
        <v>0</v>
      </c>
      <c r="O162" s="11">
        <v>0</v>
      </c>
      <c r="P162" s="11">
        <v>0</v>
      </c>
      <c r="Q162" s="11">
        <v>0.7100000000000001</v>
      </c>
      <c r="R162" s="11">
        <v>10.15</v>
      </c>
      <c r="S162" s="11">
        <v>10.86</v>
      </c>
      <c r="T162" s="11">
        <v>2</v>
      </c>
      <c r="U162" s="11">
        <v>0</v>
      </c>
      <c r="V162" s="11">
        <v>8.860000000000003</v>
      </c>
      <c r="W162" s="13">
        <v>24</v>
      </c>
      <c r="X162" s="13">
        <v>0</v>
      </c>
      <c r="Y162" s="13" t="str">
        <f>MIN(W162,S162)</f>
        <v>0</v>
      </c>
      <c r="Z162" s="13" t="str">
        <f>MIN(X162,(S162-Y162))</f>
        <v>0</v>
      </c>
      <c r="AA162" s="13" t="str">
        <f>S162-SUM(Y162,Z162)</f>
        <v>0</v>
      </c>
      <c r="AB162" s="15"/>
      <c r="AC162" s="15"/>
      <c r="AD162" s="1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5"/>
      <c r="CF162" s="5"/>
      <c r="CG162" s="5"/>
      <c r="CH162" s="5"/>
      <c r="CI162" s="5"/>
      <c r="CJ162" s="5"/>
      <c r="CK162" s="5"/>
      <c r="CL162" s="5"/>
      <c r="CM162" s="5"/>
      <c r="CN162" s="5"/>
      <c r="CO162" s="5"/>
      <c r="CP162" s="5"/>
      <c r="CQ162" s="5"/>
      <c r="CR162" s="5"/>
      <c r="CS162" s="5"/>
      <c r="CT162" s="5"/>
      <c r="CU162" s="5"/>
      <c r="CV162" s="5"/>
      <c r="CW162" s="5"/>
      <c r="CX162" s="5"/>
      <c r="CY162" s="5"/>
      <c r="CZ162" s="5"/>
      <c r="DA162" s="5"/>
      <c r="DB162" s="5"/>
      <c r="DC162" s="5"/>
      <c r="DD162" s="5"/>
      <c r="DE162" s="5"/>
      <c r="DF162" s="5"/>
      <c r="DG162" s="5"/>
      <c r="DH162" s="5"/>
      <c r="DI162" s="5"/>
      <c r="DJ162" s="5"/>
      <c r="DK162" s="5"/>
      <c r="DL162" s="5"/>
      <c r="DM162" s="5"/>
      <c r="DN162" s="5"/>
      <c r="DO162" s="5"/>
      <c r="DP162" s="5"/>
      <c r="DQ162" s="5"/>
      <c r="DR162" s="5"/>
      <c r="DS162" s="5"/>
      <c r="DT162" s="5"/>
      <c r="DU162" s="5"/>
      <c r="DV162" s="5"/>
      <c r="DW162" s="5"/>
      <c r="DX162" s="5"/>
      <c r="DY162" s="5"/>
      <c r="DZ162" s="5"/>
      <c r="EA162" s="5"/>
      <c r="EB162" s="5"/>
      <c r="EC162" s="5"/>
      <c r="ED162" s="5"/>
      <c r="EE162" s="5"/>
      <c r="EF162" s="5"/>
      <c r="EG162" s="5"/>
      <c r="EH162" s="5"/>
      <c r="EI162" s="5"/>
      <c r="EJ162" s="5"/>
      <c r="EK162" s="5"/>
      <c r="EL162" s="5"/>
      <c r="EM162" s="5"/>
      <c r="EN162" s="5"/>
      <c r="EO162" s="5"/>
      <c r="EP162" s="5"/>
      <c r="EQ162" s="5"/>
      <c r="ER162" s="5"/>
      <c r="ES162" s="5"/>
      <c r="ET162" s="5"/>
      <c r="EU162" s="5"/>
      <c r="EV162" s="5"/>
      <c r="EW162" s="5"/>
      <c r="EX162" s="5"/>
      <c r="EY162" s="5"/>
      <c r="EZ162" s="5"/>
      <c r="FA162" s="5"/>
      <c r="FB162" s="5"/>
      <c r="FC162" s="5"/>
      <c r="FD162" s="5"/>
      <c r="FE162" s="5"/>
      <c r="FF162" s="5"/>
      <c r="FG162" s="5"/>
      <c r="FH162" s="5"/>
      <c r="FI162" s="5"/>
      <c r="FJ162" s="5"/>
      <c r="FK162" s="5"/>
      <c r="FL162" s="5"/>
      <c r="FM162" s="5"/>
      <c r="FN162" s="5"/>
      <c r="FO162" s="5"/>
      <c r="FP162" s="5"/>
      <c r="FQ162" s="5"/>
      <c r="FR162" s="5"/>
      <c r="FS162" s="5"/>
      <c r="FT162" s="5"/>
      <c r="FU162" s="5"/>
      <c r="FV162" s="5"/>
      <c r="FW162" s="5"/>
      <c r="FX162" s="5"/>
      <c r="FY162" s="5"/>
      <c r="FZ162" s="5"/>
      <c r="GA162" s="5"/>
      <c r="GB162" s="5"/>
      <c r="GC162" s="5"/>
      <c r="GD162" s="5"/>
      <c r="GE162" s="5"/>
      <c r="GF162" s="5"/>
      <c r="GG162" s="5"/>
      <c r="GH162" s="5"/>
      <c r="GI162" s="5"/>
      <c r="GJ162" s="5"/>
      <c r="GK162" s="5"/>
      <c r="GL162" s="5"/>
      <c r="GM162" s="5"/>
      <c r="GN162" s="5"/>
      <c r="GO162" s="5"/>
      <c r="GP162" s="5"/>
      <c r="GQ162" s="5"/>
      <c r="GR162" s="5"/>
      <c r="GS162" s="5"/>
      <c r="GT162" s="5"/>
      <c r="GU162" s="5"/>
      <c r="GV162" s="5"/>
      <c r="GW162" s="5"/>
      <c r="GX162" s="5"/>
      <c r="GY162" s="5"/>
      <c r="GZ162" s="5"/>
      <c r="HA162" s="5"/>
      <c r="HB162" s="5"/>
      <c r="HC162" s="5"/>
      <c r="HD162" s="5"/>
      <c r="HE162" s="5"/>
      <c r="HF162" s="5"/>
      <c r="HG162" s="5"/>
      <c r="HH162" s="5"/>
      <c r="HI162" s="5"/>
      <c r="HJ162" s="5"/>
      <c r="HK162" s="5"/>
      <c r="HL162" s="5"/>
      <c r="HM162" s="5"/>
      <c r="HN162" s="5"/>
      <c r="HO162" s="5"/>
      <c r="HP162" s="5"/>
      <c r="HQ162" s="5"/>
      <c r="HR162" s="5"/>
      <c r="HS162" s="5"/>
      <c r="HT162" s="5"/>
      <c r="HU162" s="5"/>
      <c r="HV162" s="5"/>
      <c r="HW162" s="5"/>
      <c r="HX162" s="5"/>
      <c r="HY162" s="5"/>
      <c r="HZ162" s="5"/>
      <c r="IA162" s="5"/>
      <c r="IB162" s="5"/>
      <c r="IC162" s="5"/>
      <c r="ID162" s="5"/>
      <c r="IE162" s="5"/>
      <c r="IF162" s="5"/>
      <c r="IG162" s="5"/>
      <c r="IH162" s="5"/>
      <c r="II162" s="5"/>
      <c r="IJ162" s="5"/>
      <c r="IK162" s="5"/>
      <c r="IL162" s="5"/>
      <c r="IM162" s="5"/>
      <c r="IN162" s="5"/>
      <c r="IO162" s="5"/>
      <c r="IP162" s="5"/>
      <c r="IQ162" s="5"/>
      <c r="IR162" s="5"/>
      <c r="IS162" s="5"/>
      <c r="IT162" s="5"/>
      <c r="IU162" s="5"/>
      <c r="IV162" s="5"/>
      <c r="IW162" s="5"/>
      <c r="IX162" s="5"/>
      <c r="IY162" s="5"/>
      <c r="IZ162" s="5"/>
      <c r="JA162" s="5"/>
      <c r="JB162" s="5"/>
      <c r="JC162" s="5"/>
      <c r="JD162" s="5"/>
      <c r="JE162" s="5"/>
      <c r="JF162" s="5"/>
      <c r="JG162" s="5"/>
      <c r="JH162" s="5"/>
      <c r="JI162" s="5"/>
      <c r="JJ162" s="5"/>
      <c r="JK162" s="5"/>
      <c r="JL162" s="5"/>
      <c r="JM162" s="5"/>
      <c r="JN162" s="5"/>
      <c r="JO162" s="5"/>
      <c r="JP162" s="5"/>
      <c r="JQ162" s="5"/>
      <c r="JR162" s="5"/>
      <c r="JS162" s="5"/>
      <c r="JT162" s="5"/>
      <c r="JU162" s="5"/>
      <c r="JV162" s="5"/>
      <c r="JW162" s="5"/>
      <c r="JX162" s="5"/>
      <c r="JY162" s="5"/>
      <c r="JZ162" s="5"/>
      <c r="KA162" s="5"/>
      <c r="KB162" s="5"/>
      <c r="KC162" s="5"/>
      <c r="KD162" s="5"/>
      <c r="KE162" s="5"/>
      <c r="KF162" s="5"/>
      <c r="KG162" s="5"/>
      <c r="KH162" s="5"/>
      <c r="KI162" s="5"/>
      <c r="KJ162" s="5"/>
      <c r="KK162" s="5"/>
      <c r="KL162" s="5"/>
      <c r="KM162" s="5"/>
      <c r="KN162" s="5"/>
      <c r="KO162" s="5"/>
      <c r="KP162" s="5"/>
      <c r="KQ162" s="5"/>
      <c r="KR162" s="5"/>
      <c r="KS162" s="5"/>
      <c r="KT162" s="5"/>
      <c r="KU162" s="5"/>
      <c r="KV162" s="5"/>
      <c r="KW162" s="5"/>
      <c r="KX162" s="5"/>
      <c r="KY162" s="5"/>
      <c r="KZ162" s="5"/>
      <c r="LA162" s="5"/>
      <c r="LB162" s="5"/>
      <c r="LC162" s="5"/>
      <c r="LD162" s="5"/>
      <c r="LE162" s="5"/>
      <c r="LF162" s="5"/>
      <c r="LG162" s="5"/>
      <c r="LH162" s="5"/>
      <c r="LI162" s="5"/>
      <c r="LJ162" s="5"/>
      <c r="LK162" s="5"/>
      <c r="LL162" s="5"/>
      <c r="LM162" s="5"/>
      <c r="LN162" s="5"/>
      <c r="LO162" s="5"/>
      <c r="LP162" s="5"/>
      <c r="LQ162" s="5"/>
      <c r="LR162" s="5"/>
      <c r="LS162" s="5"/>
      <c r="LT162" s="5"/>
      <c r="LU162" s="5"/>
      <c r="LV162" s="5"/>
      <c r="LW162" s="5"/>
      <c r="LX162" s="5"/>
      <c r="LY162" s="5"/>
      <c r="LZ162" s="5"/>
      <c r="MA162" s="5"/>
      <c r="MB162" s="5"/>
      <c r="MC162" s="5"/>
      <c r="MD162" s="5"/>
      <c r="ME162" s="5"/>
      <c r="MF162" s="5"/>
      <c r="MG162" s="5"/>
      <c r="MH162" s="5"/>
      <c r="MI162" s="5"/>
      <c r="MJ162" s="5"/>
      <c r="MK162" s="5"/>
      <c r="ML162" s="5"/>
      <c r="MM162" s="5"/>
      <c r="MN162" s="5"/>
      <c r="MO162" s="5"/>
      <c r="MP162" s="5"/>
      <c r="MQ162" s="5"/>
      <c r="MR162" s="5"/>
      <c r="MS162" s="5"/>
      <c r="MT162" s="5"/>
      <c r="MU162" s="5"/>
      <c r="MV162" s="5"/>
      <c r="MW162" s="5"/>
      <c r="MX162" s="5"/>
      <c r="MY162" s="5"/>
      <c r="MZ162" s="5"/>
      <c r="NA162" s="5"/>
      <c r="NB162" s="5"/>
      <c r="NC162" s="5"/>
      <c r="ND162" s="5"/>
      <c r="NE162" s="5"/>
      <c r="NF162" s="5"/>
      <c r="NG162" s="5"/>
      <c r="NH162" s="5"/>
      <c r="NI162" s="5"/>
      <c r="NJ162" s="5"/>
      <c r="NK162" s="5"/>
      <c r="NL162" s="5"/>
      <c r="NM162" s="5"/>
      <c r="NN162" s="5"/>
      <c r="NO162" s="5"/>
      <c r="NP162" s="5"/>
      <c r="NQ162" s="5"/>
      <c r="NR162" s="5"/>
      <c r="NS162" s="5"/>
      <c r="NT162" s="5"/>
      <c r="NU162" s="5"/>
      <c r="NV162" s="5"/>
      <c r="NW162" s="5"/>
      <c r="NX162" s="5"/>
      <c r="NY162" s="5"/>
      <c r="NZ162" s="5"/>
      <c r="OA162" s="5"/>
      <c r="OB162" s="5"/>
      <c r="OC162" s="5"/>
      <c r="OD162" s="5"/>
      <c r="OE162" s="5"/>
      <c r="OF162" s="5"/>
      <c r="OG162" s="5"/>
      <c r="OH162" s="5"/>
      <c r="OI162" s="5"/>
      <c r="OJ162" s="5"/>
      <c r="OK162" s="5"/>
      <c r="OL162" s="5"/>
      <c r="OM162" s="5"/>
      <c r="ON162" s="5"/>
      <c r="OO162" s="5"/>
      <c r="OP162" s="5"/>
      <c r="OQ162" s="5"/>
      <c r="OR162" s="5"/>
      <c r="OS162" s="5"/>
      <c r="OT162" s="5"/>
      <c r="OU162" s="5"/>
      <c r="OV162" s="5"/>
      <c r="OW162" s="5"/>
      <c r="OX162" s="5"/>
      <c r="OY162" s="5"/>
      <c r="OZ162" s="5"/>
      <c r="PA162" s="5"/>
      <c r="PB162" s="5"/>
      <c r="PC162" s="5"/>
      <c r="PD162" s="5"/>
      <c r="PE162" s="5"/>
      <c r="PF162" s="5"/>
      <c r="PG162" s="5"/>
      <c r="PH162" s="5"/>
      <c r="PI162" s="5"/>
      <c r="PJ162" s="5"/>
      <c r="PK162" s="5"/>
      <c r="PL162" s="5"/>
      <c r="PM162" s="5"/>
      <c r="PN162" s="5"/>
      <c r="PO162" s="5"/>
      <c r="PP162" s="5"/>
      <c r="PQ162" s="5"/>
      <c r="PR162" s="5"/>
      <c r="PS162" s="5"/>
      <c r="PT162" s="5"/>
      <c r="PU162" s="5"/>
      <c r="PV162" s="5"/>
      <c r="PW162" s="5"/>
      <c r="PX162" s="5"/>
      <c r="PY162" s="5"/>
      <c r="PZ162" s="5"/>
      <c r="QA162" s="5"/>
      <c r="QB162" s="5"/>
      <c r="QC162" s="5"/>
      <c r="QD162" s="5"/>
      <c r="QE162" s="5"/>
      <c r="QF162" s="5"/>
      <c r="QG162" s="5"/>
      <c r="QH162" s="5"/>
      <c r="QI162" s="5"/>
      <c r="QJ162" s="5"/>
      <c r="QK162" s="5"/>
      <c r="QL162" s="5"/>
      <c r="QM162" s="5"/>
      <c r="QN162" s="5"/>
      <c r="QO162" s="5"/>
      <c r="QP162" s="5"/>
      <c r="QQ162" s="5"/>
      <c r="QR162" s="5"/>
      <c r="QS162" s="5"/>
      <c r="QT162" s="5"/>
      <c r="QU162" s="5"/>
      <c r="QV162" s="5"/>
      <c r="QW162" s="5"/>
      <c r="QX162" s="5"/>
      <c r="QY162" s="5"/>
      <c r="QZ162" s="5"/>
      <c r="RA162" s="5"/>
      <c r="RB162" s="5"/>
      <c r="RC162" s="5"/>
      <c r="RD162" s="5"/>
      <c r="RE162" s="5"/>
      <c r="RF162" s="5"/>
      <c r="RG162" s="5"/>
      <c r="RH162" s="5"/>
      <c r="RI162" s="5"/>
      <c r="RJ162" s="5"/>
      <c r="RK162" s="5"/>
      <c r="RL162" s="5"/>
      <c r="RM162" s="5"/>
      <c r="RN162" s="5"/>
      <c r="RO162" s="5"/>
      <c r="RP162" s="5"/>
      <c r="RQ162" s="5"/>
      <c r="RR162" s="5"/>
      <c r="RS162" s="5"/>
      <c r="RT162" s="5"/>
      <c r="RU162" s="5"/>
      <c r="RV162" s="5"/>
      <c r="RW162" s="5"/>
      <c r="RX162" s="5"/>
      <c r="RY162" s="5"/>
      <c r="RZ162" s="5"/>
      <c r="SA162" s="5"/>
      <c r="SB162" s="5"/>
      <c r="SC162" s="5"/>
      <c r="SD162" s="5"/>
      <c r="SE162" s="5"/>
      <c r="SF162" s="5"/>
      <c r="SG162" s="5"/>
      <c r="SH162" s="5"/>
      <c r="SI162" s="5"/>
      <c r="SJ162" s="5"/>
      <c r="SK162" s="5"/>
      <c r="SL162" s="5"/>
      <c r="SM162" s="5"/>
      <c r="SN162" s="5"/>
      <c r="SO162" s="5"/>
      <c r="SP162" s="5"/>
      <c r="SQ162" s="5"/>
      <c r="SR162" s="5"/>
      <c r="SS162" s="5"/>
      <c r="ST162" s="5"/>
      <c r="SU162" s="5"/>
      <c r="SV162" s="5"/>
      <c r="SW162" s="5"/>
      <c r="SX162" s="5"/>
      <c r="SY162" s="5"/>
      <c r="SZ162" s="5"/>
      <c r="TA162" s="5"/>
      <c r="TB162" s="5"/>
      <c r="TC162" s="5"/>
      <c r="TD162" s="5"/>
      <c r="TE162" s="5"/>
      <c r="TF162" s="5"/>
      <c r="TG162" s="5"/>
      <c r="TH162" s="5"/>
      <c r="TI162" s="5"/>
      <c r="TJ162" s="5"/>
      <c r="TK162" s="5"/>
      <c r="TL162" s="5"/>
      <c r="TM162" s="5"/>
      <c r="TN162" s="5"/>
      <c r="TO162" s="5"/>
      <c r="TP162" s="5"/>
      <c r="TQ162" s="5"/>
      <c r="TR162" s="5"/>
      <c r="TS162" s="5"/>
      <c r="TT162" s="5"/>
      <c r="TU162" s="5"/>
      <c r="TV162" s="5"/>
      <c r="TW162" s="5"/>
      <c r="TX162" s="5"/>
      <c r="TY162" s="5"/>
      <c r="TZ162" s="5"/>
      <c r="UA162" s="5"/>
      <c r="UB162" s="5"/>
      <c r="UC162" s="5"/>
      <c r="UD162" s="5"/>
      <c r="UE162" s="5"/>
      <c r="UF162" s="5"/>
      <c r="UG162" s="5"/>
      <c r="UH162" s="5"/>
      <c r="UI162" s="5"/>
      <c r="UJ162" s="5"/>
      <c r="UK162" s="5"/>
      <c r="UL162" s="5"/>
      <c r="UM162" s="5"/>
      <c r="UN162" s="5"/>
      <c r="UO162" s="5"/>
      <c r="UP162" s="5"/>
      <c r="UQ162" s="5"/>
      <c r="UR162" s="5"/>
      <c r="US162" s="5"/>
      <c r="UT162" s="5"/>
      <c r="UU162" s="5"/>
      <c r="UV162" s="5"/>
      <c r="UW162" s="5"/>
      <c r="UX162" s="5"/>
      <c r="UY162" s="5"/>
      <c r="UZ162" s="5"/>
      <c r="VA162" s="5"/>
      <c r="VB162" s="5"/>
      <c r="VC162" s="5"/>
      <c r="VD162" s="5"/>
      <c r="VE162" s="5"/>
      <c r="VF162" s="5"/>
      <c r="VG162" s="5"/>
      <c r="VH162" s="5"/>
      <c r="VI162" s="5"/>
      <c r="VJ162" s="5"/>
      <c r="VK162" s="5"/>
      <c r="VL162" s="5"/>
      <c r="VM162" s="5"/>
      <c r="VN162" s="5"/>
      <c r="VO162" s="5"/>
      <c r="VP162" s="5"/>
      <c r="VQ162" s="5"/>
      <c r="VR162" s="5"/>
      <c r="VS162" s="5"/>
      <c r="VT162" s="5"/>
      <c r="VU162" s="5"/>
      <c r="VV162" s="5"/>
      <c r="VW162" s="5"/>
      <c r="VX162" s="5"/>
      <c r="VY162" s="5"/>
      <c r="VZ162" s="5"/>
      <c r="WA162" s="5"/>
      <c r="WB162" s="5"/>
      <c r="WC162" s="5"/>
      <c r="WD162" s="5"/>
      <c r="WE162" s="5"/>
      <c r="WF162" s="5"/>
      <c r="WG162" s="5"/>
      <c r="WH162" s="5"/>
      <c r="WI162" s="5"/>
      <c r="WJ162" s="5"/>
      <c r="WK162" s="5"/>
      <c r="WL162" s="5"/>
      <c r="WM162" s="5"/>
      <c r="WN162" s="5"/>
      <c r="WO162" s="5"/>
      <c r="WP162" s="5"/>
      <c r="WQ162" s="5"/>
      <c r="WR162" s="5"/>
      <c r="WS162" s="5"/>
      <c r="WT162" s="5"/>
      <c r="WU162" s="5"/>
      <c r="WV162" s="5"/>
      <c r="WW162" s="5"/>
      <c r="WX162" s="5"/>
      <c r="WY162" s="5"/>
      <c r="WZ162" s="5"/>
      <c r="XA162" s="5"/>
      <c r="XB162" s="5"/>
      <c r="XC162" s="5"/>
      <c r="XD162" s="5"/>
      <c r="XE162" s="5"/>
      <c r="XF162" s="5"/>
      <c r="XG162" s="5"/>
      <c r="XH162" s="5"/>
      <c r="XI162" s="5"/>
      <c r="XJ162" s="5"/>
      <c r="XK162" s="5"/>
      <c r="XL162" s="5"/>
      <c r="XM162" s="5"/>
      <c r="XN162" s="5"/>
      <c r="XO162" s="5"/>
      <c r="XP162" s="5"/>
      <c r="XQ162" s="5"/>
      <c r="XR162" s="5"/>
      <c r="XS162" s="5"/>
      <c r="XT162" s="5"/>
      <c r="XU162" s="5"/>
      <c r="XV162" s="5"/>
      <c r="XW162" s="5"/>
      <c r="XX162" s="5"/>
      <c r="XY162" s="5"/>
      <c r="XZ162" s="5"/>
      <c r="YA162" s="5"/>
      <c r="YB162" s="5"/>
      <c r="YC162" s="5"/>
      <c r="YD162" s="5"/>
      <c r="YE162" s="5"/>
      <c r="YF162" s="5"/>
      <c r="YG162" s="5"/>
      <c r="YH162" s="5"/>
      <c r="YI162" s="5"/>
      <c r="YJ162" s="5"/>
      <c r="YK162" s="5"/>
      <c r="YL162" s="5"/>
      <c r="YM162" s="5"/>
      <c r="YN162" s="5"/>
      <c r="YO162" s="5"/>
      <c r="YP162" s="5"/>
      <c r="YQ162" s="5"/>
      <c r="YR162" s="5"/>
      <c r="YS162" s="5"/>
      <c r="YT162" s="5"/>
      <c r="YU162" s="5"/>
      <c r="YV162" s="5"/>
      <c r="YW162" s="5"/>
      <c r="YX162" s="5"/>
      <c r="YY162" s="5"/>
      <c r="YZ162" s="5"/>
    </row>
    <row r="163" spans="1:676">
      <c r="A163" s="7">
        <v>153</v>
      </c>
      <c r="B163" s="7" t="s">
        <v>376</v>
      </c>
      <c r="C163" s="10" t="s">
        <v>377</v>
      </c>
      <c r="D163" s="7" t="s">
        <v>40</v>
      </c>
      <c r="E163" s="7" t="s">
        <v>175</v>
      </c>
      <c r="F163" s="7" t="s">
        <v>291</v>
      </c>
      <c r="G163" s="7"/>
      <c r="H163" s="7"/>
      <c r="I163" s="11">
        <v>2</v>
      </c>
      <c r="J163" s="11">
        <v>3</v>
      </c>
      <c r="K163" s="11">
        <v>0</v>
      </c>
      <c r="L163" s="11">
        <v>2.45</v>
      </c>
      <c r="M163" s="11">
        <v>0</v>
      </c>
      <c r="N163" s="11">
        <v>0</v>
      </c>
      <c r="O163" s="11">
        <v>0.96</v>
      </c>
      <c r="P163" s="11">
        <v>0.95</v>
      </c>
      <c r="Q163" s="11">
        <v>4.359999999999999</v>
      </c>
      <c r="R163" s="11">
        <v>59.42999999999999</v>
      </c>
      <c r="S163" s="11">
        <v>63.78999999999999</v>
      </c>
      <c r="T163" s="11">
        <v>2</v>
      </c>
      <c r="U163" s="11">
        <v>3</v>
      </c>
      <c r="V163" s="11">
        <v>58.78999999999999</v>
      </c>
      <c r="W163" s="13">
        <v>24</v>
      </c>
      <c r="X163" s="13">
        <v>36</v>
      </c>
      <c r="Y163" s="13" t="str">
        <f>MIN(W163,S163)</f>
        <v>0</v>
      </c>
      <c r="Z163" s="13" t="str">
        <f>MIN(X163,(S163-Y163))</f>
        <v>0</v>
      </c>
      <c r="AA163" s="13" t="str">
        <f>S163-SUM(Y163,Z163)</f>
        <v>0</v>
      </c>
      <c r="AB163" s="15"/>
      <c r="AC163" s="15"/>
      <c r="AD163" s="1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5"/>
      <c r="DN163" s="5"/>
      <c r="DO163" s="5"/>
      <c r="DP163" s="5"/>
      <c r="DQ163" s="5"/>
      <c r="DR163" s="5"/>
      <c r="DS163" s="5"/>
      <c r="DT163" s="5"/>
      <c r="DU163" s="5"/>
      <c r="DV163" s="5"/>
      <c r="DW163" s="5"/>
      <c r="DX163" s="5"/>
      <c r="DY163" s="5"/>
      <c r="DZ163" s="5"/>
      <c r="EA163" s="5"/>
      <c r="EB163" s="5"/>
      <c r="EC163" s="5"/>
      <c r="ED163" s="5"/>
      <c r="EE163" s="5"/>
      <c r="EF163" s="5"/>
      <c r="EG163" s="5"/>
      <c r="EH163" s="5"/>
      <c r="EI163" s="5"/>
      <c r="EJ163" s="5"/>
      <c r="EK163" s="5"/>
      <c r="EL163" s="5"/>
      <c r="EM163" s="5"/>
      <c r="EN163" s="5"/>
      <c r="EO163" s="5"/>
      <c r="EP163" s="5"/>
      <c r="EQ163" s="5"/>
      <c r="ER163" s="5"/>
      <c r="ES163" s="5"/>
      <c r="ET163" s="5"/>
      <c r="EU163" s="5"/>
      <c r="EV163" s="5"/>
      <c r="EW163" s="5"/>
      <c r="EX163" s="5"/>
      <c r="EY163" s="5"/>
      <c r="EZ163" s="5"/>
      <c r="FA163" s="5"/>
      <c r="FB163" s="5"/>
      <c r="FC163" s="5"/>
      <c r="FD163" s="5"/>
      <c r="FE163" s="5"/>
      <c r="FF163" s="5"/>
      <c r="FG163" s="5"/>
      <c r="FH163" s="5"/>
      <c r="FI163" s="5"/>
      <c r="FJ163" s="5"/>
      <c r="FK163" s="5"/>
      <c r="FL163" s="5"/>
      <c r="FM163" s="5"/>
      <c r="FN163" s="5"/>
      <c r="FO163" s="5"/>
      <c r="FP163" s="5"/>
      <c r="FQ163" s="5"/>
      <c r="FR163" s="5"/>
      <c r="FS163" s="5"/>
      <c r="FT163" s="5"/>
      <c r="FU163" s="5"/>
      <c r="FV163" s="5"/>
      <c r="FW163" s="5"/>
      <c r="FX163" s="5"/>
      <c r="FY163" s="5"/>
      <c r="FZ163" s="5"/>
      <c r="GA163" s="5"/>
      <c r="GB163" s="5"/>
      <c r="GC163" s="5"/>
      <c r="GD163" s="5"/>
      <c r="GE163" s="5"/>
      <c r="GF163" s="5"/>
      <c r="GG163" s="5"/>
      <c r="GH163" s="5"/>
      <c r="GI163" s="5"/>
      <c r="GJ163" s="5"/>
      <c r="GK163" s="5"/>
      <c r="GL163" s="5"/>
      <c r="GM163" s="5"/>
      <c r="GN163" s="5"/>
      <c r="GO163" s="5"/>
      <c r="GP163" s="5"/>
      <c r="GQ163" s="5"/>
      <c r="GR163" s="5"/>
      <c r="GS163" s="5"/>
      <c r="GT163" s="5"/>
      <c r="GU163" s="5"/>
      <c r="GV163" s="5"/>
      <c r="GW163" s="5"/>
      <c r="GX163" s="5"/>
      <c r="GY163" s="5"/>
      <c r="GZ163" s="5"/>
      <c r="HA163" s="5"/>
      <c r="HB163" s="5"/>
      <c r="HC163" s="5"/>
      <c r="HD163" s="5"/>
      <c r="HE163" s="5"/>
      <c r="HF163" s="5"/>
      <c r="HG163" s="5"/>
      <c r="HH163" s="5"/>
      <c r="HI163" s="5"/>
      <c r="HJ163" s="5"/>
      <c r="HK163" s="5"/>
      <c r="HL163" s="5"/>
      <c r="HM163" s="5"/>
      <c r="HN163" s="5"/>
      <c r="HO163" s="5"/>
      <c r="HP163" s="5"/>
      <c r="HQ163" s="5"/>
      <c r="HR163" s="5"/>
      <c r="HS163" s="5"/>
      <c r="HT163" s="5"/>
      <c r="HU163" s="5"/>
      <c r="HV163" s="5"/>
      <c r="HW163" s="5"/>
      <c r="HX163" s="5"/>
      <c r="HY163" s="5"/>
      <c r="HZ163" s="5"/>
      <c r="IA163" s="5"/>
      <c r="IB163" s="5"/>
      <c r="IC163" s="5"/>
      <c r="ID163" s="5"/>
      <c r="IE163" s="5"/>
      <c r="IF163" s="5"/>
      <c r="IG163" s="5"/>
      <c r="IH163" s="5"/>
      <c r="II163" s="5"/>
      <c r="IJ163" s="5"/>
      <c r="IK163" s="5"/>
      <c r="IL163" s="5"/>
      <c r="IM163" s="5"/>
      <c r="IN163" s="5"/>
      <c r="IO163" s="5"/>
      <c r="IP163" s="5"/>
      <c r="IQ163" s="5"/>
      <c r="IR163" s="5"/>
      <c r="IS163" s="5"/>
      <c r="IT163" s="5"/>
      <c r="IU163" s="5"/>
      <c r="IV163" s="5"/>
      <c r="IW163" s="5"/>
      <c r="IX163" s="5"/>
      <c r="IY163" s="5"/>
      <c r="IZ163" s="5"/>
      <c r="JA163" s="5"/>
      <c r="JB163" s="5"/>
      <c r="JC163" s="5"/>
      <c r="JD163" s="5"/>
      <c r="JE163" s="5"/>
      <c r="JF163" s="5"/>
      <c r="JG163" s="5"/>
      <c r="JH163" s="5"/>
      <c r="JI163" s="5"/>
      <c r="JJ163" s="5"/>
      <c r="JK163" s="5"/>
      <c r="JL163" s="5"/>
      <c r="JM163" s="5"/>
      <c r="JN163" s="5"/>
      <c r="JO163" s="5"/>
      <c r="JP163" s="5"/>
      <c r="JQ163" s="5"/>
      <c r="JR163" s="5"/>
      <c r="JS163" s="5"/>
      <c r="JT163" s="5"/>
      <c r="JU163" s="5"/>
      <c r="JV163" s="5"/>
      <c r="JW163" s="5"/>
      <c r="JX163" s="5"/>
      <c r="JY163" s="5"/>
      <c r="JZ163" s="5"/>
      <c r="KA163" s="5"/>
      <c r="KB163" s="5"/>
      <c r="KC163" s="5"/>
      <c r="KD163" s="5"/>
      <c r="KE163" s="5"/>
      <c r="KF163" s="5"/>
      <c r="KG163" s="5"/>
      <c r="KH163" s="5"/>
      <c r="KI163" s="5"/>
      <c r="KJ163" s="5"/>
      <c r="KK163" s="5"/>
      <c r="KL163" s="5"/>
      <c r="KM163" s="5"/>
      <c r="KN163" s="5"/>
      <c r="KO163" s="5"/>
      <c r="KP163" s="5"/>
      <c r="KQ163" s="5"/>
      <c r="KR163" s="5"/>
      <c r="KS163" s="5"/>
      <c r="KT163" s="5"/>
      <c r="KU163" s="5"/>
      <c r="KV163" s="5"/>
      <c r="KW163" s="5"/>
      <c r="KX163" s="5"/>
      <c r="KY163" s="5"/>
      <c r="KZ163" s="5"/>
      <c r="LA163" s="5"/>
      <c r="LB163" s="5"/>
      <c r="LC163" s="5"/>
      <c r="LD163" s="5"/>
      <c r="LE163" s="5"/>
      <c r="LF163" s="5"/>
      <c r="LG163" s="5"/>
      <c r="LH163" s="5"/>
      <c r="LI163" s="5"/>
      <c r="LJ163" s="5"/>
      <c r="LK163" s="5"/>
      <c r="LL163" s="5"/>
      <c r="LM163" s="5"/>
      <c r="LN163" s="5"/>
      <c r="LO163" s="5"/>
      <c r="LP163" s="5"/>
      <c r="LQ163" s="5"/>
      <c r="LR163" s="5"/>
      <c r="LS163" s="5"/>
      <c r="LT163" s="5"/>
      <c r="LU163" s="5"/>
      <c r="LV163" s="5"/>
      <c r="LW163" s="5"/>
      <c r="LX163" s="5"/>
      <c r="LY163" s="5"/>
      <c r="LZ163" s="5"/>
      <c r="MA163" s="5"/>
      <c r="MB163" s="5"/>
      <c r="MC163" s="5"/>
      <c r="MD163" s="5"/>
      <c r="ME163" s="5"/>
      <c r="MF163" s="5"/>
      <c r="MG163" s="5"/>
      <c r="MH163" s="5"/>
      <c r="MI163" s="5"/>
      <c r="MJ163" s="5"/>
      <c r="MK163" s="5"/>
      <c r="ML163" s="5"/>
      <c r="MM163" s="5"/>
      <c r="MN163" s="5"/>
      <c r="MO163" s="5"/>
      <c r="MP163" s="5"/>
      <c r="MQ163" s="5"/>
      <c r="MR163" s="5"/>
      <c r="MS163" s="5"/>
      <c r="MT163" s="5"/>
      <c r="MU163" s="5"/>
      <c r="MV163" s="5"/>
      <c r="MW163" s="5"/>
      <c r="MX163" s="5"/>
      <c r="MY163" s="5"/>
      <c r="MZ163" s="5"/>
      <c r="NA163" s="5"/>
      <c r="NB163" s="5"/>
      <c r="NC163" s="5"/>
      <c r="ND163" s="5"/>
      <c r="NE163" s="5"/>
      <c r="NF163" s="5"/>
      <c r="NG163" s="5"/>
      <c r="NH163" s="5"/>
      <c r="NI163" s="5"/>
      <c r="NJ163" s="5"/>
      <c r="NK163" s="5"/>
      <c r="NL163" s="5"/>
      <c r="NM163" s="5"/>
      <c r="NN163" s="5"/>
      <c r="NO163" s="5"/>
      <c r="NP163" s="5"/>
      <c r="NQ163" s="5"/>
      <c r="NR163" s="5"/>
      <c r="NS163" s="5"/>
      <c r="NT163" s="5"/>
      <c r="NU163" s="5"/>
      <c r="NV163" s="5"/>
      <c r="NW163" s="5"/>
      <c r="NX163" s="5"/>
      <c r="NY163" s="5"/>
      <c r="NZ163" s="5"/>
      <c r="OA163" s="5"/>
      <c r="OB163" s="5"/>
      <c r="OC163" s="5"/>
      <c r="OD163" s="5"/>
      <c r="OE163" s="5"/>
      <c r="OF163" s="5"/>
      <c r="OG163" s="5"/>
      <c r="OH163" s="5"/>
      <c r="OI163" s="5"/>
      <c r="OJ163" s="5"/>
      <c r="OK163" s="5"/>
      <c r="OL163" s="5"/>
      <c r="OM163" s="5"/>
      <c r="ON163" s="5"/>
      <c r="OO163" s="5"/>
      <c r="OP163" s="5"/>
      <c r="OQ163" s="5"/>
      <c r="OR163" s="5"/>
      <c r="OS163" s="5"/>
      <c r="OT163" s="5"/>
      <c r="OU163" s="5"/>
      <c r="OV163" s="5"/>
      <c r="OW163" s="5"/>
      <c r="OX163" s="5"/>
      <c r="OY163" s="5"/>
      <c r="OZ163" s="5"/>
      <c r="PA163" s="5"/>
      <c r="PB163" s="5"/>
      <c r="PC163" s="5"/>
      <c r="PD163" s="5"/>
      <c r="PE163" s="5"/>
      <c r="PF163" s="5"/>
      <c r="PG163" s="5"/>
      <c r="PH163" s="5"/>
      <c r="PI163" s="5"/>
      <c r="PJ163" s="5"/>
      <c r="PK163" s="5"/>
      <c r="PL163" s="5"/>
      <c r="PM163" s="5"/>
      <c r="PN163" s="5"/>
      <c r="PO163" s="5"/>
      <c r="PP163" s="5"/>
      <c r="PQ163" s="5"/>
      <c r="PR163" s="5"/>
      <c r="PS163" s="5"/>
      <c r="PT163" s="5"/>
      <c r="PU163" s="5"/>
      <c r="PV163" s="5"/>
      <c r="PW163" s="5"/>
      <c r="PX163" s="5"/>
      <c r="PY163" s="5"/>
      <c r="PZ163" s="5"/>
      <c r="QA163" s="5"/>
      <c r="QB163" s="5"/>
      <c r="QC163" s="5"/>
      <c r="QD163" s="5"/>
      <c r="QE163" s="5"/>
      <c r="QF163" s="5"/>
      <c r="QG163" s="5"/>
      <c r="QH163" s="5"/>
      <c r="QI163" s="5"/>
      <c r="QJ163" s="5"/>
      <c r="QK163" s="5"/>
      <c r="QL163" s="5"/>
      <c r="QM163" s="5"/>
      <c r="QN163" s="5"/>
      <c r="QO163" s="5"/>
      <c r="QP163" s="5"/>
      <c r="QQ163" s="5"/>
      <c r="QR163" s="5"/>
      <c r="QS163" s="5"/>
      <c r="QT163" s="5"/>
      <c r="QU163" s="5"/>
      <c r="QV163" s="5"/>
      <c r="QW163" s="5"/>
      <c r="QX163" s="5"/>
      <c r="QY163" s="5"/>
      <c r="QZ163" s="5"/>
      <c r="RA163" s="5"/>
      <c r="RB163" s="5"/>
      <c r="RC163" s="5"/>
      <c r="RD163" s="5"/>
      <c r="RE163" s="5"/>
      <c r="RF163" s="5"/>
      <c r="RG163" s="5"/>
      <c r="RH163" s="5"/>
      <c r="RI163" s="5"/>
      <c r="RJ163" s="5"/>
      <c r="RK163" s="5"/>
      <c r="RL163" s="5"/>
      <c r="RM163" s="5"/>
      <c r="RN163" s="5"/>
      <c r="RO163" s="5"/>
      <c r="RP163" s="5"/>
      <c r="RQ163" s="5"/>
      <c r="RR163" s="5"/>
      <c r="RS163" s="5"/>
      <c r="RT163" s="5"/>
      <c r="RU163" s="5"/>
      <c r="RV163" s="5"/>
      <c r="RW163" s="5"/>
      <c r="RX163" s="5"/>
      <c r="RY163" s="5"/>
      <c r="RZ163" s="5"/>
      <c r="SA163" s="5"/>
      <c r="SB163" s="5"/>
      <c r="SC163" s="5"/>
      <c r="SD163" s="5"/>
      <c r="SE163" s="5"/>
      <c r="SF163" s="5"/>
      <c r="SG163" s="5"/>
      <c r="SH163" s="5"/>
      <c r="SI163" s="5"/>
      <c r="SJ163" s="5"/>
      <c r="SK163" s="5"/>
      <c r="SL163" s="5"/>
      <c r="SM163" s="5"/>
      <c r="SN163" s="5"/>
      <c r="SO163" s="5"/>
      <c r="SP163" s="5"/>
      <c r="SQ163" s="5"/>
      <c r="SR163" s="5"/>
      <c r="SS163" s="5"/>
      <c r="ST163" s="5"/>
      <c r="SU163" s="5"/>
      <c r="SV163" s="5"/>
      <c r="SW163" s="5"/>
      <c r="SX163" s="5"/>
      <c r="SY163" s="5"/>
      <c r="SZ163" s="5"/>
      <c r="TA163" s="5"/>
      <c r="TB163" s="5"/>
      <c r="TC163" s="5"/>
      <c r="TD163" s="5"/>
      <c r="TE163" s="5"/>
      <c r="TF163" s="5"/>
      <c r="TG163" s="5"/>
      <c r="TH163" s="5"/>
      <c r="TI163" s="5"/>
      <c r="TJ163" s="5"/>
      <c r="TK163" s="5"/>
      <c r="TL163" s="5"/>
      <c r="TM163" s="5"/>
      <c r="TN163" s="5"/>
      <c r="TO163" s="5"/>
      <c r="TP163" s="5"/>
      <c r="TQ163" s="5"/>
      <c r="TR163" s="5"/>
      <c r="TS163" s="5"/>
      <c r="TT163" s="5"/>
      <c r="TU163" s="5"/>
      <c r="TV163" s="5"/>
      <c r="TW163" s="5"/>
      <c r="TX163" s="5"/>
      <c r="TY163" s="5"/>
      <c r="TZ163" s="5"/>
      <c r="UA163" s="5"/>
      <c r="UB163" s="5"/>
      <c r="UC163" s="5"/>
      <c r="UD163" s="5"/>
      <c r="UE163" s="5"/>
      <c r="UF163" s="5"/>
      <c r="UG163" s="5"/>
      <c r="UH163" s="5"/>
      <c r="UI163" s="5"/>
      <c r="UJ163" s="5"/>
      <c r="UK163" s="5"/>
      <c r="UL163" s="5"/>
      <c r="UM163" s="5"/>
      <c r="UN163" s="5"/>
      <c r="UO163" s="5"/>
      <c r="UP163" s="5"/>
      <c r="UQ163" s="5"/>
      <c r="UR163" s="5"/>
      <c r="US163" s="5"/>
      <c r="UT163" s="5"/>
      <c r="UU163" s="5"/>
      <c r="UV163" s="5"/>
      <c r="UW163" s="5"/>
      <c r="UX163" s="5"/>
      <c r="UY163" s="5"/>
      <c r="UZ163" s="5"/>
      <c r="VA163" s="5"/>
      <c r="VB163" s="5"/>
      <c r="VC163" s="5"/>
      <c r="VD163" s="5"/>
      <c r="VE163" s="5"/>
      <c r="VF163" s="5"/>
      <c r="VG163" s="5"/>
      <c r="VH163" s="5"/>
      <c r="VI163" s="5"/>
      <c r="VJ163" s="5"/>
      <c r="VK163" s="5"/>
      <c r="VL163" s="5"/>
      <c r="VM163" s="5"/>
      <c r="VN163" s="5"/>
      <c r="VO163" s="5"/>
      <c r="VP163" s="5"/>
      <c r="VQ163" s="5"/>
      <c r="VR163" s="5"/>
      <c r="VS163" s="5"/>
      <c r="VT163" s="5"/>
      <c r="VU163" s="5"/>
      <c r="VV163" s="5"/>
      <c r="VW163" s="5"/>
      <c r="VX163" s="5"/>
      <c r="VY163" s="5"/>
      <c r="VZ163" s="5"/>
      <c r="WA163" s="5"/>
      <c r="WB163" s="5"/>
      <c r="WC163" s="5"/>
      <c r="WD163" s="5"/>
      <c r="WE163" s="5"/>
      <c r="WF163" s="5"/>
      <c r="WG163" s="5"/>
      <c r="WH163" s="5"/>
      <c r="WI163" s="5"/>
      <c r="WJ163" s="5"/>
      <c r="WK163" s="5"/>
      <c r="WL163" s="5"/>
      <c r="WM163" s="5"/>
      <c r="WN163" s="5"/>
      <c r="WO163" s="5"/>
      <c r="WP163" s="5"/>
      <c r="WQ163" s="5"/>
      <c r="WR163" s="5"/>
      <c r="WS163" s="5"/>
      <c r="WT163" s="5"/>
      <c r="WU163" s="5"/>
      <c r="WV163" s="5"/>
      <c r="WW163" s="5"/>
      <c r="WX163" s="5"/>
      <c r="WY163" s="5"/>
      <c r="WZ163" s="5"/>
      <c r="XA163" s="5"/>
      <c r="XB163" s="5"/>
      <c r="XC163" s="5"/>
      <c r="XD163" s="5"/>
      <c r="XE163" s="5"/>
      <c r="XF163" s="5"/>
      <c r="XG163" s="5"/>
      <c r="XH163" s="5"/>
      <c r="XI163" s="5"/>
      <c r="XJ163" s="5"/>
      <c r="XK163" s="5"/>
      <c r="XL163" s="5"/>
      <c r="XM163" s="5"/>
      <c r="XN163" s="5"/>
      <c r="XO163" s="5"/>
      <c r="XP163" s="5"/>
      <c r="XQ163" s="5"/>
      <c r="XR163" s="5"/>
      <c r="XS163" s="5"/>
      <c r="XT163" s="5"/>
      <c r="XU163" s="5"/>
      <c r="XV163" s="5"/>
      <c r="XW163" s="5"/>
      <c r="XX163" s="5"/>
      <c r="XY163" s="5"/>
      <c r="XZ163" s="5"/>
      <c r="YA163" s="5"/>
      <c r="YB163" s="5"/>
      <c r="YC163" s="5"/>
      <c r="YD163" s="5"/>
      <c r="YE163" s="5"/>
      <c r="YF163" s="5"/>
      <c r="YG163" s="5"/>
      <c r="YH163" s="5"/>
      <c r="YI163" s="5"/>
      <c r="YJ163" s="5"/>
      <c r="YK163" s="5"/>
      <c r="YL163" s="5"/>
      <c r="YM163" s="5"/>
      <c r="YN163" s="5"/>
      <c r="YO163" s="5"/>
      <c r="YP163" s="5"/>
      <c r="YQ163" s="5"/>
      <c r="YR163" s="5"/>
      <c r="YS163" s="5"/>
      <c r="YT163" s="5"/>
      <c r="YU163" s="5"/>
      <c r="YV163" s="5"/>
      <c r="YW163" s="5"/>
      <c r="YX163" s="5"/>
      <c r="YY163" s="5"/>
      <c r="YZ163" s="5"/>
    </row>
    <row r="167" spans="1:676">
      <c r="A167" s="16"/>
      <c r="B167" s="16" t="s">
        <v>378</v>
      </c>
      <c r="C167" s="16"/>
      <c r="D167" s="16"/>
      <c r="E167" s="16"/>
      <c r="F167" s="16"/>
      <c r="G167" s="16"/>
      <c r="H167" s="16"/>
      <c r="I167" s="16" t="s">
        <v>379</v>
      </c>
      <c r="J167" s="16"/>
      <c r="K167" s="16"/>
      <c r="L167" s="16"/>
      <c r="M167" s="16"/>
      <c r="N167" s="16"/>
      <c r="O167" s="16"/>
      <c r="P167" s="16"/>
      <c r="Q167" s="16"/>
    </row>
    <row r="168" spans="1:676">
      <c r="A168" s="16"/>
      <c r="B168" s="16" t="s">
        <v>380</v>
      </c>
      <c r="C168" s="16"/>
      <c r="D168" s="16"/>
      <c r="E168" s="16"/>
      <c r="F168" s="16"/>
      <c r="G168" s="16"/>
      <c r="H168" s="16"/>
      <c r="I168" s="16" t="s">
        <v>381</v>
      </c>
      <c r="J168" s="16"/>
      <c r="K168" s="16"/>
      <c r="L168" s="16"/>
      <c r="M168" s="16"/>
      <c r="N168" s="16"/>
      <c r="O168" s="16"/>
      <c r="P168" s="16"/>
      <c r="Q168" s="16"/>
    </row>
    <row r="169" spans="1:676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</row>
    <row r="170" spans="1:676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</row>
    <row r="171" spans="1:676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</row>
    <row r="172" spans="1:676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</row>
    <row r="173" spans="1:676">
      <c r="A173" s="16"/>
      <c r="B173" s="16" t="s">
        <v>382</v>
      </c>
      <c r="C173" s="16"/>
      <c r="D173" s="16"/>
      <c r="E173" s="16"/>
      <c r="F173" s="16"/>
      <c r="G173" s="16"/>
      <c r="H173" s="16"/>
      <c r="I173" s="16" t="s">
        <v>383</v>
      </c>
      <c r="J173" s="16"/>
      <c r="K173" s="16"/>
      <c r="L173" s="16"/>
      <c r="M173" s="16"/>
      <c r="N173" s="16"/>
      <c r="O173" s="16"/>
      <c r="P173" s="16"/>
      <c r="Q173" s="16"/>
    </row>
    <row r="174" spans="1:676">
      <c r="A174" s="16"/>
      <c r="B174" s="16" t="s">
        <v>384</v>
      </c>
      <c r="C174" s="16"/>
      <c r="D174" s="16"/>
      <c r="E174" s="16"/>
      <c r="F174" s="16"/>
      <c r="G174" s="16"/>
      <c r="H174" s="16"/>
      <c r="I174" s="16" t="s">
        <v>384</v>
      </c>
      <c r="J174" s="16"/>
      <c r="K174" s="16"/>
      <c r="L174" s="16"/>
      <c r="M174" s="16"/>
      <c r="N174" s="16"/>
      <c r="O174" s="16"/>
      <c r="P174" s="16"/>
      <c r="Q174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2023-02-02T15:00:05+07:00</dcterms:created>
  <dcterms:modified xsi:type="dcterms:W3CDTF">2023-02-02T15:00:05+07:00</dcterms:modified>
  <dc:title>Untitled Spreadsheet</dc:title>
  <dc:description/>
  <dc:subject/>
  <cp:keywords/>
  <cp:category/>
</cp:coreProperties>
</file>