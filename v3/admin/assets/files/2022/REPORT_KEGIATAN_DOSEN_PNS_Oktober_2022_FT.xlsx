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<sst xmlns="http://schemas.openxmlformats.org/spreadsheetml/2006/main" uniqueCount="431">
  <si>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</si>
  <si>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</si>
  <si>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</si>
  <si>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</si>
  <si>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</si>
  <si>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</si>
  <si>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</si>
  <si>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</si>
  <si>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</si>
  <si>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</si>
  <si>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</si>
  <si>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</si>
  <si>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</si>
  <si>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</si>
  <si>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</si>
  <si>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</si>
  <si>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</si>
  <si>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</si>
  <si>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</si>
  <si>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</si>
  <si>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</si>
  <si>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</si>
  <si>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</si>
  <si>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</si>
  <si>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</si>
  <si>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</si>
  <si>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</si>
  <si>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</si>
  <si>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</si>
  <si>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</si>
  <si>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</si>
  <si>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</si>
  <si>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</si>
  <si>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</si>
  <si>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</si>
  <si>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</si>
  <si>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</si>
  <si>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</si>
  <si>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197304011999032003</t>
  </si>
  <si>
    <t>PROF. AZRIYENNI, ST, M.ENG, Ph.D</t>
  </si>
  <si>
    <t>Teknik Elektro</t>
  </si>
  <si>
    <t>IV/b</t>
  </si>
  <si>
    <t>Profesor</t>
  </si>
  <si>
    <t>Wakil Dekan III A Gol. IV</t>
  </si>
  <si>
    <t>195810181987031001</t>
  </si>
  <si>
    <t>PROF. DR. ADRIANTO AHMAD, MT</t>
  </si>
  <si>
    <t>S2 Teknik Kimia</t>
  </si>
  <si>
    <t>IV/e</t>
  </si>
  <si>
    <t>Tidak ada jabatan struktural</t>
  </si>
  <si>
    <t>197201312000031001</t>
  </si>
  <si>
    <t>PROF. DR. AMUN AMRI, ST, MT</t>
  </si>
  <si>
    <t>Teknik Kimia</t>
  </si>
  <si>
    <t>IV/d</t>
  </si>
  <si>
    <t>197301291999031002</t>
  </si>
  <si>
    <t>PROF. DR. EDY SAPUTRA, ST, MT</t>
  </si>
  <si>
    <t>197105192000031002</t>
  </si>
  <si>
    <t>PROF. DR. Eng. AZRIDJAL AZIZ, ST, MT</t>
  </si>
  <si>
    <t>Teknik Mesin</t>
  </si>
  <si>
    <t>Dekan A Gol. IV</t>
  </si>
  <si>
    <t>196911241998032001</t>
  </si>
  <si>
    <t>PROF. DR. ZUCHRA HELWANI, ST, MT</t>
  </si>
  <si>
    <t>IV/a</t>
  </si>
  <si>
    <t>Wakil Dekan I A Gol. IV</t>
  </si>
  <si>
    <t>196808041997031003</t>
  </si>
  <si>
    <t>PROF. DR.IR. BAHRUDDIN, MT</t>
  </si>
  <si>
    <t>Koordinator Program Studi B</t>
  </si>
  <si>
    <t>196801271995121001</t>
  </si>
  <si>
    <t>PROF. Dr. Ir. ARI SANDYAHVITRI, M.SC</t>
  </si>
  <si>
    <t>Teknik Sipil</t>
  </si>
  <si>
    <t>IV/c</t>
  </si>
  <si>
    <t>196001031986031003</t>
  </si>
  <si>
    <t>Prof. Dr. SYAIFUL BAHRI, M.SI</t>
  </si>
  <si>
    <t>Wakil Rektor 4 Gol. IV</t>
  </si>
  <si>
    <t>197012191997032001</t>
  </si>
  <si>
    <t>ANITA SUSILAWATI, S.T, M.SC, Ph.D</t>
  </si>
  <si>
    <t>III/d</t>
  </si>
  <si>
    <t>Lektor Kepala Gol. III</t>
  </si>
  <si>
    <t>196804131998031002</t>
  </si>
  <si>
    <t>BAMBANG SUJATMOKO, S.T, M.T</t>
  </si>
  <si>
    <t>Lektor Kepala Gol. IV</t>
  </si>
  <si>
    <t>197203012000031003</t>
  </si>
  <si>
    <t>DR. AWALUDIN MARTIN, S.T, M.T</t>
  </si>
  <si>
    <t>198002052003121001</t>
  </si>
  <si>
    <t>DR. FRI MURDIYA, ST , MT</t>
  </si>
  <si>
    <t>D3 Teknik Elektronika</t>
  </si>
  <si>
    <t>Sekretaris Jurusan B</t>
  </si>
  <si>
    <t>196607311997021001</t>
  </si>
  <si>
    <t>DR. IR. ANTONIUS RAJA GUKGUK, MT</t>
  </si>
  <si>
    <t>197305291999031002</t>
  </si>
  <si>
    <t>DR. JHON ARMEDI PINEM, ST ,MT</t>
  </si>
  <si>
    <t>197108271997022001</t>
  </si>
  <si>
    <t>DR. LITA DARMAYANTI, S.T, M.T</t>
  </si>
  <si>
    <t>197506132001122001</t>
  </si>
  <si>
    <t>DR. MONITA OLIVIA, S.T, M.SC</t>
  </si>
  <si>
    <t>Koordinator Pusat</t>
  </si>
  <si>
    <t>197204211999031002</t>
  </si>
  <si>
    <t>DR. NAZARUDDIN, S.T, M.T</t>
  </si>
  <si>
    <t>197306161999031002</t>
  </si>
  <si>
    <t>DR. PADIL, ST, MT</t>
  </si>
  <si>
    <t>197307271998032003</t>
  </si>
  <si>
    <t>DR. RENI SURYANITA, S.T, M.T</t>
  </si>
  <si>
    <t>196809271998031003</t>
  </si>
  <si>
    <t>DR. S. ZUL AMRAINI, ST ,MT</t>
  </si>
  <si>
    <t>Teknolgi Pulp dan Kertas</t>
  </si>
  <si>
    <t>197208171998031002</t>
  </si>
  <si>
    <t>DR. SUNARNO, ST, MT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</si>
  <si>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</si>
  <si>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</si>
  <si>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</si>
  <si>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</si>
  <si>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</si>
  <si>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</si>
  <si>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</si>
  <si>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</si>
  <si>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</si>
  <si>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</si>
  <si>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</si>
  <si>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196307031990022001</t>
  </si>
  <si>
    <t>DRA. YELMIDA A, M.SI</t>
  </si>
  <si>
    <t>196011251985032002</t>
  </si>
  <si>
    <t>DRA. YENITA MORENA, M.SI</t>
  </si>
  <si>
    <t>D3 Teknik Sipil</t>
  </si>
  <si>
    <t>196206121988032002</t>
  </si>
  <si>
    <t>DRA. YUSNIMAR, M.SI.M.Phil</t>
  </si>
  <si>
    <t>196305041989032001</t>
  </si>
  <si>
    <t>DRA. ZULTINIAR, M.SI</t>
  </si>
  <si>
    <t>196402081992031002</t>
  </si>
  <si>
    <t>DRS. MARDANI SEBAYANG, M.T</t>
  </si>
  <si>
    <t>195805151985031002</t>
  </si>
  <si>
    <t>DRS. SUPRASMAN, MM</t>
  </si>
  <si>
    <t>196010031988031003</t>
  </si>
  <si>
    <t>DRS. SYAMSU HERMAN, MT</t>
  </si>
  <si>
    <t>196805031997021002</t>
  </si>
  <si>
    <t>Dr. IMAM SUPRAYOGI, MT</t>
  </si>
  <si>
    <t>197007201997022002</t>
  </si>
  <si>
    <t>Dr. Joleha ST, MM</t>
  </si>
  <si>
    <t>197402242000032001</t>
  </si>
  <si>
    <t>ERY SAFRIANTI, ST, MT</t>
  </si>
  <si>
    <t>197503142001122001</t>
  </si>
  <si>
    <t>EVELYN, ST, M.SC., Ph.D</t>
  </si>
  <si>
    <t>III/c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</si>
  <si>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</si>
  <si>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</si>
  <si>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</si>
  <si>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</si>
  <si>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</si>
  <si>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</si>
  <si>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</si>
  <si>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</si>
  <si>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196504151997021001</t>
  </si>
  <si>
    <t>MUHAMMAD SHALAHUDDIN, ST, MT</t>
  </si>
  <si>
    <t>197311271999032002</t>
  </si>
  <si>
    <t>NOVERI LYSBETTI M, ST, M.SC</t>
  </si>
  <si>
    <t>Teknik Informatika</t>
  </si>
  <si>
    <t>198607052010122005</t>
  </si>
  <si>
    <t>SHINTA ELYSTIA, S.T, M.SI</t>
  </si>
  <si>
    <t>Teknik Lingkungan</t>
  </si>
  <si>
    <t>197108072000031002</t>
  </si>
  <si>
    <t>SOEWIGNJO AGUS NUGROHO, S.T, M.T</t>
  </si>
  <si>
    <t>196611021999031002</t>
  </si>
  <si>
    <t>SUWITNO, ST ,MT</t>
  </si>
  <si>
    <t>197602132003121005</t>
  </si>
  <si>
    <t>YOHANNES FIRZAL, ST, MT, Ph.D</t>
  </si>
  <si>
    <t>Arsitektur</t>
  </si>
  <si>
    <t>Wakil Dekan II A Gol. IV</t>
  </si>
  <si>
    <t>197507052002121003</t>
  </si>
  <si>
    <t>AMIR HAMZAH, ST.MT</t>
  </si>
  <si>
    <t>Lektor Gol. III</t>
  </si>
  <si>
    <t>196907171998031002</t>
  </si>
  <si>
    <t>ANDY HENDRI, ST, M.T</t>
  </si>
  <si>
    <t>Koordinator Program Studi A</t>
  </si>
  <si>
    <t>197604092002121002</t>
  </si>
  <si>
    <t>ANHAR, ST, MT</t>
  </si>
  <si>
    <t>Ketua Jurusan B Gol. III</t>
  </si>
  <si>
    <t>198606122012121003</t>
  </si>
  <si>
    <t>ARYO SASMITA, S.T, M.T</t>
  </si>
  <si>
    <t>197203051998021001</t>
  </si>
  <si>
    <t>ASRAL, S.T , M.Eng, Ph.D</t>
  </si>
  <si>
    <t>196808281997021001</t>
  </si>
  <si>
    <t>AZHARI, ST, MT</t>
  </si>
  <si>
    <t>198905012019031013</t>
  </si>
  <si>
    <t>BENNY HAMDI RHOMA PUTRA, S.T., M.T</t>
  </si>
  <si>
    <t>III/b</t>
  </si>
  <si>
    <t>197005101997021001</t>
  </si>
  <si>
    <t>BOCHARI, ST, MT</t>
  </si>
  <si>
    <t>Ketua SPI</t>
  </si>
  <si>
    <t>197111141998031001</t>
  </si>
  <si>
    <t>CHAIRUL, ST, MT</t>
  </si>
  <si>
    <t>198002212008121001</t>
  </si>
  <si>
    <t>DEDI ROSA PUTRA CUPU, S.T., M.T., Ph.D</t>
  </si>
  <si>
    <t>197612072003121002</t>
  </si>
  <si>
    <t>DEDY MASNUR, ST, M.Eng</t>
  </si>
  <si>
    <t>197909042005012002</t>
  </si>
  <si>
    <t>DEWI FITRIA, S.T., M.T., Ph.D</t>
  </si>
  <si>
    <t>197803082003121001</t>
  </si>
  <si>
    <t>DIAN YAYAN SUKMA, ST., MT</t>
  </si>
  <si>
    <t>197812022008011007</t>
  </si>
  <si>
    <t>DODI SOFYAN ARIEF, ST., M.T</t>
  </si>
  <si>
    <t>197310251998031002</t>
  </si>
  <si>
    <t>DR. AHMAD FADLI, ST ,MT</t>
  </si>
  <si>
    <t>197204222006041001</t>
  </si>
  <si>
    <t>DR. DAHLIYUSMANTO, S.KOM., M.SC</t>
  </si>
  <si>
    <t>198010042005011003</t>
  </si>
  <si>
    <t>DR. DAVID ANDRIO, S.T, M.SI</t>
  </si>
  <si>
    <t>Sekretaris Jurusan A</t>
  </si>
  <si>
    <t>197112141998032001</t>
  </si>
  <si>
    <t>DR. DESI HELTINA, ST, MT</t>
  </si>
  <si>
    <t>197308301999031001</t>
  </si>
  <si>
    <t xml:space="preserve">DR. Eng. ALEX KURNIAWANDY </t>
  </si>
  <si>
    <t>197406161999031004</t>
  </si>
  <si>
    <t xml:space="preserve">DR. Eng. SIGIT SUTIKNO </t>
  </si>
  <si>
    <t>197404282002121003</t>
  </si>
  <si>
    <t>DR. FERI CANDRA, ST, MT</t>
  </si>
  <si>
    <t>196407101995121001</t>
  </si>
  <si>
    <t>DR. FERRY FATNANTA, M.T</t>
  </si>
  <si>
    <t>197406262001121006</t>
  </si>
  <si>
    <t>DR. GUNAWAN WIBISONO, S.T., M.Sc</t>
  </si>
  <si>
    <t>Ketua Jurusan A Gol. III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</si>
  <si>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</si>
  <si>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</si>
  <si>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</si>
  <si>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</si>
  <si>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</si>
  <si>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</si>
  <si>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</si>
  <si>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Kepala UPT</t>
  </si>
  <si>
    <t>197408062000031001</t>
  </si>
  <si>
    <t xml:space="preserve">DR. LEO SENTOSA, S.T., M.T </t>
  </si>
  <si>
    <t>197203081998031003</t>
  </si>
  <si>
    <t>DR. MANYUK FAUZI, M.T</t>
  </si>
  <si>
    <t>197101281997012001</t>
  </si>
  <si>
    <t>DR. MARIA PERATENTA S. ST, MT</t>
  </si>
  <si>
    <t>197504272005011002</t>
  </si>
  <si>
    <t>DR. MUHAMMAD RIJAL, ST, MT</t>
  </si>
  <si>
    <t>197507012001121002</t>
  </si>
  <si>
    <t>DR. MUHAMMAD YUSA, S.T ,M.T</t>
  </si>
  <si>
    <t>197203092001121001</t>
  </si>
  <si>
    <t>DR. MUHARDI, ST, M.SC</t>
  </si>
  <si>
    <t>196502181995121001</t>
  </si>
  <si>
    <t>DR. NURDIN, ST, MT</t>
  </si>
  <si>
    <t>197511042005012001</t>
  </si>
  <si>
    <t>DR. YUSNITA RAHAYU, ST, M.ENG</t>
  </si>
  <si>
    <t>196809191995121001</t>
  </si>
  <si>
    <t>Dr. Fakhri, ST., MT</t>
  </si>
  <si>
    <t>197102131999031001</t>
  </si>
  <si>
    <t>Dr. IDRAL, ST, MT</t>
  </si>
  <si>
    <t>197307081999031002</t>
  </si>
  <si>
    <t>Dr. RIDWAN, ST, 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</si>
  <si>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</si>
  <si>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</si>
  <si>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</si>
  <si>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</si>
  <si>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</si>
  <si>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</si>
  <si>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</si>
  <si>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</si>
  <si>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</si>
  <si>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</si>
  <si>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</si>
  <si>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</si>
  <si>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197210111999032001</t>
  </si>
  <si>
    <t>HAFIDAWATI, S.TP., M.T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</si>
  <si>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</si>
  <si>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</si>
  <si>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</si>
  <si>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</si>
  <si>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</si>
  <si>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M.T</t>
  </si>
  <si>
    <t>197208132000121001</t>
  </si>
  <si>
    <t>IR. BUDHI ANTO, MT</t>
  </si>
  <si>
    <t>195806131991031002</t>
  </si>
  <si>
    <t>IR. DRS. TRIMAIJON, M.T</t>
  </si>
  <si>
    <t>196412151997021001</t>
  </si>
  <si>
    <t>IR. EDY ERVIANTO, MT</t>
  </si>
  <si>
    <t>196505171992031014</t>
  </si>
  <si>
    <t>IR. ENNO YUNIARTO, M.T</t>
  </si>
  <si>
    <t>196602051997021001</t>
  </si>
  <si>
    <t>IR. HERISISWANTO, M.T</t>
  </si>
  <si>
    <t>196206271990021001</t>
  </si>
  <si>
    <t>IR. RIAN TRI KOMARA, M.T</t>
  </si>
  <si>
    <t>196207141989031003</t>
  </si>
  <si>
    <t>IR. SISWANTO, M.T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</si>
  <si>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</si>
  <si>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</si>
  <si>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</si>
  <si>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</si>
  <si>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</si>
  <si>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S.T, M.SC</t>
  </si>
  <si>
    <t>197709162005011002</t>
  </si>
  <si>
    <t>JECKY ASMURA, ST, MT</t>
  </si>
  <si>
    <t>198806062015041002</t>
  </si>
  <si>
    <t>KASPUL ANUAR , S.Pd . M.T</t>
  </si>
  <si>
    <t>197101141998032001</t>
  </si>
  <si>
    <t>KOMALASARI, ST, MT</t>
  </si>
  <si>
    <t>197910152006042002</t>
  </si>
  <si>
    <t>LINNA OKTAVIANA SARI, ST., MT.</t>
  </si>
  <si>
    <t>196906111997021001</t>
  </si>
  <si>
    <t>M. DALIL, S.T, M.T</t>
  </si>
  <si>
    <t>197107051998031003</t>
  </si>
  <si>
    <t>MUDJIATKO, S.T, M.T</t>
  </si>
  <si>
    <t>198007282005011003</t>
  </si>
  <si>
    <t>MUFTIL BADRI M, S.T, M.T</t>
  </si>
  <si>
    <t>197011131999031002</t>
  </si>
  <si>
    <t>MUHAMMAD IWAN FERMI, ST, MT</t>
  </si>
  <si>
    <t>197702062012121002</t>
  </si>
  <si>
    <t>MUHAMMAD REZA , S.T, M.Sc</t>
  </si>
  <si>
    <t>199109202018031001</t>
  </si>
  <si>
    <t>MUHD. ARIEF AL HUSAINI, S.T., M.T</t>
  </si>
  <si>
    <t>198310042008121001</t>
  </si>
  <si>
    <t>MUSTHAFA AKBAR, ST , MT</t>
  </si>
  <si>
    <t>197408202002121001</t>
  </si>
  <si>
    <t>NURHALIM, ST, MT</t>
  </si>
  <si>
    <t>196706011997031003</t>
  </si>
  <si>
    <t>PANCA SETIA UTAMA, ST, MT, Ph.D</t>
  </si>
  <si>
    <t>197706062003122003</t>
  </si>
  <si>
    <t>R. LISA SURYANI, S.T., M. T</t>
  </si>
  <si>
    <t>198602222008031001</t>
  </si>
  <si>
    <t>RAHMAT IMAN MAINIL, S.T, M.T</t>
  </si>
  <si>
    <t>196707231999031001</t>
  </si>
  <si>
    <t>RAHYUL AMRI, ST, MT</t>
  </si>
  <si>
    <t>197209282003122002</t>
  </si>
  <si>
    <t>RATNA AMANATI, ST, MT</t>
  </si>
  <si>
    <t>197101091998031002</t>
  </si>
  <si>
    <t>RINALDI, S.T, M.T</t>
  </si>
  <si>
    <t>197507242005011001</t>
  </si>
  <si>
    <t>ROMY, ST, M.Eng</t>
  </si>
  <si>
    <t>198611112009121006</t>
  </si>
  <si>
    <t>SALHAZAN NASUTION, S.KOM., MIT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</si>
  <si>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</si>
  <si>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</si>
  <si>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</si>
  <si>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</si>
  <si>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</si>
  <si>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</si>
  <si>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</si>
  <si>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S.T, M.T</t>
  </si>
  <si>
    <t>196901181997021001</t>
  </si>
  <si>
    <t>YOHANES, ST.,MT</t>
  </si>
  <si>
    <t>197301262000032003</t>
  </si>
  <si>
    <t>YOHANNA LILIS HANDAYANI, S.T, M.T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</si>
  <si>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</si>
  <si>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</si>
  <si>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</si>
  <si>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</si>
  <si>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</si>
  <si>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</si>
  <si>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199007112020122018</t>
  </si>
  <si>
    <t>ANISA MUTAMIMA, B.Eng., M.Eng</t>
  </si>
  <si>
    <t>Dosen belum punya Jabatan Gol. III</t>
  </si>
  <si>
    <t>198805052020122012</t>
  </si>
  <si>
    <t>DIAN RAMADHANI, S.T., M.T</t>
  </si>
  <si>
    <t>197208121997022001</t>
  </si>
  <si>
    <t>DINNI AGUSTINA, ST, M.T</t>
  </si>
  <si>
    <t>Dosen Tugas Belajar Gol. III</t>
  </si>
  <si>
    <t>195910221987021001</t>
  </si>
  <si>
    <t>DRS. EDWARD. HS, MS</t>
  </si>
  <si>
    <t>195712231987021001</t>
  </si>
  <si>
    <t>DRS. H. RAHMAD, MT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</si>
  <si>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</si>
  <si>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</si>
  <si>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</si>
  <si>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</si>
  <si>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</si>
  <si>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</si>
  <si>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</si>
  <si>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S.T, M.T., Ph.D</t>
  </si>
  <si>
    <t>198910212019032016</t>
  </si>
  <si>
    <t>ESTY OCTIANAN SARI, S.Si., M.T</t>
  </si>
  <si>
    <t>197705102005011002</t>
  </si>
  <si>
    <t>FIRDAUS, ST, MT</t>
  </si>
  <si>
    <t>198810312014041001</t>
  </si>
  <si>
    <t>GUN FAISAL, ST, MSc</t>
  </si>
  <si>
    <t>199209062019031012</t>
  </si>
  <si>
    <t>GUNADI PRIYAMBADA, S.T., M.T</t>
  </si>
  <si>
    <t>197501272001121004</t>
  </si>
  <si>
    <t>HENDRA TAUFIK, S.T, M.SC</t>
  </si>
  <si>
    <t>196503121998021001</t>
  </si>
  <si>
    <t>IR. SYARFI, M.T</t>
  </si>
  <si>
    <t>197001231999031001</t>
  </si>
  <si>
    <t>ISMEDDIYANTO, S.T, M.T</t>
  </si>
  <si>
    <t>198404202012122001</t>
  </si>
  <si>
    <t>IVNAINI ANDESGUR, S.T, M.Sc</t>
  </si>
  <si>
    <t>197905242005011002</t>
  </si>
  <si>
    <t>IWAN KURNIAWAN, ST., M.T</t>
  </si>
  <si>
    <t>199401202022032010</t>
  </si>
  <si>
    <t>LAILI DWI ANNISA, S.T., M.Ars</t>
  </si>
  <si>
    <t>Dosen CPNS</t>
  </si>
  <si>
    <t>197903082005012002</t>
  </si>
  <si>
    <t>MIRA DHARMA SUSILAWATI, ST, MT</t>
  </si>
  <si>
    <t>198711092020121007</t>
  </si>
  <si>
    <t>MORIAN SASPRIATNADI, S.T., M.Ars</t>
  </si>
  <si>
    <t>198801202019031012</t>
  </si>
  <si>
    <t>MUHAMMAD RILLY AKA YOGI, S.T., M.T</t>
  </si>
  <si>
    <t>197609072006042002</t>
  </si>
  <si>
    <t>NURFATIHAYATI, S.T., M.T</t>
  </si>
  <si>
    <t>199105022022032014</t>
  </si>
  <si>
    <t>NURRUL HELEN, S.Ars., M.Ars</t>
  </si>
  <si>
    <t>199105182022032011</t>
  </si>
  <si>
    <t>ORIANA PARAMITA DEWI., S.T., M.Arch</t>
  </si>
  <si>
    <t>197507032005012003</t>
  </si>
  <si>
    <t>PEDIA ALDY, ST, MSc</t>
  </si>
  <si>
    <t>197805112012122001</t>
  </si>
  <si>
    <t>PUTRI NAWANGSARI,ST,M.Eng</t>
  </si>
  <si>
    <t>199407102022032019</t>
  </si>
  <si>
    <t>R.A. RIZKA QORI YULIANI PUTRI., S.S.T., M.T</t>
  </si>
  <si>
    <t>198312032019031006</t>
  </si>
  <si>
    <t>RAHMAT RIZAL ANDHI, S.T., M.T</t>
  </si>
  <si>
    <t>198901162022031006</t>
  </si>
  <si>
    <t>RIDWAN ABDURRAHMAN, S.T., M.T</t>
  </si>
  <si>
    <t>199304212022031009</t>
  </si>
  <si>
    <t>RIZQY RIDHO PRAKASA, S.T., M.T</t>
  </si>
  <si>
    <t>199012152022032012</t>
  </si>
  <si>
    <t>SAFRIDATUL AUDAH, S.S.T., M.T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</si>
  <si>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</si>
  <si>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</si>
  <si>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</si>
  <si>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</si>
  <si>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</si>
  <si>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</si>
  <si>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 xml:space="preserve">Asisten Ahli Gol. IV </t>
  </si>
  <si>
    <t>197301312000031001</t>
  </si>
  <si>
    <t>YOGIE RINALDY  GINTING, ST., M.T., Ph.D</t>
  </si>
  <si>
    <t>199006202022032008</t>
  </si>
  <si>
    <t>ZUQNI MELDHA, S.T., M.T</t>
  </si>
  <si>
    <t>Menyetujui,</t>
  </si>
  <si>
    <t>Pekanbaru, 11 Nopember 2022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</si>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</sst>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f495e855ebfcf312d1dbc8f6f0893f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91"/>
  <sheetViews>
    <sheetView tabSelected="1" workbookViewId="0" showGridLines="true" showRowColHeaders="1">
      <selection activeCell="A184" sqref="A18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1.33</v>
      </c>
      <c r="L11" s="11">
        <v>1.77</v>
      </c>
      <c r="M11" s="11">
        <v>1.17</v>
      </c>
      <c r="N11" s="11">
        <v>0</v>
      </c>
      <c r="O11" s="11">
        <v>1.51</v>
      </c>
      <c r="P11" s="11">
        <v>0.8</v>
      </c>
      <c r="Q11" s="11">
        <v>6.580000000000001</v>
      </c>
      <c r="R11" s="11">
        <v>52.47</v>
      </c>
      <c r="S11" s="11">
        <v>59.05</v>
      </c>
      <c r="T11" s="11">
        <v>2.67</v>
      </c>
      <c r="U11" s="11">
        <v>3</v>
      </c>
      <c r="V11" s="11">
        <v>53.38</v>
      </c>
      <c r="W11" s="13">
        <v>26.7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0</v>
      </c>
      <c r="L12" s="11">
        <v>5.9</v>
      </c>
      <c r="M12" s="11">
        <v>1.16</v>
      </c>
      <c r="N12" s="11">
        <v>0</v>
      </c>
      <c r="O12" s="11">
        <v>1.32</v>
      </c>
      <c r="P12" s="11">
        <v>1.66</v>
      </c>
      <c r="Q12" s="11">
        <v>10.04</v>
      </c>
      <c r="R12" s="11">
        <v>70.20999999999997</v>
      </c>
      <c r="S12" s="11">
        <v>80.24999999999996</v>
      </c>
      <c r="T12" s="11">
        <v>2.67</v>
      </c>
      <c r="U12" s="11">
        <v>3</v>
      </c>
      <c r="V12" s="11">
        <v>74.57999999999996</v>
      </c>
      <c r="W12" s="13">
        <v>26.7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52</v>
      </c>
      <c r="F13" s="7" t="s">
        <v>42</v>
      </c>
      <c r="G13" s="7"/>
      <c r="H13" s="7" t="s">
        <v>48</v>
      </c>
      <c r="I13" s="11">
        <v>2.67</v>
      </c>
      <c r="J13" s="11">
        <v>3</v>
      </c>
      <c r="K13" s="11">
        <v>0</v>
      </c>
      <c r="L13" s="11">
        <v>6.759999999999996</v>
      </c>
      <c r="M13" s="11">
        <v>1.66</v>
      </c>
      <c r="N13" s="11">
        <v>0</v>
      </c>
      <c r="O13" s="11">
        <v>0.8400000000000001</v>
      </c>
      <c r="P13" s="11">
        <v>0.8</v>
      </c>
      <c r="Q13" s="11">
        <v>10.06</v>
      </c>
      <c r="R13" s="11">
        <v>67.41</v>
      </c>
      <c r="S13" s="11">
        <v>77.47</v>
      </c>
      <c r="T13" s="11">
        <v>2.67</v>
      </c>
      <c r="U13" s="11">
        <v>3</v>
      </c>
      <c r="V13" s="11">
        <v>71.8</v>
      </c>
      <c r="W13" s="13">
        <v>26.7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51</v>
      </c>
      <c r="E14" s="7" t="s">
        <v>52</v>
      </c>
      <c r="F14" s="7" t="s">
        <v>42</v>
      </c>
      <c r="G14" s="7"/>
      <c r="H14" s="7" t="s">
        <v>48</v>
      </c>
      <c r="I14" s="11">
        <v>2.67</v>
      </c>
      <c r="J14" s="11">
        <v>3</v>
      </c>
      <c r="K14" s="11">
        <v>0</v>
      </c>
      <c r="L14" s="11">
        <v>6.25</v>
      </c>
      <c r="M14" s="11">
        <v>0.33</v>
      </c>
      <c r="N14" s="11">
        <v>0</v>
      </c>
      <c r="O14" s="11">
        <v>0.6799999999999999</v>
      </c>
      <c r="P14" s="11">
        <v>0</v>
      </c>
      <c r="Q14" s="11">
        <v>7.259999999999999</v>
      </c>
      <c r="R14" s="11">
        <v>60.51999999999998</v>
      </c>
      <c r="S14" s="11">
        <v>67.77999999999999</v>
      </c>
      <c r="T14" s="11">
        <v>2.67</v>
      </c>
      <c r="U14" s="11">
        <v>3</v>
      </c>
      <c r="V14" s="11">
        <v>62.10999999999999</v>
      </c>
      <c r="W14" s="13">
        <v>26.7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41</v>
      </c>
      <c r="F15" s="7" t="s">
        <v>42</v>
      </c>
      <c r="G15" s="7"/>
      <c r="H15" s="7" t="s">
        <v>58</v>
      </c>
      <c r="I15" s="11">
        <v>2.67</v>
      </c>
      <c r="J15" s="11">
        <v>3</v>
      </c>
      <c r="K15" s="11">
        <v>1.67</v>
      </c>
      <c r="L15" s="11">
        <v>3.23</v>
      </c>
      <c r="M15" s="11">
        <v>0.33</v>
      </c>
      <c r="N15" s="11">
        <v>0</v>
      </c>
      <c r="O15" s="11">
        <v>1.9</v>
      </c>
      <c r="P15" s="11">
        <v>0.8</v>
      </c>
      <c r="Q15" s="11">
        <v>7.93</v>
      </c>
      <c r="R15" s="11">
        <v>65.33999999999999</v>
      </c>
      <c r="S15" s="11">
        <v>73.26999999999998</v>
      </c>
      <c r="T15" s="11">
        <v>2.67</v>
      </c>
      <c r="U15" s="11">
        <v>3</v>
      </c>
      <c r="V15" s="11">
        <v>67.59999999999998</v>
      </c>
      <c r="W15" s="13">
        <v>26.7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51</v>
      </c>
      <c r="E16" s="7" t="s">
        <v>61</v>
      </c>
      <c r="F16" s="7" t="s">
        <v>42</v>
      </c>
      <c r="G16" s="7"/>
      <c r="H16" s="7" t="s">
        <v>62</v>
      </c>
      <c r="I16" s="11">
        <v>2.67</v>
      </c>
      <c r="J16" s="11">
        <v>3</v>
      </c>
      <c r="K16" s="11">
        <v>1.33</v>
      </c>
      <c r="L16" s="11">
        <v>3.339999999999999</v>
      </c>
      <c r="M16" s="11">
        <v>1.33</v>
      </c>
      <c r="N16" s="11">
        <v>0</v>
      </c>
      <c r="O16" s="11">
        <v>2.78</v>
      </c>
      <c r="P16" s="11">
        <v>1.63</v>
      </c>
      <c r="Q16" s="11">
        <v>10.41</v>
      </c>
      <c r="R16" s="11">
        <v>88.06999999999999</v>
      </c>
      <c r="S16" s="11">
        <v>98.47999999999999</v>
      </c>
      <c r="T16" s="11">
        <v>2.67</v>
      </c>
      <c r="U16" s="11">
        <v>3</v>
      </c>
      <c r="V16" s="11">
        <v>92.80999999999999</v>
      </c>
      <c r="W16" s="13">
        <v>26.7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46</v>
      </c>
      <c r="E17" s="7" t="s">
        <v>61</v>
      </c>
      <c r="F17" s="7" t="s">
        <v>42</v>
      </c>
      <c r="G17" s="7"/>
      <c r="H17" s="7" t="s">
        <v>65</v>
      </c>
      <c r="I17" s="11">
        <v>2.67</v>
      </c>
      <c r="J17" s="11">
        <v>3</v>
      </c>
      <c r="K17" s="11">
        <v>0.95</v>
      </c>
      <c r="L17" s="11">
        <v>4.380000000000001</v>
      </c>
      <c r="M17" s="11">
        <v>0.83</v>
      </c>
      <c r="N17" s="11">
        <v>0</v>
      </c>
      <c r="O17" s="11">
        <v>0.6799999999999999</v>
      </c>
      <c r="P17" s="11">
        <v>1.6</v>
      </c>
      <c r="Q17" s="11">
        <v>8.439999999999998</v>
      </c>
      <c r="R17" s="11">
        <v>62.83999999999998</v>
      </c>
      <c r="S17" s="11">
        <v>71.27999999999997</v>
      </c>
      <c r="T17" s="11">
        <v>2.67</v>
      </c>
      <c r="U17" s="11">
        <v>3</v>
      </c>
      <c r="V17" s="11">
        <v>65.60999999999997</v>
      </c>
      <c r="W17" s="13">
        <v>26.7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68</v>
      </c>
      <c r="E18" s="7" t="s">
        <v>69</v>
      </c>
      <c r="F18" s="7" t="s">
        <v>42</v>
      </c>
      <c r="G18" s="7"/>
      <c r="H18" s="7" t="s">
        <v>48</v>
      </c>
      <c r="I18" s="11">
        <v>2.67</v>
      </c>
      <c r="J18" s="11">
        <v>3</v>
      </c>
      <c r="K18" s="11">
        <v>0</v>
      </c>
      <c r="L18" s="11">
        <v>7.110000000000001</v>
      </c>
      <c r="M18" s="11">
        <v>0.5</v>
      </c>
      <c r="N18" s="11">
        <v>0</v>
      </c>
      <c r="O18" s="11">
        <v>0.43</v>
      </c>
      <c r="P18" s="11">
        <v>0.8</v>
      </c>
      <c r="Q18" s="11">
        <v>8.84</v>
      </c>
      <c r="R18" s="11">
        <v>63.29000000000001</v>
      </c>
      <c r="S18" s="11">
        <v>72.13000000000001</v>
      </c>
      <c r="T18" s="11">
        <v>2.67</v>
      </c>
      <c r="U18" s="11">
        <v>3</v>
      </c>
      <c r="V18" s="11">
        <v>66.46000000000001</v>
      </c>
      <c r="W18" s="13">
        <v>26.7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46</v>
      </c>
      <c r="E19" s="7" t="s">
        <v>69</v>
      </c>
      <c r="F19" s="7" t="s">
        <v>42</v>
      </c>
      <c r="G19" s="7"/>
      <c r="H19" s="7" t="s">
        <v>72</v>
      </c>
      <c r="I19" s="11">
        <v>2.67</v>
      </c>
      <c r="J19" s="11">
        <v>3</v>
      </c>
      <c r="K19" s="11">
        <v>1.67</v>
      </c>
      <c r="L19" s="11">
        <v>1.57</v>
      </c>
      <c r="M19" s="11">
        <v>0</v>
      </c>
      <c r="N19" s="11">
        <v>0</v>
      </c>
      <c r="O19" s="11">
        <v>0.5800000000000001</v>
      </c>
      <c r="P19" s="11">
        <v>0</v>
      </c>
      <c r="Q19" s="11">
        <v>3.82</v>
      </c>
      <c r="R19" s="11">
        <v>27.74</v>
      </c>
      <c r="S19" s="11">
        <v>31.56</v>
      </c>
      <c r="T19" s="11">
        <v>2.67</v>
      </c>
      <c r="U19" s="11">
        <v>3</v>
      </c>
      <c r="V19" s="11">
        <v>25.89</v>
      </c>
      <c r="W19" s="13">
        <v>26.7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73</v>
      </c>
      <c r="C20" s="10" t="s">
        <v>74</v>
      </c>
      <c r="D20" s="7" t="s">
        <v>57</v>
      </c>
      <c r="E20" s="7" t="s">
        <v>75</v>
      </c>
      <c r="F20" s="7" t="s">
        <v>76</v>
      </c>
      <c r="G20" s="7"/>
      <c r="H20" s="7" t="s">
        <v>65</v>
      </c>
      <c r="I20" s="11">
        <v>2</v>
      </c>
      <c r="J20" s="11">
        <v>3</v>
      </c>
      <c r="K20" s="11">
        <v>0.95</v>
      </c>
      <c r="L20" s="11">
        <v>3.860000000000001</v>
      </c>
      <c r="M20" s="11">
        <v>0</v>
      </c>
      <c r="N20" s="11">
        <v>0</v>
      </c>
      <c r="O20" s="11">
        <v>0.88</v>
      </c>
      <c r="P20" s="11">
        <v>1.63</v>
      </c>
      <c r="Q20" s="11">
        <v>7.319999999999999</v>
      </c>
      <c r="R20" s="11">
        <v>64.69999999999997</v>
      </c>
      <c r="S20" s="11">
        <v>72.01999999999997</v>
      </c>
      <c r="T20" s="11">
        <v>2</v>
      </c>
      <c r="U20" s="11">
        <v>3</v>
      </c>
      <c r="V20" s="11">
        <v>67.01999999999997</v>
      </c>
      <c r="W20" s="13">
        <v>20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77</v>
      </c>
      <c r="C21" s="10" t="s">
        <v>78</v>
      </c>
      <c r="D21" s="7" t="s">
        <v>68</v>
      </c>
      <c r="E21" s="7" t="s">
        <v>61</v>
      </c>
      <c r="F21" s="7" t="s">
        <v>79</v>
      </c>
      <c r="G21" s="7"/>
      <c r="H21" s="7" t="s">
        <v>48</v>
      </c>
      <c r="I21" s="11">
        <v>2</v>
      </c>
      <c r="J21" s="11">
        <v>3</v>
      </c>
      <c r="K21" s="11">
        <v>0</v>
      </c>
      <c r="L21" s="11">
        <v>4.850000000000001</v>
      </c>
      <c r="M21" s="11">
        <v>0.17</v>
      </c>
      <c r="N21" s="11">
        <v>0</v>
      </c>
      <c r="O21" s="11">
        <v>1.01</v>
      </c>
      <c r="P21" s="11">
        <v>0.8</v>
      </c>
      <c r="Q21" s="11">
        <v>6.830000000000002</v>
      </c>
      <c r="R21" s="11">
        <v>46.01000000000001</v>
      </c>
      <c r="S21" s="11">
        <v>52.84</v>
      </c>
      <c r="T21" s="11">
        <v>2</v>
      </c>
      <c r="U21" s="11">
        <v>3</v>
      </c>
      <c r="V21" s="11">
        <v>47.84</v>
      </c>
      <c r="W21" s="13">
        <v>20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80</v>
      </c>
      <c r="C22" s="10" t="s">
        <v>81</v>
      </c>
      <c r="D22" s="7" t="s">
        <v>57</v>
      </c>
      <c r="E22" s="7" t="s">
        <v>61</v>
      </c>
      <c r="F22" s="7" t="s">
        <v>79</v>
      </c>
      <c r="G22" s="7"/>
      <c r="H22" s="7" t="s">
        <v>48</v>
      </c>
      <c r="I22" s="11">
        <v>2</v>
      </c>
      <c r="J22" s="11">
        <v>3</v>
      </c>
      <c r="K22" s="11">
        <v>0</v>
      </c>
      <c r="L22" s="11">
        <v>7.459999999999995</v>
      </c>
      <c r="M22" s="11">
        <v>1.08</v>
      </c>
      <c r="N22" s="11">
        <v>0</v>
      </c>
      <c r="O22" s="11">
        <v>1.59</v>
      </c>
      <c r="P22" s="11">
        <v>0.83</v>
      </c>
      <c r="Q22" s="11">
        <v>10.96</v>
      </c>
      <c r="R22" s="11">
        <v>60.82999999999998</v>
      </c>
      <c r="S22" s="11">
        <v>71.78999999999998</v>
      </c>
      <c r="T22" s="11">
        <v>2</v>
      </c>
      <c r="U22" s="11">
        <v>3</v>
      </c>
      <c r="V22" s="11">
        <v>66.78999999999998</v>
      </c>
      <c r="W22" s="13">
        <v>20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82</v>
      </c>
      <c r="C23" s="10" t="s">
        <v>83</v>
      </c>
      <c r="D23" s="7" t="s">
        <v>84</v>
      </c>
      <c r="E23" s="7" t="s">
        <v>75</v>
      </c>
      <c r="F23" s="7" t="s">
        <v>76</v>
      </c>
      <c r="G23" s="7"/>
      <c r="H23" s="7" t="s">
        <v>85</v>
      </c>
      <c r="I23" s="11">
        <v>2</v>
      </c>
      <c r="J23" s="11">
        <v>3</v>
      </c>
      <c r="K23" s="11">
        <v>0.95</v>
      </c>
      <c r="L23" s="11">
        <v>7.460000000000003</v>
      </c>
      <c r="M23" s="11">
        <v>0.67</v>
      </c>
      <c r="N23" s="11">
        <v>0</v>
      </c>
      <c r="O23" s="11">
        <v>1.83</v>
      </c>
      <c r="P23" s="11">
        <v>0.8</v>
      </c>
      <c r="Q23" s="11">
        <v>11.71</v>
      </c>
      <c r="R23" s="11">
        <v>73.05999999999997</v>
      </c>
      <c r="S23" s="11">
        <v>84.76999999999997</v>
      </c>
      <c r="T23" s="11">
        <v>2</v>
      </c>
      <c r="U23" s="11">
        <v>3</v>
      </c>
      <c r="V23" s="11">
        <v>79.76999999999997</v>
      </c>
      <c r="W23" s="13">
        <v>20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86</v>
      </c>
      <c r="C24" s="10" t="s">
        <v>87</v>
      </c>
      <c r="D24" s="7" t="s">
        <v>40</v>
      </c>
      <c r="E24" s="7" t="s">
        <v>61</v>
      </c>
      <c r="F24" s="7" t="s">
        <v>79</v>
      </c>
      <c r="G24" s="7"/>
      <c r="H24" s="7" t="s">
        <v>48</v>
      </c>
      <c r="I24" s="11">
        <v>2</v>
      </c>
      <c r="J24" s="11">
        <v>3</v>
      </c>
      <c r="K24" s="11">
        <v>0</v>
      </c>
      <c r="L24" s="11">
        <v>4.020000000000001</v>
      </c>
      <c r="M24" s="11">
        <v>0</v>
      </c>
      <c r="N24" s="11">
        <v>0</v>
      </c>
      <c r="O24" s="11">
        <v>0.44</v>
      </c>
      <c r="P24" s="11">
        <v>0.83</v>
      </c>
      <c r="Q24" s="11">
        <v>5.290000000000001</v>
      </c>
      <c r="R24" s="11">
        <v>46.53999999999999</v>
      </c>
      <c r="S24" s="11">
        <v>51.82999999999999</v>
      </c>
      <c r="T24" s="11">
        <v>2</v>
      </c>
      <c r="U24" s="11">
        <v>3</v>
      </c>
      <c r="V24" s="11">
        <v>46.82999999999999</v>
      </c>
      <c r="W24" s="13">
        <v>20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88</v>
      </c>
      <c r="C25" s="10" t="s">
        <v>89</v>
      </c>
      <c r="D25" s="7" t="s">
        <v>51</v>
      </c>
      <c r="E25" s="7" t="s">
        <v>61</v>
      </c>
      <c r="F25" s="7" t="s">
        <v>79</v>
      </c>
      <c r="G25" s="7"/>
      <c r="H25" s="7" t="s">
        <v>48</v>
      </c>
      <c r="I25" s="11">
        <v>2</v>
      </c>
      <c r="J25" s="11">
        <v>3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3">
        <v>20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90</v>
      </c>
      <c r="C26" s="10" t="s">
        <v>91</v>
      </c>
      <c r="D26" s="7" t="s">
        <v>68</v>
      </c>
      <c r="E26" s="7" t="s">
        <v>61</v>
      </c>
      <c r="F26" s="7" t="s">
        <v>79</v>
      </c>
      <c r="G26" s="7"/>
      <c r="H26" s="7" t="s">
        <v>48</v>
      </c>
      <c r="I26" s="11">
        <v>2</v>
      </c>
      <c r="J26" s="11">
        <v>3</v>
      </c>
      <c r="K26" s="11">
        <v>0</v>
      </c>
      <c r="L26" s="11">
        <v>7.829999999999998</v>
      </c>
      <c r="M26" s="11">
        <v>0.67</v>
      </c>
      <c r="N26" s="11">
        <v>0</v>
      </c>
      <c r="O26" s="11">
        <v>0.7999999999999999</v>
      </c>
      <c r="P26" s="11">
        <v>0</v>
      </c>
      <c r="Q26" s="11">
        <v>9.299999999999997</v>
      </c>
      <c r="R26" s="11">
        <v>51.51999999999999</v>
      </c>
      <c r="S26" s="11">
        <v>60.81999999999999</v>
      </c>
      <c r="T26" s="11">
        <v>2</v>
      </c>
      <c r="U26" s="11">
        <v>3</v>
      </c>
      <c r="V26" s="11">
        <v>55.81999999999999</v>
      </c>
      <c r="W26" s="13">
        <v>20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92</v>
      </c>
      <c r="C27" s="10" t="s">
        <v>93</v>
      </c>
      <c r="D27" s="7" t="s">
        <v>68</v>
      </c>
      <c r="E27" s="7" t="s">
        <v>61</v>
      </c>
      <c r="F27" s="7" t="s">
        <v>79</v>
      </c>
      <c r="G27" s="7"/>
      <c r="H27" s="7" t="s">
        <v>94</v>
      </c>
      <c r="I27" s="11">
        <v>2</v>
      </c>
      <c r="J27" s="11">
        <v>3</v>
      </c>
      <c r="K27" s="11">
        <v>0.95</v>
      </c>
      <c r="L27" s="11">
        <v>4.060000000000001</v>
      </c>
      <c r="M27" s="11">
        <v>0.33</v>
      </c>
      <c r="N27" s="11">
        <v>0</v>
      </c>
      <c r="O27" s="11">
        <v>0.5</v>
      </c>
      <c r="P27" s="11">
        <v>1.33</v>
      </c>
      <c r="Q27" s="11">
        <v>7.170000000000003</v>
      </c>
      <c r="R27" s="11">
        <v>69.43000000000001</v>
      </c>
      <c r="S27" s="11">
        <v>76.60000000000001</v>
      </c>
      <c r="T27" s="11">
        <v>2</v>
      </c>
      <c r="U27" s="11">
        <v>3</v>
      </c>
      <c r="V27" s="11">
        <v>71.60000000000001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95</v>
      </c>
      <c r="C28" s="10" t="s">
        <v>96</v>
      </c>
      <c r="D28" s="7" t="s">
        <v>57</v>
      </c>
      <c r="E28" s="7" t="s">
        <v>61</v>
      </c>
      <c r="F28" s="7" t="s">
        <v>79</v>
      </c>
      <c r="G28" s="7"/>
      <c r="H28" s="7" t="s">
        <v>48</v>
      </c>
      <c r="I28" s="11">
        <v>2</v>
      </c>
      <c r="J28" s="11">
        <v>3</v>
      </c>
      <c r="K28" s="11">
        <v>0</v>
      </c>
      <c r="L28" s="11">
        <v>6.959999999999999</v>
      </c>
      <c r="M28" s="11">
        <v>0.08</v>
      </c>
      <c r="N28" s="11">
        <v>0</v>
      </c>
      <c r="O28" s="11">
        <v>1.64</v>
      </c>
      <c r="P28" s="11">
        <v>0.83</v>
      </c>
      <c r="Q28" s="11">
        <v>9.51</v>
      </c>
      <c r="R28" s="11">
        <v>60.36999999999999</v>
      </c>
      <c r="S28" s="11">
        <v>69.88</v>
      </c>
      <c r="T28" s="11">
        <v>2</v>
      </c>
      <c r="U28" s="11">
        <v>3</v>
      </c>
      <c r="V28" s="11">
        <v>64.88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97</v>
      </c>
      <c r="C29" s="10" t="s">
        <v>98</v>
      </c>
      <c r="D29" s="7" t="s">
        <v>51</v>
      </c>
      <c r="E29" s="7" t="s">
        <v>69</v>
      </c>
      <c r="F29" s="7" t="s">
        <v>79</v>
      </c>
      <c r="G29" s="7"/>
      <c r="H29" s="7" t="s">
        <v>48</v>
      </c>
      <c r="I29" s="11">
        <v>2</v>
      </c>
      <c r="J29" s="11">
        <v>3</v>
      </c>
      <c r="K29" s="11">
        <v>0</v>
      </c>
      <c r="L29" s="11">
        <v>6.38</v>
      </c>
      <c r="M29" s="11">
        <v>0.8300000000000001</v>
      </c>
      <c r="N29" s="11">
        <v>0</v>
      </c>
      <c r="O29" s="11">
        <v>0.6799999999999999</v>
      </c>
      <c r="P29" s="11">
        <v>0</v>
      </c>
      <c r="Q29" s="11">
        <v>7.89</v>
      </c>
      <c r="R29" s="11">
        <v>57.51999999999998</v>
      </c>
      <c r="S29" s="11">
        <v>65.40999999999998</v>
      </c>
      <c r="T29" s="11">
        <v>2</v>
      </c>
      <c r="U29" s="11">
        <v>3</v>
      </c>
      <c r="V29" s="11">
        <v>60.40999999999998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99</v>
      </c>
      <c r="C30" s="10" t="s">
        <v>100</v>
      </c>
      <c r="D30" s="7" t="s">
        <v>68</v>
      </c>
      <c r="E30" s="7" t="s">
        <v>61</v>
      </c>
      <c r="F30" s="7" t="s">
        <v>79</v>
      </c>
      <c r="G30" s="7"/>
      <c r="H30" s="7" t="s">
        <v>94</v>
      </c>
      <c r="I30" s="11">
        <v>2</v>
      </c>
      <c r="J30" s="11">
        <v>3</v>
      </c>
      <c r="K30" s="11">
        <v>0.95</v>
      </c>
      <c r="L30" s="11">
        <v>3.850000000000002</v>
      </c>
      <c r="M30" s="11">
        <v>1.83</v>
      </c>
      <c r="N30" s="11">
        <v>0</v>
      </c>
      <c r="O30" s="11">
        <v>0.26</v>
      </c>
      <c r="P30" s="11">
        <v>0</v>
      </c>
      <c r="Q30" s="11">
        <v>6.890000000000001</v>
      </c>
      <c r="R30" s="11">
        <v>42.29000000000001</v>
      </c>
      <c r="S30" s="11">
        <v>49.18000000000001</v>
      </c>
      <c r="T30" s="11">
        <v>2</v>
      </c>
      <c r="U30" s="11">
        <v>3</v>
      </c>
      <c r="V30" s="11">
        <v>44.18000000000001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101</v>
      </c>
      <c r="C31" s="10" t="s">
        <v>102</v>
      </c>
      <c r="D31" s="7" t="s">
        <v>103</v>
      </c>
      <c r="E31" s="7" t="s">
        <v>61</v>
      </c>
      <c r="F31" s="7" t="s">
        <v>79</v>
      </c>
      <c r="G31" s="7"/>
      <c r="H31" s="7" t="s">
        <v>48</v>
      </c>
      <c r="I31" s="11">
        <v>2</v>
      </c>
      <c r="J31" s="11">
        <v>3</v>
      </c>
      <c r="K31" s="11">
        <v>0</v>
      </c>
      <c r="L31" s="11">
        <v>8.359999999999999</v>
      </c>
      <c r="M31" s="11">
        <v>0.5</v>
      </c>
      <c r="N31" s="11">
        <v>0</v>
      </c>
      <c r="O31" s="11">
        <v>0.86</v>
      </c>
      <c r="P31" s="11">
        <v>2.43</v>
      </c>
      <c r="Q31" s="11">
        <v>12.14999999999999</v>
      </c>
      <c r="R31" s="11">
        <v>75.64999999999998</v>
      </c>
      <c r="S31" s="11">
        <v>87.79999999999997</v>
      </c>
      <c r="T31" s="11">
        <v>2</v>
      </c>
      <c r="U31" s="11">
        <v>3</v>
      </c>
      <c r="V31" s="11">
        <v>82.79999999999997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104</v>
      </c>
      <c r="C32" s="10" t="s">
        <v>105</v>
      </c>
      <c r="D32" s="7" t="s">
        <v>51</v>
      </c>
      <c r="E32" s="7" t="s">
        <v>41</v>
      </c>
      <c r="F32" s="7" t="s">
        <v>79</v>
      </c>
      <c r="G32" s="7"/>
      <c r="H32" s="7" t="s">
        <v>48</v>
      </c>
      <c r="I32" s="11">
        <v>2</v>
      </c>
      <c r="J32" s="11">
        <v>3</v>
      </c>
      <c r="K32" s="11">
        <v>0</v>
      </c>
      <c r="L32" s="11">
        <v>4.25</v>
      </c>
      <c r="M32" s="11">
        <v>0.8300000000000001</v>
      </c>
      <c r="N32" s="11">
        <v>0</v>
      </c>
      <c r="O32" s="11">
        <v>1.14</v>
      </c>
      <c r="P32" s="11">
        <v>0.83</v>
      </c>
      <c r="Q32" s="11">
        <v>7.049999999999999</v>
      </c>
      <c r="R32" s="11">
        <v>53.87999999999999</v>
      </c>
      <c r="S32" s="11">
        <v>60.92999999999999</v>
      </c>
      <c r="T32" s="11">
        <v>2</v>
      </c>
      <c r="U32" s="11">
        <v>3</v>
      </c>
      <c r="V32" s="11">
        <v>55.92999999999999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106</v>
      </c>
      <c r="C33" s="10" t="s">
        <v>107</v>
      </c>
      <c r="D33" s="7" t="s">
        <v>108</v>
      </c>
      <c r="E33" s="7" t="s">
        <v>41</v>
      </c>
      <c r="F33" s="7" t="s">
        <v>79</v>
      </c>
      <c r="G33" s="7"/>
      <c r="H33" s="7" t="s">
        <v>48</v>
      </c>
      <c r="I33" s="11">
        <v>2</v>
      </c>
      <c r="J33" s="11">
        <v>3</v>
      </c>
      <c r="K33" s="11">
        <v>0</v>
      </c>
      <c r="L33" s="11">
        <v>4.520000000000001</v>
      </c>
      <c r="M33" s="11">
        <v>0.67</v>
      </c>
      <c r="N33" s="11">
        <v>0</v>
      </c>
      <c r="O33" s="11">
        <v>0.54</v>
      </c>
      <c r="P33" s="11">
        <v>0.83</v>
      </c>
      <c r="Q33" s="11">
        <v>6.559999999999998</v>
      </c>
      <c r="R33" s="11">
        <v>44.57999999999999</v>
      </c>
      <c r="S33" s="11">
        <v>51.13999999999999</v>
      </c>
      <c r="T33" s="11">
        <v>2</v>
      </c>
      <c r="U33" s="11">
        <v>3</v>
      </c>
      <c r="V33" s="11">
        <v>46.13999999999999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109</v>
      </c>
      <c r="C34" s="10" t="s">
        <v>110</v>
      </c>
      <c r="D34" s="7" t="s">
        <v>108</v>
      </c>
      <c r="E34" s="7" t="s">
        <v>41</v>
      </c>
      <c r="F34" s="7" t="s">
        <v>79</v>
      </c>
      <c r="G34" s="7"/>
      <c r="H34" s="7" t="s">
        <v>48</v>
      </c>
      <c r="I34" s="11">
        <v>2</v>
      </c>
      <c r="J34" s="11">
        <v>3</v>
      </c>
      <c r="K34" s="11">
        <v>0</v>
      </c>
      <c r="L34" s="11">
        <v>5.899999999999994</v>
      </c>
      <c r="M34" s="11">
        <v>0.67</v>
      </c>
      <c r="N34" s="11">
        <v>0</v>
      </c>
      <c r="O34" s="11">
        <v>0.54</v>
      </c>
      <c r="P34" s="11">
        <v>0</v>
      </c>
      <c r="Q34" s="11">
        <v>7.109999999999992</v>
      </c>
      <c r="R34" s="11">
        <v>47.60999999999998</v>
      </c>
      <c r="S34" s="11">
        <v>54.71999999999997</v>
      </c>
      <c r="T34" s="11">
        <v>2</v>
      </c>
      <c r="U34" s="11">
        <v>3</v>
      </c>
      <c r="V34" s="11">
        <v>49.71999999999997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111</v>
      </c>
      <c r="C35" s="10" t="s">
        <v>112</v>
      </c>
      <c r="D35" s="7" t="s">
        <v>51</v>
      </c>
      <c r="E35" s="7" t="s">
        <v>41</v>
      </c>
      <c r="F35" s="7" t="s">
        <v>79</v>
      </c>
      <c r="G35" s="7"/>
      <c r="H35" s="7" t="s">
        <v>48</v>
      </c>
      <c r="I35" s="11">
        <v>2</v>
      </c>
      <c r="J35" s="11">
        <v>3</v>
      </c>
      <c r="K35" s="11">
        <v>0</v>
      </c>
      <c r="L35" s="11">
        <v>4.469999999999999</v>
      </c>
      <c r="M35" s="11">
        <v>0.5</v>
      </c>
      <c r="N35" s="11">
        <v>0</v>
      </c>
      <c r="O35" s="11">
        <v>0.35</v>
      </c>
      <c r="P35" s="11">
        <v>0</v>
      </c>
      <c r="Q35" s="11">
        <v>5.319999999999999</v>
      </c>
      <c r="R35" s="11">
        <v>27.41</v>
      </c>
      <c r="S35" s="11">
        <v>32.73</v>
      </c>
      <c r="T35" s="11">
        <v>2</v>
      </c>
      <c r="U35" s="11">
        <v>3</v>
      </c>
      <c r="V35" s="11">
        <v>27.73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113</v>
      </c>
      <c r="C36" s="10" t="s">
        <v>114</v>
      </c>
      <c r="D36" s="7" t="s">
        <v>108</v>
      </c>
      <c r="E36" s="7" t="s">
        <v>69</v>
      </c>
      <c r="F36" s="7" t="s">
        <v>79</v>
      </c>
      <c r="G36" s="7"/>
      <c r="H36" s="7" t="s">
        <v>48</v>
      </c>
      <c r="I36" s="11">
        <v>2</v>
      </c>
      <c r="J36" s="11">
        <v>3</v>
      </c>
      <c r="K36" s="11">
        <v>0</v>
      </c>
      <c r="L36" s="11">
        <v>5.15</v>
      </c>
      <c r="M36" s="11">
        <v>1.5</v>
      </c>
      <c r="N36" s="11">
        <v>0</v>
      </c>
      <c r="O36" s="11">
        <v>0.62</v>
      </c>
      <c r="P36" s="11">
        <v>0.83</v>
      </c>
      <c r="Q36" s="11">
        <v>8.099999999999994</v>
      </c>
      <c r="R36" s="11">
        <v>52.45</v>
      </c>
      <c r="S36" s="11">
        <v>60.54999999999999</v>
      </c>
      <c r="T36" s="11">
        <v>2</v>
      </c>
      <c r="U36" s="11">
        <v>3</v>
      </c>
      <c r="V36" s="11">
        <v>55.54999999999999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115</v>
      </c>
      <c r="C37" s="10" t="s">
        <v>116</v>
      </c>
      <c r="D37" s="7" t="s">
        <v>108</v>
      </c>
      <c r="E37" s="7" t="s">
        <v>61</v>
      </c>
      <c r="F37" s="7" t="s">
        <v>76</v>
      </c>
      <c r="G37" s="7"/>
      <c r="H37" s="7" t="s">
        <v>48</v>
      </c>
      <c r="I37" s="11">
        <v>2</v>
      </c>
      <c r="J37" s="11">
        <v>3</v>
      </c>
      <c r="K37" s="11">
        <v>0</v>
      </c>
      <c r="L37" s="11">
        <v>4.359999999999999</v>
      </c>
      <c r="M37" s="11">
        <v>0.5</v>
      </c>
      <c r="N37" s="11">
        <v>0</v>
      </c>
      <c r="O37" s="11">
        <v>0.36</v>
      </c>
      <c r="P37" s="11">
        <v>0.8</v>
      </c>
      <c r="Q37" s="11">
        <v>6.019999999999999</v>
      </c>
      <c r="R37" s="11">
        <v>43.6</v>
      </c>
      <c r="S37" s="11">
        <v>49.62</v>
      </c>
      <c r="T37" s="11">
        <v>2</v>
      </c>
      <c r="U37" s="11">
        <v>3</v>
      </c>
      <c r="V37" s="11">
        <v>44.62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117</v>
      </c>
      <c r="C38" s="10" t="s">
        <v>118</v>
      </c>
      <c r="D38" s="7" t="s">
        <v>108</v>
      </c>
      <c r="E38" s="7" t="s">
        <v>61</v>
      </c>
      <c r="F38" s="7" t="s">
        <v>79</v>
      </c>
      <c r="G38" s="7"/>
      <c r="H38" s="7" t="s">
        <v>65</v>
      </c>
      <c r="I38" s="11">
        <v>2</v>
      </c>
      <c r="J38" s="11">
        <v>3</v>
      </c>
      <c r="K38" s="11">
        <v>0.95</v>
      </c>
      <c r="L38" s="11">
        <v>4.83</v>
      </c>
      <c r="M38" s="11">
        <v>0.67</v>
      </c>
      <c r="N38" s="11">
        <v>0</v>
      </c>
      <c r="O38" s="11">
        <v>1.44</v>
      </c>
      <c r="P38" s="11">
        <v>0</v>
      </c>
      <c r="Q38" s="11">
        <v>7.89</v>
      </c>
      <c r="R38" s="11">
        <v>68.13999999999996</v>
      </c>
      <c r="S38" s="11">
        <v>76.02999999999996</v>
      </c>
      <c r="T38" s="11">
        <v>2</v>
      </c>
      <c r="U38" s="11">
        <v>3</v>
      </c>
      <c r="V38" s="11">
        <v>71.02999999999996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119</v>
      </c>
      <c r="C39" s="10" t="s">
        <v>120</v>
      </c>
      <c r="D39" s="7" t="s">
        <v>121</v>
      </c>
      <c r="E39" s="7" t="s">
        <v>41</v>
      </c>
      <c r="F39" s="7" t="s">
        <v>79</v>
      </c>
      <c r="G39" s="7"/>
      <c r="H39" s="7" t="s">
        <v>48</v>
      </c>
      <c r="I39" s="11">
        <v>2</v>
      </c>
      <c r="J39" s="11">
        <v>3</v>
      </c>
      <c r="K39" s="11">
        <v>0</v>
      </c>
      <c r="L39" s="11">
        <v>3.480000000000002</v>
      </c>
      <c r="M39" s="11">
        <v>0.17</v>
      </c>
      <c r="N39" s="11">
        <v>0</v>
      </c>
      <c r="O39" s="11">
        <v>0.22</v>
      </c>
      <c r="P39" s="11">
        <v>0.83</v>
      </c>
      <c r="Q39" s="11">
        <v>4.700000000000002</v>
      </c>
      <c r="R39" s="11">
        <v>33.52000000000001</v>
      </c>
      <c r="S39" s="11">
        <v>38.22000000000001</v>
      </c>
      <c r="T39" s="11">
        <v>2</v>
      </c>
      <c r="U39" s="11">
        <v>3</v>
      </c>
      <c r="V39" s="11">
        <v>33.22000000000001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122</v>
      </c>
      <c r="C40" s="10" t="s">
        <v>123</v>
      </c>
      <c r="D40" s="7" t="s">
        <v>103</v>
      </c>
      <c r="E40" s="7" t="s">
        <v>69</v>
      </c>
      <c r="F40" s="7" t="s">
        <v>79</v>
      </c>
      <c r="G40" s="7"/>
      <c r="H40" s="7" t="s">
        <v>48</v>
      </c>
      <c r="I40" s="11">
        <v>2</v>
      </c>
      <c r="J40" s="11">
        <v>3</v>
      </c>
      <c r="K40" s="11">
        <v>0</v>
      </c>
      <c r="L40" s="11">
        <v>4.510000000000001</v>
      </c>
      <c r="M40" s="11">
        <v>1</v>
      </c>
      <c r="N40" s="11">
        <v>0</v>
      </c>
      <c r="O40" s="11">
        <v>0.9599999999999999</v>
      </c>
      <c r="P40" s="11">
        <v>0.83</v>
      </c>
      <c r="Q40" s="11">
        <v>7.299999999999996</v>
      </c>
      <c r="R40" s="11">
        <v>54.09000000000002</v>
      </c>
      <c r="S40" s="11">
        <v>61.39000000000001</v>
      </c>
      <c r="T40" s="11">
        <v>2</v>
      </c>
      <c r="U40" s="11">
        <v>3</v>
      </c>
      <c r="V40" s="11">
        <v>56.39000000000001</v>
      </c>
      <c r="W40" s="13">
        <v>20</v>
      </c>
      <c r="X40" s="13">
        <v>30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124</v>
      </c>
      <c r="C41" s="10" t="s">
        <v>125</v>
      </c>
      <c r="D41" s="7" t="s">
        <v>108</v>
      </c>
      <c r="E41" s="7" t="s">
        <v>69</v>
      </c>
      <c r="F41" s="7" t="s">
        <v>79</v>
      </c>
      <c r="G41" s="7"/>
      <c r="H41" s="7" t="s">
        <v>48</v>
      </c>
      <c r="I41" s="11">
        <v>2</v>
      </c>
      <c r="J41" s="11">
        <v>3</v>
      </c>
      <c r="K41" s="11">
        <v>0</v>
      </c>
      <c r="L41" s="11">
        <v>2.379999999999999</v>
      </c>
      <c r="M41" s="11">
        <v>0.67</v>
      </c>
      <c r="N41" s="11">
        <v>0</v>
      </c>
      <c r="O41" s="11">
        <v>0.54</v>
      </c>
      <c r="P41" s="11">
        <v>0.83</v>
      </c>
      <c r="Q41" s="11">
        <v>4.42</v>
      </c>
      <c r="R41" s="11">
        <v>45.92999999999999</v>
      </c>
      <c r="S41" s="11">
        <v>50.34999999999999</v>
      </c>
      <c r="T41" s="11">
        <v>2</v>
      </c>
      <c r="U41" s="11">
        <v>3</v>
      </c>
      <c r="V41" s="11">
        <v>45.34999999999999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126</v>
      </c>
      <c r="C42" s="10" t="s">
        <v>127</v>
      </c>
      <c r="D42" s="7" t="s">
        <v>68</v>
      </c>
      <c r="E42" s="7" t="s">
        <v>61</v>
      </c>
      <c r="F42" s="7" t="s">
        <v>79</v>
      </c>
      <c r="G42" s="7"/>
      <c r="H42" s="7" t="s">
        <v>48</v>
      </c>
      <c r="I42" s="11">
        <v>2</v>
      </c>
      <c r="J42" s="11">
        <v>3</v>
      </c>
      <c r="K42" s="11">
        <v>0</v>
      </c>
      <c r="L42" s="11">
        <v>5.390000000000001</v>
      </c>
      <c r="M42" s="11">
        <v>0.17</v>
      </c>
      <c r="N42" s="11">
        <v>0</v>
      </c>
      <c r="O42" s="11">
        <v>0</v>
      </c>
      <c r="P42" s="11">
        <v>0</v>
      </c>
      <c r="Q42" s="11">
        <v>5.56</v>
      </c>
      <c r="R42" s="11">
        <v>44.48999999999999</v>
      </c>
      <c r="S42" s="11">
        <v>50.05</v>
      </c>
      <c r="T42" s="11">
        <v>2</v>
      </c>
      <c r="U42" s="11">
        <v>3</v>
      </c>
      <c r="V42" s="11">
        <v>45.05</v>
      </c>
      <c r="W42" s="13">
        <v>20</v>
      </c>
      <c r="X42" s="13">
        <v>30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128</v>
      </c>
      <c r="C43" s="10" t="s">
        <v>129</v>
      </c>
      <c r="D43" s="7" t="s">
        <v>121</v>
      </c>
      <c r="E43" s="7" t="s">
        <v>61</v>
      </c>
      <c r="F43" s="7" t="s">
        <v>79</v>
      </c>
      <c r="G43" s="7"/>
      <c r="H43" s="7" t="s">
        <v>48</v>
      </c>
      <c r="I43" s="11">
        <v>2</v>
      </c>
      <c r="J43" s="11">
        <v>3</v>
      </c>
      <c r="K43" s="11">
        <v>0</v>
      </c>
      <c r="L43" s="11">
        <v>5.280000000000002</v>
      </c>
      <c r="M43" s="11">
        <v>0.5</v>
      </c>
      <c r="N43" s="11">
        <v>0</v>
      </c>
      <c r="O43" s="11">
        <v>0.18</v>
      </c>
      <c r="P43" s="11">
        <v>0.83</v>
      </c>
      <c r="Q43" s="11">
        <v>6.790000000000002</v>
      </c>
      <c r="R43" s="11">
        <v>49.67</v>
      </c>
      <c r="S43" s="11">
        <v>56.46</v>
      </c>
      <c r="T43" s="11">
        <v>2</v>
      </c>
      <c r="U43" s="11">
        <v>3</v>
      </c>
      <c r="V43" s="11">
        <v>51.46</v>
      </c>
      <c r="W43" s="13">
        <v>20</v>
      </c>
      <c r="X43" s="13">
        <v>30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130</v>
      </c>
      <c r="C44" s="10" t="s">
        <v>131</v>
      </c>
      <c r="D44" s="7" t="s">
        <v>108</v>
      </c>
      <c r="E44" s="7" t="s">
        <v>41</v>
      </c>
      <c r="F44" s="7" t="s">
        <v>76</v>
      </c>
      <c r="G44" s="7"/>
      <c r="H44" s="7" t="s">
        <v>48</v>
      </c>
      <c r="I44" s="11">
        <v>2</v>
      </c>
      <c r="J44" s="11">
        <v>3</v>
      </c>
      <c r="K44" s="11">
        <v>0</v>
      </c>
      <c r="L44" s="11">
        <v>3.660000000000001</v>
      </c>
      <c r="M44" s="11">
        <v>0.8300000000000001</v>
      </c>
      <c r="N44" s="11">
        <v>0</v>
      </c>
      <c r="O44" s="11">
        <v>0.62</v>
      </c>
      <c r="P44" s="11">
        <v>0</v>
      </c>
      <c r="Q44" s="11">
        <v>5.11</v>
      </c>
      <c r="R44" s="11">
        <v>37.48</v>
      </c>
      <c r="S44" s="11">
        <v>42.59</v>
      </c>
      <c r="T44" s="11">
        <v>2</v>
      </c>
      <c r="U44" s="11">
        <v>3</v>
      </c>
      <c r="V44" s="11">
        <v>37.59</v>
      </c>
      <c r="W44" s="13">
        <v>20</v>
      </c>
      <c r="X44" s="13">
        <v>30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132</v>
      </c>
      <c r="C45" s="10" t="s">
        <v>133</v>
      </c>
      <c r="D45" s="7" t="s">
        <v>121</v>
      </c>
      <c r="E45" s="7" t="s">
        <v>61</v>
      </c>
      <c r="F45" s="7" t="s">
        <v>79</v>
      </c>
      <c r="G45" s="7"/>
      <c r="H45" s="7" t="s">
        <v>48</v>
      </c>
      <c r="I45" s="11">
        <v>2</v>
      </c>
      <c r="J45" s="11">
        <v>3</v>
      </c>
      <c r="K45" s="11">
        <v>0</v>
      </c>
      <c r="L45" s="11">
        <v>4.660000000000001</v>
      </c>
      <c r="M45" s="11">
        <v>0.8300000000000001</v>
      </c>
      <c r="N45" s="11">
        <v>0</v>
      </c>
      <c r="O45" s="11">
        <v>0.5700000000000001</v>
      </c>
      <c r="P45" s="11">
        <v>0</v>
      </c>
      <c r="Q45" s="11">
        <v>6.06</v>
      </c>
      <c r="R45" s="11">
        <v>45.43999999999999</v>
      </c>
      <c r="S45" s="11">
        <v>51.49999999999999</v>
      </c>
      <c r="T45" s="11">
        <v>2</v>
      </c>
      <c r="U45" s="11">
        <v>3</v>
      </c>
      <c r="V45" s="11">
        <v>46.49999999999999</v>
      </c>
      <c r="W45" s="13">
        <v>20</v>
      </c>
      <c r="X45" s="13">
        <v>30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134</v>
      </c>
      <c r="C46" s="10" t="s">
        <v>135</v>
      </c>
      <c r="D46" s="7" t="s">
        <v>121</v>
      </c>
      <c r="E46" s="7" t="s">
        <v>41</v>
      </c>
      <c r="F46" s="7" t="s">
        <v>79</v>
      </c>
      <c r="G46" s="7"/>
      <c r="H46" s="7" t="s">
        <v>48</v>
      </c>
      <c r="I46" s="11">
        <v>2</v>
      </c>
      <c r="J46" s="11">
        <v>3</v>
      </c>
      <c r="K46" s="11">
        <v>0</v>
      </c>
      <c r="L46" s="11">
        <v>4.070000000000002</v>
      </c>
      <c r="M46" s="11">
        <v>0.8400000000000001</v>
      </c>
      <c r="N46" s="11">
        <v>0</v>
      </c>
      <c r="O46" s="11">
        <v>0.67</v>
      </c>
      <c r="P46" s="11">
        <v>0.8</v>
      </c>
      <c r="Q46" s="11">
        <v>6.38</v>
      </c>
      <c r="R46" s="11">
        <v>40.27</v>
      </c>
      <c r="S46" s="11">
        <v>46.65000000000001</v>
      </c>
      <c r="T46" s="11">
        <v>2</v>
      </c>
      <c r="U46" s="11">
        <v>3</v>
      </c>
      <c r="V46" s="11">
        <v>41.65000000000001</v>
      </c>
      <c r="W46" s="13">
        <v>20</v>
      </c>
      <c r="X46" s="13">
        <v>30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136</v>
      </c>
      <c r="C47" s="10" t="s">
        <v>137</v>
      </c>
      <c r="D47" s="7" t="s">
        <v>40</v>
      </c>
      <c r="E47" s="7" t="s">
        <v>41</v>
      </c>
      <c r="F47" s="7" t="s">
        <v>79</v>
      </c>
      <c r="G47" s="7"/>
      <c r="H47" s="7" t="s">
        <v>48</v>
      </c>
      <c r="I47" s="11">
        <v>2</v>
      </c>
      <c r="J47" s="11">
        <v>3</v>
      </c>
      <c r="K47" s="11">
        <v>0</v>
      </c>
      <c r="L47" s="11">
        <v>5.52</v>
      </c>
      <c r="M47" s="11">
        <v>0</v>
      </c>
      <c r="N47" s="11">
        <v>0</v>
      </c>
      <c r="O47" s="11">
        <v>0.9999999999999999</v>
      </c>
      <c r="P47" s="11">
        <v>0.83</v>
      </c>
      <c r="Q47" s="11">
        <v>7.349999999999999</v>
      </c>
      <c r="R47" s="11">
        <v>46.89</v>
      </c>
      <c r="S47" s="11">
        <v>54.24</v>
      </c>
      <c r="T47" s="11">
        <v>2</v>
      </c>
      <c r="U47" s="11">
        <v>3</v>
      </c>
      <c r="V47" s="11">
        <v>49.24</v>
      </c>
      <c r="W47" s="13">
        <v>20</v>
      </c>
      <c r="X47" s="13">
        <v>30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138</v>
      </c>
      <c r="C48" s="10" t="s">
        <v>139</v>
      </c>
      <c r="D48" s="7" t="s">
        <v>103</v>
      </c>
      <c r="E48" s="7" t="s">
        <v>140</v>
      </c>
      <c r="F48" s="7" t="s">
        <v>76</v>
      </c>
      <c r="G48" s="7"/>
      <c r="H48" s="7" t="s">
        <v>65</v>
      </c>
      <c r="I48" s="11">
        <v>2</v>
      </c>
      <c r="J48" s="11">
        <v>3</v>
      </c>
      <c r="K48" s="11">
        <v>0.95</v>
      </c>
      <c r="L48" s="11">
        <v>5.709999999999996</v>
      </c>
      <c r="M48" s="11">
        <v>0.17</v>
      </c>
      <c r="N48" s="11">
        <v>0</v>
      </c>
      <c r="O48" s="11">
        <v>1.44</v>
      </c>
      <c r="P48" s="11">
        <v>1.63</v>
      </c>
      <c r="Q48" s="11">
        <v>9.899999999999995</v>
      </c>
      <c r="R48" s="11">
        <v>68.33999999999997</v>
      </c>
      <c r="S48" s="11">
        <v>78.23999999999997</v>
      </c>
      <c r="T48" s="11">
        <v>2</v>
      </c>
      <c r="U48" s="11">
        <v>3</v>
      </c>
      <c r="V48" s="11">
        <v>73.23999999999997</v>
      </c>
      <c r="W48" s="13">
        <v>20</v>
      </c>
      <c r="X48" s="13">
        <v>30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121</v>
      </c>
      <c r="E49" s="7" t="s">
        <v>61</v>
      </c>
      <c r="F49" s="7" t="s">
        <v>79</v>
      </c>
      <c r="G49" s="7"/>
      <c r="H49" s="7" t="s">
        <v>48</v>
      </c>
      <c r="I49" s="11">
        <v>2</v>
      </c>
      <c r="J49" s="11">
        <v>3</v>
      </c>
      <c r="K49" s="11">
        <v>0</v>
      </c>
      <c r="L49" s="11">
        <v>4.180000000000001</v>
      </c>
      <c r="M49" s="11">
        <v>0.17</v>
      </c>
      <c r="N49" s="11">
        <v>0</v>
      </c>
      <c r="O49" s="11">
        <v>0.18</v>
      </c>
      <c r="P49" s="11">
        <v>0</v>
      </c>
      <c r="Q49" s="11">
        <v>4.53</v>
      </c>
      <c r="R49" s="11">
        <v>38.17</v>
      </c>
      <c r="S49" s="11">
        <v>42.7</v>
      </c>
      <c r="T49" s="11">
        <v>2</v>
      </c>
      <c r="U49" s="11">
        <v>3</v>
      </c>
      <c r="V49" s="11">
        <v>37.7</v>
      </c>
      <c r="W49" s="13">
        <v>20</v>
      </c>
      <c r="X49" s="13">
        <v>30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121</v>
      </c>
      <c r="E50" s="7" t="s">
        <v>61</v>
      </c>
      <c r="F50" s="7" t="s">
        <v>79</v>
      </c>
      <c r="G50" s="7"/>
      <c r="H50" s="7" t="s">
        <v>48</v>
      </c>
      <c r="I50" s="11">
        <v>2</v>
      </c>
      <c r="J50" s="11">
        <v>3</v>
      </c>
      <c r="K50" s="11">
        <v>0</v>
      </c>
      <c r="L50" s="11">
        <v>5.339999999999999</v>
      </c>
      <c r="M50" s="11">
        <v>1</v>
      </c>
      <c r="N50" s="11">
        <v>0</v>
      </c>
      <c r="O50" s="11">
        <v>0.44</v>
      </c>
      <c r="P50" s="11">
        <v>0.83</v>
      </c>
      <c r="Q50" s="11">
        <v>7.609999999999998</v>
      </c>
      <c r="R50" s="11">
        <v>60.88999999999997</v>
      </c>
      <c r="S50" s="11">
        <v>68.49999999999997</v>
      </c>
      <c r="T50" s="11">
        <v>2</v>
      </c>
      <c r="U50" s="11">
        <v>3</v>
      </c>
      <c r="V50" s="11">
        <v>63.49999999999997</v>
      </c>
      <c r="W50" s="13">
        <v>20</v>
      </c>
      <c r="X50" s="13">
        <v>30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121</v>
      </c>
      <c r="E51" s="7" t="s">
        <v>61</v>
      </c>
      <c r="F51" s="7" t="s">
        <v>79</v>
      </c>
      <c r="G51" s="7"/>
      <c r="H51" s="7" t="s">
        <v>48</v>
      </c>
      <c r="I51" s="11">
        <v>2</v>
      </c>
      <c r="J51" s="11">
        <v>3</v>
      </c>
      <c r="K51" s="11">
        <v>0</v>
      </c>
      <c r="L51" s="11">
        <v>6.360000000000003</v>
      </c>
      <c r="M51" s="11">
        <v>0.17</v>
      </c>
      <c r="N51" s="11">
        <v>0</v>
      </c>
      <c r="O51" s="11">
        <v>0.61</v>
      </c>
      <c r="P51" s="11">
        <v>1.63</v>
      </c>
      <c r="Q51" s="11">
        <v>8.77</v>
      </c>
      <c r="R51" s="11">
        <v>52.36000000000001</v>
      </c>
      <c r="S51" s="11">
        <v>61.13000000000001</v>
      </c>
      <c r="T51" s="11">
        <v>2</v>
      </c>
      <c r="U51" s="11">
        <v>3</v>
      </c>
      <c r="V51" s="11">
        <v>56.13000000000001</v>
      </c>
      <c r="W51" s="13">
        <v>20</v>
      </c>
      <c r="X51" s="13">
        <v>30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108</v>
      </c>
      <c r="E52" s="7" t="s">
        <v>41</v>
      </c>
      <c r="F52" s="7" t="s">
        <v>79</v>
      </c>
      <c r="G52" s="7"/>
      <c r="H52" s="7" t="s">
        <v>48</v>
      </c>
      <c r="I52" s="11">
        <v>2</v>
      </c>
      <c r="J52" s="11">
        <v>3</v>
      </c>
      <c r="K52" s="11">
        <v>0</v>
      </c>
      <c r="L52" s="11">
        <v>5.009999999999998</v>
      </c>
      <c r="M52" s="11">
        <v>0.5</v>
      </c>
      <c r="N52" s="11">
        <v>0</v>
      </c>
      <c r="O52" s="11">
        <v>0.54</v>
      </c>
      <c r="P52" s="11">
        <v>0.83</v>
      </c>
      <c r="Q52" s="11">
        <v>6.879999999999997</v>
      </c>
      <c r="R52" s="11">
        <v>50.56999999999999</v>
      </c>
      <c r="S52" s="11">
        <v>57.44999999999999</v>
      </c>
      <c r="T52" s="11">
        <v>2</v>
      </c>
      <c r="U52" s="11">
        <v>3</v>
      </c>
      <c r="V52" s="11">
        <v>52.44999999999999</v>
      </c>
      <c r="W52" s="13">
        <v>20</v>
      </c>
      <c r="X52" s="13">
        <v>30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121</v>
      </c>
      <c r="E53" s="7" t="s">
        <v>61</v>
      </c>
      <c r="F53" s="7" t="s">
        <v>79</v>
      </c>
      <c r="G53" s="7"/>
      <c r="H53" s="7" t="s">
        <v>48</v>
      </c>
      <c r="I53" s="11">
        <v>2</v>
      </c>
      <c r="J53" s="11">
        <v>3</v>
      </c>
      <c r="K53" s="11">
        <v>0</v>
      </c>
      <c r="L53" s="11">
        <v>3.860000000000002</v>
      </c>
      <c r="M53" s="11">
        <v>0.5</v>
      </c>
      <c r="N53" s="11">
        <v>0</v>
      </c>
      <c r="O53" s="11">
        <v>0.35</v>
      </c>
      <c r="P53" s="11">
        <v>0.8</v>
      </c>
      <c r="Q53" s="11">
        <v>5.510000000000002</v>
      </c>
      <c r="R53" s="11">
        <v>39.08000000000001</v>
      </c>
      <c r="S53" s="11">
        <v>44.59</v>
      </c>
      <c r="T53" s="11">
        <v>2</v>
      </c>
      <c r="U53" s="11">
        <v>3</v>
      </c>
      <c r="V53" s="11">
        <v>39.59</v>
      </c>
      <c r="W53" s="13">
        <v>20</v>
      </c>
      <c r="X53" s="13">
        <v>30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153</v>
      </c>
      <c r="E54" s="7" t="s">
        <v>69</v>
      </c>
      <c r="F54" s="7" t="s">
        <v>79</v>
      </c>
      <c r="G54" s="7"/>
      <c r="H54" s="7" t="s">
        <v>48</v>
      </c>
      <c r="I54" s="11">
        <v>2</v>
      </c>
      <c r="J54" s="11">
        <v>3</v>
      </c>
      <c r="K54" s="11">
        <v>0</v>
      </c>
      <c r="L54" s="11">
        <v>6.16</v>
      </c>
      <c r="M54" s="11">
        <v>0.5</v>
      </c>
      <c r="N54" s="11">
        <v>0</v>
      </c>
      <c r="O54" s="11">
        <v>0.8</v>
      </c>
      <c r="P54" s="11">
        <v>0.83</v>
      </c>
      <c r="Q54" s="11">
        <v>8.289999999999997</v>
      </c>
      <c r="R54" s="11">
        <v>78.28999999999996</v>
      </c>
      <c r="S54" s="11">
        <v>86.57999999999996</v>
      </c>
      <c r="T54" s="11">
        <v>2</v>
      </c>
      <c r="U54" s="11">
        <v>3</v>
      </c>
      <c r="V54" s="11">
        <v>81.57999999999996</v>
      </c>
      <c r="W54" s="13">
        <v>20</v>
      </c>
      <c r="X54" s="13">
        <v>30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156</v>
      </c>
      <c r="E55" s="7" t="s">
        <v>75</v>
      </c>
      <c r="F55" s="7" t="s">
        <v>76</v>
      </c>
      <c r="G55" s="7"/>
      <c r="H55" s="7" t="s">
        <v>48</v>
      </c>
      <c r="I55" s="11">
        <v>2</v>
      </c>
      <c r="J55" s="11">
        <v>3</v>
      </c>
      <c r="K55" s="11">
        <v>0</v>
      </c>
      <c r="L55" s="11">
        <v>5.050000000000001</v>
      </c>
      <c r="M55" s="11">
        <v>0.25</v>
      </c>
      <c r="N55" s="11">
        <v>0</v>
      </c>
      <c r="O55" s="11">
        <v>1.38</v>
      </c>
      <c r="P55" s="11">
        <v>0.9700000000000001</v>
      </c>
      <c r="Q55" s="11">
        <v>7.649999999999999</v>
      </c>
      <c r="R55" s="11">
        <v>54.29999999999999</v>
      </c>
      <c r="S55" s="11">
        <v>61.94999999999999</v>
      </c>
      <c r="T55" s="11">
        <v>2</v>
      </c>
      <c r="U55" s="11">
        <v>3</v>
      </c>
      <c r="V55" s="11">
        <v>56.94999999999999</v>
      </c>
      <c r="W55" s="13">
        <v>20</v>
      </c>
      <c r="X55" s="13">
        <v>30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157</v>
      </c>
      <c r="C56" s="10" t="s">
        <v>158</v>
      </c>
      <c r="D56" s="7" t="s">
        <v>68</v>
      </c>
      <c r="E56" s="7" t="s">
        <v>61</v>
      </c>
      <c r="F56" s="7" t="s">
        <v>79</v>
      </c>
      <c r="G56" s="7"/>
      <c r="H56" s="7" t="s">
        <v>48</v>
      </c>
      <c r="I56" s="11">
        <v>2</v>
      </c>
      <c r="J56" s="11">
        <v>3</v>
      </c>
      <c r="K56" s="11">
        <v>0</v>
      </c>
      <c r="L56" s="11">
        <v>2.3</v>
      </c>
      <c r="M56" s="11">
        <v>0.33</v>
      </c>
      <c r="N56" s="11">
        <v>0</v>
      </c>
      <c r="O56" s="11">
        <v>0.17</v>
      </c>
      <c r="P56" s="11">
        <v>0</v>
      </c>
      <c r="Q56" s="11">
        <v>2.800000000000001</v>
      </c>
      <c r="R56" s="11">
        <v>21.65000000000001</v>
      </c>
      <c r="S56" s="11">
        <v>24.45000000000001</v>
      </c>
      <c r="T56" s="11">
        <v>2</v>
      </c>
      <c r="U56" s="11">
        <v>3</v>
      </c>
      <c r="V56" s="11">
        <v>19.45000000000001</v>
      </c>
      <c r="W56" s="13">
        <v>20</v>
      </c>
      <c r="X56" s="13">
        <v>30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40</v>
      </c>
      <c r="E57" s="7" t="s">
        <v>41</v>
      </c>
      <c r="F57" s="7" t="s">
        <v>79</v>
      </c>
      <c r="G57" s="7"/>
      <c r="H57" s="7" t="s">
        <v>48</v>
      </c>
      <c r="I57" s="11">
        <v>2</v>
      </c>
      <c r="J57" s="11">
        <v>3</v>
      </c>
      <c r="K57" s="11">
        <v>0</v>
      </c>
      <c r="L57" s="11">
        <v>4.310000000000001</v>
      </c>
      <c r="M57" s="11">
        <v>0.33</v>
      </c>
      <c r="N57" s="11">
        <v>0</v>
      </c>
      <c r="O57" s="11">
        <v>1.18</v>
      </c>
      <c r="P57" s="11">
        <v>0.5</v>
      </c>
      <c r="Q57" s="11">
        <v>6.319999999999999</v>
      </c>
      <c r="R57" s="11">
        <v>55.89999999999998</v>
      </c>
      <c r="S57" s="11">
        <v>62.21999999999998</v>
      </c>
      <c r="T57" s="11">
        <v>2</v>
      </c>
      <c r="U57" s="11">
        <v>3</v>
      </c>
      <c r="V57" s="11">
        <v>57.21999999999998</v>
      </c>
      <c r="W57" s="13">
        <v>20</v>
      </c>
      <c r="X57" s="13">
        <v>30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163</v>
      </c>
      <c r="E58" s="7" t="s">
        <v>61</v>
      </c>
      <c r="F58" s="7" t="s">
        <v>79</v>
      </c>
      <c r="G58" s="7"/>
      <c r="H58" s="7" t="s">
        <v>164</v>
      </c>
      <c r="I58" s="11">
        <v>2</v>
      </c>
      <c r="J58" s="11">
        <v>3</v>
      </c>
      <c r="K58" s="11">
        <v>1.33</v>
      </c>
      <c r="L58" s="11">
        <v>2.97</v>
      </c>
      <c r="M58" s="11">
        <v>0.8300000000000001</v>
      </c>
      <c r="N58" s="11">
        <v>0</v>
      </c>
      <c r="O58" s="11">
        <v>1.62</v>
      </c>
      <c r="P58" s="11">
        <v>1.63</v>
      </c>
      <c r="Q58" s="11">
        <v>8.380000000000003</v>
      </c>
      <c r="R58" s="11">
        <v>65.28</v>
      </c>
      <c r="S58" s="11">
        <v>73.66</v>
      </c>
      <c r="T58" s="11">
        <v>2</v>
      </c>
      <c r="U58" s="11">
        <v>3</v>
      </c>
      <c r="V58" s="11">
        <v>68.66</v>
      </c>
      <c r="W58" s="13">
        <v>20</v>
      </c>
      <c r="X58" s="13">
        <v>30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165</v>
      </c>
      <c r="C59" s="10" t="s">
        <v>166</v>
      </c>
      <c r="D59" s="7" t="s">
        <v>84</v>
      </c>
      <c r="E59" s="7" t="s">
        <v>140</v>
      </c>
      <c r="F59" s="7" t="s">
        <v>167</v>
      </c>
      <c r="G59" s="7"/>
      <c r="H59" s="7" t="s">
        <v>65</v>
      </c>
      <c r="I59" s="11">
        <v>2</v>
      </c>
      <c r="J59" s="11">
        <v>3</v>
      </c>
      <c r="K59" s="11">
        <v>0.95</v>
      </c>
      <c r="L59" s="11">
        <v>4.579999999999998</v>
      </c>
      <c r="M59" s="11">
        <v>0.8300000000000001</v>
      </c>
      <c r="N59" s="11">
        <v>0</v>
      </c>
      <c r="O59" s="11">
        <v>0.42</v>
      </c>
      <c r="P59" s="11">
        <v>0.8</v>
      </c>
      <c r="Q59" s="11">
        <v>7.579999999999998</v>
      </c>
      <c r="R59" s="11">
        <v>67.16999999999997</v>
      </c>
      <c r="S59" s="11">
        <v>74.74999999999997</v>
      </c>
      <c r="T59" s="11">
        <v>2</v>
      </c>
      <c r="U59" s="11">
        <v>3</v>
      </c>
      <c r="V59" s="11">
        <v>69.74999999999997</v>
      </c>
      <c r="W59" s="13">
        <v>20</v>
      </c>
      <c r="X59" s="13">
        <v>30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168</v>
      </c>
      <c r="C60" s="10" t="s">
        <v>169</v>
      </c>
      <c r="D60" s="7" t="s">
        <v>68</v>
      </c>
      <c r="E60" s="7" t="s">
        <v>140</v>
      </c>
      <c r="F60" s="7" t="s">
        <v>167</v>
      </c>
      <c r="G60" s="7"/>
      <c r="H60" s="7" t="s">
        <v>170</v>
      </c>
      <c r="I60" s="11">
        <v>2</v>
      </c>
      <c r="J60" s="11">
        <v>3</v>
      </c>
      <c r="K60" s="11">
        <v>0.95</v>
      </c>
      <c r="L60" s="11">
        <v>2.08</v>
      </c>
      <c r="M60" s="11">
        <v>0</v>
      </c>
      <c r="N60" s="11">
        <v>0</v>
      </c>
      <c r="O60" s="11">
        <v>0.5900000000000001</v>
      </c>
      <c r="P60" s="11">
        <v>0.8</v>
      </c>
      <c r="Q60" s="11">
        <v>4.420000000000001</v>
      </c>
      <c r="R60" s="11">
        <v>40.44</v>
      </c>
      <c r="S60" s="11">
        <v>44.86000000000001</v>
      </c>
      <c r="T60" s="11">
        <v>2</v>
      </c>
      <c r="U60" s="11">
        <v>3</v>
      </c>
      <c r="V60" s="11">
        <v>39.86000000000001</v>
      </c>
      <c r="W60" s="13">
        <v>20</v>
      </c>
      <c r="X60" s="13">
        <v>30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171</v>
      </c>
      <c r="C61" s="10" t="s">
        <v>172</v>
      </c>
      <c r="D61" s="7" t="s">
        <v>40</v>
      </c>
      <c r="E61" s="7" t="s">
        <v>140</v>
      </c>
      <c r="F61" s="7" t="s">
        <v>167</v>
      </c>
      <c r="G61" s="7"/>
      <c r="H61" s="7" t="s">
        <v>173</v>
      </c>
      <c r="I61" s="11">
        <v>2</v>
      </c>
      <c r="J61" s="11">
        <v>3</v>
      </c>
      <c r="K61" s="11">
        <v>1</v>
      </c>
      <c r="L61" s="11">
        <v>3.000000000000001</v>
      </c>
      <c r="M61" s="11">
        <v>0.33</v>
      </c>
      <c r="N61" s="11">
        <v>0</v>
      </c>
      <c r="O61" s="11">
        <v>1.67</v>
      </c>
      <c r="P61" s="11">
        <v>1.6</v>
      </c>
      <c r="Q61" s="11">
        <v>7.6</v>
      </c>
      <c r="R61" s="11">
        <v>55.55</v>
      </c>
      <c r="S61" s="11">
        <v>63.15000000000001</v>
      </c>
      <c r="T61" s="11">
        <v>2</v>
      </c>
      <c r="U61" s="11">
        <v>3</v>
      </c>
      <c r="V61" s="11">
        <v>58.15000000000001</v>
      </c>
      <c r="W61" s="13">
        <v>20</v>
      </c>
      <c r="X61" s="13">
        <v>30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174</v>
      </c>
      <c r="C62" s="10" t="s">
        <v>175</v>
      </c>
      <c r="D62" s="7" t="s">
        <v>156</v>
      </c>
      <c r="E62" s="7" t="s">
        <v>140</v>
      </c>
      <c r="F62" s="7" t="s">
        <v>167</v>
      </c>
      <c r="G62" s="7"/>
      <c r="H62" s="7" t="s">
        <v>65</v>
      </c>
      <c r="I62" s="11">
        <v>2</v>
      </c>
      <c r="J62" s="11">
        <v>3</v>
      </c>
      <c r="K62" s="11">
        <v>0.95</v>
      </c>
      <c r="L62" s="11">
        <v>5.720000000000002</v>
      </c>
      <c r="M62" s="11">
        <v>0.5800000000000001</v>
      </c>
      <c r="N62" s="11">
        <v>0</v>
      </c>
      <c r="O62" s="11">
        <v>1.58</v>
      </c>
      <c r="P62" s="11">
        <v>0.8</v>
      </c>
      <c r="Q62" s="11">
        <v>9.630000000000001</v>
      </c>
      <c r="R62" s="11">
        <v>69.22999999999999</v>
      </c>
      <c r="S62" s="11">
        <v>78.85999999999999</v>
      </c>
      <c r="T62" s="11">
        <v>2</v>
      </c>
      <c r="U62" s="11">
        <v>3</v>
      </c>
      <c r="V62" s="11">
        <v>73.85999999999999</v>
      </c>
      <c r="W62" s="13">
        <v>20</v>
      </c>
      <c r="X62" s="13">
        <v>30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176</v>
      </c>
      <c r="C63" s="10" t="s">
        <v>177</v>
      </c>
      <c r="D63" s="7" t="s">
        <v>57</v>
      </c>
      <c r="E63" s="7" t="s">
        <v>140</v>
      </c>
      <c r="F63" s="7" t="s">
        <v>167</v>
      </c>
      <c r="G63" s="7"/>
      <c r="H63" s="7" t="s">
        <v>65</v>
      </c>
      <c r="I63" s="11">
        <v>2</v>
      </c>
      <c r="J63" s="11">
        <v>3</v>
      </c>
      <c r="K63" s="11">
        <v>0.95</v>
      </c>
      <c r="L63" s="11">
        <v>4.640000000000001</v>
      </c>
      <c r="M63" s="11">
        <v>0.5</v>
      </c>
      <c r="N63" s="11">
        <v>0</v>
      </c>
      <c r="O63" s="11">
        <v>1.69</v>
      </c>
      <c r="P63" s="11">
        <v>1.63</v>
      </c>
      <c r="Q63" s="11">
        <v>9.409999999999998</v>
      </c>
      <c r="R63" s="11">
        <v>73.31999999999996</v>
      </c>
      <c r="S63" s="11">
        <v>82.72999999999996</v>
      </c>
      <c r="T63" s="11">
        <v>2</v>
      </c>
      <c r="U63" s="11">
        <v>3</v>
      </c>
      <c r="V63" s="11">
        <v>77.72999999999996</v>
      </c>
      <c r="W63" s="13">
        <v>20</v>
      </c>
      <c r="X63" s="13">
        <v>30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178</v>
      </c>
      <c r="C64" s="10" t="s">
        <v>179</v>
      </c>
      <c r="D64" s="7" t="s">
        <v>121</v>
      </c>
      <c r="E64" s="7" t="s">
        <v>140</v>
      </c>
      <c r="F64" s="7" t="s">
        <v>167</v>
      </c>
      <c r="G64" s="7"/>
      <c r="H64" s="7" t="s">
        <v>48</v>
      </c>
      <c r="I64" s="11">
        <v>2</v>
      </c>
      <c r="J64" s="11">
        <v>3</v>
      </c>
      <c r="K64" s="11">
        <v>0</v>
      </c>
      <c r="L64" s="11">
        <v>4.550000000000002</v>
      </c>
      <c r="M64" s="11">
        <v>0</v>
      </c>
      <c r="N64" s="11">
        <v>0</v>
      </c>
      <c r="O64" s="11">
        <v>0.18</v>
      </c>
      <c r="P64" s="11">
        <v>1.63</v>
      </c>
      <c r="Q64" s="11">
        <v>6.360000000000001</v>
      </c>
      <c r="R64" s="11">
        <v>43.22</v>
      </c>
      <c r="S64" s="11">
        <v>49.58</v>
      </c>
      <c r="T64" s="11">
        <v>2</v>
      </c>
      <c r="U64" s="11">
        <v>3</v>
      </c>
      <c r="V64" s="11">
        <v>44.58</v>
      </c>
      <c r="W64" s="13">
        <v>20</v>
      </c>
      <c r="X64" s="13">
        <v>30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180</v>
      </c>
      <c r="C65" s="10" t="s">
        <v>181</v>
      </c>
      <c r="D65" s="7" t="s">
        <v>68</v>
      </c>
      <c r="E65" s="7" t="s">
        <v>182</v>
      </c>
      <c r="F65" s="7" t="s">
        <v>167</v>
      </c>
      <c r="G65" s="7"/>
      <c r="H65" s="7"/>
      <c r="I65" s="11">
        <v>2</v>
      </c>
      <c r="J65" s="11">
        <v>3</v>
      </c>
      <c r="K65" s="11">
        <v>0</v>
      </c>
      <c r="L65" s="11">
        <v>5.94</v>
      </c>
      <c r="M65" s="11">
        <v>0.8300000000000001</v>
      </c>
      <c r="N65" s="11">
        <v>0</v>
      </c>
      <c r="O65" s="11">
        <v>0.42</v>
      </c>
      <c r="P65" s="11">
        <v>0</v>
      </c>
      <c r="Q65" s="11">
        <v>7.19</v>
      </c>
      <c r="R65" s="11">
        <v>38.90000000000001</v>
      </c>
      <c r="S65" s="11">
        <v>46.09</v>
      </c>
      <c r="T65" s="11">
        <v>2</v>
      </c>
      <c r="U65" s="11">
        <v>3</v>
      </c>
      <c r="V65" s="11">
        <v>41.09</v>
      </c>
      <c r="W65" s="13">
        <v>20</v>
      </c>
      <c r="X65" s="13">
        <v>30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183</v>
      </c>
      <c r="C66" s="10" t="s">
        <v>184</v>
      </c>
      <c r="D66" s="7" t="s">
        <v>121</v>
      </c>
      <c r="E66" s="7" t="s">
        <v>140</v>
      </c>
      <c r="F66" s="7" t="s">
        <v>167</v>
      </c>
      <c r="G66" s="7"/>
      <c r="H66" s="7" t="s">
        <v>185</v>
      </c>
      <c r="I66" s="11">
        <v>2</v>
      </c>
      <c r="J66" s="11">
        <v>3</v>
      </c>
      <c r="K66" s="11">
        <v>0.95</v>
      </c>
      <c r="L66" s="11">
        <v>1.56</v>
      </c>
      <c r="M66" s="11">
        <v>0.5</v>
      </c>
      <c r="N66" s="11">
        <v>0</v>
      </c>
      <c r="O66" s="11">
        <v>0.18</v>
      </c>
      <c r="P66" s="11">
        <v>0.83</v>
      </c>
      <c r="Q66" s="11">
        <v>4.02</v>
      </c>
      <c r="R66" s="11">
        <v>38.43</v>
      </c>
      <c r="S66" s="11">
        <v>42.45</v>
      </c>
      <c r="T66" s="11">
        <v>2</v>
      </c>
      <c r="U66" s="11">
        <v>3</v>
      </c>
      <c r="V66" s="11">
        <v>37.45</v>
      </c>
      <c r="W66" s="13">
        <v>20</v>
      </c>
      <c r="X66" s="13">
        <v>30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186</v>
      </c>
      <c r="C67" s="10" t="s">
        <v>187</v>
      </c>
      <c r="D67" s="7" t="s">
        <v>103</v>
      </c>
      <c r="E67" s="7" t="s">
        <v>75</v>
      </c>
      <c r="F67" s="7" t="s">
        <v>167</v>
      </c>
      <c r="G67" s="7"/>
      <c r="H67" s="7" t="s">
        <v>48</v>
      </c>
      <c r="I67" s="11">
        <v>2</v>
      </c>
      <c r="J67" s="11">
        <v>3</v>
      </c>
      <c r="K67" s="11">
        <v>0</v>
      </c>
      <c r="L67" s="11">
        <v>5.109999999999999</v>
      </c>
      <c r="M67" s="11">
        <v>0.8300000000000001</v>
      </c>
      <c r="N67" s="11">
        <v>0</v>
      </c>
      <c r="O67" s="11">
        <v>1.7</v>
      </c>
      <c r="P67" s="11">
        <v>4.21</v>
      </c>
      <c r="Q67" s="11">
        <v>11.84999999999999</v>
      </c>
      <c r="R67" s="11">
        <v>82.94999999999999</v>
      </c>
      <c r="S67" s="11">
        <v>94.79999999999998</v>
      </c>
      <c r="T67" s="11">
        <v>2</v>
      </c>
      <c r="U67" s="11">
        <v>3</v>
      </c>
      <c r="V67" s="11">
        <v>89.79999999999998</v>
      </c>
      <c r="W67" s="13">
        <v>20</v>
      </c>
      <c r="X67" s="13">
        <v>30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188</v>
      </c>
      <c r="C68" s="10" t="s">
        <v>189</v>
      </c>
      <c r="D68" s="7" t="s">
        <v>57</v>
      </c>
      <c r="E68" s="7" t="s">
        <v>140</v>
      </c>
      <c r="F68" s="7" t="s">
        <v>167</v>
      </c>
      <c r="G68" s="7"/>
      <c r="H68" s="7" t="s">
        <v>48</v>
      </c>
      <c r="I68" s="11">
        <v>2</v>
      </c>
      <c r="J68" s="11">
        <v>3</v>
      </c>
      <c r="K68" s="11">
        <v>0</v>
      </c>
      <c r="L68" s="11">
        <v>8.239999999999997</v>
      </c>
      <c r="M68" s="11">
        <v>0.41</v>
      </c>
      <c r="N68" s="11">
        <v>0</v>
      </c>
      <c r="O68" s="11">
        <v>1.48</v>
      </c>
      <c r="P68" s="11">
        <v>0.8</v>
      </c>
      <c r="Q68" s="11">
        <v>10.93</v>
      </c>
      <c r="R68" s="11">
        <v>88.73999999999991</v>
      </c>
      <c r="S68" s="11">
        <v>99.6699999999999</v>
      </c>
      <c r="T68" s="11">
        <v>2</v>
      </c>
      <c r="U68" s="11">
        <v>3</v>
      </c>
      <c r="V68" s="11">
        <v>94.6699999999999</v>
      </c>
      <c r="W68" s="13">
        <v>20</v>
      </c>
      <c r="X68" s="13">
        <v>30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190</v>
      </c>
      <c r="C69" s="10" t="s">
        <v>191</v>
      </c>
      <c r="D69" s="7" t="s">
        <v>57</v>
      </c>
      <c r="E69" s="7" t="s">
        <v>140</v>
      </c>
      <c r="F69" s="7" t="s">
        <v>167</v>
      </c>
      <c r="G69" s="7"/>
      <c r="H69" s="7" t="s">
        <v>48</v>
      </c>
      <c r="I69" s="11">
        <v>2</v>
      </c>
      <c r="J69" s="11">
        <v>3</v>
      </c>
      <c r="K69" s="11">
        <v>0</v>
      </c>
      <c r="L69" s="11">
        <v>5.2</v>
      </c>
      <c r="M69" s="11">
        <v>0.5</v>
      </c>
      <c r="N69" s="11">
        <v>0</v>
      </c>
      <c r="O69" s="11">
        <v>1.38</v>
      </c>
      <c r="P69" s="11">
        <v>0.8</v>
      </c>
      <c r="Q69" s="11">
        <v>7.880000000000001</v>
      </c>
      <c r="R69" s="11">
        <v>48.90000000000001</v>
      </c>
      <c r="S69" s="11">
        <v>56.78000000000001</v>
      </c>
      <c r="T69" s="11">
        <v>2</v>
      </c>
      <c r="U69" s="11">
        <v>3</v>
      </c>
      <c r="V69" s="11">
        <v>51.78000000000001</v>
      </c>
      <c r="W69" s="13">
        <v>20</v>
      </c>
      <c r="X69" s="13">
        <v>30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192</v>
      </c>
      <c r="C70" s="10" t="s">
        <v>193</v>
      </c>
      <c r="D70" s="7" t="s">
        <v>156</v>
      </c>
      <c r="E70" s="7" t="s">
        <v>140</v>
      </c>
      <c r="F70" s="7" t="s">
        <v>167</v>
      </c>
      <c r="G70" s="7"/>
      <c r="H70" s="7"/>
      <c r="I70" s="11">
        <v>2</v>
      </c>
      <c r="J70" s="11">
        <v>3</v>
      </c>
      <c r="K70" s="11">
        <v>0</v>
      </c>
      <c r="L70" s="11">
        <v>5.480000000000001</v>
      </c>
      <c r="M70" s="11">
        <v>0.33</v>
      </c>
      <c r="N70" s="11">
        <v>0</v>
      </c>
      <c r="O70" s="11">
        <v>1.08</v>
      </c>
      <c r="P70" s="11">
        <v>0</v>
      </c>
      <c r="Q70" s="11">
        <v>6.890000000000001</v>
      </c>
      <c r="R70" s="11">
        <v>49.73999999999999</v>
      </c>
      <c r="S70" s="11">
        <v>56.62999999999999</v>
      </c>
      <c r="T70" s="11">
        <v>2</v>
      </c>
      <c r="U70" s="11">
        <v>3</v>
      </c>
      <c r="V70" s="11">
        <v>51.62999999999999</v>
      </c>
      <c r="W70" s="13">
        <v>20</v>
      </c>
      <c r="X70" s="13">
        <v>30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194</v>
      </c>
      <c r="C71" s="10" t="s">
        <v>195</v>
      </c>
      <c r="D71" s="7" t="s">
        <v>40</v>
      </c>
      <c r="E71" s="7" t="s">
        <v>140</v>
      </c>
      <c r="F71" s="7" t="s">
        <v>167</v>
      </c>
      <c r="G71" s="7"/>
      <c r="H71" s="7" t="s">
        <v>48</v>
      </c>
      <c r="I71" s="11">
        <v>2</v>
      </c>
      <c r="J71" s="11">
        <v>3</v>
      </c>
      <c r="K71" s="11">
        <v>0</v>
      </c>
      <c r="L71" s="11">
        <v>4.420000000000002</v>
      </c>
      <c r="M71" s="11">
        <v>0.5</v>
      </c>
      <c r="N71" s="11">
        <v>0</v>
      </c>
      <c r="O71" s="11">
        <v>1.25</v>
      </c>
      <c r="P71" s="11">
        <v>1.63</v>
      </c>
      <c r="Q71" s="11">
        <v>7.799999999999997</v>
      </c>
      <c r="R71" s="11">
        <v>58.30999999999999</v>
      </c>
      <c r="S71" s="11">
        <v>66.10999999999999</v>
      </c>
      <c r="T71" s="11">
        <v>2</v>
      </c>
      <c r="U71" s="11">
        <v>3</v>
      </c>
      <c r="V71" s="11">
        <v>61.10999999999999</v>
      </c>
      <c r="W71" s="13">
        <v>20</v>
      </c>
      <c r="X71" s="13">
        <v>30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196</v>
      </c>
      <c r="C72" s="10" t="s">
        <v>197</v>
      </c>
      <c r="D72" s="7" t="s">
        <v>57</v>
      </c>
      <c r="E72" s="7" t="s">
        <v>75</v>
      </c>
      <c r="F72" s="7" t="s">
        <v>167</v>
      </c>
      <c r="G72" s="7"/>
      <c r="H72" s="7" t="s">
        <v>48</v>
      </c>
      <c r="I72" s="11">
        <v>2</v>
      </c>
      <c r="J72" s="11">
        <v>3</v>
      </c>
      <c r="K72" s="11">
        <v>0</v>
      </c>
      <c r="L72" s="11">
        <v>3.850000000000001</v>
      </c>
      <c r="M72" s="11">
        <v>0.67</v>
      </c>
      <c r="N72" s="11">
        <v>0</v>
      </c>
      <c r="O72" s="11">
        <v>0.9500000000000002</v>
      </c>
      <c r="P72" s="11">
        <v>0.83</v>
      </c>
      <c r="Q72" s="11">
        <v>6.3</v>
      </c>
      <c r="R72" s="11">
        <v>48.08999999999998</v>
      </c>
      <c r="S72" s="11">
        <v>54.38999999999998</v>
      </c>
      <c r="T72" s="11">
        <v>2</v>
      </c>
      <c r="U72" s="11">
        <v>3</v>
      </c>
      <c r="V72" s="11">
        <v>49.38999999999998</v>
      </c>
      <c r="W72" s="13">
        <v>20</v>
      </c>
      <c r="X72" s="13">
        <v>30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198</v>
      </c>
      <c r="C73" s="10" t="s">
        <v>199</v>
      </c>
      <c r="D73" s="7" t="s">
        <v>51</v>
      </c>
      <c r="E73" s="7" t="s">
        <v>140</v>
      </c>
      <c r="F73" s="7" t="s">
        <v>167</v>
      </c>
      <c r="G73" s="7"/>
      <c r="H73" s="7" t="s">
        <v>48</v>
      </c>
      <c r="I73" s="11">
        <v>2</v>
      </c>
      <c r="J73" s="11">
        <v>3</v>
      </c>
      <c r="K73" s="11">
        <v>0</v>
      </c>
      <c r="L73" s="11">
        <v>6.099999999999998</v>
      </c>
      <c r="M73" s="11">
        <v>1.33</v>
      </c>
      <c r="N73" s="11">
        <v>0</v>
      </c>
      <c r="O73" s="11">
        <v>0.36</v>
      </c>
      <c r="P73" s="11">
        <v>0</v>
      </c>
      <c r="Q73" s="11">
        <v>7.789999999999997</v>
      </c>
      <c r="R73" s="11">
        <v>57.36999999999999</v>
      </c>
      <c r="S73" s="11">
        <v>65.15999999999998</v>
      </c>
      <c r="T73" s="11">
        <v>2</v>
      </c>
      <c r="U73" s="11">
        <v>3</v>
      </c>
      <c r="V73" s="11">
        <v>60.15999999999998</v>
      </c>
      <c r="W73" s="13">
        <v>20</v>
      </c>
      <c r="X73" s="13">
        <v>30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200</v>
      </c>
      <c r="C74" s="10" t="s">
        <v>201</v>
      </c>
      <c r="D74" s="7" t="s">
        <v>153</v>
      </c>
      <c r="E74" s="7" t="s">
        <v>140</v>
      </c>
      <c r="F74" s="7" t="s">
        <v>167</v>
      </c>
      <c r="G74" s="7"/>
      <c r="H74" s="7" t="s">
        <v>48</v>
      </c>
      <c r="I74" s="11">
        <v>2</v>
      </c>
      <c r="J74" s="11">
        <v>3</v>
      </c>
      <c r="K74" s="11">
        <v>0</v>
      </c>
      <c r="L74" s="11">
        <v>4.480000000000001</v>
      </c>
      <c r="M74" s="11">
        <v>0.5</v>
      </c>
      <c r="N74" s="11">
        <v>0</v>
      </c>
      <c r="O74" s="11">
        <v>0.86</v>
      </c>
      <c r="P74" s="11">
        <v>0</v>
      </c>
      <c r="Q74" s="11">
        <v>5.840000000000002</v>
      </c>
      <c r="R74" s="11">
        <v>51.82000000000001</v>
      </c>
      <c r="S74" s="11">
        <v>57.66000000000001</v>
      </c>
      <c r="T74" s="11">
        <v>2</v>
      </c>
      <c r="U74" s="11">
        <v>3</v>
      </c>
      <c r="V74" s="11">
        <v>52.66000000000001</v>
      </c>
      <c r="W74" s="13">
        <v>20</v>
      </c>
      <c r="X74" s="13">
        <v>30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202</v>
      </c>
      <c r="C75" s="10" t="s">
        <v>203</v>
      </c>
      <c r="D75" s="7" t="s">
        <v>156</v>
      </c>
      <c r="E75" s="7" t="s">
        <v>75</v>
      </c>
      <c r="F75" s="7" t="s">
        <v>167</v>
      </c>
      <c r="G75" s="7"/>
      <c r="H75" s="7" t="s">
        <v>204</v>
      </c>
      <c r="I75" s="11">
        <v>2</v>
      </c>
      <c r="J75" s="11">
        <v>3</v>
      </c>
      <c r="K75" s="11">
        <v>0.95</v>
      </c>
      <c r="L75" s="11">
        <v>3.39</v>
      </c>
      <c r="M75" s="11">
        <v>0.99</v>
      </c>
      <c r="N75" s="11">
        <v>0</v>
      </c>
      <c r="O75" s="11">
        <v>2.84</v>
      </c>
      <c r="P75" s="11">
        <v>0.8</v>
      </c>
      <c r="Q75" s="11">
        <v>8.969999999999999</v>
      </c>
      <c r="R75" s="11">
        <v>79.91999999999999</v>
      </c>
      <c r="S75" s="11">
        <v>88.88999999999999</v>
      </c>
      <c r="T75" s="11">
        <v>2</v>
      </c>
      <c r="U75" s="11">
        <v>3</v>
      </c>
      <c r="V75" s="11">
        <v>83.88999999999999</v>
      </c>
      <c r="W75" s="13">
        <v>20</v>
      </c>
      <c r="X75" s="13">
        <v>30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205</v>
      </c>
      <c r="C76" s="10" t="s">
        <v>206</v>
      </c>
      <c r="D76" s="7" t="s">
        <v>51</v>
      </c>
      <c r="E76" s="7" t="s">
        <v>140</v>
      </c>
      <c r="F76" s="7" t="s">
        <v>167</v>
      </c>
      <c r="G76" s="7"/>
      <c r="H76" s="7" t="s">
        <v>48</v>
      </c>
      <c r="I76" s="11">
        <v>2</v>
      </c>
      <c r="J76" s="11">
        <v>3</v>
      </c>
      <c r="K76" s="11">
        <v>0</v>
      </c>
      <c r="L76" s="11">
        <v>6.000000000000001</v>
      </c>
      <c r="M76" s="11">
        <v>1</v>
      </c>
      <c r="N76" s="11">
        <v>0</v>
      </c>
      <c r="O76" s="11">
        <v>0.8999999999999999</v>
      </c>
      <c r="P76" s="11">
        <v>0.83</v>
      </c>
      <c r="Q76" s="11">
        <v>8.729999999999999</v>
      </c>
      <c r="R76" s="11">
        <v>61.44</v>
      </c>
      <c r="S76" s="11">
        <v>70.17</v>
      </c>
      <c r="T76" s="11">
        <v>2</v>
      </c>
      <c r="U76" s="11">
        <v>3</v>
      </c>
      <c r="V76" s="11">
        <v>65.17</v>
      </c>
      <c r="W76" s="13">
        <v>20</v>
      </c>
      <c r="X76" s="13">
        <v>30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207</v>
      </c>
      <c r="C77" s="10" t="s">
        <v>208</v>
      </c>
      <c r="D77" s="7" t="s">
        <v>68</v>
      </c>
      <c r="E77" s="7" t="s">
        <v>140</v>
      </c>
      <c r="F77" s="7" t="s">
        <v>167</v>
      </c>
      <c r="G77" s="7"/>
      <c r="H77" s="7" t="s">
        <v>48</v>
      </c>
      <c r="I77" s="11">
        <v>2</v>
      </c>
      <c r="J77" s="11">
        <v>3</v>
      </c>
      <c r="K77" s="11">
        <v>0</v>
      </c>
      <c r="L77" s="11">
        <v>5.410000000000002</v>
      </c>
      <c r="M77" s="11">
        <v>0.17</v>
      </c>
      <c r="N77" s="11">
        <v>0</v>
      </c>
      <c r="O77" s="11">
        <v>0.83</v>
      </c>
      <c r="P77" s="11">
        <v>0.8</v>
      </c>
      <c r="Q77" s="11">
        <v>7.210000000000002</v>
      </c>
      <c r="R77" s="11">
        <v>38.74000000000001</v>
      </c>
      <c r="S77" s="11">
        <v>45.95000000000001</v>
      </c>
      <c r="T77" s="11">
        <v>2</v>
      </c>
      <c r="U77" s="11">
        <v>3</v>
      </c>
      <c r="V77" s="11">
        <v>40.95000000000001</v>
      </c>
      <c r="W77" s="13">
        <v>20</v>
      </c>
      <c r="X77" s="13">
        <v>30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209</v>
      </c>
      <c r="C78" s="10" t="s">
        <v>210</v>
      </c>
      <c r="D78" s="7" t="s">
        <v>68</v>
      </c>
      <c r="E78" s="7" t="s">
        <v>140</v>
      </c>
      <c r="F78" s="7" t="s">
        <v>167</v>
      </c>
      <c r="G78" s="7"/>
      <c r="H78" s="7" t="s">
        <v>94</v>
      </c>
      <c r="I78" s="11">
        <v>2</v>
      </c>
      <c r="J78" s="11">
        <v>3</v>
      </c>
      <c r="K78" s="11">
        <v>0.95</v>
      </c>
      <c r="L78" s="11">
        <v>7.180000000000003</v>
      </c>
      <c r="M78" s="11">
        <v>0.5</v>
      </c>
      <c r="N78" s="11">
        <v>0</v>
      </c>
      <c r="O78" s="11">
        <v>0.71</v>
      </c>
      <c r="P78" s="11">
        <v>0</v>
      </c>
      <c r="Q78" s="11">
        <v>9.340000000000002</v>
      </c>
      <c r="R78" s="11">
        <v>59.93000000000001</v>
      </c>
      <c r="S78" s="11">
        <v>69.27000000000001</v>
      </c>
      <c r="T78" s="11">
        <v>2</v>
      </c>
      <c r="U78" s="11">
        <v>3</v>
      </c>
      <c r="V78" s="11">
        <v>64.27000000000001</v>
      </c>
      <c r="W78" s="13">
        <v>20</v>
      </c>
      <c r="X78" s="13">
        <v>30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211</v>
      </c>
      <c r="C79" s="10" t="s">
        <v>212</v>
      </c>
      <c r="D79" s="7" t="s">
        <v>153</v>
      </c>
      <c r="E79" s="7" t="s">
        <v>140</v>
      </c>
      <c r="F79" s="7" t="s">
        <v>167</v>
      </c>
      <c r="G79" s="7"/>
      <c r="H79" s="7" t="s">
        <v>65</v>
      </c>
      <c r="I79" s="11">
        <v>2</v>
      </c>
      <c r="J79" s="11">
        <v>3</v>
      </c>
      <c r="K79" s="11">
        <v>0.95</v>
      </c>
      <c r="L79" s="11">
        <v>4.450000000000002</v>
      </c>
      <c r="M79" s="11">
        <v>0.33</v>
      </c>
      <c r="N79" s="11">
        <v>0</v>
      </c>
      <c r="O79" s="11">
        <v>0.46</v>
      </c>
      <c r="P79" s="11">
        <v>0.8</v>
      </c>
      <c r="Q79" s="11">
        <v>6.990000000000003</v>
      </c>
      <c r="R79" s="11">
        <v>49.63</v>
      </c>
      <c r="S79" s="11">
        <v>56.62</v>
      </c>
      <c r="T79" s="11">
        <v>2</v>
      </c>
      <c r="U79" s="11">
        <v>3</v>
      </c>
      <c r="V79" s="11">
        <v>51.62</v>
      </c>
      <c r="W79" s="13">
        <v>20</v>
      </c>
      <c r="X79" s="13">
        <v>30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213</v>
      </c>
      <c r="C80" s="10" t="s">
        <v>214</v>
      </c>
      <c r="D80" s="7" t="s">
        <v>68</v>
      </c>
      <c r="E80" s="7" t="s">
        <v>75</v>
      </c>
      <c r="F80" s="7" t="s">
        <v>167</v>
      </c>
      <c r="G80" s="7"/>
      <c r="H80" s="7" t="s">
        <v>48</v>
      </c>
      <c r="I80" s="11">
        <v>2</v>
      </c>
      <c r="J80" s="11">
        <v>3</v>
      </c>
      <c r="K80" s="11">
        <v>0</v>
      </c>
      <c r="L80" s="11">
        <v>5.960000000000003</v>
      </c>
      <c r="M80" s="11">
        <v>0.67</v>
      </c>
      <c r="N80" s="11">
        <v>0</v>
      </c>
      <c r="O80" s="11">
        <v>0.53</v>
      </c>
      <c r="P80" s="11">
        <v>0</v>
      </c>
      <c r="Q80" s="11">
        <v>7.160000000000003</v>
      </c>
      <c r="R80" s="11">
        <v>33.03000000000001</v>
      </c>
      <c r="S80" s="11">
        <v>40.19000000000001</v>
      </c>
      <c r="T80" s="11">
        <v>2</v>
      </c>
      <c r="U80" s="11">
        <v>3</v>
      </c>
      <c r="V80" s="11">
        <v>35.19000000000001</v>
      </c>
      <c r="W80" s="13">
        <v>20</v>
      </c>
      <c r="X80" s="13">
        <v>30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215</v>
      </c>
      <c r="C81" s="10" t="s">
        <v>216</v>
      </c>
      <c r="D81" s="7" t="s">
        <v>68</v>
      </c>
      <c r="E81" s="7" t="s">
        <v>140</v>
      </c>
      <c r="F81" s="7" t="s">
        <v>167</v>
      </c>
      <c r="G81" s="7"/>
      <c r="H81" s="7" t="s">
        <v>217</v>
      </c>
      <c r="I81" s="11">
        <v>2</v>
      </c>
      <c r="J81" s="11">
        <v>3</v>
      </c>
      <c r="K81" s="11">
        <v>1</v>
      </c>
      <c r="L81" s="11">
        <v>4.790000000000001</v>
      </c>
      <c r="M81" s="11">
        <v>0</v>
      </c>
      <c r="N81" s="11">
        <v>0</v>
      </c>
      <c r="O81" s="11">
        <v>0.18</v>
      </c>
      <c r="P81" s="11">
        <v>1.6</v>
      </c>
      <c r="Q81" s="11">
        <v>7.57</v>
      </c>
      <c r="R81" s="11">
        <v>43.84</v>
      </c>
      <c r="S81" s="11">
        <v>51.41</v>
      </c>
      <c r="T81" s="11">
        <v>2</v>
      </c>
      <c r="U81" s="11">
        <v>3</v>
      </c>
      <c r="V81" s="11">
        <v>46.41</v>
      </c>
      <c r="W81" s="13">
        <v>20</v>
      </c>
      <c r="X81" s="13">
        <v>30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218</v>
      </c>
      <c r="C82" s="10" t="s">
        <v>219</v>
      </c>
      <c r="D82" s="7" t="s">
        <v>51</v>
      </c>
      <c r="E82" s="7" t="s">
        <v>61</v>
      </c>
      <c r="F82" s="7" t="s">
        <v>220</v>
      </c>
      <c r="G82" s="7"/>
      <c r="H82" s="7" t="s">
        <v>48</v>
      </c>
      <c r="I82" s="11">
        <v>2</v>
      </c>
      <c r="J82" s="11">
        <v>3</v>
      </c>
      <c r="K82" s="11">
        <v>0</v>
      </c>
      <c r="L82" s="11">
        <v>6.529999999999998</v>
      </c>
      <c r="M82" s="11">
        <v>0.67</v>
      </c>
      <c r="N82" s="11">
        <v>0</v>
      </c>
      <c r="O82" s="11">
        <v>0.86</v>
      </c>
      <c r="P82" s="11">
        <v>0</v>
      </c>
      <c r="Q82" s="11">
        <v>8.059999999999995</v>
      </c>
      <c r="R82" s="11">
        <v>62.10999999999999</v>
      </c>
      <c r="S82" s="11">
        <v>70.16999999999999</v>
      </c>
      <c r="T82" s="11">
        <v>2</v>
      </c>
      <c r="U82" s="11">
        <v>3</v>
      </c>
      <c r="V82" s="11">
        <v>65.16999999999999</v>
      </c>
      <c r="W82" s="13">
        <v>20</v>
      </c>
      <c r="X82" s="13">
        <v>30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221</v>
      </c>
      <c r="C83" s="10" t="s">
        <v>222</v>
      </c>
      <c r="D83" s="7" t="s">
        <v>40</v>
      </c>
      <c r="E83" s="7" t="s">
        <v>75</v>
      </c>
      <c r="F83" s="7" t="s">
        <v>167</v>
      </c>
      <c r="G83" s="7"/>
      <c r="H83" s="7" t="s">
        <v>48</v>
      </c>
      <c r="I83" s="11">
        <v>2</v>
      </c>
      <c r="J83" s="11">
        <v>3</v>
      </c>
      <c r="K83" s="11">
        <v>0</v>
      </c>
      <c r="L83" s="11">
        <v>3.340000000000001</v>
      </c>
      <c r="M83" s="11">
        <v>0</v>
      </c>
      <c r="N83" s="11">
        <v>0</v>
      </c>
      <c r="O83" s="11">
        <v>0.62</v>
      </c>
      <c r="P83" s="11">
        <v>0</v>
      </c>
      <c r="Q83" s="11">
        <v>3.960000000000001</v>
      </c>
      <c r="R83" s="11">
        <v>25.85</v>
      </c>
      <c r="S83" s="11">
        <v>29.81</v>
      </c>
      <c r="T83" s="11">
        <v>2</v>
      </c>
      <c r="U83" s="11">
        <v>3</v>
      </c>
      <c r="V83" s="11">
        <v>24.81</v>
      </c>
      <c r="W83" s="13">
        <v>20</v>
      </c>
      <c r="X83" s="13">
        <v>30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223</v>
      </c>
      <c r="C84" s="10" t="s">
        <v>224</v>
      </c>
      <c r="D84" s="7" t="s">
        <v>40</v>
      </c>
      <c r="E84" s="7" t="s">
        <v>140</v>
      </c>
      <c r="F84" s="7" t="s">
        <v>167</v>
      </c>
      <c r="G84" s="7"/>
      <c r="H84" s="7" t="s">
        <v>225</v>
      </c>
      <c r="I84" s="11">
        <v>2</v>
      </c>
      <c r="J84" s="11">
        <v>3</v>
      </c>
      <c r="K84" s="11">
        <v>1</v>
      </c>
      <c r="L84" s="11">
        <v>5.039999999999998</v>
      </c>
      <c r="M84" s="11">
        <v>1.17</v>
      </c>
      <c r="N84" s="11">
        <v>0</v>
      </c>
      <c r="O84" s="11">
        <v>0.8999999999999999</v>
      </c>
      <c r="P84" s="11">
        <v>0</v>
      </c>
      <c r="Q84" s="11">
        <v>8.109999999999996</v>
      </c>
      <c r="R84" s="11">
        <v>64.08999999999997</v>
      </c>
      <c r="S84" s="11">
        <v>72.19999999999997</v>
      </c>
      <c r="T84" s="11">
        <v>2</v>
      </c>
      <c r="U84" s="11">
        <v>3</v>
      </c>
      <c r="V84" s="11">
        <v>67.19999999999997</v>
      </c>
      <c r="W84" s="13">
        <v>20</v>
      </c>
      <c r="X84" s="13">
        <v>30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226</v>
      </c>
      <c r="C85" s="10" t="s">
        <v>227</v>
      </c>
      <c r="D85" s="7" t="s">
        <v>68</v>
      </c>
      <c r="E85" s="7" t="s">
        <v>140</v>
      </c>
      <c r="F85" s="7" t="s">
        <v>167</v>
      </c>
      <c r="G85" s="7"/>
      <c r="H85" s="7" t="s">
        <v>48</v>
      </c>
      <c r="I85" s="11">
        <v>2</v>
      </c>
      <c r="J85" s="11">
        <v>3</v>
      </c>
      <c r="K85" s="11">
        <v>0</v>
      </c>
      <c r="L85" s="11">
        <v>6.630000000000003</v>
      </c>
      <c r="M85" s="11">
        <v>0.17</v>
      </c>
      <c r="N85" s="11">
        <v>0</v>
      </c>
      <c r="O85" s="11">
        <v>0.22</v>
      </c>
      <c r="P85" s="11">
        <v>0</v>
      </c>
      <c r="Q85" s="11">
        <v>7.020000000000002</v>
      </c>
      <c r="R85" s="11">
        <v>22.75000000000001</v>
      </c>
      <c r="S85" s="11">
        <v>29.77000000000001</v>
      </c>
      <c r="T85" s="11">
        <v>2</v>
      </c>
      <c r="U85" s="11">
        <v>3</v>
      </c>
      <c r="V85" s="11">
        <v>24.77000000000001</v>
      </c>
      <c r="W85" s="13">
        <v>20</v>
      </c>
      <c r="X85" s="13">
        <v>30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228</v>
      </c>
      <c r="C86" s="10" t="s">
        <v>229</v>
      </c>
      <c r="D86" s="7" t="s">
        <v>68</v>
      </c>
      <c r="E86" s="7" t="s">
        <v>75</v>
      </c>
      <c r="F86" s="7" t="s">
        <v>167</v>
      </c>
      <c r="G86" s="7"/>
      <c r="H86" s="7" t="s">
        <v>65</v>
      </c>
      <c r="I86" s="11">
        <v>2</v>
      </c>
      <c r="J86" s="11">
        <v>3</v>
      </c>
      <c r="K86" s="11">
        <v>0.95</v>
      </c>
      <c r="L86" s="11">
        <v>9.970000000000001</v>
      </c>
      <c r="M86" s="11">
        <v>0.33</v>
      </c>
      <c r="N86" s="11">
        <v>0</v>
      </c>
      <c r="O86" s="11">
        <v>0.52</v>
      </c>
      <c r="P86" s="11">
        <v>0.8</v>
      </c>
      <c r="Q86" s="11">
        <v>12.57</v>
      </c>
      <c r="R86" s="11">
        <v>92.80999999999996</v>
      </c>
      <c r="S86" s="11">
        <v>105.38</v>
      </c>
      <c r="T86" s="11">
        <v>2</v>
      </c>
      <c r="U86" s="11">
        <v>3</v>
      </c>
      <c r="V86" s="11">
        <v>100.38</v>
      </c>
      <c r="W86" s="13">
        <v>20</v>
      </c>
      <c r="X86" s="13">
        <v>30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230</v>
      </c>
      <c r="C87" s="10" t="s">
        <v>231</v>
      </c>
      <c r="D87" s="7" t="s">
        <v>51</v>
      </c>
      <c r="E87" s="7" t="s">
        <v>75</v>
      </c>
      <c r="F87" s="7" t="s">
        <v>167</v>
      </c>
      <c r="G87" s="7"/>
      <c r="H87" s="7" t="s">
        <v>48</v>
      </c>
      <c r="I87" s="11">
        <v>2</v>
      </c>
      <c r="J87" s="11">
        <v>3</v>
      </c>
      <c r="K87" s="11">
        <v>0</v>
      </c>
      <c r="L87" s="11">
        <v>6.959999999999997</v>
      </c>
      <c r="M87" s="11">
        <v>0.5</v>
      </c>
      <c r="N87" s="11">
        <v>0</v>
      </c>
      <c r="O87" s="11">
        <v>0.54</v>
      </c>
      <c r="P87" s="11">
        <v>0.8</v>
      </c>
      <c r="Q87" s="11">
        <v>8.799999999999997</v>
      </c>
      <c r="R87" s="11">
        <v>52.99999999999999</v>
      </c>
      <c r="S87" s="11">
        <v>61.79999999999999</v>
      </c>
      <c r="T87" s="11">
        <v>2</v>
      </c>
      <c r="U87" s="11">
        <v>3</v>
      </c>
      <c r="V87" s="11">
        <v>56.79999999999999</v>
      </c>
      <c r="W87" s="13">
        <v>20</v>
      </c>
      <c r="X87" s="13">
        <v>30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232</v>
      </c>
      <c r="C88" s="10" t="s">
        <v>233</v>
      </c>
      <c r="D88" s="7" t="s">
        <v>163</v>
      </c>
      <c r="E88" s="7" t="s">
        <v>140</v>
      </c>
      <c r="F88" s="7" t="s">
        <v>167</v>
      </c>
      <c r="G88" s="7"/>
      <c r="H88" s="7" t="s">
        <v>85</v>
      </c>
      <c r="I88" s="11">
        <v>2</v>
      </c>
      <c r="J88" s="11">
        <v>3</v>
      </c>
      <c r="K88" s="11">
        <v>0.95</v>
      </c>
      <c r="L88" s="11">
        <v>5.150000000000001</v>
      </c>
      <c r="M88" s="11">
        <v>0</v>
      </c>
      <c r="N88" s="11">
        <v>0</v>
      </c>
      <c r="O88" s="11">
        <v>0.32</v>
      </c>
      <c r="P88" s="11">
        <v>1.63</v>
      </c>
      <c r="Q88" s="11">
        <v>8.050000000000001</v>
      </c>
      <c r="R88" s="11">
        <v>69.77000000000001</v>
      </c>
      <c r="S88" s="11">
        <v>77.82000000000001</v>
      </c>
      <c r="T88" s="11">
        <v>2</v>
      </c>
      <c r="U88" s="11">
        <v>3</v>
      </c>
      <c r="V88" s="11">
        <v>72.82000000000001</v>
      </c>
      <c r="W88" s="13">
        <v>20</v>
      </c>
      <c r="X88" s="13">
        <v>30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234</v>
      </c>
      <c r="C89" s="10" t="s">
        <v>235</v>
      </c>
      <c r="D89" s="7" t="s">
        <v>68</v>
      </c>
      <c r="E89" s="7" t="s">
        <v>140</v>
      </c>
      <c r="F89" s="7" t="s">
        <v>167</v>
      </c>
      <c r="G89" s="7"/>
      <c r="H89" s="7" t="s">
        <v>65</v>
      </c>
      <c r="I89" s="11">
        <v>2</v>
      </c>
      <c r="J89" s="11">
        <v>3</v>
      </c>
      <c r="K89" s="11">
        <v>0.95</v>
      </c>
      <c r="L89" s="11">
        <v>5.790000000000002</v>
      </c>
      <c r="M89" s="11">
        <v>0</v>
      </c>
      <c r="N89" s="11">
        <v>0</v>
      </c>
      <c r="O89" s="11">
        <v>0.24</v>
      </c>
      <c r="P89" s="11">
        <v>1</v>
      </c>
      <c r="Q89" s="11">
        <v>7.980000000000001</v>
      </c>
      <c r="R89" s="11">
        <v>45.41</v>
      </c>
      <c r="S89" s="11">
        <v>53.39000000000001</v>
      </c>
      <c r="T89" s="11">
        <v>2</v>
      </c>
      <c r="U89" s="11">
        <v>3</v>
      </c>
      <c r="V89" s="11">
        <v>48.39000000000001</v>
      </c>
      <c r="W89" s="13">
        <v>20</v>
      </c>
      <c r="X89" s="13">
        <v>30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236</v>
      </c>
      <c r="C90" s="10" t="s">
        <v>237</v>
      </c>
      <c r="D90" s="7" t="s">
        <v>68</v>
      </c>
      <c r="E90" s="7" t="s">
        <v>75</v>
      </c>
      <c r="F90" s="7" t="s">
        <v>167</v>
      </c>
      <c r="G90" s="7"/>
      <c r="H90" s="7" t="s">
        <v>48</v>
      </c>
      <c r="I90" s="11">
        <v>2</v>
      </c>
      <c r="J90" s="11">
        <v>3</v>
      </c>
      <c r="K90" s="11">
        <v>0</v>
      </c>
      <c r="L90" s="11">
        <v>3.320000000000001</v>
      </c>
      <c r="M90" s="11">
        <v>0.17</v>
      </c>
      <c r="N90" s="11">
        <v>0</v>
      </c>
      <c r="O90" s="11">
        <v>0.44</v>
      </c>
      <c r="P90" s="11">
        <v>0</v>
      </c>
      <c r="Q90" s="11">
        <v>3.930000000000001</v>
      </c>
      <c r="R90" s="11">
        <v>23.42</v>
      </c>
      <c r="S90" s="11">
        <v>27.35</v>
      </c>
      <c r="T90" s="11">
        <v>2</v>
      </c>
      <c r="U90" s="11">
        <v>3</v>
      </c>
      <c r="V90" s="11">
        <v>22.35</v>
      </c>
      <c r="W90" s="13">
        <v>20</v>
      </c>
      <c r="X90" s="13">
        <v>30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238</v>
      </c>
      <c r="C91" s="10" t="s">
        <v>239</v>
      </c>
      <c r="D91" s="7" t="s">
        <v>121</v>
      </c>
      <c r="E91" s="7" t="s">
        <v>75</v>
      </c>
      <c r="F91" s="7" t="s">
        <v>167</v>
      </c>
      <c r="G91" s="7"/>
      <c r="H91" s="7" t="s">
        <v>65</v>
      </c>
      <c r="I91" s="11">
        <v>2</v>
      </c>
      <c r="J91" s="11">
        <v>3</v>
      </c>
      <c r="K91" s="11">
        <v>0.95</v>
      </c>
      <c r="L91" s="11">
        <v>2.320000000000001</v>
      </c>
      <c r="M91" s="11">
        <v>0.5</v>
      </c>
      <c r="N91" s="11">
        <v>0</v>
      </c>
      <c r="O91" s="11">
        <v>0.8300000000000001</v>
      </c>
      <c r="P91" s="11">
        <v>0.8</v>
      </c>
      <c r="Q91" s="11">
        <v>5.400000000000002</v>
      </c>
      <c r="R91" s="11">
        <v>43.8</v>
      </c>
      <c r="S91" s="11">
        <v>49.2</v>
      </c>
      <c r="T91" s="11">
        <v>2</v>
      </c>
      <c r="U91" s="11">
        <v>3</v>
      </c>
      <c r="V91" s="11">
        <v>44.2</v>
      </c>
      <c r="W91" s="13">
        <v>20</v>
      </c>
      <c r="X91" s="13">
        <v>30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240</v>
      </c>
      <c r="C92" s="10" t="s">
        <v>241</v>
      </c>
      <c r="D92" s="7" t="s">
        <v>40</v>
      </c>
      <c r="E92" s="7" t="s">
        <v>140</v>
      </c>
      <c r="F92" s="7" t="s">
        <v>167</v>
      </c>
      <c r="G92" s="7"/>
      <c r="H92" s="7" t="s">
        <v>65</v>
      </c>
      <c r="I92" s="11">
        <v>2</v>
      </c>
      <c r="J92" s="11">
        <v>3</v>
      </c>
      <c r="K92" s="11">
        <v>0.95</v>
      </c>
      <c r="L92" s="11">
        <v>3.81</v>
      </c>
      <c r="M92" s="11">
        <v>0</v>
      </c>
      <c r="N92" s="11">
        <v>0</v>
      </c>
      <c r="O92" s="11">
        <v>1.04</v>
      </c>
      <c r="P92" s="11">
        <v>0.8</v>
      </c>
      <c r="Q92" s="11">
        <v>6.599999999999999</v>
      </c>
      <c r="R92" s="11">
        <v>60.81999999999998</v>
      </c>
      <c r="S92" s="11">
        <v>67.41999999999997</v>
      </c>
      <c r="T92" s="11">
        <v>2</v>
      </c>
      <c r="U92" s="11">
        <v>3</v>
      </c>
      <c r="V92" s="11">
        <v>62.41999999999997</v>
      </c>
      <c r="W92" s="13">
        <v>20</v>
      </c>
      <c r="X92" s="13">
        <v>30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242</v>
      </c>
      <c r="C93" s="10" t="s">
        <v>243</v>
      </c>
      <c r="D93" s="7" t="s">
        <v>121</v>
      </c>
      <c r="E93" s="7" t="s">
        <v>75</v>
      </c>
      <c r="F93" s="7" t="s">
        <v>167</v>
      </c>
      <c r="G93" s="7"/>
      <c r="H93" s="7" t="s">
        <v>204</v>
      </c>
      <c r="I93" s="11">
        <v>2</v>
      </c>
      <c r="J93" s="11">
        <v>3</v>
      </c>
      <c r="K93" s="11">
        <v>0.95</v>
      </c>
      <c r="L93" s="11">
        <v>3.170000000000002</v>
      </c>
      <c r="M93" s="11">
        <v>0.17</v>
      </c>
      <c r="N93" s="11">
        <v>0</v>
      </c>
      <c r="O93" s="11">
        <v>0.71</v>
      </c>
      <c r="P93" s="11">
        <v>0.8</v>
      </c>
      <c r="Q93" s="11">
        <v>5.800000000000002</v>
      </c>
      <c r="R93" s="11">
        <v>41.93</v>
      </c>
      <c r="S93" s="11">
        <v>47.73</v>
      </c>
      <c r="T93" s="11">
        <v>2</v>
      </c>
      <c r="U93" s="11">
        <v>3</v>
      </c>
      <c r="V93" s="11">
        <v>42.73</v>
      </c>
      <c r="W93" s="13">
        <v>20</v>
      </c>
      <c r="X93" s="13">
        <v>30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244</v>
      </c>
      <c r="C94" s="10" t="s">
        <v>245</v>
      </c>
      <c r="D94" s="7" t="s">
        <v>46</v>
      </c>
      <c r="E94" s="7" t="s">
        <v>182</v>
      </c>
      <c r="F94" s="7" t="s">
        <v>167</v>
      </c>
      <c r="G94" s="7"/>
      <c r="H94" s="7" t="s">
        <v>217</v>
      </c>
      <c r="I94" s="11">
        <v>2</v>
      </c>
      <c r="J94" s="11">
        <v>3</v>
      </c>
      <c r="K94" s="11">
        <v>1</v>
      </c>
      <c r="L94" s="11">
        <v>5.989999999999997</v>
      </c>
      <c r="M94" s="11">
        <v>0.33</v>
      </c>
      <c r="N94" s="11">
        <v>0</v>
      </c>
      <c r="O94" s="11">
        <v>4.079999999999999</v>
      </c>
      <c r="P94" s="11">
        <v>1.6</v>
      </c>
      <c r="Q94" s="11">
        <v>12.99999999999999</v>
      </c>
      <c r="R94" s="11">
        <v>96.48</v>
      </c>
      <c r="S94" s="11">
        <v>109.48</v>
      </c>
      <c r="T94" s="11">
        <v>2</v>
      </c>
      <c r="U94" s="11">
        <v>3</v>
      </c>
      <c r="V94" s="11">
        <v>104.48</v>
      </c>
      <c r="W94" s="13">
        <v>20</v>
      </c>
      <c r="X94" s="13">
        <v>30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246</v>
      </c>
      <c r="C95" s="10" t="s">
        <v>247</v>
      </c>
      <c r="D95" s="7" t="s">
        <v>121</v>
      </c>
      <c r="E95" s="7" t="s">
        <v>140</v>
      </c>
      <c r="F95" s="7" t="s">
        <v>167</v>
      </c>
      <c r="G95" s="7"/>
      <c r="H95" s="7" t="s">
        <v>48</v>
      </c>
      <c r="I95" s="11">
        <v>2</v>
      </c>
      <c r="J95" s="11">
        <v>3</v>
      </c>
      <c r="K95" s="11">
        <v>0</v>
      </c>
      <c r="L95" s="11">
        <v>3.130000000000001</v>
      </c>
      <c r="M95" s="11">
        <v>0.8300000000000001</v>
      </c>
      <c r="N95" s="11">
        <v>0</v>
      </c>
      <c r="O95" s="11">
        <v>0.9199999999999999</v>
      </c>
      <c r="P95" s="11">
        <v>0.8</v>
      </c>
      <c r="Q95" s="11">
        <v>5.680000000000001</v>
      </c>
      <c r="R95" s="11">
        <v>37.76000000000001</v>
      </c>
      <c r="S95" s="11">
        <v>43.44000000000001</v>
      </c>
      <c r="T95" s="11">
        <v>2</v>
      </c>
      <c r="U95" s="11">
        <v>3</v>
      </c>
      <c r="V95" s="11">
        <v>38.44000000000001</v>
      </c>
      <c r="W95" s="13">
        <v>20</v>
      </c>
      <c r="X95" s="13">
        <v>30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248</v>
      </c>
      <c r="C96" s="10" t="s">
        <v>249</v>
      </c>
      <c r="D96" s="7" t="s">
        <v>84</v>
      </c>
      <c r="E96" s="7" t="s">
        <v>140</v>
      </c>
      <c r="F96" s="7" t="s">
        <v>167</v>
      </c>
      <c r="G96" s="7"/>
      <c r="H96" s="7" t="s">
        <v>48</v>
      </c>
      <c r="I96" s="11">
        <v>2</v>
      </c>
      <c r="J96" s="11">
        <v>3</v>
      </c>
      <c r="K96" s="11">
        <v>0</v>
      </c>
      <c r="L96" s="11">
        <v>2.750000000000002</v>
      </c>
      <c r="M96" s="11">
        <v>0.5</v>
      </c>
      <c r="N96" s="11">
        <v>0</v>
      </c>
      <c r="O96" s="11">
        <v>0.18</v>
      </c>
      <c r="P96" s="11">
        <v>0.83</v>
      </c>
      <c r="Q96" s="11">
        <v>4.260000000000002</v>
      </c>
      <c r="R96" s="11">
        <v>26.27000000000001</v>
      </c>
      <c r="S96" s="11">
        <v>30.53000000000002</v>
      </c>
      <c r="T96" s="11">
        <v>2</v>
      </c>
      <c r="U96" s="11">
        <v>3</v>
      </c>
      <c r="V96" s="11">
        <v>25.53000000000002</v>
      </c>
      <c r="W96" s="13">
        <v>20</v>
      </c>
      <c r="X96" s="13">
        <v>30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250</v>
      </c>
      <c r="C97" s="10" t="s">
        <v>251</v>
      </c>
      <c r="D97" s="7" t="s">
        <v>121</v>
      </c>
      <c r="E97" s="7" t="s">
        <v>75</v>
      </c>
      <c r="F97" s="7" t="s">
        <v>167</v>
      </c>
      <c r="G97" s="7"/>
      <c r="H97" s="7" t="s">
        <v>48</v>
      </c>
      <c r="I97" s="11">
        <v>2</v>
      </c>
      <c r="J97" s="11">
        <v>3</v>
      </c>
      <c r="K97" s="11">
        <v>0</v>
      </c>
      <c r="L97" s="11">
        <v>5.300000000000002</v>
      </c>
      <c r="M97" s="11">
        <v>0.5</v>
      </c>
      <c r="N97" s="11">
        <v>0</v>
      </c>
      <c r="O97" s="11">
        <v>0.18</v>
      </c>
      <c r="P97" s="11">
        <v>0.8</v>
      </c>
      <c r="Q97" s="11">
        <v>6.780000000000002</v>
      </c>
      <c r="R97" s="11">
        <v>56.62999999999998</v>
      </c>
      <c r="S97" s="11">
        <v>63.40999999999998</v>
      </c>
      <c r="T97" s="11">
        <v>2</v>
      </c>
      <c r="U97" s="11">
        <v>3</v>
      </c>
      <c r="V97" s="11">
        <v>58.40999999999998</v>
      </c>
      <c r="W97" s="13">
        <v>20</v>
      </c>
      <c r="X97" s="13">
        <v>30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252</v>
      </c>
      <c r="C98" s="10" t="s">
        <v>253</v>
      </c>
      <c r="D98" s="7" t="s">
        <v>156</v>
      </c>
      <c r="E98" s="7" t="s">
        <v>75</v>
      </c>
      <c r="F98" s="7" t="s">
        <v>167</v>
      </c>
      <c r="G98" s="7"/>
      <c r="H98" s="7" t="s">
        <v>48</v>
      </c>
      <c r="I98" s="11">
        <v>2</v>
      </c>
      <c r="J98" s="11">
        <v>3</v>
      </c>
      <c r="K98" s="11">
        <v>0</v>
      </c>
      <c r="L98" s="11">
        <v>6.070000000000003</v>
      </c>
      <c r="M98" s="11">
        <v>0.5</v>
      </c>
      <c r="N98" s="11">
        <v>0</v>
      </c>
      <c r="O98" s="11">
        <v>1.53</v>
      </c>
      <c r="P98" s="11">
        <v>0.83</v>
      </c>
      <c r="Q98" s="11">
        <v>8.930000000000003</v>
      </c>
      <c r="R98" s="11">
        <v>52.48999999999999</v>
      </c>
      <c r="S98" s="11">
        <v>61.42</v>
      </c>
      <c r="T98" s="11">
        <v>2</v>
      </c>
      <c r="U98" s="11">
        <v>3</v>
      </c>
      <c r="V98" s="11">
        <v>56.42</v>
      </c>
      <c r="W98" s="13">
        <v>20</v>
      </c>
      <c r="X98" s="13">
        <v>30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254</v>
      </c>
      <c r="C99" s="10" t="s">
        <v>255</v>
      </c>
      <c r="D99" s="7" t="s">
        <v>57</v>
      </c>
      <c r="E99" s="7" t="s">
        <v>140</v>
      </c>
      <c r="F99" s="7" t="s">
        <v>167</v>
      </c>
      <c r="G99" s="7"/>
      <c r="H99" s="7" t="s">
        <v>173</v>
      </c>
      <c r="I99" s="11">
        <v>2</v>
      </c>
      <c r="J99" s="11">
        <v>3</v>
      </c>
      <c r="K99" s="11">
        <v>1</v>
      </c>
      <c r="L99" s="11">
        <v>4.72</v>
      </c>
      <c r="M99" s="11">
        <v>0.67</v>
      </c>
      <c r="N99" s="11">
        <v>0</v>
      </c>
      <c r="O99" s="11">
        <v>0.91</v>
      </c>
      <c r="P99" s="11">
        <v>2.43</v>
      </c>
      <c r="Q99" s="11">
        <v>9.729999999999999</v>
      </c>
      <c r="R99" s="11">
        <v>72.42999999999999</v>
      </c>
      <c r="S99" s="11">
        <v>82.16</v>
      </c>
      <c r="T99" s="11">
        <v>2</v>
      </c>
      <c r="U99" s="11">
        <v>3</v>
      </c>
      <c r="V99" s="11">
        <v>77.16</v>
      </c>
      <c r="W99" s="13">
        <v>20</v>
      </c>
      <c r="X99" s="13">
        <v>30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256</v>
      </c>
      <c r="C100" s="10" t="s">
        <v>257</v>
      </c>
      <c r="D100" s="7" t="s">
        <v>40</v>
      </c>
      <c r="E100" s="7" t="s">
        <v>75</v>
      </c>
      <c r="F100" s="7" t="s">
        <v>167</v>
      </c>
      <c r="G100" s="7"/>
      <c r="H100" s="7" t="s">
        <v>48</v>
      </c>
      <c r="I100" s="11">
        <v>2</v>
      </c>
      <c r="J100" s="11">
        <v>3</v>
      </c>
      <c r="K100" s="11">
        <v>0</v>
      </c>
      <c r="L100" s="11">
        <v>3.830000000000002</v>
      </c>
      <c r="M100" s="11">
        <v>0.33</v>
      </c>
      <c r="N100" s="11">
        <v>0</v>
      </c>
      <c r="O100" s="11">
        <v>2.24</v>
      </c>
      <c r="P100" s="11">
        <v>1.6</v>
      </c>
      <c r="Q100" s="11">
        <v>7.999999999999998</v>
      </c>
      <c r="R100" s="11">
        <v>54.45999999999999</v>
      </c>
      <c r="S100" s="11">
        <v>62.45999999999999</v>
      </c>
      <c r="T100" s="11">
        <v>2</v>
      </c>
      <c r="U100" s="11">
        <v>3</v>
      </c>
      <c r="V100" s="11">
        <v>57.45999999999999</v>
      </c>
      <c r="W100" s="13">
        <v>20</v>
      </c>
      <c r="X100" s="13">
        <v>30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258</v>
      </c>
      <c r="C101" s="10" t="s">
        <v>259</v>
      </c>
      <c r="D101" s="7" t="s">
        <v>40</v>
      </c>
      <c r="E101" s="7" t="s">
        <v>75</v>
      </c>
      <c r="F101" s="7" t="s">
        <v>167</v>
      </c>
      <c r="G101" s="7"/>
      <c r="H101" s="7" t="s">
        <v>48</v>
      </c>
      <c r="I101" s="11">
        <v>2</v>
      </c>
      <c r="J101" s="11">
        <v>3</v>
      </c>
      <c r="K101" s="11">
        <v>0</v>
      </c>
      <c r="L101" s="11">
        <v>6.15</v>
      </c>
      <c r="M101" s="11">
        <v>0</v>
      </c>
      <c r="N101" s="11">
        <v>0</v>
      </c>
      <c r="O101" s="11">
        <v>0.61</v>
      </c>
      <c r="P101" s="11">
        <v>0</v>
      </c>
      <c r="Q101" s="11">
        <v>6.760000000000001</v>
      </c>
      <c r="R101" s="11">
        <v>43.95</v>
      </c>
      <c r="S101" s="11">
        <v>50.71</v>
      </c>
      <c r="T101" s="11">
        <v>2</v>
      </c>
      <c r="U101" s="11">
        <v>3</v>
      </c>
      <c r="V101" s="11">
        <v>45.71</v>
      </c>
      <c r="W101" s="13">
        <v>20</v>
      </c>
      <c r="X101" s="13">
        <v>30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260</v>
      </c>
      <c r="C102" s="10" t="s">
        <v>261</v>
      </c>
      <c r="D102" s="7" t="s">
        <v>156</v>
      </c>
      <c r="E102" s="7" t="s">
        <v>75</v>
      </c>
      <c r="F102" s="7" t="s">
        <v>167</v>
      </c>
      <c r="G102" s="7"/>
      <c r="H102" s="7" t="s">
        <v>48</v>
      </c>
      <c r="I102" s="11">
        <v>2</v>
      </c>
      <c r="J102" s="11">
        <v>3</v>
      </c>
      <c r="K102" s="11">
        <v>0</v>
      </c>
      <c r="L102" s="11">
        <v>4.780000000000001</v>
      </c>
      <c r="M102" s="11">
        <v>0.8300000000000001</v>
      </c>
      <c r="N102" s="11">
        <v>0</v>
      </c>
      <c r="O102" s="11">
        <v>1.32</v>
      </c>
      <c r="P102" s="11">
        <v>0.34</v>
      </c>
      <c r="Q102" s="11">
        <v>7.27</v>
      </c>
      <c r="R102" s="11">
        <v>52.50999999999999</v>
      </c>
      <c r="S102" s="11">
        <v>59.77999999999999</v>
      </c>
      <c r="T102" s="11">
        <v>2</v>
      </c>
      <c r="U102" s="11">
        <v>3</v>
      </c>
      <c r="V102" s="11">
        <v>54.77999999999999</v>
      </c>
      <c r="W102" s="13">
        <v>20</v>
      </c>
      <c r="X102" s="13">
        <v>30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262</v>
      </c>
      <c r="C103" s="10" t="s">
        <v>263</v>
      </c>
      <c r="D103" s="7" t="s">
        <v>121</v>
      </c>
      <c r="E103" s="7" t="s">
        <v>140</v>
      </c>
      <c r="F103" s="7" t="s">
        <v>167</v>
      </c>
      <c r="G103" s="7"/>
      <c r="H103" s="7" t="s">
        <v>48</v>
      </c>
      <c r="I103" s="11">
        <v>2</v>
      </c>
      <c r="J103" s="11">
        <v>3</v>
      </c>
      <c r="K103" s="11">
        <v>0</v>
      </c>
      <c r="L103" s="11">
        <v>3.260000000000002</v>
      </c>
      <c r="M103" s="11">
        <v>0.5</v>
      </c>
      <c r="N103" s="11">
        <v>0</v>
      </c>
      <c r="O103" s="11">
        <v>0.42</v>
      </c>
      <c r="P103" s="11">
        <v>0.83</v>
      </c>
      <c r="Q103" s="11">
        <v>5.010000000000002</v>
      </c>
      <c r="R103" s="11">
        <v>35.00000000000001</v>
      </c>
      <c r="S103" s="11">
        <v>40.01000000000001</v>
      </c>
      <c r="T103" s="11">
        <v>2</v>
      </c>
      <c r="U103" s="11">
        <v>3</v>
      </c>
      <c r="V103" s="11">
        <v>35.01000000000001</v>
      </c>
      <c r="W103" s="13">
        <v>20</v>
      </c>
      <c r="X103" s="13">
        <v>30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264</v>
      </c>
      <c r="C104" s="10" t="s">
        <v>265</v>
      </c>
      <c r="D104" s="7" t="s">
        <v>68</v>
      </c>
      <c r="E104" s="7" t="s">
        <v>140</v>
      </c>
      <c r="F104" s="7" t="s">
        <v>167</v>
      </c>
      <c r="G104" s="7"/>
      <c r="H104" s="7" t="s">
        <v>48</v>
      </c>
      <c r="I104" s="11">
        <v>2</v>
      </c>
      <c r="J104" s="11">
        <v>3</v>
      </c>
      <c r="K104" s="11">
        <v>0</v>
      </c>
      <c r="L104" s="11">
        <v>1.52</v>
      </c>
      <c r="M104" s="11">
        <v>1</v>
      </c>
      <c r="N104" s="11">
        <v>0</v>
      </c>
      <c r="O104" s="11">
        <v>0.36</v>
      </c>
      <c r="P104" s="11">
        <v>2.43</v>
      </c>
      <c r="Q104" s="11">
        <v>5.31</v>
      </c>
      <c r="R104" s="11">
        <v>50</v>
      </c>
      <c r="S104" s="11">
        <v>55.31</v>
      </c>
      <c r="T104" s="11">
        <v>2</v>
      </c>
      <c r="U104" s="11">
        <v>3</v>
      </c>
      <c r="V104" s="11">
        <v>50.31</v>
      </c>
      <c r="W104" s="13">
        <v>20</v>
      </c>
      <c r="X104" s="13">
        <v>30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266</v>
      </c>
      <c r="C105" s="10" t="s">
        <v>267</v>
      </c>
      <c r="D105" s="7" t="s">
        <v>68</v>
      </c>
      <c r="E105" s="7" t="s">
        <v>140</v>
      </c>
      <c r="F105" s="7" t="s">
        <v>167</v>
      </c>
      <c r="G105" s="7"/>
      <c r="H105" s="7" t="s">
        <v>48</v>
      </c>
      <c r="I105" s="11">
        <v>2</v>
      </c>
      <c r="J105" s="11">
        <v>3</v>
      </c>
      <c r="K105" s="11">
        <v>0</v>
      </c>
      <c r="L105" s="11">
        <v>0.17</v>
      </c>
      <c r="M105" s="11">
        <v>0.33</v>
      </c>
      <c r="N105" s="11">
        <v>0</v>
      </c>
      <c r="O105" s="11">
        <v>0</v>
      </c>
      <c r="P105" s="11">
        <v>0</v>
      </c>
      <c r="Q105" s="11">
        <v>0.5</v>
      </c>
      <c r="R105" s="11">
        <v>11.28</v>
      </c>
      <c r="S105" s="11">
        <v>11.78</v>
      </c>
      <c r="T105" s="11">
        <v>2</v>
      </c>
      <c r="U105" s="11">
        <v>3</v>
      </c>
      <c r="V105" s="11">
        <v>6.779999999999999</v>
      </c>
      <c r="W105" s="13">
        <v>20</v>
      </c>
      <c r="X105" s="13">
        <v>30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268</v>
      </c>
      <c r="C106" s="10" t="s">
        <v>269</v>
      </c>
      <c r="D106" s="7" t="s">
        <v>84</v>
      </c>
      <c r="E106" s="7" t="s">
        <v>75</v>
      </c>
      <c r="F106" s="7" t="s">
        <v>167</v>
      </c>
      <c r="G106" s="7"/>
      <c r="H106" s="7" t="s">
        <v>48</v>
      </c>
      <c r="I106" s="11">
        <v>2</v>
      </c>
      <c r="J106" s="11">
        <v>3</v>
      </c>
      <c r="K106" s="11">
        <v>0</v>
      </c>
      <c r="L106" s="11">
        <v>3.810000000000001</v>
      </c>
      <c r="M106" s="11">
        <v>0.8300000000000001</v>
      </c>
      <c r="N106" s="11">
        <v>0</v>
      </c>
      <c r="O106" s="11">
        <v>0.55</v>
      </c>
      <c r="P106" s="11">
        <v>0</v>
      </c>
      <c r="Q106" s="11">
        <v>5.190000000000001</v>
      </c>
      <c r="R106" s="11">
        <v>41.99999999999999</v>
      </c>
      <c r="S106" s="11">
        <v>47.19</v>
      </c>
      <c r="T106" s="11">
        <v>2</v>
      </c>
      <c r="U106" s="11">
        <v>3</v>
      </c>
      <c r="V106" s="11">
        <v>42.19</v>
      </c>
      <c r="W106" s="13">
        <v>20</v>
      </c>
      <c r="X106" s="13">
        <v>30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270</v>
      </c>
      <c r="C107" s="10" t="s">
        <v>271</v>
      </c>
      <c r="D107" s="7" t="s">
        <v>68</v>
      </c>
      <c r="E107" s="7" t="s">
        <v>75</v>
      </c>
      <c r="F107" s="7" t="s">
        <v>167</v>
      </c>
      <c r="G107" s="7"/>
      <c r="H107" s="7" t="s">
        <v>48</v>
      </c>
      <c r="I107" s="11">
        <v>2</v>
      </c>
      <c r="J107" s="11">
        <v>3</v>
      </c>
      <c r="K107" s="11">
        <v>0</v>
      </c>
      <c r="L107" s="11">
        <v>1.5</v>
      </c>
      <c r="M107" s="11">
        <v>0.17</v>
      </c>
      <c r="N107" s="11">
        <v>0</v>
      </c>
      <c r="O107" s="11">
        <v>0</v>
      </c>
      <c r="P107" s="11">
        <v>0</v>
      </c>
      <c r="Q107" s="11">
        <v>1.67</v>
      </c>
      <c r="R107" s="11">
        <v>18.03</v>
      </c>
      <c r="S107" s="11">
        <v>19.7</v>
      </c>
      <c r="T107" s="11">
        <v>2</v>
      </c>
      <c r="U107" s="11">
        <v>3</v>
      </c>
      <c r="V107" s="11">
        <v>14.7</v>
      </c>
      <c r="W107" s="13">
        <v>20</v>
      </c>
      <c r="X107" s="13">
        <v>30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272</v>
      </c>
      <c r="C108" s="10" t="s">
        <v>273</v>
      </c>
      <c r="D108" s="7" t="s">
        <v>84</v>
      </c>
      <c r="E108" s="7" t="s">
        <v>182</v>
      </c>
      <c r="F108" s="7" t="s">
        <v>167</v>
      </c>
      <c r="G108" s="7"/>
      <c r="H108" s="7" t="s">
        <v>48</v>
      </c>
      <c r="I108" s="11">
        <v>2</v>
      </c>
      <c r="J108" s="11">
        <v>3</v>
      </c>
      <c r="K108" s="11">
        <v>0</v>
      </c>
      <c r="L108" s="11">
        <v>4.510000000000001</v>
      </c>
      <c r="M108" s="11">
        <v>0.33</v>
      </c>
      <c r="N108" s="11">
        <v>0</v>
      </c>
      <c r="O108" s="11">
        <v>0.6</v>
      </c>
      <c r="P108" s="11">
        <v>0.83</v>
      </c>
      <c r="Q108" s="11">
        <v>6.269999999999999</v>
      </c>
      <c r="R108" s="11">
        <v>43.87</v>
      </c>
      <c r="S108" s="11">
        <v>50.14</v>
      </c>
      <c r="T108" s="11">
        <v>2</v>
      </c>
      <c r="U108" s="11">
        <v>3</v>
      </c>
      <c r="V108" s="11">
        <v>45.14</v>
      </c>
      <c r="W108" s="13">
        <v>20</v>
      </c>
      <c r="X108" s="13">
        <v>30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274</v>
      </c>
      <c r="C109" s="10" t="s">
        <v>275</v>
      </c>
      <c r="D109" s="7" t="s">
        <v>68</v>
      </c>
      <c r="E109" s="7" t="s">
        <v>75</v>
      </c>
      <c r="F109" s="7" t="s">
        <v>167</v>
      </c>
      <c r="G109" s="7"/>
      <c r="H109" s="7" t="s">
        <v>48</v>
      </c>
      <c r="I109" s="11">
        <v>2</v>
      </c>
      <c r="J109" s="11">
        <v>3</v>
      </c>
      <c r="K109" s="11">
        <v>0</v>
      </c>
      <c r="L109" s="11">
        <v>2.100000000000001</v>
      </c>
      <c r="M109" s="11">
        <v>0.5</v>
      </c>
      <c r="N109" s="11">
        <v>0</v>
      </c>
      <c r="O109" s="11">
        <v>0.18</v>
      </c>
      <c r="P109" s="11">
        <v>0</v>
      </c>
      <c r="Q109" s="11">
        <v>2.780000000000001</v>
      </c>
      <c r="R109" s="11">
        <v>22.08000000000001</v>
      </c>
      <c r="S109" s="11">
        <v>24.86000000000001</v>
      </c>
      <c r="T109" s="11">
        <v>2</v>
      </c>
      <c r="U109" s="11">
        <v>3</v>
      </c>
      <c r="V109" s="11">
        <v>19.86000000000001</v>
      </c>
      <c r="W109" s="13">
        <v>20</v>
      </c>
      <c r="X109" s="13">
        <v>30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276</v>
      </c>
      <c r="C110" s="10" t="s">
        <v>277</v>
      </c>
      <c r="D110" s="7" t="s">
        <v>57</v>
      </c>
      <c r="E110" s="7" t="s">
        <v>140</v>
      </c>
      <c r="F110" s="7" t="s">
        <v>167</v>
      </c>
      <c r="G110" s="7"/>
      <c r="H110" s="7" t="s">
        <v>48</v>
      </c>
      <c r="I110" s="11">
        <v>2</v>
      </c>
      <c r="J110" s="11">
        <v>3</v>
      </c>
      <c r="K110" s="11">
        <v>0</v>
      </c>
      <c r="L110" s="11">
        <v>9.939999999999992</v>
      </c>
      <c r="M110" s="11">
        <v>0</v>
      </c>
      <c r="N110" s="11">
        <v>0</v>
      </c>
      <c r="O110" s="11">
        <v>0.85</v>
      </c>
      <c r="P110" s="11">
        <v>0.83</v>
      </c>
      <c r="Q110" s="11">
        <v>11.61999999999999</v>
      </c>
      <c r="R110" s="11">
        <v>53.77999999999999</v>
      </c>
      <c r="S110" s="11">
        <v>65.39999999999998</v>
      </c>
      <c r="T110" s="11">
        <v>2</v>
      </c>
      <c r="U110" s="11">
        <v>3</v>
      </c>
      <c r="V110" s="11">
        <v>60.39999999999998</v>
      </c>
      <c r="W110" s="13">
        <v>20</v>
      </c>
      <c r="X110" s="13">
        <v>30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278</v>
      </c>
      <c r="C111" s="10" t="s">
        <v>279</v>
      </c>
      <c r="D111" s="7" t="s">
        <v>68</v>
      </c>
      <c r="E111" s="7" t="s">
        <v>140</v>
      </c>
      <c r="F111" s="7" t="s">
        <v>167</v>
      </c>
      <c r="G111" s="7"/>
      <c r="H111" s="7" t="s">
        <v>48</v>
      </c>
      <c r="I111" s="11">
        <v>2</v>
      </c>
      <c r="J111" s="11">
        <v>3</v>
      </c>
      <c r="K111" s="11">
        <v>0</v>
      </c>
      <c r="L111" s="11">
        <v>3.660000000000001</v>
      </c>
      <c r="M111" s="11">
        <v>0.17</v>
      </c>
      <c r="N111" s="11">
        <v>0</v>
      </c>
      <c r="O111" s="11">
        <v>0.18</v>
      </c>
      <c r="P111" s="11">
        <v>0</v>
      </c>
      <c r="Q111" s="11">
        <v>4.010000000000002</v>
      </c>
      <c r="R111" s="11">
        <v>32.11000000000001</v>
      </c>
      <c r="S111" s="11">
        <v>36.12000000000002</v>
      </c>
      <c r="T111" s="11">
        <v>2</v>
      </c>
      <c r="U111" s="11">
        <v>3</v>
      </c>
      <c r="V111" s="11">
        <v>31.12000000000002</v>
      </c>
      <c r="W111" s="13">
        <v>20</v>
      </c>
      <c r="X111" s="13">
        <v>30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280</v>
      </c>
      <c r="C112" s="10" t="s">
        <v>281</v>
      </c>
      <c r="D112" s="7" t="s">
        <v>68</v>
      </c>
      <c r="E112" s="7" t="s">
        <v>140</v>
      </c>
      <c r="F112" s="7" t="s">
        <v>167</v>
      </c>
      <c r="G112" s="7"/>
      <c r="H112" s="7" t="s">
        <v>48</v>
      </c>
      <c r="I112" s="11">
        <v>2</v>
      </c>
      <c r="J112" s="11">
        <v>3</v>
      </c>
      <c r="K112" s="11">
        <v>0</v>
      </c>
      <c r="L112" s="11">
        <v>3.850000000000001</v>
      </c>
      <c r="M112" s="11">
        <v>0.33</v>
      </c>
      <c r="N112" s="11">
        <v>0</v>
      </c>
      <c r="O112" s="11">
        <v>0</v>
      </c>
      <c r="P112" s="11">
        <v>0.83</v>
      </c>
      <c r="Q112" s="11">
        <v>5.01</v>
      </c>
      <c r="R112" s="11">
        <v>43.01000000000001</v>
      </c>
      <c r="S112" s="11">
        <v>48.02</v>
      </c>
      <c r="T112" s="11">
        <v>2</v>
      </c>
      <c r="U112" s="11">
        <v>3</v>
      </c>
      <c r="V112" s="11">
        <v>43.02</v>
      </c>
      <c r="W112" s="13">
        <v>20</v>
      </c>
      <c r="X112" s="13">
        <v>30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282</v>
      </c>
      <c r="C113" s="10" t="s">
        <v>283</v>
      </c>
      <c r="D113" s="7" t="s">
        <v>121</v>
      </c>
      <c r="E113" s="7" t="s">
        <v>140</v>
      </c>
      <c r="F113" s="7" t="s">
        <v>167</v>
      </c>
      <c r="G113" s="7"/>
      <c r="H113" s="7" t="s">
        <v>48</v>
      </c>
      <c r="I113" s="11">
        <v>2</v>
      </c>
      <c r="J113" s="11">
        <v>3</v>
      </c>
      <c r="K113" s="11">
        <v>0</v>
      </c>
      <c r="L113" s="11">
        <v>3.100000000000001</v>
      </c>
      <c r="M113" s="11">
        <v>0.34</v>
      </c>
      <c r="N113" s="11">
        <v>0</v>
      </c>
      <c r="O113" s="11">
        <v>0.18</v>
      </c>
      <c r="P113" s="11">
        <v>0.8</v>
      </c>
      <c r="Q113" s="11">
        <v>4.42</v>
      </c>
      <c r="R113" s="11">
        <v>43.41999999999999</v>
      </c>
      <c r="S113" s="11">
        <v>47.84</v>
      </c>
      <c r="T113" s="11">
        <v>2</v>
      </c>
      <c r="U113" s="11">
        <v>3</v>
      </c>
      <c r="V113" s="11">
        <v>42.84</v>
      </c>
      <c r="W113" s="13">
        <v>20</v>
      </c>
      <c r="X113" s="13">
        <v>30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284</v>
      </c>
      <c r="C114" s="10" t="s">
        <v>285</v>
      </c>
      <c r="D114" s="7" t="s">
        <v>153</v>
      </c>
      <c r="E114" s="7" t="s">
        <v>75</v>
      </c>
      <c r="F114" s="7" t="s">
        <v>167</v>
      </c>
      <c r="G114" s="7"/>
      <c r="H114" s="7" t="s">
        <v>48</v>
      </c>
      <c r="I114" s="11">
        <v>2</v>
      </c>
      <c r="J114" s="11">
        <v>3</v>
      </c>
      <c r="K114" s="11">
        <v>0</v>
      </c>
      <c r="L114" s="11">
        <v>5.370000000000003</v>
      </c>
      <c r="M114" s="11">
        <v>1</v>
      </c>
      <c r="N114" s="11">
        <v>0</v>
      </c>
      <c r="O114" s="11">
        <v>1.1</v>
      </c>
      <c r="P114" s="11">
        <v>0.8</v>
      </c>
      <c r="Q114" s="11">
        <v>8.27</v>
      </c>
      <c r="R114" s="11">
        <v>53.61999999999999</v>
      </c>
      <c r="S114" s="11">
        <v>61.88999999999999</v>
      </c>
      <c r="T114" s="11">
        <v>2</v>
      </c>
      <c r="U114" s="11">
        <v>3</v>
      </c>
      <c r="V114" s="11">
        <v>56.88999999999999</v>
      </c>
      <c r="W114" s="13">
        <v>20</v>
      </c>
      <c r="X114" s="13">
        <v>30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286</v>
      </c>
      <c r="C115" s="10" t="s">
        <v>287</v>
      </c>
      <c r="D115" s="7" t="s">
        <v>68</v>
      </c>
      <c r="E115" s="7" t="s">
        <v>140</v>
      </c>
      <c r="F115" s="7" t="s">
        <v>167</v>
      </c>
      <c r="G115" s="7"/>
      <c r="H115" s="7" t="s">
        <v>48</v>
      </c>
      <c r="I115" s="11">
        <v>2</v>
      </c>
      <c r="J115" s="11">
        <v>3</v>
      </c>
      <c r="K115" s="11">
        <v>0</v>
      </c>
      <c r="L115" s="11">
        <v>3.060000000000001</v>
      </c>
      <c r="M115" s="11">
        <v>0</v>
      </c>
      <c r="N115" s="11">
        <v>0</v>
      </c>
      <c r="O115" s="11">
        <v>0</v>
      </c>
      <c r="P115" s="11">
        <v>0</v>
      </c>
      <c r="Q115" s="11">
        <v>3.060000000000001</v>
      </c>
      <c r="R115" s="11">
        <v>14.68</v>
      </c>
      <c r="S115" s="11">
        <v>17.74000000000001</v>
      </c>
      <c r="T115" s="11">
        <v>2</v>
      </c>
      <c r="U115" s="11">
        <v>3</v>
      </c>
      <c r="V115" s="11">
        <v>12.74000000000001</v>
      </c>
      <c r="W115" s="13">
        <v>20</v>
      </c>
      <c r="X115" s="13">
        <v>30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288</v>
      </c>
      <c r="C116" s="10" t="s">
        <v>289</v>
      </c>
      <c r="D116" s="7" t="s">
        <v>156</v>
      </c>
      <c r="E116" s="7" t="s">
        <v>140</v>
      </c>
      <c r="F116" s="7" t="s">
        <v>167</v>
      </c>
      <c r="G116" s="7"/>
      <c r="H116" s="7" t="s">
        <v>48</v>
      </c>
      <c r="I116" s="11">
        <v>2</v>
      </c>
      <c r="J116" s="11">
        <v>3</v>
      </c>
      <c r="K116" s="11">
        <v>0</v>
      </c>
      <c r="L116" s="11">
        <v>5.260000000000001</v>
      </c>
      <c r="M116" s="11">
        <v>0.41</v>
      </c>
      <c r="N116" s="11">
        <v>0</v>
      </c>
      <c r="O116" s="11">
        <v>0.72</v>
      </c>
      <c r="P116" s="11">
        <v>0.83</v>
      </c>
      <c r="Q116" s="11">
        <v>7.220000000000001</v>
      </c>
      <c r="R116" s="11">
        <v>46.59</v>
      </c>
      <c r="S116" s="11">
        <v>53.81</v>
      </c>
      <c r="T116" s="11">
        <v>2</v>
      </c>
      <c r="U116" s="11">
        <v>3</v>
      </c>
      <c r="V116" s="11">
        <v>48.81</v>
      </c>
      <c r="W116" s="13">
        <v>20</v>
      </c>
      <c r="X116" s="13">
        <v>30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290</v>
      </c>
      <c r="C117" s="10" t="s">
        <v>291</v>
      </c>
      <c r="D117" s="7" t="s">
        <v>57</v>
      </c>
      <c r="E117" s="7" t="s">
        <v>182</v>
      </c>
      <c r="F117" s="7" t="s">
        <v>167</v>
      </c>
      <c r="G117" s="7"/>
      <c r="H117" s="7" t="s">
        <v>48</v>
      </c>
      <c r="I117" s="11">
        <v>2</v>
      </c>
      <c r="J117" s="11">
        <v>3</v>
      </c>
      <c r="K117" s="11">
        <v>0</v>
      </c>
      <c r="L117" s="11">
        <v>7.03</v>
      </c>
      <c r="M117" s="11">
        <v>0.49</v>
      </c>
      <c r="N117" s="11">
        <v>0</v>
      </c>
      <c r="O117" s="11">
        <v>1.96</v>
      </c>
      <c r="P117" s="11">
        <v>0.83</v>
      </c>
      <c r="Q117" s="11">
        <v>10.31</v>
      </c>
      <c r="R117" s="11">
        <v>69.63999999999999</v>
      </c>
      <c r="S117" s="11">
        <v>79.94999999999999</v>
      </c>
      <c r="T117" s="11">
        <v>2</v>
      </c>
      <c r="U117" s="11">
        <v>3</v>
      </c>
      <c r="V117" s="11">
        <v>74.94999999999999</v>
      </c>
      <c r="W117" s="13">
        <v>20</v>
      </c>
      <c r="X117" s="13">
        <v>30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292</v>
      </c>
      <c r="C118" s="10" t="s">
        <v>293</v>
      </c>
      <c r="D118" s="7" t="s">
        <v>51</v>
      </c>
      <c r="E118" s="7" t="s">
        <v>140</v>
      </c>
      <c r="F118" s="7" t="s">
        <v>167</v>
      </c>
      <c r="G118" s="7"/>
      <c r="H118" s="7" t="s">
        <v>48</v>
      </c>
      <c r="I118" s="11">
        <v>2</v>
      </c>
      <c r="J118" s="11">
        <v>3</v>
      </c>
      <c r="K118" s="11">
        <v>0</v>
      </c>
      <c r="L118" s="11">
        <v>5.649999999999998</v>
      </c>
      <c r="M118" s="11">
        <v>0.5</v>
      </c>
      <c r="N118" s="11">
        <v>0</v>
      </c>
      <c r="O118" s="11">
        <v>0.74</v>
      </c>
      <c r="P118" s="11">
        <v>1.63</v>
      </c>
      <c r="Q118" s="11">
        <v>8.519999999999996</v>
      </c>
      <c r="R118" s="11">
        <v>64.34999999999998</v>
      </c>
      <c r="S118" s="11">
        <v>72.86999999999998</v>
      </c>
      <c r="T118" s="11">
        <v>2</v>
      </c>
      <c r="U118" s="11">
        <v>3</v>
      </c>
      <c r="V118" s="11">
        <v>67.86999999999998</v>
      </c>
      <c r="W118" s="13">
        <v>20</v>
      </c>
      <c r="X118" s="13">
        <v>30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294</v>
      </c>
      <c r="C119" s="10" t="s">
        <v>295</v>
      </c>
      <c r="D119" s="7" t="s">
        <v>153</v>
      </c>
      <c r="E119" s="7" t="s">
        <v>75</v>
      </c>
      <c r="F119" s="7" t="s">
        <v>167</v>
      </c>
      <c r="G119" s="7"/>
      <c r="H119" s="7" t="s">
        <v>48</v>
      </c>
      <c r="I119" s="11">
        <v>2</v>
      </c>
      <c r="J119" s="11">
        <v>3</v>
      </c>
      <c r="K119" s="11">
        <v>0</v>
      </c>
      <c r="L119" s="11">
        <v>5.57</v>
      </c>
      <c r="M119" s="11">
        <v>0</v>
      </c>
      <c r="N119" s="11">
        <v>0</v>
      </c>
      <c r="O119" s="11">
        <v>0.54</v>
      </c>
      <c r="P119" s="11">
        <v>0.83</v>
      </c>
      <c r="Q119" s="11">
        <v>6.939999999999999</v>
      </c>
      <c r="R119" s="11">
        <v>56.94000000000001</v>
      </c>
      <c r="S119" s="11">
        <v>63.88000000000001</v>
      </c>
      <c r="T119" s="11">
        <v>2</v>
      </c>
      <c r="U119" s="11">
        <v>3</v>
      </c>
      <c r="V119" s="11">
        <v>58.88000000000001</v>
      </c>
      <c r="W119" s="13">
        <v>20</v>
      </c>
      <c r="X119" s="13">
        <v>30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296</v>
      </c>
      <c r="C120" s="10" t="s">
        <v>297</v>
      </c>
      <c r="D120" s="7" t="s">
        <v>57</v>
      </c>
      <c r="E120" s="7" t="s">
        <v>140</v>
      </c>
      <c r="F120" s="7" t="s">
        <v>167</v>
      </c>
      <c r="G120" s="7"/>
      <c r="H120" s="7" t="s">
        <v>48</v>
      </c>
      <c r="I120" s="11">
        <v>2</v>
      </c>
      <c r="J120" s="11">
        <v>3</v>
      </c>
      <c r="K120" s="11">
        <v>0</v>
      </c>
      <c r="L120" s="11">
        <v>5.449999999999999</v>
      </c>
      <c r="M120" s="11">
        <v>0</v>
      </c>
      <c r="N120" s="11">
        <v>0</v>
      </c>
      <c r="O120" s="11">
        <v>0.63</v>
      </c>
      <c r="P120" s="11">
        <v>0</v>
      </c>
      <c r="Q120" s="11">
        <v>6.079999999999999</v>
      </c>
      <c r="R120" s="11">
        <v>39.73</v>
      </c>
      <c r="S120" s="11">
        <v>45.81</v>
      </c>
      <c r="T120" s="11">
        <v>2</v>
      </c>
      <c r="U120" s="11">
        <v>3</v>
      </c>
      <c r="V120" s="11">
        <v>40.81</v>
      </c>
      <c r="W120" s="13">
        <v>20</v>
      </c>
      <c r="X120" s="13">
        <v>30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298</v>
      </c>
      <c r="C121" s="10" t="s">
        <v>299</v>
      </c>
      <c r="D121" s="7" t="s">
        <v>68</v>
      </c>
      <c r="E121" s="7" t="s">
        <v>140</v>
      </c>
      <c r="F121" s="7" t="s">
        <v>167</v>
      </c>
      <c r="G121" s="7"/>
      <c r="H121" s="7" t="s">
        <v>48</v>
      </c>
      <c r="I121" s="11">
        <v>2</v>
      </c>
      <c r="J121" s="11">
        <v>3</v>
      </c>
      <c r="K121" s="11">
        <v>0</v>
      </c>
      <c r="L121" s="11">
        <v>2.910000000000001</v>
      </c>
      <c r="M121" s="11">
        <v>0</v>
      </c>
      <c r="N121" s="11">
        <v>0</v>
      </c>
      <c r="O121" s="11">
        <v>0</v>
      </c>
      <c r="P121" s="11">
        <v>0</v>
      </c>
      <c r="Q121" s="11">
        <v>2.910000000000001</v>
      </c>
      <c r="R121" s="11">
        <v>23.6</v>
      </c>
      <c r="S121" s="11">
        <v>26.51</v>
      </c>
      <c r="T121" s="11">
        <v>2</v>
      </c>
      <c r="U121" s="11">
        <v>3</v>
      </c>
      <c r="V121" s="11">
        <v>21.51</v>
      </c>
      <c r="W121" s="13">
        <v>20</v>
      </c>
      <c r="X121" s="13">
        <v>30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300</v>
      </c>
      <c r="C122" s="10" t="s">
        <v>301</v>
      </c>
      <c r="D122" s="7" t="s">
        <v>57</v>
      </c>
      <c r="E122" s="7" t="s">
        <v>140</v>
      </c>
      <c r="F122" s="7" t="s">
        <v>167</v>
      </c>
      <c r="G122" s="7"/>
      <c r="H122" s="7" t="s">
        <v>65</v>
      </c>
      <c r="I122" s="11">
        <v>2</v>
      </c>
      <c r="J122" s="11">
        <v>3</v>
      </c>
      <c r="K122" s="11">
        <v>0.95</v>
      </c>
      <c r="L122" s="11">
        <v>3.48</v>
      </c>
      <c r="M122" s="11">
        <v>0</v>
      </c>
      <c r="N122" s="11">
        <v>0</v>
      </c>
      <c r="O122" s="11">
        <v>1.58</v>
      </c>
      <c r="P122" s="11">
        <v>0.8</v>
      </c>
      <c r="Q122" s="11">
        <v>6.810000000000001</v>
      </c>
      <c r="R122" s="11">
        <v>51.61999999999999</v>
      </c>
      <c r="S122" s="11">
        <v>58.42999999999999</v>
      </c>
      <c r="T122" s="11">
        <v>2</v>
      </c>
      <c r="U122" s="11">
        <v>3</v>
      </c>
      <c r="V122" s="11">
        <v>53.42999999999999</v>
      </c>
      <c r="W122" s="13">
        <v>20</v>
      </c>
      <c r="X122" s="13">
        <v>30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302</v>
      </c>
      <c r="C123" s="10" t="s">
        <v>303</v>
      </c>
      <c r="D123" s="7" t="s">
        <v>51</v>
      </c>
      <c r="E123" s="7" t="s">
        <v>140</v>
      </c>
      <c r="F123" s="7" t="s">
        <v>167</v>
      </c>
      <c r="G123" s="7"/>
      <c r="H123" s="7" t="s">
        <v>48</v>
      </c>
      <c r="I123" s="11">
        <v>2</v>
      </c>
      <c r="J123" s="11">
        <v>3</v>
      </c>
      <c r="K123" s="11">
        <v>0</v>
      </c>
      <c r="L123" s="11">
        <v>5.209999999999999</v>
      </c>
      <c r="M123" s="11">
        <v>0.17</v>
      </c>
      <c r="N123" s="11">
        <v>0</v>
      </c>
      <c r="O123" s="11">
        <v>0.5600000000000001</v>
      </c>
      <c r="P123" s="11">
        <v>0.83</v>
      </c>
      <c r="Q123" s="11">
        <v>6.77</v>
      </c>
      <c r="R123" s="11">
        <v>53.88</v>
      </c>
      <c r="S123" s="11">
        <v>60.64999999999999</v>
      </c>
      <c r="T123" s="11">
        <v>2</v>
      </c>
      <c r="U123" s="11">
        <v>3</v>
      </c>
      <c r="V123" s="11">
        <v>55.64999999999999</v>
      </c>
      <c r="W123" s="13">
        <v>20</v>
      </c>
      <c r="X123" s="13">
        <v>30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304</v>
      </c>
      <c r="C124" s="10" t="s">
        <v>305</v>
      </c>
      <c r="D124" s="7" t="s">
        <v>156</v>
      </c>
      <c r="E124" s="7" t="s">
        <v>182</v>
      </c>
      <c r="F124" s="7" t="s">
        <v>167</v>
      </c>
      <c r="G124" s="7"/>
      <c r="H124" s="7" t="s">
        <v>48</v>
      </c>
      <c r="I124" s="11">
        <v>2</v>
      </c>
      <c r="J124" s="11">
        <v>3</v>
      </c>
      <c r="K124" s="11">
        <v>0</v>
      </c>
      <c r="L124" s="11">
        <v>4.680000000000001</v>
      </c>
      <c r="M124" s="11">
        <v>0.7500000000000001</v>
      </c>
      <c r="N124" s="11">
        <v>0</v>
      </c>
      <c r="O124" s="11">
        <v>1.64</v>
      </c>
      <c r="P124" s="11">
        <v>0</v>
      </c>
      <c r="Q124" s="11">
        <v>7.070000000000001</v>
      </c>
      <c r="R124" s="11">
        <v>49.51</v>
      </c>
      <c r="S124" s="11">
        <v>56.58</v>
      </c>
      <c r="T124" s="11">
        <v>2</v>
      </c>
      <c r="U124" s="11">
        <v>3</v>
      </c>
      <c r="V124" s="11">
        <v>51.58</v>
      </c>
      <c r="W124" s="13">
        <v>20</v>
      </c>
      <c r="X124" s="13">
        <v>30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306</v>
      </c>
      <c r="C125" s="10" t="s">
        <v>307</v>
      </c>
      <c r="D125" s="7" t="s">
        <v>163</v>
      </c>
      <c r="E125" s="7" t="s">
        <v>140</v>
      </c>
      <c r="F125" s="7" t="s">
        <v>167</v>
      </c>
      <c r="G125" s="7"/>
      <c r="H125" s="7" t="s">
        <v>48</v>
      </c>
      <c r="I125" s="11">
        <v>2</v>
      </c>
      <c r="J125" s="11">
        <v>3</v>
      </c>
      <c r="K125" s="11">
        <v>0</v>
      </c>
      <c r="L125" s="11">
        <v>6.170000000000003</v>
      </c>
      <c r="M125" s="11">
        <v>0</v>
      </c>
      <c r="N125" s="11">
        <v>0</v>
      </c>
      <c r="O125" s="11">
        <v>0.38</v>
      </c>
      <c r="P125" s="11">
        <v>2.43</v>
      </c>
      <c r="Q125" s="11">
        <v>8.980000000000002</v>
      </c>
      <c r="R125" s="11">
        <v>58.10000000000001</v>
      </c>
      <c r="S125" s="11">
        <v>67.08000000000001</v>
      </c>
      <c r="T125" s="11">
        <v>2</v>
      </c>
      <c r="U125" s="11">
        <v>3</v>
      </c>
      <c r="V125" s="11">
        <v>62.08000000000001</v>
      </c>
      <c r="W125" s="13">
        <v>20</v>
      </c>
      <c r="X125" s="13">
        <v>30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308</v>
      </c>
      <c r="C126" s="10" t="s">
        <v>309</v>
      </c>
      <c r="D126" s="7" t="s">
        <v>57</v>
      </c>
      <c r="E126" s="7" t="s">
        <v>75</v>
      </c>
      <c r="F126" s="7" t="s">
        <v>167</v>
      </c>
      <c r="G126" s="7"/>
      <c r="H126" s="7" t="s">
        <v>48</v>
      </c>
      <c r="I126" s="11">
        <v>2</v>
      </c>
      <c r="J126" s="11">
        <v>3</v>
      </c>
      <c r="K126" s="11">
        <v>0</v>
      </c>
      <c r="L126" s="11">
        <v>1.19</v>
      </c>
      <c r="M126" s="11">
        <v>0.17</v>
      </c>
      <c r="N126" s="11">
        <v>0</v>
      </c>
      <c r="O126" s="11">
        <v>0.5700000000000001</v>
      </c>
      <c r="P126" s="11">
        <v>0</v>
      </c>
      <c r="Q126" s="11">
        <v>1.93</v>
      </c>
      <c r="R126" s="11">
        <v>26.49</v>
      </c>
      <c r="S126" s="11">
        <v>28.42</v>
      </c>
      <c r="T126" s="11">
        <v>2</v>
      </c>
      <c r="U126" s="11">
        <v>3</v>
      </c>
      <c r="V126" s="11">
        <v>23.42</v>
      </c>
      <c r="W126" s="13">
        <v>20</v>
      </c>
      <c r="X126" s="13">
        <v>30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310</v>
      </c>
      <c r="C127" s="10" t="s">
        <v>311</v>
      </c>
      <c r="D127" s="7" t="s">
        <v>40</v>
      </c>
      <c r="E127" s="7" t="s">
        <v>140</v>
      </c>
      <c r="F127" s="7" t="s">
        <v>167</v>
      </c>
      <c r="G127" s="7"/>
      <c r="H127" s="7" t="s">
        <v>48</v>
      </c>
      <c r="I127" s="11">
        <v>2</v>
      </c>
      <c r="J127" s="11">
        <v>3</v>
      </c>
      <c r="K127" s="11">
        <v>0</v>
      </c>
      <c r="L127" s="11">
        <v>4.540000000000001</v>
      </c>
      <c r="M127" s="11">
        <v>0.33</v>
      </c>
      <c r="N127" s="11">
        <v>0</v>
      </c>
      <c r="O127" s="11">
        <v>1.31</v>
      </c>
      <c r="P127" s="11">
        <v>1.33</v>
      </c>
      <c r="Q127" s="11">
        <v>7.509999999999999</v>
      </c>
      <c r="R127" s="11">
        <v>52.98</v>
      </c>
      <c r="S127" s="11">
        <v>60.48999999999999</v>
      </c>
      <c r="T127" s="11">
        <v>2</v>
      </c>
      <c r="U127" s="11">
        <v>3</v>
      </c>
      <c r="V127" s="11">
        <v>55.48999999999999</v>
      </c>
      <c r="W127" s="13">
        <v>20</v>
      </c>
      <c r="X127" s="13">
        <v>30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312</v>
      </c>
      <c r="C128" s="10" t="s">
        <v>313</v>
      </c>
      <c r="D128" s="7" t="s">
        <v>51</v>
      </c>
      <c r="E128" s="7" t="s">
        <v>75</v>
      </c>
      <c r="F128" s="7" t="s">
        <v>167</v>
      </c>
      <c r="G128" s="7"/>
      <c r="H128" s="7" t="s">
        <v>94</v>
      </c>
      <c r="I128" s="11">
        <v>2</v>
      </c>
      <c r="J128" s="11">
        <v>3</v>
      </c>
      <c r="K128" s="11">
        <v>0.95</v>
      </c>
      <c r="L128" s="11">
        <v>6.750000000000001</v>
      </c>
      <c r="M128" s="11">
        <v>0.66</v>
      </c>
      <c r="N128" s="11">
        <v>0</v>
      </c>
      <c r="O128" s="11">
        <v>0.38</v>
      </c>
      <c r="P128" s="11">
        <v>0</v>
      </c>
      <c r="Q128" s="11">
        <v>8.74</v>
      </c>
      <c r="R128" s="11">
        <v>57.03</v>
      </c>
      <c r="S128" s="11">
        <v>65.77</v>
      </c>
      <c r="T128" s="11">
        <v>2</v>
      </c>
      <c r="U128" s="11">
        <v>3</v>
      </c>
      <c r="V128" s="11">
        <v>60.77</v>
      </c>
      <c r="W128" s="13">
        <v>20</v>
      </c>
      <c r="X128" s="13">
        <v>30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314</v>
      </c>
      <c r="C129" s="10" t="s">
        <v>315</v>
      </c>
      <c r="D129" s="7" t="s">
        <v>163</v>
      </c>
      <c r="E129" s="7" t="s">
        <v>140</v>
      </c>
      <c r="F129" s="7" t="s">
        <v>167</v>
      </c>
      <c r="G129" s="7"/>
      <c r="H129" s="7"/>
      <c r="I129" s="11">
        <v>2</v>
      </c>
      <c r="J129" s="11">
        <v>3</v>
      </c>
      <c r="K129" s="11">
        <v>0</v>
      </c>
      <c r="L129" s="11">
        <v>5.340000000000002</v>
      </c>
      <c r="M129" s="11">
        <v>0</v>
      </c>
      <c r="N129" s="11">
        <v>0</v>
      </c>
      <c r="O129" s="11">
        <v>0.18</v>
      </c>
      <c r="P129" s="11">
        <v>0</v>
      </c>
      <c r="Q129" s="11">
        <v>5.520000000000001</v>
      </c>
      <c r="R129" s="11">
        <v>40.84000000000001</v>
      </c>
      <c r="S129" s="11">
        <v>46.36000000000001</v>
      </c>
      <c r="T129" s="11">
        <v>2</v>
      </c>
      <c r="U129" s="11">
        <v>3</v>
      </c>
      <c r="V129" s="11">
        <v>41.36000000000001</v>
      </c>
      <c r="W129" s="13">
        <v>20</v>
      </c>
      <c r="X129" s="13">
        <v>30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316</v>
      </c>
      <c r="C130" s="10" t="s">
        <v>317</v>
      </c>
      <c r="D130" s="7" t="s">
        <v>57</v>
      </c>
      <c r="E130" s="7" t="s">
        <v>75</v>
      </c>
      <c r="F130" s="7" t="s">
        <v>167</v>
      </c>
      <c r="G130" s="7"/>
      <c r="H130" s="7" t="s">
        <v>48</v>
      </c>
      <c r="I130" s="11">
        <v>2</v>
      </c>
      <c r="J130" s="11">
        <v>3</v>
      </c>
      <c r="K130" s="11">
        <v>0</v>
      </c>
      <c r="L130" s="11">
        <v>7.519999999999999</v>
      </c>
      <c r="M130" s="11">
        <v>0</v>
      </c>
      <c r="N130" s="11">
        <v>0</v>
      </c>
      <c r="O130" s="11">
        <v>1.28</v>
      </c>
      <c r="P130" s="11">
        <v>1.63</v>
      </c>
      <c r="Q130" s="11">
        <v>10.43</v>
      </c>
      <c r="R130" s="11">
        <v>58.94</v>
      </c>
      <c r="S130" s="11">
        <v>69.36999999999999</v>
      </c>
      <c r="T130" s="11">
        <v>2</v>
      </c>
      <c r="U130" s="11">
        <v>3</v>
      </c>
      <c r="V130" s="11">
        <v>64.36999999999999</v>
      </c>
      <c r="W130" s="13">
        <v>20</v>
      </c>
      <c r="X130" s="13">
        <v>30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318</v>
      </c>
      <c r="C131" s="10" t="s">
        <v>319</v>
      </c>
      <c r="D131" s="7" t="s">
        <v>153</v>
      </c>
      <c r="E131" s="7" t="s">
        <v>140</v>
      </c>
      <c r="F131" s="7" t="s">
        <v>167</v>
      </c>
      <c r="G131" s="7"/>
      <c r="H131" s="7" t="s">
        <v>48</v>
      </c>
      <c r="I131" s="11">
        <v>2</v>
      </c>
      <c r="J131" s="11">
        <v>3</v>
      </c>
      <c r="K131" s="11">
        <v>0</v>
      </c>
      <c r="L131" s="11">
        <v>3.680000000000001</v>
      </c>
      <c r="M131" s="11">
        <v>0.33</v>
      </c>
      <c r="N131" s="11">
        <v>0</v>
      </c>
      <c r="O131" s="11">
        <v>0.54</v>
      </c>
      <c r="P131" s="11">
        <v>0.83</v>
      </c>
      <c r="Q131" s="11">
        <v>5.380000000000003</v>
      </c>
      <c r="R131" s="11">
        <v>43.73999999999999</v>
      </c>
      <c r="S131" s="11">
        <v>49.12</v>
      </c>
      <c r="T131" s="11">
        <v>2</v>
      </c>
      <c r="U131" s="11">
        <v>3</v>
      </c>
      <c r="V131" s="11">
        <v>44.12</v>
      </c>
      <c r="W131" s="13">
        <v>20</v>
      </c>
      <c r="X131" s="13">
        <v>30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320</v>
      </c>
      <c r="C132" s="10" t="s">
        <v>321</v>
      </c>
      <c r="D132" s="7" t="s">
        <v>163</v>
      </c>
      <c r="E132" s="7" t="s">
        <v>75</v>
      </c>
      <c r="F132" s="7" t="s">
        <v>167</v>
      </c>
      <c r="G132" s="7"/>
      <c r="H132" s="7" t="s">
        <v>48</v>
      </c>
      <c r="I132" s="11">
        <v>2</v>
      </c>
      <c r="J132" s="11">
        <v>3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13.2</v>
      </c>
      <c r="S132" s="11">
        <v>13.2</v>
      </c>
      <c r="T132" s="11">
        <v>2</v>
      </c>
      <c r="U132" s="11">
        <v>3</v>
      </c>
      <c r="V132" s="11">
        <v>8.199999999999999</v>
      </c>
      <c r="W132" s="13">
        <v>20</v>
      </c>
      <c r="X132" s="13">
        <v>30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322</v>
      </c>
      <c r="C133" s="10" t="s">
        <v>323</v>
      </c>
      <c r="D133" s="7" t="s">
        <v>68</v>
      </c>
      <c r="E133" s="7" t="s">
        <v>140</v>
      </c>
      <c r="F133" s="7" t="s">
        <v>167</v>
      </c>
      <c r="G133" s="7"/>
      <c r="H133" s="7" t="s">
        <v>48</v>
      </c>
      <c r="I133" s="11">
        <v>2</v>
      </c>
      <c r="J133" s="11">
        <v>3</v>
      </c>
      <c r="K133" s="11">
        <v>0</v>
      </c>
      <c r="L133" s="11">
        <v>4.240000000000002</v>
      </c>
      <c r="M133" s="11">
        <v>0.17</v>
      </c>
      <c r="N133" s="11">
        <v>0</v>
      </c>
      <c r="O133" s="11">
        <v>0</v>
      </c>
      <c r="P133" s="11">
        <v>0</v>
      </c>
      <c r="Q133" s="11">
        <v>4.410000000000002</v>
      </c>
      <c r="R133" s="11">
        <v>41.3</v>
      </c>
      <c r="S133" s="11">
        <v>45.71</v>
      </c>
      <c r="T133" s="11">
        <v>2</v>
      </c>
      <c r="U133" s="11">
        <v>3</v>
      </c>
      <c r="V133" s="11">
        <v>40.71</v>
      </c>
      <c r="W133" s="13">
        <v>20</v>
      </c>
      <c r="X133" s="13">
        <v>30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324</v>
      </c>
      <c r="C134" s="10" t="s">
        <v>325</v>
      </c>
      <c r="D134" s="7" t="s">
        <v>57</v>
      </c>
      <c r="E134" s="7" t="s">
        <v>140</v>
      </c>
      <c r="F134" s="7" t="s">
        <v>167</v>
      </c>
      <c r="G134" s="7"/>
      <c r="H134" s="7" t="s">
        <v>48</v>
      </c>
      <c r="I134" s="11">
        <v>2</v>
      </c>
      <c r="J134" s="11">
        <v>3</v>
      </c>
      <c r="K134" s="11">
        <v>0</v>
      </c>
      <c r="L134" s="11">
        <v>5.140000000000001</v>
      </c>
      <c r="M134" s="11">
        <v>0</v>
      </c>
      <c r="N134" s="11">
        <v>0</v>
      </c>
      <c r="O134" s="11">
        <v>0.98</v>
      </c>
      <c r="P134" s="11">
        <v>0</v>
      </c>
      <c r="Q134" s="11">
        <v>6.120000000000001</v>
      </c>
      <c r="R134" s="11">
        <v>42.46999999999999</v>
      </c>
      <c r="S134" s="11">
        <v>48.58999999999999</v>
      </c>
      <c r="T134" s="11">
        <v>2</v>
      </c>
      <c r="U134" s="11">
        <v>3</v>
      </c>
      <c r="V134" s="11">
        <v>43.58999999999999</v>
      </c>
      <c r="W134" s="13">
        <v>20</v>
      </c>
      <c r="X134" s="13">
        <v>30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326</v>
      </c>
      <c r="C135" s="10" t="s">
        <v>327</v>
      </c>
      <c r="D135" s="7" t="s">
        <v>153</v>
      </c>
      <c r="E135" s="7" t="s">
        <v>182</v>
      </c>
      <c r="F135" s="7" t="s">
        <v>167</v>
      </c>
      <c r="G135" s="7"/>
      <c r="H135" s="7"/>
      <c r="I135" s="11">
        <v>2</v>
      </c>
      <c r="J135" s="11">
        <v>3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0.8</v>
      </c>
      <c r="Q135" s="11">
        <v>0.8</v>
      </c>
      <c r="R135" s="11">
        <v>8.73</v>
      </c>
      <c r="S135" s="11">
        <v>9.530000000000001</v>
      </c>
      <c r="T135" s="11">
        <v>2</v>
      </c>
      <c r="U135" s="11">
        <v>3</v>
      </c>
      <c r="V135" s="11">
        <v>4.530000000000001</v>
      </c>
      <c r="W135" s="13">
        <v>20</v>
      </c>
      <c r="X135" s="13">
        <v>30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328</v>
      </c>
      <c r="C136" s="10" t="s">
        <v>329</v>
      </c>
      <c r="D136" s="7" t="s">
        <v>51</v>
      </c>
      <c r="E136" s="7" t="s">
        <v>140</v>
      </c>
      <c r="F136" s="7" t="s">
        <v>167</v>
      </c>
      <c r="G136" s="7"/>
      <c r="H136" s="7" t="s">
        <v>48</v>
      </c>
      <c r="I136" s="11">
        <v>2</v>
      </c>
      <c r="J136" s="11">
        <v>3</v>
      </c>
      <c r="K136" s="11">
        <v>0</v>
      </c>
      <c r="L136" s="11">
        <v>4.06</v>
      </c>
      <c r="M136" s="11">
        <v>0.17</v>
      </c>
      <c r="N136" s="11">
        <v>0</v>
      </c>
      <c r="O136" s="11">
        <v>0</v>
      </c>
      <c r="P136" s="11">
        <v>0</v>
      </c>
      <c r="Q136" s="11">
        <v>4.23</v>
      </c>
      <c r="R136" s="11">
        <v>26.20000000000001</v>
      </c>
      <c r="S136" s="11">
        <v>30.43000000000001</v>
      </c>
      <c r="T136" s="11">
        <v>2</v>
      </c>
      <c r="U136" s="11">
        <v>3</v>
      </c>
      <c r="V136" s="11">
        <v>25.43000000000001</v>
      </c>
      <c r="W136" s="13">
        <v>20</v>
      </c>
      <c r="X136" s="13">
        <v>30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330</v>
      </c>
      <c r="C137" s="10" t="s">
        <v>331</v>
      </c>
      <c r="D137" s="7" t="s">
        <v>57</v>
      </c>
      <c r="E137" s="7" t="s">
        <v>140</v>
      </c>
      <c r="F137" s="7" t="s">
        <v>167</v>
      </c>
      <c r="G137" s="7"/>
      <c r="H137" s="7" t="s">
        <v>85</v>
      </c>
      <c r="I137" s="11">
        <v>2</v>
      </c>
      <c r="J137" s="11">
        <v>3</v>
      </c>
      <c r="K137" s="11">
        <v>0.95</v>
      </c>
      <c r="L137" s="11">
        <v>3.270000000000001</v>
      </c>
      <c r="M137" s="11">
        <v>0.41</v>
      </c>
      <c r="N137" s="11">
        <v>0</v>
      </c>
      <c r="O137" s="11">
        <v>1.2</v>
      </c>
      <c r="P137" s="11">
        <v>1.63</v>
      </c>
      <c r="Q137" s="11">
        <v>7.459999999999998</v>
      </c>
      <c r="R137" s="11">
        <v>67.55999999999997</v>
      </c>
      <c r="S137" s="11">
        <v>75.01999999999997</v>
      </c>
      <c r="T137" s="11">
        <v>2</v>
      </c>
      <c r="U137" s="11">
        <v>3</v>
      </c>
      <c r="V137" s="11">
        <v>70.01999999999997</v>
      </c>
      <c r="W137" s="13">
        <v>20</v>
      </c>
      <c r="X137" s="13">
        <v>30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332</v>
      </c>
      <c r="C138" s="10" t="s">
        <v>333</v>
      </c>
      <c r="D138" s="7" t="s">
        <v>163</v>
      </c>
      <c r="E138" s="7" t="s">
        <v>140</v>
      </c>
      <c r="F138" s="7" t="s">
        <v>167</v>
      </c>
      <c r="G138" s="7"/>
      <c r="H138" s="7" t="s">
        <v>173</v>
      </c>
      <c r="I138" s="11">
        <v>2</v>
      </c>
      <c r="J138" s="11">
        <v>3</v>
      </c>
      <c r="K138" s="11">
        <v>1</v>
      </c>
      <c r="L138" s="11">
        <v>4.210000000000001</v>
      </c>
      <c r="M138" s="11">
        <v>0</v>
      </c>
      <c r="N138" s="11">
        <v>0</v>
      </c>
      <c r="O138" s="11">
        <v>0.36</v>
      </c>
      <c r="P138" s="11">
        <v>1.6</v>
      </c>
      <c r="Q138" s="11">
        <v>7.170000000000003</v>
      </c>
      <c r="R138" s="11">
        <v>51.66</v>
      </c>
      <c r="S138" s="11">
        <v>58.83000000000001</v>
      </c>
      <c r="T138" s="11">
        <v>2</v>
      </c>
      <c r="U138" s="11">
        <v>3</v>
      </c>
      <c r="V138" s="11">
        <v>53.83000000000001</v>
      </c>
      <c r="W138" s="13">
        <v>20</v>
      </c>
      <c r="X138" s="13">
        <v>30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334</v>
      </c>
      <c r="C139" s="10" t="s">
        <v>335</v>
      </c>
      <c r="D139" s="7" t="s">
        <v>57</v>
      </c>
      <c r="E139" s="7" t="s">
        <v>75</v>
      </c>
      <c r="F139" s="7" t="s">
        <v>167</v>
      </c>
      <c r="G139" s="7"/>
      <c r="H139" s="7" t="s">
        <v>48</v>
      </c>
      <c r="I139" s="11">
        <v>2</v>
      </c>
      <c r="J139" s="11">
        <v>3</v>
      </c>
      <c r="K139" s="11">
        <v>0</v>
      </c>
      <c r="L139" s="11">
        <v>2.919999999999999</v>
      </c>
      <c r="M139" s="11">
        <v>0.5800000000000001</v>
      </c>
      <c r="N139" s="11">
        <v>0</v>
      </c>
      <c r="O139" s="11">
        <v>1.18</v>
      </c>
      <c r="P139" s="11">
        <v>0.83</v>
      </c>
      <c r="Q139" s="11">
        <v>5.51</v>
      </c>
      <c r="R139" s="11">
        <v>52.11000000000001</v>
      </c>
      <c r="S139" s="11">
        <v>57.62</v>
      </c>
      <c r="T139" s="11">
        <v>2</v>
      </c>
      <c r="U139" s="11">
        <v>3</v>
      </c>
      <c r="V139" s="11">
        <v>52.62</v>
      </c>
      <c r="W139" s="13">
        <v>20</v>
      </c>
      <c r="X139" s="13">
        <v>30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336</v>
      </c>
      <c r="C140" s="10" t="s">
        <v>337</v>
      </c>
      <c r="D140" s="7" t="s">
        <v>57</v>
      </c>
      <c r="E140" s="7" t="s">
        <v>182</v>
      </c>
      <c r="F140" s="7" t="s">
        <v>167</v>
      </c>
      <c r="G140" s="7"/>
      <c r="H140" s="7" t="s">
        <v>48</v>
      </c>
      <c r="I140" s="11">
        <v>2</v>
      </c>
      <c r="J140" s="11">
        <v>3</v>
      </c>
      <c r="K140" s="11">
        <v>0</v>
      </c>
      <c r="L140" s="11">
        <v>9.539999999999996</v>
      </c>
      <c r="M140" s="11">
        <v>0</v>
      </c>
      <c r="N140" s="11">
        <v>0</v>
      </c>
      <c r="O140" s="11">
        <v>0.6400000000000001</v>
      </c>
      <c r="P140" s="11">
        <v>1.63</v>
      </c>
      <c r="Q140" s="11">
        <v>11.81</v>
      </c>
      <c r="R140" s="11">
        <v>51.45999999999999</v>
      </c>
      <c r="S140" s="11">
        <v>63.26999999999999</v>
      </c>
      <c r="T140" s="11">
        <v>2</v>
      </c>
      <c r="U140" s="11">
        <v>3</v>
      </c>
      <c r="V140" s="11">
        <v>58.26999999999999</v>
      </c>
      <c r="W140" s="13">
        <v>20</v>
      </c>
      <c r="X140" s="13">
        <v>30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338</v>
      </c>
      <c r="C141" s="10" t="s">
        <v>339</v>
      </c>
      <c r="D141" s="7" t="s">
        <v>68</v>
      </c>
      <c r="E141" s="7" t="s">
        <v>75</v>
      </c>
      <c r="F141" s="7" t="s">
        <v>167</v>
      </c>
      <c r="G141" s="7"/>
      <c r="H141" s="7" t="s">
        <v>48</v>
      </c>
      <c r="I141" s="11">
        <v>2</v>
      </c>
      <c r="J141" s="11">
        <v>3</v>
      </c>
      <c r="K141" s="11">
        <v>0</v>
      </c>
      <c r="L141" s="11">
        <v>3.470000000000001</v>
      </c>
      <c r="M141" s="11">
        <v>0.33</v>
      </c>
      <c r="N141" s="11">
        <v>0</v>
      </c>
      <c r="O141" s="11">
        <v>0.53</v>
      </c>
      <c r="P141" s="11">
        <v>0.8</v>
      </c>
      <c r="Q141" s="11">
        <v>5.130000000000001</v>
      </c>
      <c r="R141" s="11">
        <v>41.73000000000001</v>
      </c>
      <c r="S141" s="11">
        <v>46.86000000000001</v>
      </c>
      <c r="T141" s="11">
        <v>2</v>
      </c>
      <c r="U141" s="11">
        <v>3</v>
      </c>
      <c r="V141" s="11">
        <v>41.86000000000001</v>
      </c>
      <c r="W141" s="13">
        <v>20</v>
      </c>
      <c r="X141" s="13">
        <v>30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340</v>
      </c>
      <c r="C142" s="10" t="s">
        <v>341</v>
      </c>
      <c r="D142" s="7" t="s">
        <v>51</v>
      </c>
      <c r="E142" s="7" t="s">
        <v>140</v>
      </c>
      <c r="F142" s="7" t="s">
        <v>167</v>
      </c>
      <c r="G142" s="7"/>
      <c r="H142" s="7" t="s">
        <v>170</v>
      </c>
      <c r="I142" s="11">
        <v>2</v>
      </c>
      <c r="J142" s="11">
        <v>3</v>
      </c>
      <c r="K142" s="11">
        <v>0.95</v>
      </c>
      <c r="L142" s="11">
        <v>6.479999999999999</v>
      </c>
      <c r="M142" s="11">
        <v>0.67</v>
      </c>
      <c r="N142" s="11">
        <v>0</v>
      </c>
      <c r="O142" s="11">
        <v>0.44</v>
      </c>
      <c r="P142" s="11">
        <v>1.63</v>
      </c>
      <c r="Q142" s="11">
        <v>10.17</v>
      </c>
      <c r="R142" s="11">
        <v>73.90999999999997</v>
      </c>
      <c r="S142" s="11">
        <v>84.07999999999997</v>
      </c>
      <c r="T142" s="11">
        <v>2</v>
      </c>
      <c r="U142" s="11">
        <v>3</v>
      </c>
      <c r="V142" s="11">
        <v>79.07999999999997</v>
      </c>
      <c r="W142" s="13">
        <v>20</v>
      </c>
      <c r="X142" s="13">
        <v>30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342</v>
      </c>
      <c r="C143" s="10" t="s">
        <v>343</v>
      </c>
      <c r="D143" s="7" t="s">
        <v>121</v>
      </c>
      <c r="E143" s="7" t="s">
        <v>344</v>
      </c>
      <c r="F143" s="7" t="s">
        <v>345</v>
      </c>
      <c r="G143" s="7"/>
      <c r="H143" s="7" t="s">
        <v>48</v>
      </c>
      <c r="I143" s="11">
        <v>2</v>
      </c>
      <c r="J143" s="11">
        <v>3</v>
      </c>
      <c r="K143" s="11">
        <v>0</v>
      </c>
      <c r="L143" s="11">
        <v>4.170000000000002</v>
      </c>
      <c r="M143" s="11">
        <v>0.17</v>
      </c>
      <c r="N143" s="11">
        <v>0</v>
      </c>
      <c r="O143" s="11">
        <v>0.36</v>
      </c>
      <c r="P143" s="11">
        <v>0.83</v>
      </c>
      <c r="Q143" s="11">
        <v>5.530000000000002</v>
      </c>
      <c r="R143" s="11">
        <v>34.64000000000001</v>
      </c>
      <c r="S143" s="11">
        <v>40.17000000000001</v>
      </c>
      <c r="T143" s="11">
        <v>2</v>
      </c>
      <c r="U143" s="11">
        <v>3</v>
      </c>
      <c r="V143" s="11">
        <v>35.17000000000001</v>
      </c>
      <c r="W143" s="13">
        <v>20</v>
      </c>
      <c r="X143" s="13">
        <v>30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346</v>
      </c>
      <c r="C144" s="10" t="s">
        <v>347</v>
      </c>
      <c r="D144" s="7" t="s">
        <v>51</v>
      </c>
      <c r="E144" s="7" t="s">
        <v>182</v>
      </c>
      <c r="F144" s="7" t="s">
        <v>348</v>
      </c>
      <c r="G144" s="7"/>
      <c r="H144" s="7"/>
      <c r="I144" s="11">
        <v>2</v>
      </c>
      <c r="J144" s="11">
        <v>3</v>
      </c>
      <c r="K144" s="11">
        <v>0</v>
      </c>
      <c r="L144" s="11">
        <v>4.710000000000001</v>
      </c>
      <c r="M144" s="11">
        <v>0.67</v>
      </c>
      <c r="N144" s="11">
        <v>0</v>
      </c>
      <c r="O144" s="11">
        <v>0.98</v>
      </c>
      <c r="P144" s="11">
        <v>0</v>
      </c>
      <c r="Q144" s="11">
        <v>6.360000000000001</v>
      </c>
      <c r="R144" s="11">
        <v>29.95</v>
      </c>
      <c r="S144" s="11">
        <v>36.31</v>
      </c>
      <c r="T144" s="11">
        <v>2</v>
      </c>
      <c r="U144" s="11">
        <v>3</v>
      </c>
      <c r="V144" s="11">
        <v>31.31</v>
      </c>
      <c r="W144" s="13">
        <v>20</v>
      </c>
      <c r="X144" s="13">
        <v>30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349</v>
      </c>
      <c r="C145" s="10" t="s">
        <v>350</v>
      </c>
      <c r="D145" s="7" t="s">
        <v>40</v>
      </c>
      <c r="E145" s="7" t="s">
        <v>182</v>
      </c>
      <c r="F145" s="7" t="s">
        <v>348</v>
      </c>
      <c r="G145" s="7"/>
      <c r="H145" s="7"/>
      <c r="I145" s="11">
        <v>2</v>
      </c>
      <c r="J145" s="11">
        <v>3</v>
      </c>
      <c r="K145" s="11">
        <v>0</v>
      </c>
      <c r="L145" s="11">
        <v>2.88</v>
      </c>
      <c r="M145" s="11">
        <v>0.17</v>
      </c>
      <c r="N145" s="11">
        <v>0</v>
      </c>
      <c r="O145" s="11">
        <v>1.45</v>
      </c>
      <c r="P145" s="11">
        <v>0</v>
      </c>
      <c r="Q145" s="11">
        <v>4.5</v>
      </c>
      <c r="R145" s="11">
        <v>23.71</v>
      </c>
      <c r="S145" s="11">
        <v>28.21</v>
      </c>
      <c r="T145" s="11">
        <v>2</v>
      </c>
      <c r="U145" s="11">
        <v>3</v>
      </c>
      <c r="V145" s="11">
        <v>23.21</v>
      </c>
      <c r="W145" s="13">
        <v>20</v>
      </c>
      <c r="X145" s="13">
        <v>30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351</v>
      </c>
      <c r="C146" s="10" t="s">
        <v>352</v>
      </c>
      <c r="D146" s="7" t="s">
        <v>57</v>
      </c>
      <c r="E146" s="7" t="s">
        <v>75</v>
      </c>
      <c r="F146" s="7" t="s">
        <v>353</v>
      </c>
      <c r="G146" s="7"/>
      <c r="H146" s="7"/>
      <c r="I146" s="11">
        <v>2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0.17</v>
      </c>
      <c r="P146" s="11">
        <v>0</v>
      </c>
      <c r="Q146" s="11">
        <v>0.17</v>
      </c>
      <c r="R146" s="11">
        <v>1.02</v>
      </c>
      <c r="S146" s="11">
        <v>1.19</v>
      </c>
      <c r="T146" s="11">
        <v>1.19</v>
      </c>
      <c r="U146" s="11">
        <v>0</v>
      </c>
      <c r="V146" s="11">
        <v>0</v>
      </c>
      <c r="W146" s="13">
        <v>20</v>
      </c>
      <c r="X146" s="13">
        <v>0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354</v>
      </c>
      <c r="C147" s="10" t="s">
        <v>355</v>
      </c>
      <c r="D147" s="7" t="s">
        <v>156</v>
      </c>
      <c r="E147" s="7" t="s">
        <v>75</v>
      </c>
      <c r="F147" s="7" t="s">
        <v>348</v>
      </c>
      <c r="G147" s="7"/>
      <c r="H147" s="7" t="s">
        <v>48</v>
      </c>
      <c r="I147" s="11">
        <v>2</v>
      </c>
      <c r="J147" s="11">
        <v>3</v>
      </c>
      <c r="K147" s="11">
        <v>0</v>
      </c>
      <c r="L147" s="11">
        <v>2.649999999999999</v>
      </c>
      <c r="M147" s="11">
        <v>0.5</v>
      </c>
      <c r="N147" s="11">
        <v>0</v>
      </c>
      <c r="O147" s="11">
        <v>0.8999999999999999</v>
      </c>
      <c r="P147" s="11">
        <v>1.63</v>
      </c>
      <c r="Q147" s="11">
        <v>5.68</v>
      </c>
      <c r="R147" s="11">
        <v>38.81</v>
      </c>
      <c r="S147" s="11">
        <v>44.49</v>
      </c>
      <c r="T147" s="11">
        <v>2</v>
      </c>
      <c r="U147" s="11">
        <v>3</v>
      </c>
      <c r="V147" s="11">
        <v>39.49</v>
      </c>
      <c r="W147" s="13">
        <v>20</v>
      </c>
      <c r="X147" s="13">
        <v>30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356</v>
      </c>
      <c r="C148" s="10" t="s">
        <v>357</v>
      </c>
      <c r="D148" s="7" t="s">
        <v>51</v>
      </c>
      <c r="E148" s="7" t="s">
        <v>61</v>
      </c>
      <c r="F148" s="7" t="s">
        <v>348</v>
      </c>
      <c r="G148" s="7"/>
      <c r="H148" s="7" t="s">
        <v>48</v>
      </c>
      <c r="I148" s="11">
        <v>2</v>
      </c>
      <c r="J148" s="11">
        <v>3</v>
      </c>
      <c r="K148" s="11">
        <v>0</v>
      </c>
      <c r="L148" s="11">
        <v>0.34</v>
      </c>
      <c r="M148" s="11">
        <v>0</v>
      </c>
      <c r="N148" s="11">
        <v>0</v>
      </c>
      <c r="O148" s="11">
        <v>0</v>
      </c>
      <c r="P148" s="11">
        <v>0</v>
      </c>
      <c r="Q148" s="11">
        <v>0.34</v>
      </c>
      <c r="R148" s="11">
        <v>3.43</v>
      </c>
      <c r="S148" s="11">
        <v>3.77</v>
      </c>
      <c r="T148" s="11">
        <v>2</v>
      </c>
      <c r="U148" s="11">
        <v>1.77</v>
      </c>
      <c r="V148" s="11">
        <v>0</v>
      </c>
      <c r="W148" s="13">
        <v>20</v>
      </c>
      <c r="X148" s="13">
        <v>30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358</v>
      </c>
      <c r="C149" s="10" t="s">
        <v>359</v>
      </c>
      <c r="D149" s="7" t="s">
        <v>68</v>
      </c>
      <c r="E149" s="7" t="s">
        <v>344</v>
      </c>
      <c r="F149" s="7" t="s">
        <v>345</v>
      </c>
      <c r="G149" s="7"/>
      <c r="H149" s="7" t="s">
        <v>48</v>
      </c>
      <c r="I149" s="11">
        <v>2</v>
      </c>
      <c r="J149" s="11">
        <v>3</v>
      </c>
      <c r="K149" s="11">
        <v>0</v>
      </c>
      <c r="L149" s="11">
        <v>3.480000000000001</v>
      </c>
      <c r="M149" s="11">
        <v>0.17</v>
      </c>
      <c r="N149" s="11">
        <v>0</v>
      </c>
      <c r="O149" s="11">
        <v>0</v>
      </c>
      <c r="P149" s="11">
        <v>0.83</v>
      </c>
      <c r="Q149" s="11">
        <v>4.480000000000001</v>
      </c>
      <c r="R149" s="11">
        <v>23.87</v>
      </c>
      <c r="S149" s="11">
        <v>28.35</v>
      </c>
      <c r="T149" s="11">
        <v>2</v>
      </c>
      <c r="U149" s="11">
        <v>3</v>
      </c>
      <c r="V149" s="11">
        <v>23.35</v>
      </c>
      <c r="W149" s="13">
        <v>20</v>
      </c>
      <c r="X149" s="13">
        <v>30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360</v>
      </c>
      <c r="C150" s="10" t="s">
        <v>361</v>
      </c>
      <c r="D150" s="7" t="s">
        <v>40</v>
      </c>
      <c r="E150" s="7" t="s">
        <v>182</v>
      </c>
      <c r="F150" s="7" t="s">
        <v>345</v>
      </c>
      <c r="G150" s="7"/>
      <c r="H150" s="7"/>
      <c r="I150" s="11">
        <v>2</v>
      </c>
      <c r="J150" s="11">
        <v>3</v>
      </c>
      <c r="K150" s="11">
        <v>0</v>
      </c>
      <c r="L150" s="11">
        <v>4.840000000000003</v>
      </c>
      <c r="M150" s="11">
        <v>0.17</v>
      </c>
      <c r="N150" s="11">
        <v>0</v>
      </c>
      <c r="O150" s="11">
        <v>0.8999999999999999</v>
      </c>
      <c r="P150" s="11">
        <v>0.8</v>
      </c>
      <c r="Q150" s="11">
        <v>6.710000000000001</v>
      </c>
      <c r="R150" s="11">
        <v>54.37</v>
      </c>
      <c r="S150" s="11">
        <v>61.08000000000001</v>
      </c>
      <c r="T150" s="11">
        <v>2</v>
      </c>
      <c r="U150" s="11">
        <v>3</v>
      </c>
      <c r="V150" s="11">
        <v>56.08000000000001</v>
      </c>
      <c r="W150" s="13">
        <v>20</v>
      </c>
      <c r="X150" s="13">
        <v>30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362</v>
      </c>
      <c r="C151" s="10" t="s">
        <v>363</v>
      </c>
      <c r="D151" s="7" t="s">
        <v>68</v>
      </c>
      <c r="E151" s="7" t="s">
        <v>182</v>
      </c>
      <c r="F151" s="7" t="s">
        <v>345</v>
      </c>
      <c r="G151" s="7"/>
      <c r="H151" s="7" t="s">
        <v>48</v>
      </c>
      <c r="I151" s="11">
        <v>2</v>
      </c>
      <c r="J151" s="11">
        <v>3</v>
      </c>
      <c r="K151" s="11">
        <v>0</v>
      </c>
      <c r="L151" s="11">
        <v>4.78</v>
      </c>
      <c r="M151" s="11">
        <v>0.67</v>
      </c>
      <c r="N151" s="11">
        <v>0</v>
      </c>
      <c r="O151" s="11">
        <v>0.42</v>
      </c>
      <c r="P151" s="11">
        <v>0.8</v>
      </c>
      <c r="Q151" s="11">
        <v>6.669999999999998</v>
      </c>
      <c r="R151" s="11">
        <v>30.92</v>
      </c>
      <c r="S151" s="11">
        <v>37.59</v>
      </c>
      <c r="T151" s="11">
        <v>2</v>
      </c>
      <c r="U151" s="11">
        <v>3</v>
      </c>
      <c r="V151" s="11">
        <v>32.59</v>
      </c>
      <c r="W151" s="13">
        <v>20</v>
      </c>
      <c r="X151" s="13">
        <v>30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364</v>
      </c>
      <c r="C152" s="10" t="s">
        <v>365</v>
      </c>
      <c r="D152" s="7" t="s">
        <v>57</v>
      </c>
      <c r="E152" s="7" t="s">
        <v>344</v>
      </c>
      <c r="F152" s="7" t="s">
        <v>345</v>
      </c>
      <c r="G152" s="7"/>
      <c r="H152" s="7" t="s">
        <v>48</v>
      </c>
      <c r="I152" s="11">
        <v>2</v>
      </c>
      <c r="J152" s="11">
        <v>3</v>
      </c>
      <c r="K152" s="11">
        <v>0</v>
      </c>
      <c r="L152" s="11">
        <v>4.65</v>
      </c>
      <c r="M152" s="11">
        <v>0</v>
      </c>
      <c r="N152" s="11">
        <v>0</v>
      </c>
      <c r="O152" s="11">
        <v>0.78</v>
      </c>
      <c r="P152" s="11">
        <v>0</v>
      </c>
      <c r="Q152" s="11">
        <v>5.430000000000001</v>
      </c>
      <c r="R152" s="11">
        <v>39.05</v>
      </c>
      <c r="S152" s="11">
        <v>44.48</v>
      </c>
      <c r="T152" s="11">
        <v>2</v>
      </c>
      <c r="U152" s="11">
        <v>3</v>
      </c>
      <c r="V152" s="11">
        <v>39.48</v>
      </c>
      <c r="W152" s="13">
        <v>20</v>
      </c>
      <c r="X152" s="13">
        <v>30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366</v>
      </c>
      <c r="C153" s="10" t="s">
        <v>367</v>
      </c>
      <c r="D153" s="7" t="s">
        <v>51</v>
      </c>
      <c r="E153" s="7" t="s">
        <v>182</v>
      </c>
      <c r="F153" s="7" t="s">
        <v>353</v>
      </c>
      <c r="G153" s="7"/>
      <c r="H153" s="7"/>
      <c r="I153" s="11">
        <v>2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0.83</v>
      </c>
      <c r="Q153" s="11">
        <v>0.83</v>
      </c>
      <c r="R153" s="11">
        <v>8.32</v>
      </c>
      <c r="S153" s="11">
        <v>9.15</v>
      </c>
      <c r="T153" s="11">
        <v>2</v>
      </c>
      <c r="U153" s="11">
        <v>0</v>
      </c>
      <c r="V153" s="11">
        <v>7.15</v>
      </c>
      <c r="W153" s="13">
        <v>20</v>
      </c>
      <c r="X153" s="13">
        <v>0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368</v>
      </c>
      <c r="C154" s="10" t="s">
        <v>369</v>
      </c>
      <c r="D154" s="7" t="s">
        <v>84</v>
      </c>
      <c r="E154" s="7" t="s">
        <v>182</v>
      </c>
      <c r="F154" s="7" t="s">
        <v>345</v>
      </c>
      <c r="G154" s="7"/>
      <c r="H154" s="7" t="s">
        <v>48</v>
      </c>
      <c r="I154" s="11">
        <v>2</v>
      </c>
      <c r="J154" s="11">
        <v>3</v>
      </c>
      <c r="K154" s="11">
        <v>0</v>
      </c>
      <c r="L154" s="11">
        <v>4.58</v>
      </c>
      <c r="M154" s="11">
        <v>0.33</v>
      </c>
      <c r="N154" s="11">
        <v>0</v>
      </c>
      <c r="O154" s="11">
        <v>0.36</v>
      </c>
      <c r="P154" s="11">
        <v>0.83</v>
      </c>
      <c r="Q154" s="11">
        <v>6.1</v>
      </c>
      <c r="R154" s="11">
        <v>50.44999999999998</v>
      </c>
      <c r="S154" s="11">
        <v>56.54999999999998</v>
      </c>
      <c r="T154" s="11">
        <v>2</v>
      </c>
      <c r="U154" s="11">
        <v>3</v>
      </c>
      <c r="V154" s="11">
        <v>51.54999999999998</v>
      </c>
      <c r="W154" s="13">
        <v>20</v>
      </c>
      <c r="X154" s="13">
        <v>30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370</v>
      </c>
      <c r="C155" s="10" t="s">
        <v>371</v>
      </c>
      <c r="D155" s="7" t="s">
        <v>163</v>
      </c>
      <c r="E155" s="7" t="s">
        <v>75</v>
      </c>
      <c r="F155" s="7" t="s">
        <v>353</v>
      </c>
      <c r="G155" s="7"/>
      <c r="H155" s="7" t="s">
        <v>48</v>
      </c>
      <c r="I155" s="11">
        <v>2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3">
        <v>20</v>
      </c>
      <c r="X155" s="13">
        <v>0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372</v>
      </c>
      <c r="C156" s="10" t="s">
        <v>373</v>
      </c>
      <c r="D156" s="7" t="s">
        <v>156</v>
      </c>
      <c r="E156" s="7" t="s">
        <v>182</v>
      </c>
      <c r="F156" s="7" t="s">
        <v>348</v>
      </c>
      <c r="G156" s="7"/>
      <c r="H156" s="7"/>
      <c r="I156" s="11">
        <v>2</v>
      </c>
      <c r="J156" s="11">
        <v>3</v>
      </c>
      <c r="K156" s="11">
        <v>0</v>
      </c>
      <c r="L156" s="11">
        <v>4.800000000000002</v>
      </c>
      <c r="M156" s="11">
        <v>0.25</v>
      </c>
      <c r="N156" s="11">
        <v>0</v>
      </c>
      <c r="O156" s="11">
        <v>1.68</v>
      </c>
      <c r="P156" s="11">
        <v>0.9700000000000001</v>
      </c>
      <c r="Q156" s="11">
        <v>7.700000000000002</v>
      </c>
      <c r="R156" s="11">
        <v>57.12</v>
      </c>
      <c r="S156" s="11">
        <v>64.81999999999999</v>
      </c>
      <c r="T156" s="11">
        <v>2</v>
      </c>
      <c r="U156" s="11">
        <v>3</v>
      </c>
      <c r="V156" s="11">
        <v>59.81999999999999</v>
      </c>
      <c r="W156" s="13">
        <v>20</v>
      </c>
      <c r="X156" s="13">
        <v>30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374</v>
      </c>
      <c r="C157" s="10" t="s">
        <v>375</v>
      </c>
      <c r="D157" s="7" t="s">
        <v>68</v>
      </c>
      <c r="E157" s="7" t="s">
        <v>182</v>
      </c>
      <c r="F157" s="7" t="s">
        <v>345</v>
      </c>
      <c r="G157" s="7"/>
      <c r="H157" s="7" t="s">
        <v>48</v>
      </c>
      <c r="I157" s="11">
        <v>2</v>
      </c>
      <c r="J157" s="11">
        <v>3</v>
      </c>
      <c r="K157" s="11">
        <v>0</v>
      </c>
      <c r="L157" s="11">
        <v>11.21999999999999</v>
      </c>
      <c r="M157" s="11">
        <v>0.34</v>
      </c>
      <c r="N157" s="11">
        <v>0</v>
      </c>
      <c r="O157" s="11">
        <v>0.53</v>
      </c>
      <c r="P157" s="11">
        <v>1.75</v>
      </c>
      <c r="Q157" s="11">
        <v>13.83999999999999</v>
      </c>
      <c r="R157" s="11">
        <v>58.62999999999998</v>
      </c>
      <c r="S157" s="11">
        <v>72.46999999999997</v>
      </c>
      <c r="T157" s="11">
        <v>2</v>
      </c>
      <c r="U157" s="11">
        <v>3</v>
      </c>
      <c r="V157" s="11">
        <v>67.46999999999997</v>
      </c>
      <c r="W157" s="13">
        <v>20</v>
      </c>
      <c r="X157" s="13">
        <v>30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376</v>
      </c>
      <c r="C158" s="10" t="s">
        <v>377</v>
      </c>
      <c r="D158" s="7" t="s">
        <v>156</v>
      </c>
      <c r="E158" s="7" t="s">
        <v>140</v>
      </c>
      <c r="F158" s="7" t="s">
        <v>348</v>
      </c>
      <c r="G158" s="7"/>
      <c r="H158" s="7"/>
      <c r="I158" s="11">
        <v>2</v>
      </c>
      <c r="J158" s="11">
        <v>3</v>
      </c>
      <c r="K158" s="11">
        <v>0</v>
      </c>
      <c r="L158" s="11">
        <v>3.440000000000002</v>
      </c>
      <c r="M158" s="11">
        <v>0</v>
      </c>
      <c r="N158" s="11">
        <v>0</v>
      </c>
      <c r="O158" s="11">
        <v>0.8999999999999999</v>
      </c>
      <c r="P158" s="11">
        <v>0</v>
      </c>
      <c r="Q158" s="11">
        <v>4.340000000000002</v>
      </c>
      <c r="R158" s="11">
        <v>27.97000000000001</v>
      </c>
      <c r="S158" s="11">
        <v>32.31000000000001</v>
      </c>
      <c r="T158" s="11">
        <v>2</v>
      </c>
      <c r="U158" s="11">
        <v>3</v>
      </c>
      <c r="V158" s="11">
        <v>27.31000000000001</v>
      </c>
      <c r="W158" s="13">
        <v>20</v>
      </c>
      <c r="X158" s="13">
        <v>30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378</v>
      </c>
      <c r="C159" s="10" t="s">
        <v>379</v>
      </c>
      <c r="D159" s="7" t="s">
        <v>68</v>
      </c>
      <c r="E159" s="7" t="s">
        <v>344</v>
      </c>
      <c r="F159" s="7" t="s">
        <v>345</v>
      </c>
      <c r="G159" s="7"/>
      <c r="H159" s="7" t="s">
        <v>48</v>
      </c>
      <c r="I159" s="11">
        <v>2</v>
      </c>
      <c r="J159" s="11">
        <v>3</v>
      </c>
      <c r="K159" s="11">
        <v>0</v>
      </c>
      <c r="L159" s="11">
        <v>6.069999999999999</v>
      </c>
      <c r="M159" s="11">
        <v>0.17</v>
      </c>
      <c r="N159" s="11">
        <v>0</v>
      </c>
      <c r="O159" s="11">
        <v>0</v>
      </c>
      <c r="P159" s="11">
        <v>0</v>
      </c>
      <c r="Q159" s="11">
        <v>6.239999999999998</v>
      </c>
      <c r="R159" s="11">
        <v>18.16</v>
      </c>
      <c r="S159" s="11">
        <v>24.4</v>
      </c>
      <c r="T159" s="11">
        <v>2</v>
      </c>
      <c r="U159" s="11">
        <v>3</v>
      </c>
      <c r="V159" s="11">
        <v>19.4</v>
      </c>
      <c r="W159" s="13">
        <v>20</v>
      </c>
      <c r="X159" s="13">
        <v>30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380</v>
      </c>
      <c r="C160" s="10" t="s">
        <v>381</v>
      </c>
      <c r="D160" s="7" t="s">
        <v>156</v>
      </c>
      <c r="E160" s="7" t="s">
        <v>140</v>
      </c>
      <c r="F160" s="7" t="s">
        <v>353</v>
      </c>
      <c r="G160" s="7"/>
      <c r="H160" s="7" t="s">
        <v>48</v>
      </c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20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382</v>
      </c>
      <c r="C161" s="10" t="s">
        <v>383</v>
      </c>
      <c r="D161" s="7" t="s">
        <v>57</v>
      </c>
      <c r="E161" s="7" t="s">
        <v>344</v>
      </c>
      <c r="F161" s="7" t="s">
        <v>345</v>
      </c>
      <c r="G161" s="7"/>
      <c r="H161" s="7" t="s">
        <v>48</v>
      </c>
      <c r="I161" s="11">
        <v>2</v>
      </c>
      <c r="J161" s="11">
        <v>3</v>
      </c>
      <c r="K161" s="11">
        <v>0</v>
      </c>
      <c r="L161" s="11">
        <v>5.37</v>
      </c>
      <c r="M161" s="11">
        <v>0.33</v>
      </c>
      <c r="N161" s="11">
        <v>0</v>
      </c>
      <c r="O161" s="11">
        <v>0.79</v>
      </c>
      <c r="P161" s="11">
        <v>1.63</v>
      </c>
      <c r="Q161" s="11">
        <v>8.119999999999994</v>
      </c>
      <c r="R161" s="11">
        <v>47.01999999999999</v>
      </c>
      <c r="S161" s="11">
        <v>55.13999999999999</v>
      </c>
      <c r="T161" s="11">
        <v>2</v>
      </c>
      <c r="U161" s="11">
        <v>3</v>
      </c>
      <c r="V161" s="11">
        <v>50.13999999999999</v>
      </c>
      <c r="W161" s="13">
        <v>20</v>
      </c>
      <c r="X161" s="13">
        <v>30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384</v>
      </c>
      <c r="C162" s="10" t="s">
        <v>385</v>
      </c>
      <c r="D162" s="7" t="s">
        <v>163</v>
      </c>
      <c r="E162" s="7" t="s">
        <v>182</v>
      </c>
      <c r="F162" s="7" t="s">
        <v>386</v>
      </c>
      <c r="G162" s="7"/>
      <c r="H162" s="7"/>
      <c r="I162" s="11">
        <v>2</v>
      </c>
      <c r="J162" s="11">
        <v>3</v>
      </c>
      <c r="K162" s="11">
        <v>0</v>
      </c>
      <c r="L162" s="11">
        <v>3.24</v>
      </c>
      <c r="M162" s="11">
        <v>0</v>
      </c>
      <c r="N162" s="11">
        <v>0</v>
      </c>
      <c r="O162" s="11">
        <v>0</v>
      </c>
      <c r="P162" s="11">
        <v>0</v>
      </c>
      <c r="Q162" s="11">
        <v>3.24</v>
      </c>
      <c r="R162" s="11">
        <v>5.24</v>
      </c>
      <c r="S162" s="11">
        <v>8.48</v>
      </c>
      <c r="T162" s="11">
        <v>2</v>
      </c>
      <c r="U162" s="11">
        <v>3</v>
      </c>
      <c r="V162" s="11">
        <v>3.48</v>
      </c>
      <c r="W162" s="13">
        <v>20</v>
      </c>
      <c r="X162" s="13">
        <v>30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387</v>
      </c>
      <c r="C163" s="10" t="s">
        <v>388</v>
      </c>
      <c r="D163" s="7" t="s">
        <v>163</v>
      </c>
      <c r="E163" s="7" t="s">
        <v>344</v>
      </c>
      <c r="F163" s="7" t="s">
        <v>345</v>
      </c>
      <c r="G163" s="7"/>
      <c r="H163" s="7" t="s">
        <v>48</v>
      </c>
      <c r="I163" s="11">
        <v>2</v>
      </c>
      <c r="J163" s="11">
        <v>3</v>
      </c>
      <c r="K163" s="11">
        <v>0</v>
      </c>
      <c r="L163" s="11">
        <v>5.830000000000002</v>
      </c>
      <c r="M163" s="11">
        <v>0.33</v>
      </c>
      <c r="N163" s="11">
        <v>0</v>
      </c>
      <c r="O163" s="11">
        <v>0.2</v>
      </c>
      <c r="P163" s="11">
        <v>0.83</v>
      </c>
      <c r="Q163" s="11">
        <v>7.190000000000004</v>
      </c>
      <c r="R163" s="11">
        <v>43.38</v>
      </c>
      <c r="S163" s="11">
        <v>50.57000000000001</v>
      </c>
      <c r="T163" s="11">
        <v>2</v>
      </c>
      <c r="U163" s="11">
        <v>3</v>
      </c>
      <c r="V163" s="11">
        <v>45.57000000000001</v>
      </c>
      <c r="W163" s="13">
        <v>20</v>
      </c>
      <c r="X163" s="13">
        <v>30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389</v>
      </c>
      <c r="C164" s="10" t="s">
        <v>390</v>
      </c>
      <c r="D164" s="7" t="s">
        <v>163</v>
      </c>
      <c r="E164" s="7" t="s">
        <v>182</v>
      </c>
      <c r="F164" s="7" t="s">
        <v>348</v>
      </c>
      <c r="G164" s="7"/>
      <c r="H164" s="7"/>
      <c r="I164" s="11">
        <v>2</v>
      </c>
      <c r="J164" s="11">
        <v>3</v>
      </c>
      <c r="K164" s="11">
        <v>0</v>
      </c>
      <c r="L164" s="11">
        <v>3.96</v>
      </c>
      <c r="M164" s="11">
        <v>0.33</v>
      </c>
      <c r="N164" s="11">
        <v>0</v>
      </c>
      <c r="O164" s="11">
        <v>0.18</v>
      </c>
      <c r="P164" s="11">
        <v>0</v>
      </c>
      <c r="Q164" s="11">
        <v>4.47</v>
      </c>
      <c r="R164" s="11">
        <v>31.52</v>
      </c>
      <c r="S164" s="11">
        <v>35.99</v>
      </c>
      <c r="T164" s="11">
        <v>2</v>
      </c>
      <c r="U164" s="11">
        <v>3</v>
      </c>
      <c r="V164" s="11">
        <v>30.99</v>
      </c>
      <c r="W164" s="13">
        <v>20</v>
      </c>
      <c r="X164" s="13">
        <v>30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391</v>
      </c>
      <c r="C165" s="10" t="s">
        <v>392</v>
      </c>
      <c r="D165" s="7" t="s">
        <v>68</v>
      </c>
      <c r="E165" s="7" t="s">
        <v>182</v>
      </c>
      <c r="F165" s="7" t="s">
        <v>345</v>
      </c>
      <c r="G165" s="7"/>
      <c r="H165" s="7"/>
      <c r="I165" s="11">
        <v>2</v>
      </c>
      <c r="J165" s="11">
        <v>3</v>
      </c>
      <c r="K165" s="11">
        <v>0</v>
      </c>
      <c r="L165" s="11">
        <v>0.06</v>
      </c>
      <c r="M165" s="11">
        <v>0.51</v>
      </c>
      <c r="N165" s="11">
        <v>0</v>
      </c>
      <c r="O165" s="11">
        <v>0.8600000000000001</v>
      </c>
      <c r="P165" s="11">
        <v>0.8</v>
      </c>
      <c r="Q165" s="11">
        <v>2.23</v>
      </c>
      <c r="R165" s="11">
        <v>27.28</v>
      </c>
      <c r="S165" s="11">
        <v>29.51000000000001</v>
      </c>
      <c r="T165" s="11">
        <v>2</v>
      </c>
      <c r="U165" s="11">
        <v>3</v>
      </c>
      <c r="V165" s="11">
        <v>24.51000000000001</v>
      </c>
      <c r="W165" s="13">
        <v>20</v>
      </c>
      <c r="X165" s="13">
        <v>30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393</v>
      </c>
      <c r="C166" s="10" t="s">
        <v>394</v>
      </c>
      <c r="D166" s="7" t="s">
        <v>108</v>
      </c>
      <c r="E166" s="7" t="s">
        <v>75</v>
      </c>
      <c r="F166" s="7" t="s">
        <v>348</v>
      </c>
      <c r="G166" s="7"/>
      <c r="H166" s="7"/>
      <c r="I166" s="11">
        <v>2</v>
      </c>
      <c r="J166" s="11">
        <v>3</v>
      </c>
      <c r="K166" s="11">
        <v>0</v>
      </c>
      <c r="L166" s="11">
        <v>4.170000000000001</v>
      </c>
      <c r="M166" s="11">
        <v>0.34</v>
      </c>
      <c r="N166" s="11">
        <v>0</v>
      </c>
      <c r="O166" s="11">
        <v>1.56</v>
      </c>
      <c r="P166" s="11">
        <v>0.8</v>
      </c>
      <c r="Q166" s="11">
        <v>6.869999999999998</v>
      </c>
      <c r="R166" s="11">
        <v>38.81999999999999</v>
      </c>
      <c r="S166" s="11">
        <v>45.68999999999999</v>
      </c>
      <c r="T166" s="11">
        <v>2</v>
      </c>
      <c r="U166" s="11">
        <v>3</v>
      </c>
      <c r="V166" s="11">
        <v>40.68999999999999</v>
      </c>
      <c r="W166" s="13">
        <v>20</v>
      </c>
      <c r="X166" s="13">
        <v>30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395</v>
      </c>
      <c r="C167" s="10" t="s">
        <v>396</v>
      </c>
      <c r="D167" s="7" t="s">
        <v>163</v>
      </c>
      <c r="E167" s="7" t="s">
        <v>182</v>
      </c>
      <c r="F167" s="7" t="s">
        <v>386</v>
      </c>
      <c r="G167" s="7"/>
      <c r="H167" s="7"/>
      <c r="I167" s="11">
        <v>2</v>
      </c>
      <c r="J167" s="11">
        <v>3</v>
      </c>
      <c r="K167" s="11">
        <v>0</v>
      </c>
      <c r="L167" s="11">
        <v>3.24</v>
      </c>
      <c r="M167" s="11">
        <v>0</v>
      </c>
      <c r="N167" s="11">
        <v>0</v>
      </c>
      <c r="O167" s="11">
        <v>0</v>
      </c>
      <c r="P167" s="11">
        <v>0</v>
      </c>
      <c r="Q167" s="11">
        <v>3.24</v>
      </c>
      <c r="R167" s="11">
        <v>4.34</v>
      </c>
      <c r="S167" s="11">
        <v>7.58</v>
      </c>
      <c r="T167" s="11">
        <v>2</v>
      </c>
      <c r="U167" s="11">
        <v>3</v>
      </c>
      <c r="V167" s="11">
        <v>2.58</v>
      </c>
      <c r="W167" s="13">
        <v>20</v>
      </c>
      <c r="X167" s="13">
        <v>30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397</v>
      </c>
      <c r="C168" s="10" t="s">
        <v>398</v>
      </c>
      <c r="D168" s="7" t="s">
        <v>163</v>
      </c>
      <c r="E168" s="7" t="s">
        <v>182</v>
      </c>
      <c r="F168" s="7" t="s">
        <v>386</v>
      </c>
      <c r="G168" s="7"/>
      <c r="H168" s="7"/>
      <c r="I168" s="11">
        <v>2</v>
      </c>
      <c r="J168" s="11">
        <v>3</v>
      </c>
      <c r="K168" s="11">
        <v>0</v>
      </c>
      <c r="L168" s="11">
        <v>3.24</v>
      </c>
      <c r="M168" s="11">
        <v>0</v>
      </c>
      <c r="N168" s="11">
        <v>0</v>
      </c>
      <c r="O168" s="11">
        <v>0</v>
      </c>
      <c r="P168" s="11">
        <v>0</v>
      </c>
      <c r="Q168" s="11">
        <v>3.24</v>
      </c>
      <c r="R168" s="11">
        <v>4.319999999999999</v>
      </c>
      <c r="S168" s="11">
        <v>7.559999999999999</v>
      </c>
      <c r="T168" s="11">
        <v>2</v>
      </c>
      <c r="U168" s="11">
        <v>3</v>
      </c>
      <c r="V168" s="11">
        <v>2.559999999999999</v>
      </c>
      <c r="W168" s="13">
        <v>20</v>
      </c>
      <c r="X168" s="13">
        <v>30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399</v>
      </c>
      <c r="C169" s="10" t="s">
        <v>400</v>
      </c>
      <c r="D169" s="7" t="s">
        <v>163</v>
      </c>
      <c r="E169" s="7" t="s">
        <v>140</v>
      </c>
      <c r="F169" s="7" t="s">
        <v>353</v>
      </c>
      <c r="G169" s="7"/>
      <c r="H169" s="7" t="s">
        <v>48</v>
      </c>
      <c r="I169" s="11">
        <v>2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0.18</v>
      </c>
      <c r="P169" s="11">
        <v>0</v>
      </c>
      <c r="Q169" s="11">
        <v>0.18</v>
      </c>
      <c r="R169" s="11">
        <v>22.73</v>
      </c>
      <c r="S169" s="11">
        <v>22.91</v>
      </c>
      <c r="T169" s="11">
        <v>2</v>
      </c>
      <c r="U169" s="11">
        <v>0</v>
      </c>
      <c r="V169" s="11">
        <v>20.91</v>
      </c>
      <c r="W169" s="13">
        <v>20</v>
      </c>
      <c r="X169" s="13">
        <v>0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401</v>
      </c>
      <c r="C170" s="10" t="s">
        <v>402</v>
      </c>
      <c r="D170" s="7" t="s">
        <v>57</v>
      </c>
      <c r="E170" s="7" t="s">
        <v>182</v>
      </c>
      <c r="F170" s="7" t="s">
        <v>345</v>
      </c>
      <c r="G170" s="7"/>
      <c r="H170" s="7" t="s">
        <v>48</v>
      </c>
      <c r="I170" s="11">
        <v>2</v>
      </c>
      <c r="J170" s="11">
        <v>3</v>
      </c>
      <c r="K170" s="11">
        <v>0</v>
      </c>
      <c r="L170" s="11">
        <v>4.670000000000002</v>
      </c>
      <c r="M170" s="11">
        <v>0.5</v>
      </c>
      <c r="N170" s="11">
        <v>0</v>
      </c>
      <c r="O170" s="11">
        <v>1.2</v>
      </c>
      <c r="P170" s="11">
        <v>0.8</v>
      </c>
      <c r="Q170" s="11">
        <v>7.170000000000002</v>
      </c>
      <c r="R170" s="11">
        <v>47.14</v>
      </c>
      <c r="S170" s="11">
        <v>54.31</v>
      </c>
      <c r="T170" s="11">
        <v>2</v>
      </c>
      <c r="U170" s="11">
        <v>3</v>
      </c>
      <c r="V170" s="11">
        <v>49.31</v>
      </c>
      <c r="W170" s="13">
        <v>20</v>
      </c>
      <c r="X170" s="13">
        <v>30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403</v>
      </c>
      <c r="C171" s="10" t="s">
        <v>404</v>
      </c>
      <c r="D171" s="7" t="s">
        <v>40</v>
      </c>
      <c r="E171" s="7" t="s">
        <v>182</v>
      </c>
      <c r="F171" s="7" t="s">
        <v>386</v>
      </c>
      <c r="G171" s="7"/>
      <c r="H171" s="7"/>
      <c r="I171" s="11">
        <v>2</v>
      </c>
      <c r="J171" s="11">
        <v>3</v>
      </c>
      <c r="K171" s="11">
        <v>0</v>
      </c>
      <c r="L171" s="11">
        <v>2.700000000000001</v>
      </c>
      <c r="M171" s="11">
        <v>0</v>
      </c>
      <c r="N171" s="11">
        <v>0</v>
      </c>
      <c r="O171" s="11">
        <v>0.6</v>
      </c>
      <c r="P171" s="11">
        <v>0</v>
      </c>
      <c r="Q171" s="11">
        <v>3.300000000000001</v>
      </c>
      <c r="R171" s="11">
        <v>4.200000000000001</v>
      </c>
      <c r="S171" s="11">
        <v>7.500000000000002</v>
      </c>
      <c r="T171" s="11">
        <v>2</v>
      </c>
      <c r="U171" s="11">
        <v>3</v>
      </c>
      <c r="V171" s="11">
        <v>2.500000000000002</v>
      </c>
      <c r="W171" s="13">
        <v>20</v>
      </c>
      <c r="X171" s="13">
        <v>30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405</v>
      </c>
      <c r="C172" s="10" t="s">
        <v>406</v>
      </c>
      <c r="D172" s="7" t="s">
        <v>40</v>
      </c>
      <c r="E172" s="7" t="s">
        <v>182</v>
      </c>
      <c r="F172" s="7" t="s">
        <v>345</v>
      </c>
      <c r="G172" s="7"/>
      <c r="H172" s="7"/>
      <c r="I172" s="11">
        <v>2</v>
      </c>
      <c r="J172" s="11">
        <v>3</v>
      </c>
      <c r="K172" s="11">
        <v>0</v>
      </c>
      <c r="L172" s="11">
        <v>3.360000000000001</v>
      </c>
      <c r="M172" s="11">
        <v>0.34</v>
      </c>
      <c r="N172" s="11">
        <v>0</v>
      </c>
      <c r="O172" s="11">
        <v>2.28</v>
      </c>
      <c r="P172" s="11">
        <v>1.75</v>
      </c>
      <c r="Q172" s="11">
        <v>7.730000000000002</v>
      </c>
      <c r="R172" s="11">
        <v>55.29000000000001</v>
      </c>
      <c r="S172" s="11">
        <v>63.02000000000001</v>
      </c>
      <c r="T172" s="11">
        <v>2</v>
      </c>
      <c r="U172" s="11">
        <v>3</v>
      </c>
      <c r="V172" s="11">
        <v>58.02000000000001</v>
      </c>
      <c r="W172" s="13">
        <v>20</v>
      </c>
      <c r="X172" s="13">
        <v>30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407</v>
      </c>
      <c r="C173" s="10" t="s">
        <v>408</v>
      </c>
      <c r="D173" s="7" t="s">
        <v>57</v>
      </c>
      <c r="E173" s="7" t="s">
        <v>182</v>
      </c>
      <c r="F173" s="7" t="s">
        <v>386</v>
      </c>
      <c r="G173" s="7"/>
      <c r="H173" s="7"/>
      <c r="I173" s="11">
        <v>2</v>
      </c>
      <c r="J173" s="11">
        <v>3</v>
      </c>
      <c r="K173" s="11">
        <v>0</v>
      </c>
      <c r="L173" s="11">
        <v>3.36</v>
      </c>
      <c r="M173" s="11">
        <v>0</v>
      </c>
      <c r="N173" s="11">
        <v>0</v>
      </c>
      <c r="O173" s="11">
        <v>0.8999999999999999</v>
      </c>
      <c r="P173" s="11">
        <v>0</v>
      </c>
      <c r="Q173" s="11">
        <v>4.26</v>
      </c>
      <c r="R173" s="11">
        <v>8.040000000000003</v>
      </c>
      <c r="S173" s="11">
        <v>12.3</v>
      </c>
      <c r="T173" s="11">
        <v>2</v>
      </c>
      <c r="U173" s="11">
        <v>3</v>
      </c>
      <c r="V173" s="11">
        <v>7.300000000000002</v>
      </c>
      <c r="W173" s="13">
        <v>20</v>
      </c>
      <c r="X173" s="13">
        <v>30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409</v>
      </c>
      <c r="C174" s="10" t="s">
        <v>410</v>
      </c>
      <c r="D174" s="7" t="s">
        <v>68</v>
      </c>
      <c r="E174" s="7" t="s">
        <v>182</v>
      </c>
      <c r="F174" s="7" t="s">
        <v>386</v>
      </c>
      <c r="G174" s="7"/>
      <c r="H174" s="7"/>
      <c r="I174" s="11">
        <v>2</v>
      </c>
      <c r="J174" s="11">
        <v>3</v>
      </c>
      <c r="K174" s="11">
        <v>0</v>
      </c>
      <c r="L174" s="11">
        <v>1.2</v>
      </c>
      <c r="M174" s="11">
        <v>0</v>
      </c>
      <c r="N174" s="11">
        <v>0</v>
      </c>
      <c r="O174" s="11">
        <v>0.74</v>
      </c>
      <c r="P174" s="11">
        <v>0</v>
      </c>
      <c r="Q174" s="11">
        <v>1.94</v>
      </c>
      <c r="R174" s="11">
        <v>2.18</v>
      </c>
      <c r="S174" s="11">
        <v>4.12</v>
      </c>
      <c r="T174" s="11">
        <v>2</v>
      </c>
      <c r="U174" s="11">
        <v>2.12</v>
      </c>
      <c r="V174" s="11">
        <v>0</v>
      </c>
      <c r="W174" s="13">
        <v>20</v>
      </c>
      <c r="X174" s="13">
        <v>30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411</v>
      </c>
      <c r="C175" s="10" t="s">
        <v>412</v>
      </c>
      <c r="D175" s="7" t="s">
        <v>68</v>
      </c>
      <c r="E175" s="7" t="s">
        <v>182</v>
      </c>
      <c r="F175" s="7" t="s">
        <v>386</v>
      </c>
      <c r="G175" s="7"/>
      <c r="H175" s="7"/>
      <c r="I175" s="11">
        <v>2</v>
      </c>
      <c r="J175" s="11">
        <v>3</v>
      </c>
      <c r="K175" s="11">
        <v>0</v>
      </c>
      <c r="L175" s="11">
        <v>0.48</v>
      </c>
      <c r="M175" s="11">
        <v>0</v>
      </c>
      <c r="N175" s="11">
        <v>0</v>
      </c>
      <c r="O175" s="11">
        <v>0.36</v>
      </c>
      <c r="P175" s="11">
        <v>0</v>
      </c>
      <c r="Q175" s="11">
        <v>0.84</v>
      </c>
      <c r="R175" s="11">
        <v>2.22</v>
      </c>
      <c r="S175" s="11">
        <v>3.06</v>
      </c>
      <c r="T175" s="11">
        <v>2</v>
      </c>
      <c r="U175" s="11">
        <v>1.06</v>
      </c>
      <c r="V175" s="11">
        <v>0</v>
      </c>
      <c r="W175" s="13">
        <v>20</v>
      </c>
      <c r="X175" s="13">
        <v>30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6" spans="1:676">
      <c r="A176" s="7">
        <v>166</v>
      </c>
      <c r="B176" s="7" t="s">
        <v>413</v>
      </c>
      <c r="C176" s="10" t="s">
        <v>414</v>
      </c>
      <c r="D176" s="7" t="s">
        <v>51</v>
      </c>
      <c r="E176" s="7" t="s">
        <v>182</v>
      </c>
      <c r="F176" s="7" t="s">
        <v>348</v>
      </c>
      <c r="G176" s="7"/>
      <c r="H176" s="7" t="s">
        <v>48</v>
      </c>
      <c r="I176" s="11">
        <v>2</v>
      </c>
      <c r="J176" s="11">
        <v>3</v>
      </c>
      <c r="K176" s="11">
        <v>0</v>
      </c>
      <c r="L176" s="11">
        <v>7.509999999999996</v>
      </c>
      <c r="M176" s="11">
        <v>0.5</v>
      </c>
      <c r="N176" s="11">
        <v>0</v>
      </c>
      <c r="O176" s="11">
        <v>0.42</v>
      </c>
      <c r="P176" s="11">
        <v>0.83</v>
      </c>
      <c r="Q176" s="11">
        <v>9.259999999999996</v>
      </c>
      <c r="R176" s="11">
        <v>56.21999999999998</v>
      </c>
      <c r="S176" s="11">
        <v>65.47999999999998</v>
      </c>
      <c r="T176" s="11">
        <v>2</v>
      </c>
      <c r="U176" s="11">
        <v>3</v>
      </c>
      <c r="V176" s="11">
        <v>60.47999999999998</v>
      </c>
      <c r="W176" s="13">
        <v>20</v>
      </c>
      <c r="X176" s="13">
        <v>30</v>
      </c>
      <c r="Y176" s="13" t="str">
        <f>MIN(W176,S176)</f>
        <v>0</v>
      </c>
      <c r="Z176" s="13" t="str">
        <f>MIN(X176,(S176-Y176))</f>
        <v>0</v>
      </c>
      <c r="AA176" s="13" t="str">
        <f>S176-SUM(Y176,Z176)</f>
        <v>0</v>
      </c>
      <c r="AB176" s="15"/>
      <c r="AC176" s="15"/>
      <c r="AD176" s="1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  <c r="PX176" s="5"/>
      <c r="PY176" s="5"/>
      <c r="PZ176" s="5"/>
      <c r="QA176" s="5"/>
      <c r="QB176" s="5"/>
      <c r="QC176" s="5"/>
      <c r="QD176" s="5"/>
      <c r="QE176" s="5"/>
      <c r="QF176" s="5"/>
      <c r="QG176" s="5"/>
      <c r="QH176" s="5"/>
      <c r="QI176" s="5"/>
      <c r="QJ176" s="5"/>
      <c r="QK176" s="5"/>
      <c r="QL176" s="5"/>
      <c r="QM176" s="5"/>
      <c r="QN176" s="5"/>
      <c r="QO176" s="5"/>
      <c r="QP176" s="5"/>
      <c r="QQ176" s="5"/>
      <c r="QR176" s="5"/>
      <c r="QS176" s="5"/>
      <c r="QT176" s="5"/>
      <c r="QU176" s="5"/>
      <c r="QV176" s="5"/>
      <c r="QW176" s="5"/>
      <c r="QX176" s="5"/>
      <c r="QY176" s="5"/>
      <c r="QZ176" s="5"/>
      <c r="RA176" s="5"/>
      <c r="RB176" s="5"/>
      <c r="RC176" s="5"/>
      <c r="RD176" s="5"/>
      <c r="RE176" s="5"/>
      <c r="RF176" s="5"/>
      <c r="RG176" s="5"/>
      <c r="RH176" s="5"/>
      <c r="RI176" s="5"/>
      <c r="RJ176" s="5"/>
      <c r="RK176" s="5"/>
      <c r="RL176" s="5"/>
      <c r="RM176" s="5"/>
      <c r="RN176" s="5"/>
      <c r="RO176" s="5"/>
      <c r="RP176" s="5"/>
      <c r="RQ176" s="5"/>
      <c r="RR176" s="5"/>
      <c r="RS176" s="5"/>
      <c r="RT176" s="5"/>
      <c r="RU176" s="5"/>
      <c r="RV176" s="5"/>
      <c r="RW176" s="5"/>
      <c r="RX176" s="5"/>
      <c r="RY176" s="5"/>
      <c r="RZ176" s="5"/>
      <c r="SA176" s="5"/>
      <c r="SB176" s="5"/>
      <c r="SC176" s="5"/>
      <c r="SD176" s="5"/>
      <c r="SE176" s="5"/>
      <c r="SF176" s="5"/>
      <c r="SG176" s="5"/>
      <c r="SH176" s="5"/>
      <c r="SI176" s="5"/>
      <c r="SJ176" s="5"/>
      <c r="SK176" s="5"/>
      <c r="SL176" s="5"/>
      <c r="SM176" s="5"/>
      <c r="SN176" s="5"/>
      <c r="SO176" s="5"/>
      <c r="SP176" s="5"/>
      <c r="SQ176" s="5"/>
      <c r="SR176" s="5"/>
      <c r="SS176" s="5"/>
      <c r="ST176" s="5"/>
      <c r="SU176" s="5"/>
      <c r="SV176" s="5"/>
      <c r="SW176" s="5"/>
      <c r="SX176" s="5"/>
      <c r="SY176" s="5"/>
      <c r="SZ176" s="5"/>
      <c r="TA176" s="5"/>
      <c r="TB176" s="5"/>
      <c r="TC176" s="5"/>
      <c r="TD176" s="5"/>
      <c r="TE176" s="5"/>
      <c r="TF176" s="5"/>
      <c r="TG176" s="5"/>
      <c r="TH176" s="5"/>
      <c r="TI176" s="5"/>
      <c r="TJ176" s="5"/>
      <c r="TK176" s="5"/>
      <c r="TL176" s="5"/>
      <c r="TM176" s="5"/>
      <c r="TN176" s="5"/>
      <c r="TO176" s="5"/>
      <c r="TP176" s="5"/>
      <c r="TQ176" s="5"/>
      <c r="TR176" s="5"/>
      <c r="TS176" s="5"/>
      <c r="TT176" s="5"/>
      <c r="TU176" s="5"/>
      <c r="TV176" s="5"/>
      <c r="TW176" s="5"/>
      <c r="TX176" s="5"/>
      <c r="TY176" s="5"/>
      <c r="TZ176" s="5"/>
      <c r="UA176" s="5"/>
      <c r="UB176" s="5"/>
      <c r="UC176" s="5"/>
      <c r="UD176" s="5"/>
      <c r="UE176" s="5"/>
      <c r="UF176" s="5"/>
      <c r="UG176" s="5"/>
      <c r="UH176" s="5"/>
      <c r="UI176" s="5"/>
      <c r="UJ176" s="5"/>
      <c r="UK176" s="5"/>
      <c r="UL176" s="5"/>
      <c r="UM176" s="5"/>
      <c r="UN176" s="5"/>
      <c r="UO176" s="5"/>
      <c r="UP176" s="5"/>
      <c r="UQ176" s="5"/>
      <c r="UR176" s="5"/>
      <c r="US176" s="5"/>
      <c r="UT176" s="5"/>
      <c r="UU176" s="5"/>
      <c r="UV176" s="5"/>
      <c r="UW176" s="5"/>
      <c r="UX176" s="5"/>
      <c r="UY176" s="5"/>
      <c r="UZ176" s="5"/>
      <c r="VA176" s="5"/>
      <c r="VB176" s="5"/>
      <c r="VC176" s="5"/>
      <c r="VD176" s="5"/>
      <c r="VE176" s="5"/>
      <c r="VF176" s="5"/>
      <c r="VG176" s="5"/>
      <c r="VH176" s="5"/>
      <c r="VI176" s="5"/>
      <c r="VJ176" s="5"/>
      <c r="VK176" s="5"/>
      <c r="VL176" s="5"/>
      <c r="VM176" s="5"/>
      <c r="VN176" s="5"/>
      <c r="VO176" s="5"/>
      <c r="VP176" s="5"/>
      <c r="VQ176" s="5"/>
      <c r="VR176" s="5"/>
      <c r="VS176" s="5"/>
      <c r="VT176" s="5"/>
      <c r="VU176" s="5"/>
      <c r="VV176" s="5"/>
      <c r="VW176" s="5"/>
      <c r="VX176" s="5"/>
      <c r="VY176" s="5"/>
      <c r="VZ176" s="5"/>
      <c r="WA176" s="5"/>
      <c r="WB176" s="5"/>
      <c r="WC176" s="5"/>
      <c r="WD176" s="5"/>
      <c r="WE176" s="5"/>
      <c r="WF176" s="5"/>
      <c r="WG176" s="5"/>
      <c r="WH176" s="5"/>
      <c r="WI176" s="5"/>
      <c r="WJ176" s="5"/>
      <c r="WK176" s="5"/>
      <c r="WL176" s="5"/>
      <c r="WM176" s="5"/>
      <c r="WN176" s="5"/>
      <c r="WO176" s="5"/>
      <c r="WP176" s="5"/>
      <c r="WQ176" s="5"/>
      <c r="WR176" s="5"/>
      <c r="WS176" s="5"/>
      <c r="WT176" s="5"/>
      <c r="WU176" s="5"/>
      <c r="WV176" s="5"/>
      <c r="WW176" s="5"/>
      <c r="WX176" s="5"/>
      <c r="WY176" s="5"/>
      <c r="WZ176" s="5"/>
      <c r="XA176" s="5"/>
      <c r="XB176" s="5"/>
      <c r="XC176" s="5"/>
      <c r="XD176" s="5"/>
      <c r="XE176" s="5"/>
      <c r="XF176" s="5"/>
      <c r="XG176" s="5"/>
      <c r="XH176" s="5"/>
      <c r="XI176" s="5"/>
      <c r="XJ176" s="5"/>
      <c r="XK176" s="5"/>
      <c r="XL176" s="5"/>
      <c r="XM176" s="5"/>
      <c r="XN176" s="5"/>
      <c r="XO176" s="5"/>
      <c r="XP176" s="5"/>
      <c r="XQ176" s="5"/>
      <c r="XR176" s="5"/>
      <c r="XS176" s="5"/>
      <c r="XT176" s="5"/>
      <c r="XU176" s="5"/>
      <c r="XV176" s="5"/>
      <c r="XW176" s="5"/>
      <c r="XX176" s="5"/>
      <c r="XY176" s="5"/>
      <c r="XZ176" s="5"/>
      <c r="YA176" s="5"/>
      <c r="YB176" s="5"/>
      <c r="YC176" s="5"/>
      <c r="YD176" s="5"/>
      <c r="YE176" s="5"/>
      <c r="YF176" s="5"/>
      <c r="YG176" s="5"/>
      <c r="YH176" s="5"/>
      <c r="YI176" s="5"/>
      <c r="YJ176" s="5"/>
      <c r="YK176" s="5"/>
      <c r="YL176" s="5"/>
      <c r="YM176" s="5"/>
      <c r="YN176" s="5"/>
      <c r="YO176" s="5"/>
      <c r="YP176" s="5"/>
      <c r="YQ176" s="5"/>
      <c r="YR176" s="5"/>
      <c r="YS176" s="5"/>
      <c r="YT176" s="5"/>
      <c r="YU176" s="5"/>
      <c r="YV176" s="5"/>
      <c r="YW176" s="5"/>
      <c r="YX176" s="5"/>
      <c r="YY176" s="5"/>
      <c r="YZ176" s="5"/>
    </row>
    <row r="177" spans="1:676">
      <c r="A177" s="7">
        <v>167</v>
      </c>
      <c r="B177" s="7" t="s">
        <v>415</v>
      </c>
      <c r="C177" s="10" t="s">
        <v>416</v>
      </c>
      <c r="D177" s="7" t="s">
        <v>103</v>
      </c>
      <c r="E177" s="7" t="s">
        <v>140</v>
      </c>
      <c r="F177" s="7" t="s">
        <v>353</v>
      </c>
      <c r="G177" s="7"/>
      <c r="H177" s="7" t="s">
        <v>48</v>
      </c>
      <c r="I177" s="11">
        <v>2</v>
      </c>
      <c r="J177" s="11">
        <v>0</v>
      </c>
      <c r="K177" s="11">
        <v>0</v>
      </c>
      <c r="L177" s="11">
        <v>0.78</v>
      </c>
      <c r="M177" s="11">
        <v>0</v>
      </c>
      <c r="N177" s="11">
        <v>0</v>
      </c>
      <c r="O177" s="11">
        <v>0</v>
      </c>
      <c r="P177" s="11">
        <v>0</v>
      </c>
      <c r="Q177" s="11">
        <v>0.78</v>
      </c>
      <c r="R177" s="11">
        <v>0.12</v>
      </c>
      <c r="S177" s="11">
        <v>0.9</v>
      </c>
      <c r="T177" s="11">
        <v>0.9</v>
      </c>
      <c r="U177" s="11">
        <v>0</v>
      </c>
      <c r="V177" s="11">
        <v>0</v>
      </c>
      <c r="W177" s="13">
        <v>20</v>
      </c>
      <c r="X177" s="13">
        <v>0</v>
      </c>
      <c r="Y177" s="13" t="str">
        <f>MIN(W177,S177)</f>
        <v>0</v>
      </c>
      <c r="Z177" s="13" t="str">
        <f>MIN(X177,(S177-Y177))</f>
        <v>0</v>
      </c>
      <c r="AA177" s="13" t="str">
        <f>S177-SUM(Y177,Z177)</f>
        <v>0</v>
      </c>
      <c r="AB177" s="15"/>
      <c r="AC177" s="15"/>
      <c r="AD177" s="1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  <c r="ML177" s="5"/>
      <c r="MM177" s="5"/>
      <c r="MN177" s="5"/>
      <c r="MO177" s="5"/>
      <c r="MP177" s="5"/>
      <c r="MQ177" s="5"/>
      <c r="MR177" s="5"/>
      <c r="MS177" s="5"/>
      <c r="MT177" s="5"/>
      <c r="MU177" s="5"/>
      <c r="MV177" s="5"/>
      <c r="MW177" s="5"/>
      <c r="MX177" s="5"/>
      <c r="MY177" s="5"/>
      <c r="MZ177" s="5"/>
      <c r="NA177" s="5"/>
      <c r="NB177" s="5"/>
      <c r="NC177" s="5"/>
      <c r="ND177" s="5"/>
      <c r="NE177" s="5"/>
      <c r="NF177" s="5"/>
      <c r="NG177" s="5"/>
      <c r="NH177" s="5"/>
      <c r="NI177" s="5"/>
      <c r="NJ177" s="5"/>
      <c r="NK177" s="5"/>
      <c r="NL177" s="5"/>
      <c r="NM177" s="5"/>
      <c r="NN177" s="5"/>
      <c r="NO177" s="5"/>
      <c r="NP177" s="5"/>
      <c r="NQ177" s="5"/>
      <c r="NR177" s="5"/>
      <c r="NS177" s="5"/>
      <c r="NT177" s="5"/>
      <c r="NU177" s="5"/>
      <c r="NV177" s="5"/>
      <c r="NW177" s="5"/>
      <c r="NX177" s="5"/>
      <c r="NY177" s="5"/>
      <c r="NZ177" s="5"/>
      <c r="OA177" s="5"/>
      <c r="OB177" s="5"/>
      <c r="OC177" s="5"/>
      <c r="OD177" s="5"/>
      <c r="OE177" s="5"/>
      <c r="OF177" s="5"/>
      <c r="OG177" s="5"/>
      <c r="OH177" s="5"/>
      <c r="OI177" s="5"/>
      <c r="OJ177" s="5"/>
      <c r="OK177" s="5"/>
      <c r="OL177" s="5"/>
      <c r="OM177" s="5"/>
      <c r="ON177" s="5"/>
      <c r="OO177" s="5"/>
      <c r="OP177" s="5"/>
      <c r="OQ177" s="5"/>
      <c r="OR177" s="5"/>
      <c r="OS177" s="5"/>
      <c r="OT177" s="5"/>
      <c r="OU177" s="5"/>
      <c r="OV177" s="5"/>
      <c r="OW177" s="5"/>
      <c r="OX177" s="5"/>
      <c r="OY177" s="5"/>
      <c r="OZ177" s="5"/>
      <c r="PA177" s="5"/>
      <c r="PB177" s="5"/>
      <c r="PC177" s="5"/>
      <c r="PD177" s="5"/>
      <c r="PE177" s="5"/>
      <c r="PF177" s="5"/>
      <c r="PG177" s="5"/>
      <c r="PH177" s="5"/>
      <c r="PI177" s="5"/>
      <c r="PJ177" s="5"/>
      <c r="PK177" s="5"/>
      <c r="PL177" s="5"/>
      <c r="PM177" s="5"/>
      <c r="PN177" s="5"/>
      <c r="PO177" s="5"/>
      <c r="PP177" s="5"/>
      <c r="PQ177" s="5"/>
      <c r="PR177" s="5"/>
      <c r="PS177" s="5"/>
      <c r="PT177" s="5"/>
      <c r="PU177" s="5"/>
      <c r="PV177" s="5"/>
      <c r="PW177" s="5"/>
      <c r="PX177" s="5"/>
      <c r="PY177" s="5"/>
      <c r="PZ177" s="5"/>
      <c r="QA177" s="5"/>
      <c r="QB177" s="5"/>
      <c r="QC177" s="5"/>
      <c r="QD177" s="5"/>
      <c r="QE177" s="5"/>
      <c r="QF177" s="5"/>
      <c r="QG177" s="5"/>
      <c r="QH177" s="5"/>
      <c r="QI177" s="5"/>
      <c r="QJ177" s="5"/>
      <c r="QK177" s="5"/>
      <c r="QL177" s="5"/>
      <c r="QM177" s="5"/>
      <c r="QN177" s="5"/>
      <c r="QO177" s="5"/>
      <c r="QP177" s="5"/>
      <c r="QQ177" s="5"/>
      <c r="QR177" s="5"/>
      <c r="QS177" s="5"/>
      <c r="QT177" s="5"/>
      <c r="QU177" s="5"/>
      <c r="QV177" s="5"/>
      <c r="QW177" s="5"/>
      <c r="QX177" s="5"/>
      <c r="QY177" s="5"/>
      <c r="QZ177" s="5"/>
      <c r="RA177" s="5"/>
      <c r="RB177" s="5"/>
      <c r="RC177" s="5"/>
      <c r="RD177" s="5"/>
      <c r="RE177" s="5"/>
      <c r="RF177" s="5"/>
      <c r="RG177" s="5"/>
      <c r="RH177" s="5"/>
      <c r="RI177" s="5"/>
      <c r="RJ177" s="5"/>
      <c r="RK177" s="5"/>
      <c r="RL177" s="5"/>
      <c r="RM177" s="5"/>
      <c r="RN177" s="5"/>
      <c r="RO177" s="5"/>
      <c r="RP177" s="5"/>
      <c r="RQ177" s="5"/>
      <c r="RR177" s="5"/>
      <c r="RS177" s="5"/>
      <c r="RT177" s="5"/>
      <c r="RU177" s="5"/>
      <c r="RV177" s="5"/>
      <c r="RW177" s="5"/>
      <c r="RX177" s="5"/>
      <c r="RY177" s="5"/>
      <c r="RZ177" s="5"/>
      <c r="SA177" s="5"/>
      <c r="SB177" s="5"/>
      <c r="SC177" s="5"/>
      <c r="SD177" s="5"/>
      <c r="SE177" s="5"/>
      <c r="SF177" s="5"/>
      <c r="SG177" s="5"/>
      <c r="SH177" s="5"/>
      <c r="SI177" s="5"/>
      <c r="SJ177" s="5"/>
      <c r="SK177" s="5"/>
      <c r="SL177" s="5"/>
      <c r="SM177" s="5"/>
      <c r="SN177" s="5"/>
      <c r="SO177" s="5"/>
      <c r="SP177" s="5"/>
      <c r="SQ177" s="5"/>
      <c r="SR177" s="5"/>
      <c r="SS177" s="5"/>
      <c r="ST177" s="5"/>
      <c r="SU177" s="5"/>
      <c r="SV177" s="5"/>
      <c r="SW177" s="5"/>
      <c r="SX177" s="5"/>
      <c r="SY177" s="5"/>
      <c r="SZ177" s="5"/>
      <c r="TA177" s="5"/>
      <c r="TB177" s="5"/>
      <c r="TC177" s="5"/>
      <c r="TD177" s="5"/>
      <c r="TE177" s="5"/>
      <c r="TF177" s="5"/>
      <c r="TG177" s="5"/>
      <c r="TH177" s="5"/>
      <c r="TI177" s="5"/>
      <c r="TJ177" s="5"/>
      <c r="TK177" s="5"/>
      <c r="TL177" s="5"/>
      <c r="TM177" s="5"/>
      <c r="TN177" s="5"/>
      <c r="TO177" s="5"/>
      <c r="TP177" s="5"/>
      <c r="TQ177" s="5"/>
      <c r="TR177" s="5"/>
      <c r="TS177" s="5"/>
      <c r="TT177" s="5"/>
      <c r="TU177" s="5"/>
      <c r="TV177" s="5"/>
      <c r="TW177" s="5"/>
      <c r="TX177" s="5"/>
      <c r="TY177" s="5"/>
      <c r="TZ177" s="5"/>
      <c r="UA177" s="5"/>
      <c r="UB177" s="5"/>
      <c r="UC177" s="5"/>
      <c r="UD177" s="5"/>
      <c r="UE177" s="5"/>
      <c r="UF177" s="5"/>
      <c r="UG177" s="5"/>
      <c r="UH177" s="5"/>
      <c r="UI177" s="5"/>
      <c r="UJ177" s="5"/>
      <c r="UK177" s="5"/>
      <c r="UL177" s="5"/>
      <c r="UM177" s="5"/>
      <c r="UN177" s="5"/>
      <c r="UO177" s="5"/>
      <c r="UP177" s="5"/>
      <c r="UQ177" s="5"/>
      <c r="UR177" s="5"/>
      <c r="US177" s="5"/>
      <c r="UT177" s="5"/>
      <c r="UU177" s="5"/>
      <c r="UV177" s="5"/>
      <c r="UW177" s="5"/>
      <c r="UX177" s="5"/>
      <c r="UY177" s="5"/>
      <c r="UZ177" s="5"/>
      <c r="VA177" s="5"/>
      <c r="VB177" s="5"/>
      <c r="VC177" s="5"/>
      <c r="VD177" s="5"/>
      <c r="VE177" s="5"/>
      <c r="VF177" s="5"/>
      <c r="VG177" s="5"/>
      <c r="VH177" s="5"/>
      <c r="VI177" s="5"/>
      <c r="VJ177" s="5"/>
      <c r="VK177" s="5"/>
      <c r="VL177" s="5"/>
      <c r="VM177" s="5"/>
      <c r="VN177" s="5"/>
      <c r="VO177" s="5"/>
      <c r="VP177" s="5"/>
      <c r="VQ177" s="5"/>
      <c r="VR177" s="5"/>
      <c r="VS177" s="5"/>
      <c r="VT177" s="5"/>
      <c r="VU177" s="5"/>
      <c r="VV177" s="5"/>
      <c r="VW177" s="5"/>
      <c r="VX177" s="5"/>
      <c r="VY177" s="5"/>
      <c r="VZ177" s="5"/>
      <c r="WA177" s="5"/>
      <c r="WB177" s="5"/>
      <c r="WC177" s="5"/>
      <c r="WD177" s="5"/>
      <c r="WE177" s="5"/>
      <c r="WF177" s="5"/>
      <c r="WG177" s="5"/>
      <c r="WH177" s="5"/>
      <c r="WI177" s="5"/>
      <c r="WJ177" s="5"/>
      <c r="WK177" s="5"/>
      <c r="WL177" s="5"/>
      <c r="WM177" s="5"/>
      <c r="WN177" s="5"/>
      <c r="WO177" s="5"/>
      <c r="WP177" s="5"/>
      <c r="WQ177" s="5"/>
      <c r="WR177" s="5"/>
      <c r="WS177" s="5"/>
      <c r="WT177" s="5"/>
      <c r="WU177" s="5"/>
      <c r="WV177" s="5"/>
      <c r="WW177" s="5"/>
      <c r="WX177" s="5"/>
      <c r="WY177" s="5"/>
      <c r="WZ177" s="5"/>
      <c r="XA177" s="5"/>
      <c r="XB177" s="5"/>
      <c r="XC177" s="5"/>
      <c r="XD177" s="5"/>
      <c r="XE177" s="5"/>
      <c r="XF177" s="5"/>
      <c r="XG177" s="5"/>
      <c r="XH177" s="5"/>
      <c r="XI177" s="5"/>
      <c r="XJ177" s="5"/>
      <c r="XK177" s="5"/>
      <c r="XL177" s="5"/>
      <c r="XM177" s="5"/>
      <c r="XN177" s="5"/>
      <c r="XO177" s="5"/>
      <c r="XP177" s="5"/>
      <c r="XQ177" s="5"/>
      <c r="XR177" s="5"/>
      <c r="XS177" s="5"/>
      <c r="XT177" s="5"/>
      <c r="XU177" s="5"/>
      <c r="XV177" s="5"/>
      <c r="XW177" s="5"/>
      <c r="XX177" s="5"/>
      <c r="XY177" s="5"/>
      <c r="XZ177" s="5"/>
      <c r="YA177" s="5"/>
      <c r="YB177" s="5"/>
      <c r="YC177" s="5"/>
      <c r="YD177" s="5"/>
      <c r="YE177" s="5"/>
      <c r="YF177" s="5"/>
      <c r="YG177" s="5"/>
      <c r="YH177" s="5"/>
      <c r="YI177" s="5"/>
      <c r="YJ177" s="5"/>
      <c r="YK177" s="5"/>
      <c r="YL177" s="5"/>
      <c r="YM177" s="5"/>
      <c r="YN177" s="5"/>
      <c r="YO177" s="5"/>
      <c r="YP177" s="5"/>
      <c r="YQ177" s="5"/>
      <c r="YR177" s="5"/>
      <c r="YS177" s="5"/>
      <c r="YT177" s="5"/>
      <c r="YU177" s="5"/>
      <c r="YV177" s="5"/>
      <c r="YW177" s="5"/>
      <c r="YX177" s="5"/>
      <c r="YY177" s="5"/>
      <c r="YZ177" s="5"/>
    </row>
    <row r="178" spans="1:676">
      <c r="A178" s="7">
        <v>168</v>
      </c>
      <c r="B178" s="7" t="s">
        <v>417</v>
      </c>
      <c r="C178" s="10" t="s">
        <v>418</v>
      </c>
      <c r="D178" s="7" t="s">
        <v>153</v>
      </c>
      <c r="E178" s="7" t="s">
        <v>61</v>
      </c>
      <c r="F178" s="7" t="s">
        <v>419</v>
      </c>
      <c r="G178" s="7"/>
      <c r="H178" s="7" t="s">
        <v>48</v>
      </c>
      <c r="I178" s="11">
        <v>2</v>
      </c>
      <c r="J178" s="11">
        <v>3</v>
      </c>
      <c r="K178" s="11">
        <v>0</v>
      </c>
      <c r="L178" s="11">
        <v>5.310000000000002</v>
      </c>
      <c r="M178" s="11">
        <v>0.17</v>
      </c>
      <c r="N178" s="11">
        <v>0</v>
      </c>
      <c r="O178" s="11">
        <v>0.36</v>
      </c>
      <c r="P178" s="11">
        <v>0</v>
      </c>
      <c r="Q178" s="11">
        <v>5.840000000000003</v>
      </c>
      <c r="R178" s="11">
        <v>44.13</v>
      </c>
      <c r="S178" s="11">
        <v>49.97000000000001</v>
      </c>
      <c r="T178" s="11">
        <v>2</v>
      </c>
      <c r="U178" s="11">
        <v>3</v>
      </c>
      <c r="V178" s="11">
        <v>44.97000000000001</v>
      </c>
      <c r="W178" s="13">
        <v>20</v>
      </c>
      <c r="X178" s="13">
        <v>30</v>
      </c>
      <c r="Y178" s="13" t="str">
        <f>MIN(W178,S178)</f>
        <v>0</v>
      </c>
      <c r="Z178" s="13" t="str">
        <f>MIN(X178,(S178-Y178))</f>
        <v>0</v>
      </c>
      <c r="AA178" s="13" t="str">
        <f>S178-SUM(Y178,Z178)</f>
        <v>0</v>
      </c>
      <c r="AB178" s="15"/>
      <c r="AC178" s="15"/>
      <c r="AD178" s="1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/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/>
      <c r="JX178" s="5"/>
      <c r="JY178" s="5"/>
      <c r="JZ178" s="5"/>
      <c r="KA178" s="5"/>
      <c r="KB178" s="5"/>
      <c r="KC178" s="5"/>
      <c r="KD178" s="5"/>
      <c r="KE178" s="5"/>
      <c r="KF178" s="5"/>
      <c r="KG178" s="5"/>
      <c r="KH178" s="5"/>
      <c r="KI178" s="5"/>
      <c r="KJ178" s="5"/>
      <c r="KK178" s="5"/>
      <c r="KL178" s="5"/>
      <c r="KM178" s="5"/>
      <c r="KN178" s="5"/>
      <c r="KO178" s="5"/>
      <c r="KP178" s="5"/>
      <c r="KQ178" s="5"/>
      <c r="KR178" s="5"/>
      <c r="KS178" s="5"/>
      <c r="KT178" s="5"/>
      <c r="KU178" s="5"/>
      <c r="KV178" s="5"/>
      <c r="KW178" s="5"/>
      <c r="KX178" s="5"/>
      <c r="KY178" s="5"/>
      <c r="KZ178" s="5"/>
      <c r="LA178" s="5"/>
      <c r="LB178" s="5"/>
      <c r="LC178" s="5"/>
      <c r="LD178" s="5"/>
      <c r="LE178" s="5"/>
      <c r="LF178" s="5"/>
      <c r="LG178" s="5"/>
      <c r="LH178" s="5"/>
      <c r="LI178" s="5"/>
      <c r="LJ178" s="5"/>
      <c r="LK178" s="5"/>
      <c r="LL178" s="5"/>
      <c r="LM178" s="5"/>
      <c r="LN178" s="5"/>
      <c r="LO178" s="5"/>
      <c r="LP178" s="5"/>
      <c r="LQ178" s="5"/>
      <c r="LR178" s="5"/>
      <c r="LS178" s="5"/>
      <c r="LT178" s="5"/>
      <c r="LU178" s="5"/>
      <c r="LV178" s="5"/>
      <c r="LW178" s="5"/>
      <c r="LX178" s="5"/>
      <c r="LY178" s="5"/>
      <c r="LZ178" s="5"/>
      <c r="MA178" s="5"/>
      <c r="MB178" s="5"/>
      <c r="MC178" s="5"/>
      <c r="MD178" s="5"/>
      <c r="ME178" s="5"/>
      <c r="MF178" s="5"/>
      <c r="MG178" s="5"/>
      <c r="MH178" s="5"/>
      <c r="MI178" s="5"/>
      <c r="MJ178" s="5"/>
      <c r="MK178" s="5"/>
      <c r="ML178" s="5"/>
      <c r="MM178" s="5"/>
      <c r="MN178" s="5"/>
      <c r="MO178" s="5"/>
      <c r="MP178" s="5"/>
      <c r="MQ178" s="5"/>
      <c r="MR178" s="5"/>
      <c r="MS178" s="5"/>
      <c r="MT178" s="5"/>
      <c r="MU178" s="5"/>
      <c r="MV178" s="5"/>
      <c r="MW178" s="5"/>
      <c r="MX178" s="5"/>
      <c r="MY178" s="5"/>
      <c r="MZ178" s="5"/>
      <c r="NA178" s="5"/>
      <c r="NB178" s="5"/>
      <c r="NC178" s="5"/>
      <c r="ND178" s="5"/>
      <c r="NE178" s="5"/>
      <c r="NF178" s="5"/>
      <c r="NG178" s="5"/>
      <c r="NH178" s="5"/>
      <c r="NI178" s="5"/>
      <c r="NJ178" s="5"/>
      <c r="NK178" s="5"/>
      <c r="NL178" s="5"/>
      <c r="NM178" s="5"/>
      <c r="NN178" s="5"/>
      <c r="NO178" s="5"/>
      <c r="NP178" s="5"/>
      <c r="NQ178" s="5"/>
      <c r="NR178" s="5"/>
      <c r="NS178" s="5"/>
      <c r="NT178" s="5"/>
      <c r="NU178" s="5"/>
      <c r="NV178" s="5"/>
      <c r="NW178" s="5"/>
      <c r="NX178" s="5"/>
      <c r="NY178" s="5"/>
      <c r="NZ178" s="5"/>
      <c r="OA178" s="5"/>
      <c r="OB178" s="5"/>
      <c r="OC178" s="5"/>
      <c r="OD178" s="5"/>
      <c r="OE178" s="5"/>
      <c r="OF178" s="5"/>
      <c r="OG178" s="5"/>
      <c r="OH178" s="5"/>
      <c r="OI178" s="5"/>
      <c r="OJ178" s="5"/>
      <c r="OK178" s="5"/>
      <c r="OL178" s="5"/>
      <c r="OM178" s="5"/>
      <c r="ON178" s="5"/>
      <c r="OO178" s="5"/>
      <c r="OP178" s="5"/>
      <c r="OQ178" s="5"/>
      <c r="OR178" s="5"/>
      <c r="OS178" s="5"/>
      <c r="OT178" s="5"/>
      <c r="OU178" s="5"/>
      <c r="OV178" s="5"/>
      <c r="OW178" s="5"/>
      <c r="OX178" s="5"/>
      <c r="OY178" s="5"/>
      <c r="OZ178" s="5"/>
      <c r="PA178" s="5"/>
      <c r="PB178" s="5"/>
      <c r="PC178" s="5"/>
      <c r="PD178" s="5"/>
      <c r="PE178" s="5"/>
      <c r="PF178" s="5"/>
      <c r="PG178" s="5"/>
      <c r="PH178" s="5"/>
      <c r="PI178" s="5"/>
      <c r="PJ178" s="5"/>
      <c r="PK178" s="5"/>
      <c r="PL178" s="5"/>
      <c r="PM178" s="5"/>
      <c r="PN178" s="5"/>
      <c r="PO178" s="5"/>
      <c r="PP178" s="5"/>
      <c r="PQ178" s="5"/>
      <c r="PR178" s="5"/>
      <c r="PS178" s="5"/>
      <c r="PT178" s="5"/>
      <c r="PU178" s="5"/>
      <c r="PV178" s="5"/>
      <c r="PW178" s="5"/>
      <c r="PX178" s="5"/>
      <c r="PY178" s="5"/>
      <c r="PZ178" s="5"/>
      <c r="QA178" s="5"/>
      <c r="QB178" s="5"/>
      <c r="QC178" s="5"/>
      <c r="QD178" s="5"/>
      <c r="QE178" s="5"/>
      <c r="QF178" s="5"/>
      <c r="QG178" s="5"/>
      <c r="QH178" s="5"/>
      <c r="QI178" s="5"/>
      <c r="QJ178" s="5"/>
      <c r="QK178" s="5"/>
      <c r="QL178" s="5"/>
      <c r="QM178" s="5"/>
      <c r="QN178" s="5"/>
      <c r="QO178" s="5"/>
      <c r="QP178" s="5"/>
      <c r="QQ178" s="5"/>
      <c r="QR178" s="5"/>
      <c r="QS178" s="5"/>
      <c r="QT178" s="5"/>
      <c r="QU178" s="5"/>
      <c r="QV178" s="5"/>
      <c r="QW178" s="5"/>
      <c r="QX178" s="5"/>
      <c r="QY178" s="5"/>
      <c r="QZ178" s="5"/>
      <c r="RA178" s="5"/>
      <c r="RB178" s="5"/>
      <c r="RC178" s="5"/>
      <c r="RD178" s="5"/>
      <c r="RE178" s="5"/>
      <c r="RF178" s="5"/>
      <c r="RG178" s="5"/>
      <c r="RH178" s="5"/>
      <c r="RI178" s="5"/>
      <c r="RJ178" s="5"/>
      <c r="RK178" s="5"/>
      <c r="RL178" s="5"/>
      <c r="RM178" s="5"/>
      <c r="RN178" s="5"/>
      <c r="RO178" s="5"/>
      <c r="RP178" s="5"/>
      <c r="RQ178" s="5"/>
      <c r="RR178" s="5"/>
      <c r="RS178" s="5"/>
      <c r="RT178" s="5"/>
      <c r="RU178" s="5"/>
      <c r="RV178" s="5"/>
      <c r="RW178" s="5"/>
      <c r="RX178" s="5"/>
      <c r="RY178" s="5"/>
      <c r="RZ178" s="5"/>
      <c r="SA178" s="5"/>
      <c r="SB178" s="5"/>
      <c r="SC178" s="5"/>
      <c r="SD178" s="5"/>
      <c r="SE178" s="5"/>
      <c r="SF178" s="5"/>
      <c r="SG178" s="5"/>
      <c r="SH178" s="5"/>
      <c r="SI178" s="5"/>
      <c r="SJ178" s="5"/>
      <c r="SK178" s="5"/>
      <c r="SL178" s="5"/>
      <c r="SM178" s="5"/>
      <c r="SN178" s="5"/>
      <c r="SO178" s="5"/>
      <c r="SP178" s="5"/>
      <c r="SQ178" s="5"/>
      <c r="SR178" s="5"/>
      <c r="SS178" s="5"/>
      <c r="ST178" s="5"/>
      <c r="SU178" s="5"/>
      <c r="SV178" s="5"/>
      <c r="SW178" s="5"/>
      <c r="SX178" s="5"/>
      <c r="SY178" s="5"/>
      <c r="SZ178" s="5"/>
      <c r="TA178" s="5"/>
      <c r="TB178" s="5"/>
      <c r="TC178" s="5"/>
      <c r="TD178" s="5"/>
      <c r="TE178" s="5"/>
      <c r="TF178" s="5"/>
      <c r="TG178" s="5"/>
      <c r="TH178" s="5"/>
      <c r="TI178" s="5"/>
      <c r="TJ178" s="5"/>
      <c r="TK178" s="5"/>
      <c r="TL178" s="5"/>
      <c r="TM178" s="5"/>
      <c r="TN178" s="5"/>
      <c r="TO178" s="5"/>
      <c r="TP178" s="5"/>
      <c r="TQ178" s="5"/>
      <c r="TR178" s="5"/>
      <c r="TS178" s="5"/>
      <c r="TT178" s="5"/>
      <c r="TU178" s="5"/>
      <c r="TV178" s="5"/>
      <c r="TW178" s="5"/>
      <c r="TX178" s="5"/>
      <c r="TY178" s="5"/>
      <c r="TZ178" s="5"/>
      <c r="UA178" s="5"/>
      <c r="UB178" s="5"/>
      <c r="UC178" s="5"/>
      <c r="UD178" s="5"/>
      <c r="UE178" s="5"/>
      <c r="UF178" s="5"/>
      <c r="UG178" s="5"/>
      <c r="UH178" s="5"/>
      <c r="UI178" s="5"/>
      <c r="UJ178" s="5"/>
      <c r="UK178" s="5"/>
      <c r="UL178" s="5"/>
      <c r="UM178" s="5"/>
      <c r="UN178" s="5"/>
      <c r="UO178" s="5"/>
      <c r="UP178" s="5"/>
      <c r="UQ178" s="5"/>
      <c r="UR178" s="5"/>
      <c r="US178" s="5"/>
      <c r="UT178" s="5"/>
      <c r="UU178" s="5"/>
      <c r="UV178" s="5"/>
      <c r="UW178" s="5"/>
      <c r="UX178" s="5"/>
      <c r="UY178" s="5"/>
      <c r="UZ178" s="5"/>
      <c r="VA178" s="5"/>
      <c r="VB178" s="5"/>
      <c r="VC178" s="5"/>
      <c r="VD178" s="5"/>
      <c r="VE178" s="5"/>
      <c r="VF178" s="5"/>
      <c r="VG178" s="5"/>
      <c r="VH178" s="5"/>
      <c r="VI178" s="5"/>
      <c r="VJ178" s="5"/>
      <c r="VK178" s="5"/>
      <c r="VL178" s="5"/>
      <c r="VM178" s="5"/>
      <c r="VN178" s="5"/>
      <c r="VO178" s="5"/>
      <c r="VP178" s="5"/>
      <c r="VQ178" s="5"/>
      <c r="VR178" s="5"/>
      <c r="VS178" s="5"/>
      <c r="VT178" s="5"/>
      <c r="VU178" s="5"/>
      <c r="VV178" s="5"/>
      <c r="VW178" s="5"/>
      <c r="VX178" s="5"/>
      <c r="VY178" s="5"/>
      <c r="VZ178" s="5"/>
      <c r="WA178" s="5"/>
      <c r="WB178" s="5"/>
      <c r="WC178" s="5"/>
      <c r="WD178" s="5"/>
      <c r="WE178" s="5"/>
      <c r="WF178" s="5"/>
      <c r="WG178" s="5"/>
      <c r="WH178" s="5"/>
      <c r="WI178" s="5"/>
      <c r="WJ178" s="5"/>
      <c r="WK178" s="5"/>
      <c r="WL178" s="5"/>
      <c r="WM178" s="5"/>
      <c r="WN178" s="5"/>
      <c r="WO178" s="5"/>
      <c r="WP178" s="5"/>
      <c r="WQ178" s="5"/>
      <c r="WR178" s="5"/>
      <c r="WS178" s="5"/>
      <c r="WT178" s="5"/>
      <c r="WU178" s="5"/>
      <c r="WV178" s="5"/>
      <c r="WW178" s="5"/>
      <c r="WX178" s="5"/>
      <c r="WY178" s="5"/>
      <c r="WZ178" s="5"/>
      <c r="XA178" s="5"/>
      <c r="XB178" s="5"/>
      <c r="XC178" s="5"/>
      <c r="XD178" s="5"/>
      <c r="XE178" s="5"/>
      <c r="XF178" s="5"/>
      <c r="XG178" s="5"/>
      <c r="XH178" s="5"/>
      <c r="XI178" s="5"/>
      <c r="XJ178" s="5"/>
      <c r="XK178" s="5"/>
      <c r="XL178" s="5"/>
      <c r="XM178" s="5"/>
      <c r="XN178" s="5"/>
      <c r="XO178" s="5"/>
      <c r="XP178" s="5"/>
      <c r="XQ178" s="5"/>
      <c r="XR178" s="5"/>
      <c r="XS178" s="5"/>
      <c r="XT178" s="5"/>
      <c r="XU178" s="5"/>
      <c r="XV178" s="5"/>
      <c r="XW178" s="5"/>
      <c r="XX178" s="5"/>
      <c r="XY178" s="5"/>
      <c r="XZ178" s="5"/>
      <c r="YA178" s="5"/>
      <c r="YB178" s="5"/>
      <c r="YC178" s="5"/>
      <c r="YD178" s="5"/>
      <c r="YE178" s="5"/>
      <c r="YF178" s="5"/>
      <c r="YG178" s="5"/>
      <c r="YH178" s="5"/>
      <c r="YI178" s="5"/>
      <c r="YJ178" s="5"/>
      <c r="YK178" s="5"/>
      <c r="YL178" s="5"/>
      <c r="YM178" s="5"/>
      <c r="YN178" s="5"/>
      <c r="YO178" s="5"/>
      <c r="YP178" s="5"/>
      <c r="YQ178" s="5"/>
      <c r="YR178" s="5"/>
      <c r="YS178" s="5"/>
      <c r="YT178" s="5"/>
      <c r="YU178" s="5"/>
      <c r="YV178" s="5"/>
      <c r="YW178" s="5"/>
      <c r="YX178" s="5"/>
      <c r="YY178" s="5"/>
      <c r="YZ178" s="5"/>
    </row>
    <row r="179" spans="1:676">
      <c r="A179" s="7">
        <v>169</v>
      </c>
      <c r="B179" s="7" t="s">
        <v>420</v>
      </c>
      <c r="C179" s="10" t="s">
        <v>421</v>
      </c>
      <c r="D179" s="7" t="s">
        <v>57</v>
      </c>
      <c r="E179" s="7" t="s">
        <v>344</v>
      </c>
      <c r="F179" s="7" t="s">
        <v>345</v>
      </c>
      <c r="G179" s="7"/>
      <c r="H179" s="7" t="s">
        <v>48</v>
      </c>
      <c r="I179" s="11">
        <v>2</v>
      </c>
      <c r="J179" s="11">
        <v>3</v>
      </c>
      <c r="K179" s="11">
        <v>0</v>
      </c>
      <c r="L179" s="11">
        <v>7.929999999999997</v>
      </c>
      <c r="M179" s="11">
        <v>0.33</v>
      </c>
      <c r="N179" s="11">
        <v>0</v>
      </c>
      <c r="O179" s="11">
        <v>0.84</v>
      </c>
      <c r="P179" s="11">
        <v>0</v>
      </c>
      <c r="Q179" s="11">
        <v>9.099999999999996</v>
      </c>
      <c r="R179" s="11">
        <v>26.59999999999999</v>
      </c>
      <c r="S179" s="11">
        <v>35.69999999999998</v>
      </c>
      <c r="T179" s="11">
        <v>2</v>
      </c>
      <c r="U179" s="11">
        <v>3</v>
      </c>
      <c r="V179" s="11">
        <v>30.69999999999998</v>
      </c>
      <c r="W179" s="13">
        <v>20</v>
      </c>
      <c r="X179" s="13">
        <v>30</v>
      </c>
      <c r="Y179" s="13" t="str">
        <f>MIN(W179,S179)</f>
        <v>0</v>
      </c>
      <c r="Z179" s="13" t="str">
        <f>MIN(X179,(S179-Y179))</f>
        <v>0</v>
      </c>
      <c r="AA179" s="13" t="str">
        <f>S179-SUM(Y179,Z179)</f>
        <v>0</v>
      </c>
      <c r="AB179" s="15"/>
      <c r="AC179" s="15"/>
      <c r="AD179" s="1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  <c r="JC179" s="5"/>
      <c r="JD179" s="5"/>
      <c r="JE179" s="5"/>
      <c r="JF179" s="5"/>
      <c r="JG179" s="5"/>
      <c r="JH179" s="5"/>
      <c r="JI179" s="5"/>
      <c r="JJ179" s="5"/>
      <c r="JK179" s="5"/>
      <c r="JL179" s="5"/>
      <c r="JM179" s="5"/>
      <c r="JN179" s="5"/>
      <c r="JO179" s="5"/>
      <c r="JP179" s="5"/>
      <c r="JQ179" s="5"/>
      <c r="JR179" s="5"/>
      <c r="JS179" s="5"/>
      <c r="JT179" s="5"/>
      <c r="JU179" s="5"/>
      <c r="JV179" s="5"/>
      <c r="JW179" s="5"/>
      <c r="JX179" s="5"/>
      <c r="JY179" s="5"/>
      <c r="JZ179" s="5"/>
      <c r="KA179" s="5"/>
      <c r="KB179" s="5"/>
      <c r="KC179" s="5"/>
      <c r="KD179" s="5"/>
      <c r="KE179" s="5"/>
      <c r="KF179" s="5"/>
      <c r="KG179" s="5"/>
      <c r="KH179" s="5"/>
      <c r="KI179" s="5"/>
      <c r="KJ179" s="5"/>
      <c r="KK179" s="5"/>
      <c r="KL179" s="5"/>
      <c r="KM179" s="5"/>
      <c r="KN179" s="5"/>
      <c r="KO179" s="5"/>
      <c r="KP179" s="5"/>
      <c r="KQ179" s="5"/>
      <c r="KR179" s="5"/>
      <c r="KS179" s="5"/>
      <c r="KT179" s="5"/>
      <c r="KU179" s="5"/>
      <c r="KV179" s="5"/>
      <c r="KW179" s="5"/>
      <c r="KX179" s="5"/>
      <c r="KY179" s="5"/>
      <c r="KZ179" s="5"/>
      <c r="LA179" s="5"/>
      <c r="LB179" s="5"/>
      <c r="LC179" s="5"/>
      <c r="LD179" s="5"/>
      <c r="LE179" s="5"/>
      <c r="LF179" s="5"/>
      <c r="LG179" s="5"/>
      <c r="LH179" s="5"/>
      <c r="LI179" s="5"/>
      <c r="LJ179" s="5"/>
      <c r="LK179" s="5"/>
      <c r="LL179" s="5"/>
      <c r="LM179" s="5"/>
      <c r="LN179" s="5"/>
      <c r="LO179" s="5"/>
      <c r="LP179" s="5"/>
      <c r="LQ179" s="5"/>
      <c r="LR179" s="5"/>
      <c r="LS179" s="5"/>
      <c r="LT179" s="5"/>
      <c r="LU179" s="5"/>
      <c r="LV179" s="5"/>
      <c r="LW179" s="5"/>
      <c r="LX179" s="5"/>
      <c r="LY179" s="5"/>
      <c r="LZ179" s="5"/>
      <c r="MA179" s="5"/>
      <c r="MB179" s="5"/>
      <c r="MC179" s="5"/>
      <c r="MD179" s="5"/>
      <c r="ME179" s="5"/>
      <c r="MF179" s="5"/>
      <c r="MG179" s="5"/>
      <c r="MH179" s="5"/>
      <c r="MI179" s="5"/>
      <c r="MJ179" s="5"/>
      <c r="MK179" s="5"/>
      <c r="ML179" s="5"/>
      <c r="MM179" s="5"/>
      <c r="MN179" s="5"/>
      <c r="MO179" s="5"/>
      <c r="MP179" s="5"/>
      <c r="MQ179" s="5"/>
      <c r="MR179" s="5"/>
      <c r="MS179" s="5"/>
      <c r="MT179" s="5"/>
      <c r="MU179" s="5"/>
      <c r="MV179" s="5"/>
      <c r="MW179" s="5"/>
      <c r="MX179" s="5"/>
      <c r="MY179" s="5"/>
      <c r="MZ179" s="5"/>
      <c r="NA179" s="5"/>
      <c r="NB179" s="5"/>
      <c r="NC179" s="5"/>
      <c r="ND179" s="5"/>
      <c r="NE179" s="5"/>
      <c r="NF179" s="5"/>
      <c r="NG179" s="5"/>
      <c r="NH179" s="5"/>
      <c r="NI179" s="5"/>
      <c r="NJ179" s="5"/>
      <c r="NK179" s="5"/>
      <c r="NL179" s="5"/>
      <c r="NM179" s="5"/>
      <c r="NN179" s="5"/>
      <c r="NO179" s="5"/>
      <c r="NP179" s="5"/>
      <c r="NQ179" s="5"/>
      <c r="NR179" s="5"/>
      <c r="NS179" s="5"/>
      <c r="NT179" s="5"/>
      <c r="NU179" s="5"/>
      <c r="NV179" s="5"/>
      <c r="NW179" s="5"/>
      <c r="NX179" s="5"/>
      <c r="NY179" s="5"/>
      <c r="NZ179" s="5"/>
      <c r="OA179" s="5"/>
      <c r="OB179" s="5"/>
      <c r="OC179" s="5"/>
      <c r="OD179" s="5"/>
      <c r="OE179" s="5"/>
      <c r="OF179" s="5"/>
      <c r="OG179" s="5"/>
      <c r="OH179" s="5"/>
      <c r="OI179" s="5"/>
      <c r="OJ179" s="5"/>
      <c r="OK179" s="5"/>
      <c r="OL179" s="5"/>
      <c r="OM179" s="5"/>
      <c r="ON179" s="5"/>
      <c r="OO179" s="5"/>
      <c r="OP179" s="5"/>
      <c r="OQ179" s="5"/>
      <c r="OR179" s="5"/>
      <c r="OS179" s="5"/>
      <c r="OT179" s="5"/>
      <c r="OU179" s="5"/>
      <c r="OV179" s="5"/>
      <c r="OW179" s="5"/>
      <c r="OX179" s="5"/>
      <c r="OY179" s="5"/>
      <c r="OZ179" s="5"/>
      <c r="PA179" s="5"/>
      <c r="PB179" s="5"/>
      <c r="PC179" s="5"/>
      <c r="PD179" s="5"/>
      <c r="PE179" s="5"/>
      <c r="PF179" s="5"/>
      <c r="PG179" s="5"/>
      <c r="PH179" s="5"/>
      <c r="PI179" s="5"/>
      <c r="PJ179" s="5"/>
      <c r="PK179" s="5"/>
      <c r="PL179" s="5"/>
      <c r="PM179" s="5"/>
      <c r="PN179" s="5"/>
      <c r="PO179" s="5"/>
      <c r="PP179" s="5"/>
      <c r="PQ179" s="5"/>
      <c r="PR179" s="5"/>
      <c r="PS179" s="5"/>
      <c r="PT179" s="5"/>
      <c r="PU179" s="5"/>
      <c r="PV179" s="5"/>
      <c r="PW179" s="5"/>
      <c r="PX179" s="5"/>
      <c r="PY179" s="5"/>
      <c r="PZ179" s="5"/>
      <c r="QA179" s="5"/>
      <c r="QB179" s="5"/>
      <c r="QC179" s="5"/>
      <c r="QD179" s="5"/>
      <c r="QE179" s="5"/>
      <c r="QF179" s="5"/>
      <c r="QG179" s="5"/>
      <c r="QH179" s="5"/>
      <c r="QI179" s="5"/>
      <c r="QJ179" s="5"/>
      <c r="QK179" s="5"/>
      <c r="QL179" s="5"/>
      <c r="QM179" s="5"/>
      <c r="QN179" s="5"/>
      <c r="QO179" s="5"/>
      <c r="QP179" s="5"/>
      <c r="QQ179" s="5"/>
      <c r="QR179" s="5"/>
      <c r="QS179" s="5"/>
      <c r="QT179" s="5"/>
      <c r="QU179" s="5"/>
      <c r="QV179" s="5"/>
      <c r="QW179" s="5"/>
      <c r="QX179" s="5"/>
      <c r="QY179" s="5"/>
      <c r="QZ179" s="5"/>
      <c r="RA179" s="5"/>
      <c r="RB179" s="5"/>
      <c r="RC179" s="5"/>
      <c r="RD179" s="5"/>
      <c r="RE179" s="5"/>
      <c r="RF179" s="5"/>
      <c r="RG179" s="5"/>
      <c r="RH179" s="5"/>
      <c r="RI179" s="5"/>
      <c r="RJ179" s="5"/>
      <c r="RK179" s="5"/>
      <c r="RL179" s="5"/>
      <c r="RM179" s="5"/>
      <c r="RN179" s="5"/>
      <c r="RO179" s="5"/>
      <c r="RP179" s="5"/>
      <c r="RQ179" s="5"/>
      <c r="RR179" s="5"/>
      <c r="RS179" s="5"/>
      <c r="RT179" s="5"/>
      <c r="RU179" s="5"/>
      <c r="RV179" s="5"/>
      <c r="RW179" s="5"/>
      <c r="RX179" s="5"/>
      <c r="RY179" s="5"/>
      <c r="RZ179" s="5"/>
      <c r="SA179" s="5"/>
      <c r="SB179" s="5"/>
      <c r="SC179" s="5"/>
      <c r="SD179" s="5"/>
      <c r="SE179" s="5"/>
      <c r="SF179" s="5"/>
      <c r="SG179" s="5"/>
      <c r="SH179" s="5"/>
      <c r="SI179" s="5"/>
      <c r="SJ179" s="5"/>
      <c r="SK179" s="5"/>
      <c r="SL179" s="5"/>
      <c r="SM179" s="5"/>
      <c r="SN179" s="5"/>
      <c r="SO179" s="5"/>
      <c r="SP179" s="5"/>
      <c r="SQ179" s="5"/>
      <c r="SR179" s="5"/>
      <c r="SS179" s="5"/>
      <c r="ST179" s="5"/>
      <c r="SU179" s="5"/>
      <c r="SV179" s="5"/>
      <c r="SW179" s="5"/>
      <c r="SX179" s="5"/>
      <c r="SY179" s="5"/>
      <c r="SZ179" s="5"/>
      <c r="TA179" s="5"/>
      <c r="TB179" s="5"/>
      <c r="TC179" s="5"/>
      <c r="TD179" s="5"/>
      <c r="TE179" s="5"/>
      <c r="TF179" s="5"/>
      <c r="TG179" s="5"/>
      <c r="TH179" s="5"/>
      <c r="TI179" s="5"/>
      <c r="TJ179" s="5"/>
      <c r="TK179" s="5"/>
      <c r="TL179" s="5"/>
      <c r="TM179" s="5"/>
      <c r="TN179" s="5"/>
      <c r="TO179" s="5"/>
      <c r="TP179" s="5"/>
      <c r="TQ179" s="5"/>
      <c r="TR179" s="5"/>
      <c r="TS179" s="5"/>
      <c r="TT179" s="5"/>
      <c r="TU179" s="5"/>
      <c r="TV179" s="5"/>
      <c r="TW179" s="5"/>
      <c r="TX179" s="5"/>
      <c r="TY179" s="5"/>
      <c r="TZ179" s="5"/>
      <c r="UA179" s="5"/>
      <c r="UB179" s="5"/>
      <c r="UC179" s="5"/>
      <c r="UD179" s="5"/>
      <c r="UE179" s="5"/>
      <c r="UF179" s="5"/>
      <c r="UG179" s="5"/>
      <c r="UH179" s="5"/>
      <c r="UI179" s="5"/>
      <c r="UJ179" s="5"/>
      <c r="UK179" s="5"/>
      <c r="UL179" s="5"/>
      <c r="UM179" s="5"/>
      <c r="UN179" s="5"/>
      <c r="UO179" s="5"/>
      <c r="UP179" s="5"/>
      <c r="UQ179" s="5"/>
      <c r="UR179" s="5"/>
      <c r="US179" s="5"/>
      <c r="UT179" s="5"/>
      <c r="UU179" s="5"/>
      <c r="UV179" s="5"/>
      <c r="UW179" s="5"/>
      <c r="UX179" s="5"/>
      <c r="UY179" s="5"/>
      <c r="UZ179" s="5"/>
      <c r="VA179" s="5"/>
      <c r="VB179" s="5"/>
      <c r="VC179" s="5"/>
      <c r="VD179" s="5"/>
      <c r="VE179" s="5"/>
      <c r="VF179" s="5"/>
      <c r="VG179" s="5"/>
      <c r="VH179" s="5"/>
      <c r="VI179" s="5"/>
      <c r="VJ179" s="5"/>
      <c r="VK179" s="5"/>
      <c r="VL179" s="5"/>
      <c r="VM179" s="5"/>
      <c r="VN179" s="5"/>
      <c r="VO179" s="5"/>
      <c r="VP179" s="5"/>
      <c r="VQ179" s="5"/>
      <c r="VR179" s="5"/>
      <c r="VS179" s="5"/>
      <c r="VT179" s="5"/>
      <c r="VU179" s="5"/>
      <c r="VV179" s="5"/>
      <c r="VW179" s="5"/>
      <c r="VX179" s="5"/>
      <c r="VY179" s="5"/>
      <c r="VZ179" s="5"/>
      <c r="WA179" s="5"/>
      <c r="WB179" s="5"/>
      <c r="WC179" s="5"/>
      <c r="WD179" s="5"/>
      <c r="WE179" s="5"/>
      <c r="WF179" s="5"/>
      <c r="WG179" s="5"/>
      <c r="WH179" s="5"/>
      <c r="WI179" s="5"/>
      <c r="WJ179" s="5"/>
      <c r="WK179" s="5"/>
      <c r="WL179" s="5"/>
      <c r="WM179" s="5"/>
      <c r="WN179" s="5"/>
      <c r="WO179" s="5"/>
      <c r="WP179" s="5"/>
      <c r="WQ179" s="5"/>
      <c r="WR179" s="5"/>
      <c r="WS179" s="5"/>
      <c r="WT179" s="5"/>
      <c r="WU179" s="5"/>
      <c r="WV179" s="5"/>
      <c r="WW179" s="5"/>
      <c r="WX179" s="5"/>
      <c r="WY179" s="5"/>
      <c r="WZ179" s="5"/>
      <c r="XA179" s="5"/>
      <c r="XB179" s="5"/>
      <c r="XC179" s="5"/>
      <c r="XD179" s="5"/>
      <c r="XE179" s="5"/>
      <c r="XF179" s="5"/>
      <c r="XG179" s="5"/>
      <c r="XH179" s="5"/>
      <c r="XI179" s="5"/>
      <c r="XJ179" s="5"/>
      <c r="XK179" s="5"/>
      <c r="XL179" s="5"/>
      <c r="XM179" s="5"/>
      <c r="XN179" s="5"/>
      <c r="XO179" s="5"/>
      <c r="XP179" s="5"/>
      <c r="XQ179" s="5"/>
      <c r="XR179" s="5"/>
      <c r="XS179" s="5"/>
      <c r="XT179" s="5"/>
      <c r="XU179" s="5"/>
      <c r="XV179" s="5"/>
      <c r="XW179" s="5"/>
      <c r="XX179" s="5"/>
      <c r="XY179" s="5"/>
      <c r="XZ179" s="5"/>
      <c r="YA179" s="5"/>
      <c r="YB179" s="5"/>
      <c r="YC179" s="5"/>
      <c r="YD179" s="5"/>
      <c r="YE179" s="5"/>
      <c r="YF179" s="5"/>
      <c r="YG179" s="5"/>
      <c r="YH179" s="5"/>
      <c r="YI179" s="5"/>
      <c r="YJ179" s="5"/>
      <c r="YK179" s="5"/>
      <c r="YL179" s="5"/>
      <c r="YM179" s="5"/>
      <c r="YN179" s="5"/>
      <c r="YO179" s="5"/>
      <c r="YP179" s="5"/>
      <c r="YQ179" s="5"/>
      <c r="YR179" s="5"/>
      <c r="YS179" s="5"/>
      <c r="YT179" s="5"/>
      <c r="YU179" s="5"/>
      <c r="YV179" s="5"/>
      <c r="YW179" s="5"/>
      <c r="YX179" s="5"/>
      <c r="YY179" s="5"/>
      <c r="YZ179" s="5"/>
    </row>
    <row r="180" spans="1:676">
      <c r="A180" s="7">
        <v>170</v>
      </c>
      <c r="B180" s="7" t="s">
        <v>422</v>
      </c>
      <c r="C180" s="10" t="s">
        <v>423</v>
      </c>
      <c r="D180" s="7" t="s">
        <v>51</v>
      </c>
      <c r="E180" s="7" t="s">
        <v>182</v>
      </c>
      <c r="F180" s="7" t="s">
        <v>386</v>
      </c>
      <c r="G180" s="7"/>
      <c r="H180" s="7"/>
      <c r="I180" s="11">
        <v>2</v>
      </c>
      <c r="J180" s="11">
        <v>3</v>
      </c>
      <c r="K180" s="11">
        <v>0</v>
      </c>
      <c r="L180" s="11">
        <v>2.64</v>
      </c>
      <c r="M180" s="11">
        <v>0</v>
      </c>
      <c r="N180" s="11">
        <v>0</v>
      </c>
      <c r="O180" s="11">
        <v>0.18</v>
      </c>
      <c r="P180" s="11">
        <v>0</v>
      </c>
      <c r="Q180" s="11">
        <v>2.82</v>
      </c>
      <c r="R180" s="11">
        <v>3.6</v>
      </c>
      <c r="S180" s="11">
        <v>6.42</v>
      </c>
      <c r="T180" s="11">
        <v>2</v>
      </c>
      <c r="U180" s="11">
        <v>3</v>
      </c>
      <c r="V180" s="11">
        <v>1.42</v>
      </c>
      <c r="W180" s="13">
        <v>20</v>
      </c>
      <c r="X180" s="13">
        <v>30</v>
      </c>
      <c r="Y180" s="13" t="str">
        <f>MIN(W180,S180)</f>
        <v>0</v>
      </c>
      <c r="Z180" s="13" t="str">
        <f>MIN(X180,(S180-Y180))</f>
        <v>0</v>
      </c>
      <c r="AA180" s="13" t="str">
        <f>S180-SUM(Y180,Z180)</f>
        <v>0</v>
      </c>
      <c r="AB180" s="15"/>
      <c r="AC180" s="15"/>
      <c r="AD180" s="1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5"/>
      <c r="JB180" s="5"/>
      <c r="JC180" s="5"/>
      <c r="JD180" s="5"/>
      <c r="JE180" s="5"/>
      <c r="JF180" s="5"/>
      <c r="JG180" s="5"/>
      <c r="JH180" s="5"/>
      <c r="JI180" s="5"/>
      <c r="JJ180" s="5"/>
      <c r="JK180" s="5"/>
      <c r="JL180" s="5"/>
      <c r="JM180" s="5"/>
      <c r="JN180" s="5"/>
      <c r="JO180" s="5"/>
      <c r="JP180" s="5"/>
      <c r="JQ180" s="5"/>
      <c r="JR180" s="5"/>
      <c r="JS180" s="5"/>
      <c r="JT180" s="5"/>
      <c r="JU180" s="5"/>
      <c r="JV180" s="5"/>
      <c r="JW180" s="5"/>
      <c r="JX180" s="5"/>
      <c r="JY180" s="5"/>
      <c r="JZ180" s="5"/>
      <c r="KA180" s="5"/>
      <c r="KB180" s="5"/>
      <c r="KC180" s="5"/>
      <c r="KD180" s="5"/>
      <c r="KE180" s="5"/>
      <c r="KF180" s="5"/>
      <c r="KG180" s="5"/>
      <c r="KH180" s="5"/>
      <c r="KI180" s="5"/>
      <c r="KJ180" s="5"/>
      <c r="KK180" s="5"/>
      <c r="KL180" s="5"/>
      <c r="KM180" s="5"/>
      <c r="KN180" s="5"/>
      <c r="KO180" s="5"/>
      <c r="KP180" s="5"/>
      <c r="KQ180" s="5"/>
      <c r="KR180" s="5"/>
      <c r="KS180" s="5"/>
      <c r="KT180" s="5"/>
      <c r="KU180" s="5"/>
      <c r="KV180" s="5"/>
      <c r="KW180" s="5"/>
      <c r="KX180" s="5"/>
      <c r="KY180" s="5"/>
      <c r="KZ180" s="5"/>
      <c r="LA180" s="5"/>
      <c r="LB180" s="5"/>
      <c r="LC180" s="5"/>
      <c r="LD180" s="5"/>
      <c r="LE180" s="5"/>
      <c r="LF180" s="5"/>
      <c r="LG180" s="5"/>
      <c r="LH180" s="5"/>
      <c r="LI180" s="5"/>
      <c r="LJ180" s="5"/>
      <c r="LK180" s="5"/>
      <c r="LL180" s="5"/>
      <c r="LM180" s="5"/>
      <c r="LN180" s="5"/>
      <c r="LO180" s="5"/>
      <c r="LP180" s="5"/>
      <c r="LQ180" s="5"/>
      <c r="LR180" s="5"/>
      <c r="LS180" s="5"/>
      <c r="LT180" s="5"/>
      <c r="LU180" s="5"/>
      <c r="LV180" s="5"/>
      <c r="LW180" s="5"/>
      <c r="LX180" s="5"/>
      <c r="LY180" s="5"/>
      <c r="LZ180" s="5"/>
      <c r="MA180" s="5"/>
      <c r="MB180" s="5"/>
      <c r="MC180" s="5"/>
      <c r="MD180" s="5"/>
      <c r="ME180" s="5"/>
      <c r="MF180" s="5"/>
      <c r="MG180" s="5"/>
      <c r="MH180" s="5"/>
      <c r="MI180" s="5"/>
      <c r="MJ180" s="5"/>
      <c r="MK180" s="5"/>
      <c r="ML180" s="5"/>
      <c r="MM180" s="5"/>
      <c r="MN180" s="5"/>
      <c r="MO180" s="5"/>
      <c r="MP180" s="5"/>
      <c r="MQ180" s="5"/>
      <c r="MR180" s="5"/>
      <c r="MS180" s="5"/>
      <c r="MT180" s="5"/>
      <c r="MU180" s="5"/>
      <c r="MV180" s="5"/>
      <c r="MW180" s="5"/>
      <c r="MX180" s="5"/>
      <c r="MY180" s="5"/>
      <c r="MZ180" s="5"/>
      <c r="NA180" s="5"/>
      <c r="NB180" s="5"/>
      <c r="NC180" s="5"/>
      <c r="ND180" s="5"/>
      <c r="NE180" s="5"/>
      <c r="NF180" s="5"/>
      <c r="NG180" s="5"/>
      <c r="NH180" s="5"/>
      <c r="NI180" s="5"/>
      <c r="NJ180" s="5"/>
      <c r="NK180" s="5"/>
      <c r="NL180" s="5"/>
      <c r="NM180" s="5"/>
      <c r="NN180" s="5"/>
      <c r="NO180" s="5"/>
      <c r="NP180" s="5"/>
      <c r="NQ180" s="5"/>
      <c r="NR180" s="5"/>
      <c r="NS180" s="5"/>
      <c r="NT180" s="5"/>
      <c r="NU180" s="5"/>
      <c r="NV180" s="5"/>
      <c r="NW180" s="5"/>
      <c r="NX180" s="5"/>
      <c r="NY180" s="5"/>
      <c r="NZ180" s="5"/>
      <c r="OA180" s="5"/>
      <c r="OB180" s="5"/>
      <c r="OC180" s="5"/>
      <c r="OD180" s="5"/>
      <c r="OE180" s="5"/>
      <c r="OF180" s="5"/>
      <c r="OG180" s="5"/>
      <c r="OH180" s="5"/>
      <c r="OI180" s="5"/>
      <c r="OJ180" s="5"/>
      <c r="OK180" s="5"/>
      <c r="OL180" s="5"/>
      <c r="OM180" s="5"/>
      <c r="ON180" s="5"/>
      <c r="OO180" s="5"/>
      <c r="OP180" s="5"/>
      <c r="OQ180" s="5"/>
      <c r="OR180" s="5"/>
      <c r="OS180" s="5"/>
      <c r="OT180" s="5"/>
      <c r="OU180" s="5"/>
      <c r="OV180" s="5"/>
      <c r="OW180" s="5"/>
      <c r="OX180" s="5"/>
      <c r="OY180" s="5"/>
      <c r="OZ180" s="5"/>
      <c r="PA180" s="5"/>
      <c r="PB180" s="5"/>
      <c r="PC180" s="5"/>
      <c r="PD180" s="5"/>
      <c r="PE180" s="5"/>
      <c r="PF180" s="5"/>
      <c r="PG180" s="5"/>
      <c r="PH180" s="5"/>
      <c r="PI180" s="5"/>
      <c r="PJ180" s="5"/>
      <c r="PK180" s="5"/>
      <c r="PL180" s="5"/>
      <c r="PM180" s="5"/>
      <c r="PN180" s="5"/>
      <c r="PO180" s="5"/>
      <c r="PP180" s="5"/>
      <c r="PQ180" s="5"/>
      <c r="PR180" s="5"/>
      <c r="PS180" s="5"/>
      <c r="PT180" s="5"/>
      <c r="PU180" s="5"/>
      <c r="PV180" s="5"/>
      <c r="PW180" s="5"/>
      <c r="PX180" s="5"/>
      <c r="PY180" s="5"/>
      <c r="PZ180" s="5"/>
      <c r="QA180" s="5"/>
      <c r="QB180" s="5"/>
      <c r="QC180" s="5"/>
      <c r="QD180" s="5"/>
      <c r="QE180" s="5"/>
      <c r="QF180" s="5"/>
      <c r="QG180" s="5"/>
      <c r="QH180" s="5"/>
      <c r="QI180" s="5"/>
      <c r="QJ180" s="5"/>
      <c r="QK180" s="5"/>
      <c r="QL180" s="5"/>
      <c r="QM180" s="5"/>
      <c r="QN180" s="5"/>
      <c r="QO180" s="5"/>
      <c r="QP180" s="5"/>
      <c r="QQ180" s="5"/>
      <c r="QR180" s="5"/>
      <c r="QS180" s="5"/>
      <c r="QT180" s="5"/>
      <c r="QU180" s="5"/>
      <c r="QV180" s="5"/>
      <c r="QW180" s="5"/>
      <c r="QX180" s="5"/>
      <c r="QY180" s="5"/>
      <c r="QZ180" s="5"/>
      <c r="RA180" s="5"/>
      <c r="RB180" s="5"/>
      <c r="RC180" s="5"/>
      <c r="RD180" s="5"/>
      <c r="RE180" s="5"/>
      <c r="RF180" s="5"/>
      <c r="RG180" s="5"/>
      <c r="RH180" s="5"/>
      <c r="RI180" s="5"/>
      <c r="RJ180" s="5"/>
      <c r="RK180" s="5"/>
      <c r="RL180" s="5"/>
      <c r="RM180" s="5"/>
      <c r="RN180" s="5"/>
      <c r="RO180" s="5"/>
      <c r="RP180" s="5"/>
      <c r="RQ180" s="5"/>
      <c r="RR180" s="5"/>
      <c r="RS180" s="5"/>
      <c r="RT180" s="5"/>
      <c r="RU180" s="5"/>
      <c r="RV180" s="5"/>
      <c r="RW180" s="5"/>
      <c r="RX180" s="5"/>
      <c r="RY180" s="5"/>
      <c r="RZ180" s="5"/>
      <c r="SA180" s="5"/>
      <c r="SB180" s="5"/>
      <c r="SC180" s="5"/>
      <c r="SD180" s="5"/>
      <c r="SE180" s="5"/>
      <c r="SF180" s="5"/>
      <c r="SG180" s="5"/>
      <c r="SH180" s="5"/>
      <c r="SI180" s="5"/>
      <c r="SJ180" s="5"/>
      <c r="SK180" s="5"/>
      <c r="SL180" s="5"/>
      <c r="SM180" s="5"/>
      <c r="SN180" s="5"/>
      <c r="SO180" s="5"/>
      <c r="SP180" s="5"/>
      <c r="SQ180" s="5"/>
      <c r="SR180" s="5"/>
      <c r="SS180" s="5"/>
      <c r="ST180" s="5"/>
      <c r="SU180" s="5"/>
      <c r="SV180" s="5"/>
      <c r="SW180" s="5"/>
      <c r="SX180" s="5"/>
      <c r="SY180" s="5"/>
      <c r="SZ180" s="5"/>
      <c r="TA180" s="5"/>
      <c r="TB180" s="5"/>
      <c r="TC180" s="5"/>
      <c r="TD180" s="5"/>
      <c r="TE180" s="5"/>
      <c r="TF180" s="5"/>
      <c r="TG180" s="5"/>
      <c r="TH180" s="5"/>
      <c r="TI180" s="5"/>
      <c r="TJ180" s="5"/>
      <c r="TK180" s="5"/>
      <c r="TL180" s="5"/>
      <c r="TM180" s="5"/>
      <c r="TN180" s="5"/>
      <c r="TO180" s="5"/>
      <c r="TP180" s="5"/>
      <c r="TQ180" s="5"/>
      <c r="TR180" s="5"/>
      <c r="TS180" s="5"/>
      <c r="TT180" s="5"/>
      <c r="TU180" s="5"/>
      <c r="TV180" s="5"/>
      <c r="TW180" s="5"/>
      <c r="TX180" s="5"/>
      <c r="TY180" s="5"/>
      <c r="TZ180" s="5"/>
      <c r="UA180" s="5"/>
      <c r="UB180" s="5"/>
      <c r="UC180" s="5"/>
      <c r="UD180" s="5"/>
      <c r="UE180" s="5"/>
      <c r="UF180" s="5"/>
      <c r="UG180" s="5"/>
      <c r="UH180" s="5"/>
      <c r="UI180" s="5"/>
      <c r="UJ180" s="5"/>
      <c r="UK180" s="5"/>
      <c r="UL180" s="5"/>
      <c r="UM180" s="5"/>
      <c r="UN180" s="5"/>
      <c r="UO180" s="5"/>
      <c r="UP180" s="5"/>
      <c r="UQ180" s="5"/>
      <c r="UR180" s="5"/>
      <c r="US180" s="5"/>
      <c r="UT180" s="5"/>
      <c r="UU180" s="5"/>
      <c r="UV180" s="5"/>
      <c r="UW180" s="5"/>
      <c r="UX180" s="5"/>
      <c r="UY180" s="5"/>
      <c r="UZ180" s="5"/>
      <c r="VA180" s="5"/>
      <c r="VB180" s="5"/>
      <c r="VC180" s="5"/>
      <c r="VD180" s="5"/>
      <c r="VE180" s="5"/>
      <c r="VF180" s="5"/>
      <c r="VG180" s="5"/>
      <c r="VH180" s="5"/>
      <c r="VI180" s="5"/>
      <c r="VJ180" s="5"/>
      <c r="VK180" s="5"/>
      <c r="VL180" s="5"/>
      <c r="VM180" s="5"/>
      <c r="VN180" s="5"/>
      <c r="VO180" s="5"/>
      <c r="VP180" s="5"/>
      <c r="VQ180" s="5"/>
      <c r="VR180" s="5"/>
      <c r="VS180" s="5"/>
      <c r="VT180" s="5"/>
      <c r="VU180" s="5"/>
      <c r="VV180" s="5"/>
      <c r="VW180" s="5"/>
      <c r="VX180" s="5"/>
      <c r="VY180" s="5"/>
      <c r="VZ180" s="5"/>
      <c r="WA180" s="5"/>
      <c r="WB180" s="5"/>
      <c r="WC180" s="5"/>
      <c r="WD180" s="5"/>
      <c r="WE180" s="5"/>
      <c r="WF180" s="5"/>
      <c r="WG180" s="5"/>
      <c r="WH180" s="5"/>
      <c r="WI180" s="5"/>
      <c r="WJ180" s="5"/>
      <c r="WK180" s="5"/>
      <c r="WL180" s="5"/>
      <c r="WM180" s="5"/>
      <c r="WN180" s="5"/>
      <c r="WO180" s="5"/>
      <c r="WP180" s="5"/>
      <c r="WQ180" s="5"/>
      <c r="WR180" s="5"/>
      <c r="WS180" s="5"/>
      <c r="WT180" s="5"/>
      <c r="WU180" s="5"/>
      <c r="WV180" s="5"/>
      <c r="WW180" s="5"/>
      <c r="WX180" s="5"/>
      <c r="WY180" s="5"/>
      <c r="WZ180" s="5"/>
      <c r="XA180" s="5"/>
      <c r="XB180" s="5"/>
      <c r="XC180" s="5"/>
      <c r="XD180" s="5"/>
      <c r="XE180" s="5"/>
      <c r="XF180" s="5"/>
      <c r="XG180" s="5"/>
      <c r="XH180" s="5"/>
      <c r="XI180" s="5"/>
      <c r="XJ180" s="5"/>
      <c r="XK180" s="5"/>
      <c r="XL180" s="5"/>
      <c r="XM180" s="5"/>
      <c r="XN180" s="5"/>
      <c r="XO180" s="5"/>
      <c r="XP180" s="5"/>
      <c r="XQ180" s="5"/>
      <c r="XR180" s="5"/>
      <c r="XS180" s="5"/>
      <c r="XT180" s="5"/>
      <c r="XU180" s="5"/>
      <c r="XV180" s="5"/>
      <c r="XW180" s="5"/>
      <c r="XX180" s="5"/>
      <c r="XY180" s="5"/>
      <c r="XZ180" s="5"/>
      <c r="YA180" s="5"/>
      <c r="YB180" s="5"/>
      <c r="YC180" s="5"/>
      <c r="YD180" s="5"/>
      <c r="YE180" s="5"/>
      <c r="YF180" s="5"/>
      <c r="YG180" s="5"/>
      <c r="YH180" s="5"/>
      <c r="YI180" s="5"/>
      <c r="YJ180" s="5"/>
      <c r="YK180" s="5"/>
      <c r="YL180" s="5"/>
      <c r="YM180" s="5"/>
      <c r="YN180" s="5"/>
      <c r="YO180" s="5"/>
      <c r="YP180" s="5"/>
      <c r="YQ180" s="5"/>
      <c r="YR180" s="5"/>
      <c r="YS180" s="5"/>
      <c r="YT180" s="5"/>
      <c r="YU180" s="5"/>
      <c r="YV180" s="5"/>
      <c r="YW180" s="5"/>
      <c r="YX180" s="5"/>
      <c r="YY180" s="5"/>
      <c r="YZ180" s="5"/>
    </row>
    <row r="184" spans="1:676">
      <c r="A184" s="16"/>
      <c r="B184" s="16" t="s">
        <v>424</v>
      </c>
      <c r="C184" s="16"/>
      <c r="D184" s="16"/>
      <c r="E184" s="16"/>
      <c r="F184" s="16"/>
      <c r="G184" s="16"/>
      <c r="H184" s="16"/>
      <c r="I184" s="16" t="s">
        <v>425</v>
      </c>
      <c r="J184" s="16"/>
      <c r="K184" s="16"/>
      <c r="L184" s="16"/>
      <c r="M184" s="16"/>
      <c r="N184" s="16"/>
      <c r="O184" s="16"/>
      <c r="P184" s="16"/>
      <c r="Q184" s="16"/>
    </row>
    <row r="185" spans="1:676">
      <c r="A185" s="16"/>
      <c r="B185" s="16" t="s">
        <v>426</v>
      </c>
      <c r="C185" s="16"/>
      <c r="D185" s="16"/>
      <c r="E185" s="16"/>
      <c r="F185" s="16"/>
      <c r="G185" s="16"/>
      <c r="H185" s="16"/>
      <c r="I185" s="16" t="s">
        <v>427</v>
      </c>
      <c r="J185" s="16"/>
      <c r="K185" s="16"/>
      <c r="L185" s="16"/>
      <c r="M185" s="16"/>
      <c r="N185" s="16"/>
      <c r="O185" s="16"/>
      <c r="P185" s="16"/>
      <c r="Q185" s="16"/>
    </row>
    <row r="186" spans="1:67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</row>
    <row r="187" spans="1:676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</row>
    <row r="188" spans="1:676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</row>
    <row r="189" spans="1:676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</row>
    <row r="190" spans="1:676">
      <c r="A190" s="16"/>
      <c r="B190" s="16" t="s">
        <v>428</v>
      </c>
      <c r="C190" s="16"/>
      <c r="D190" s="16"/>
      <c r="E190" s="16"/>
      <c r="F190" s="16"/>
      <c r="G190" s="16"/>
      <c r="H190" s="16"/>
      <c r="I190" s="16" t="s">
        <v>429</v>
      </c>
      <c r="J190" s="16"/>
      <c r="K190" s="16"/>
      <c r="L190" s="16"/>
      <c r="M190" s="16"/>
      <c r="N190" s="16"/>
      <c r="O190" s="16"/>
      <c r="P190" s="16"/>
      <c r="Q190" s="16"/>
    </row>
    <row r="191" spans="1:676">
      <c r="A191" s="16"/>
      <c r="B191" s="16" t="s">
        <v>430</v>
      </c>
      <c r="C191" s="16"/>
      <c r="D191" s="16"/>
      <c r="E191" s="16"/>
      <c r="F191" s="16"/>
      <c r="G191" s="16"/>
      <c r="H191" s="16"/>
      <c r="I191" s="16" t="s">
        <v>430</v>
      </c>
      <c r="J191" s="16"/>
      <c r="K191" s="16"/>
      <c r="L191" s="16"/>
      <c r="M191" s="16"/>
      <c r="N191" s="16"/>
      <c r="O191" s="16"/>
      <c r="P191" s="16"/>
      <c r="Q19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2022-11-11T08:41:35+07:00</dcterms:created>
  <dcterms:modified xsi:type="dcterms:W3CDTF">2022-11-11T08:41:35+07:00</dcterms:modified>
  <dc:title>Untitled Spreadsheet</dc:title>
  <dc:description/>
  <dc:subject/>
  <cp:keywords/>
  <cp:category/>
</cp:coreProperties>
</file>