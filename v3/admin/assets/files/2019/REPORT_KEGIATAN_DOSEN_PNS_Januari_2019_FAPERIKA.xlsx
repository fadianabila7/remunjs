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anuar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<sst xmlns="http://schemas.openxmlformats.org/spreadsheetml/2006/main" uniqueCount="302">
  <si>
    <t>KEMENTERIAN RISET, TEKNOLOGI DAN PENDIDIKAN TINGGI</t>
  </si>
  <si>
    <t>UNIVERSITAS RIAU</t>
  </si>
  <si>
    <t>FAKULTAS PERIKANAN DAN ILMU KELAUTAN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</si>
  <si>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</si>
  <si>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</si>
  <si>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</si>
  <si>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</si>
  <si>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Januari 2019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</si>
  <si>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</si>
  <si>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</si>
  <si>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</si>
  <si>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</si>
  <si>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</si>
  <si>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</si>
  <si>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</si>
  <si>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</si>
  <si>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</si>
  <si>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</si>
  <si>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</si>
  <si>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</si>
  <si>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</si>
  <si>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</si>
  <si>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</si>
  <si>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</si>
  <si>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</si>
  <si>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</si>
  <si>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</si>
  <si>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</si>
  <si>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</si>
  <si>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</si>
  <si>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</si>
  <si>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</si>
  <si>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</si>
  <si>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</si>
  <si>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</si>
  <si>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</si>
  <si>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</si>
  <si>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</si>
  <si>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195705221986032001</t>
  </si>
  <si>
    <t>PROF. DR. IR. DEWITA. B, MS</t>
  </si>
  <si>
    <t>Teknologi Hasil Perikanan</t>
  </si>
  <si>
    <t>IV/e</t>
  </si>
  <si>
    <t>Profesor</t>
  </si>
  <si>
    <t>Tidak ada jabatan struktural</t>
  </si>
  <si>
    <t>195411221983012001</t>
  </si>
  <si>
    <t>PROF. DR. IR. MIRNA ILZA, MS</t>
  </si>
  <si>
    <t>196401251990031002</t>
  </si>
  <si>
    <t>PROF. DR. IR. RIFARDI, MSC</t>
  </si>
  <si>
    <t>Ilmu Kelautan</t>
  </si>
  <si>
    <t>195909051986031005</t>
  </si>
  <si>
    <t>PROF. DR. IR. SYAFRIADIMAN</t>
  </si>
  <si>
    <t>Budidaya Perairan</t>
  </si>
  <si>
    <t>195401061977021001</t>
  </si>
  <si>
    <t>PROF. DR. IR. TENGKU DAHRIL, MSC</t>
  </si>
  <si>
    <t>Manajemen Sumber Daya Perairan</t>
  </si>
  <si>
    <t>196405011989031001</t>
  </si>
  <si>
    <t>PROF. DR. IR. USMAN, M.SI</t>
  </si>
  <si>
    <t xml:space="preserve">Dekan C Gol. IV </t>
  </si>
  <si>
    <t>196110241988031002</t>
  </si>
  <si>
    <t>PROF. DR.IR. ZULKARNAINI, M.SI</t>
  </si>
  <si>
    <t>Agrobisnis Perikanan</t>
  </si>
  <si>
    <t>IV/d</t>
  </si>
  <si>
    <t>Koordinator Program Studi A</t>
  </si>
  <si>
    <t>196005041987031004</t>
  </si>
  <si>
    <t>PROF.DR. IR. IRWAN EFFENDI, M.SC</t>
  </si>
  <si>
    <t>196210131989031001</t>
  </si>
  <si>
    <t>PROF.DR. IR. SUKENDI, M.SI</t>
  </si>
  <si>
    <t>Sekretaris Lembaga</t>
  </si>
  <si>
    <t>196308171991031002</t>
  </si>
  <si>
    <t>PROF.DR. IR. THAMRIN, M.SC</t>
  </si>
  <si>
    <t>Wakil Rektor 1 Gol. IV</t>
  </si>
  <si>
    <t>196208151988031002</t>
  </si>
  <si>
    <t>PROF.DR.IR. ARAS MULYADI, DEA</t>
  </si>
  <si>
    <t>Rektor</t>
  </si>
  <si>
    <t>196304031988031003</t>
  </si>
  <si>
    <t>PROF.DR.IR. BINTAL AMIN, MSC</t>
  </si>
  <si>
    <t xml:space="preserve">Dekan B Gol. IV </t>
  </si>
  <si>
    <t>196308021988031002</t>
  </si>
  <si>
    <t>PROF.DR.IR. FELIATRA, DEA</t>
  </si>
  <si>
    <t>Koordinator Program Studi B</t>
  </si>
  <si>
    <t>195002201975021001</t>
  </si>
  <si>
    <t>PROF.Dr. IR. MAJU SIAGIAN, MS</t>
  </si>
  <si>
    <t>195707071984011001</t>
  </si>
  <si>
    <t>Prof. DR. IR. YUSNI IKHWAN SIREGAR, M.Sc</t>
  </si>
  <si>
    <t>Wakil Direktur Pascasarjana Gol. IV</t>
  </si>
  <si>
    <t>195910241986031004</t>
  </si>
  <si>
    <t>Prof. DR.IR. BUSTARI HASAN, M.SC</t>
  </si>
  <si>
    <t>197006121997021003</t>
  </si>
  <si>
    <t>BUDIJONO, S.PI, M.Sc</t>
  </si>
  <si>
    <t>IV/a</t>
  </si>
  <si>
    <t>Lektor Kepala Gol. IV</t>
  </si>
  <si>
    <t>197202161998032001</t>
  </si>
  <si>
    <t>DR. DESMELATI, S.PI, M.Sc</t>
  </si>
  <si>
    <t>IV/b</t>
  </si>
  <si>
    <t>Ketua Jurusan B Gol. IV</t>
  </si>
  <si>
    <t>197112131997022002</t>
  </si>
  <si>
    <t>DR. Dessy Yoswati, S.Pi, M.Si</t>
  </si>
  <si>
    <t>195711241988032001</t>
  </si>
  <si>
    <t>DR. IESJE LUKISTYOWATI, MS</t>
  </si>
  <si>
    <t>IV/c</t>
  </si>
  <si>
    <t>196401011991031009</t>
  </si>
  <si>
    <t>DR. IR. ADRIMAN, M.SI</t>
  </si>
  <si>
    <t>196312311991031031</t>
  </si>
  <si>
    <t>DR. IR. EDDIWAN, MSC</t>
  </si>
  <si>
    <t>196203121989032001</t>
  </si>
  <si>
    <t>DR. IR. HENNI SYAWAL, M.SI</t>
  </si>
  <si>
    <t>196407281989032002</t>
  </si>
  <si>
    <t>DR. IR. MERY SUKMIWATI, M.SI</t>
  </si>
  <si>
    <t>196109061986031002</t>
  </si>
  <si>
    <t>DR. IR. RIDWAN MANDA PUTRA, M.Si</t>
  </si>
  <si>
    <t>Wakil Dekan III B Gol. IV</t>
  </si>
  <si>
    <t>196909091994032003</t>
  </si>
  <si>
    <t>DR. IR. SABERINA HASIBUAN, MT.</t>
  </si>
  <si>
    <t>195607211981031006</t>
  </si>
  <si>
    <t>DR. IR. SAMPE HARAHAP, MS</t>
  </si>
  <si>
    <t>196801231992031002</t>
  </si>
  <si>
    <t>DR. IR. SOFYAN HUSEIN S,M.Phil</t>
  </si>
  <si>
    <t>Wakil Dekan I B Gol. IV</t>
  </si>
  <si>
    <t>196002131986031003</t>
  </si>
  <si>
    <t>DR. IR. SYAFRUDDIN NST, M.SC</t>
  </si>
  <si>
    <t>195905291986012002</t>
  </si>
  <si>
    <t>DR. IR. TINCE SYOFIANI, MS</t>
  </si>
  <si>
    <t>196408221990032001</t>
  </si>
  <si>
    <t>DR. IR. Windarti</t>
  </si>
  <si>
    <t>Sekretaris Jurusan B</t>
  </si>
  <si>
    <t>196512061992031003</t>
  </si>
  <si>
    <t>DR. MUBARAK, M.SI</t>
  </si>
  <si>
    <t>197209171998021002</t>
  </si>
  <si>
    <t>DR. PARENG RENGI, SPI, MSI</t>
  </si>
  <si>
    <t>Pemanfaatan Sumber Daya Perikanan</t>
  </si>
  <si>
    <t>197410091999031001</t>
  </si>
  <si>
    <t>DR. VICTOR AMRIFO, S.PI., M.SI</t>
  </si>
  <si>
    <t>196204101990021001</t>
  </si>
  <si>
    <t>DR.IR. DARWIS AN, MS</t>
  </si>
  <si>
    <t>196610201994031005</t>
  </si>
  <si>
    <t>DR.IR. DENI EFIZON, M.SC</t>
  </si>
  <si>
    <t>196611181991031001</t>
  </si>
  <si>
    <t>DR.IR. EFRIYELDI, M.SI</t>
  </si>
  <si>
    <t>196605111992032003</t>
  </si>
  <si>
    <t>DR.IR. ENI SUMIARSIH, M.SC</t>
  </si>
  <si>
    <t>196009231986011002</t>
  </si>
  <si>
    <t>DR.IR. HENDRIK, MS</t>
  </si>
  <si>
    <t>196412151990022001</t>
  </si>
  <si>
    <t>DR.IR. MORINA RIAUWATY, M.P</t>
  </si>
  <si>
    <t>196007171990022001</t>
  </si>
  <si>
    <t>DR.IR. NETTI ARYANI. MS</t>
  </si>
  <si>
    <t>196006151988102001</t>
  </si>
  <si>
    <t>DR.IR. NURSYIRWANI, M.SC</t>
  </si>
  <si>
    <t>196405261990101001</t>
  </si>
  <si>
    <t>DR.IR. TJIPTO LEKSONO, M.PHILL</t>
  </si>
  <si>
    <t>195909051987031003</t>
  </si>
  <si>
    <t>DRS. EDISON, MSI</t>
  </si>
  <si>
    <t>196112121990021001</t>
  </si>
  <si>
    <t>DRS. M. HASBI, M.SI</t>
  </si>
  <si>
    <t>197007101995121001</t>
  </si>
  <si>
    <t>Dr. INDRA SUHARMAN, S.Pi, M.Sc</t>
  </si>
  <si>
    <t>196804111994031002</t>
  </si>
  <si>
    <t>Dr. MUHAMMAD FAUZI, S.Pi., M.Si</t>
  </si>
  <si>
    <t>197411251990031003</t>
  </si>
  <si>
    <t>Dr. NOFRIZAL, S.PI, M.SI</t>
  </si>
  <si>
    <t>196910301997021001</t>
  </si>
  <si>
    <t>Dr. RAHMAN KARNILA, S.PI, M.SI</t>
  </si>
  <si>
    <t>196608181992031002</t>
  </si>
  <si>
    <t>Dr. SYAHRIL NEDI, M.SI</t>
  </si>
  <si>
    <t>196703041993032001</t>
  </si>
  <si>
    <t>IR. ADELINA, M.SI</t>
  </si>
  <si>
    <t>196701081993032001</t>
  </si>
  <si>
    <t>IR. ALIT HINDRI YANI, MSC</t>
  </si>
  <si>
    <t>196210171992031001</t>
  </si>
  <si>
    <t>IR. ARTHUR BROWN, M.SI</t>
  </si>
  <si>
    <t>195909021988101001</t>
  </si>
  <si>
    <t>IR. BUSTARI, M.Si</t>
  </si>
  <si>
    <t>195904191986032000</t>
  </si>
  <si>
    <t>IR. DAHLIA, M.SI</t>
  </si>
  <si>
    <t>196707091993032003</t>
  </si>
  <si>
    <t>IR. ENI YULINDA ,MP</t>
  </si>
  <si>
    <t>196204091989031001</t>
  </si>
  <si>
    <t>IR. FIRMAN NUGROHO, MSI</t>
  </si>
  <si>
    <t>196306221989032002</t>
  </si>
  <si>
    <t>IR. IRVINA NURACHMI, M.SC</t>
  </si>
  <si>
    <t>196109031988031003</t>
  </si>
  <si>
    <t>IR. KUSAI, M.SI</t>
  </si>
  <si>
    <t>196112311987021009</t>
  </si>
  <si>
    <t>IR. MULYADI, M.Phil</t>
  </si>
  <si>
    <t>Wakil Dekan II B Gol. IV</t>
  </si>
  <si>
    <t>195909221987021001</t>
  </si>
  <si>
    <t>IR. MUSRIFIN, M.SC</t>
  </si>
  <si>
    <t>196109151987022001</t>
  </si>
  <si>
    <t>IR. N. IRA SARI, M.SI</t>
  </si>
  <si>
    <t>196105061986032002</t>
  </si>
  <si>
    <t>IR. NURAINI, MS</t>
  </si>
  <si>
    <t>196109111987021001</t>
  </si>
  <si>
    <t>IR. RUSLIADI, M.Si</t>
  </si>
  <si>
    <t>195808101988032001</t>
  </si>
  <si>
    <t>IR. SUPARMI, M.SI</t>
  </si>
  <si>
    <t>195902141986031002</t>
  </si>
  <si>
    <t>IR. SYAHRUL, MS</t>
  </si>
  <si>
    <t>195702021987031002</t>
  </si>
  <si>
    <t>IR. SYAIFUDDIN, MSI</t>
  </si>
  <si>
    <t>196512051995122001</t>
  </si>
  <si>
    <t>Ir. NIKEN AYU PAMUKAS, M.Si</t>
  </si>
  <si>
    <t>196707161997021001</t>
  </si>
  <si>
    <t>NUR ELFAJRI, SPI, MSI</t>
  </si>
  <si>
    <t>197007261998022001</t>
  </si>
  <si>
    <t>ANDARINI DIHARMI, SPI, MSI</t>
  </si>
  <si>
    <t>III/c</t>
  </si>
  <si>
    <t>Lektor Gol. III</t>
  </si>
  <si>
    <t>196104191987021001</t>
  </si>
  <si>
    <t>DR. IR. AFRIZAL TANJUNG, MSC</t>
  </si>
  <si>
    <t>III/d</t>
  </si>
  <si>
    <t>196707181994032003</t>
  </si>
  <si>
    <t>DR. IR. ASMIKA HARNALIN S, M.SI</t>
  </si>
  <si>
    <t>196509301989031002</t>
  </si>
  <si>
    <t>DR. IR. JOKO SAMIAJI, M.SC</t>
  </si>
  <si>
    <t>197107141998022001</t>
  </si>
  <si>
    <t>DR. T. ESTI YULIKA SARI, S.PI, MSI</t>
  </si>
  <si>
    <t>197901092008012010</t>
  </si>
  <si>
    <t>DR. TRISLA WARNINGSIH, S.Pi, M.Si</t>
  </si>
  <si>
    <t>III/b</t>
  </si>
  <si>
    <t>197907132008121001</t>
  </si>
  <si>
    <t>DR. ZULKARNAIN, S.Pi, M.Si</t>
  </si>
  <si>
    <t>196908291997031001</t>
  </si>
  <si>
    <t>DR. ZULKIFLI, S.PI,M.SI</t>
  </si>
  <si>
    <t>196809161994032002</t>
  </si>
  <si>
    <t>IR. EFAWANI,M.SI</t>
  </si>
  <si>
    <t>196703071993031003</t>
  </si>
  <si>
    <t>IR. EKO PURWANTO, MSI</t>
  </si>
  <si>
    <t>196001171987021001</t>
  </si>
  <si>
    <t>IR. H. ELIZAL, M.SC</t>
  </si>
  <si>
    <t>195510201982111001</t>
  </si>
  <si>
    <t>IR. HAMDAN ALAWI, M.SC</t>
  </si>
  <si>
    <t>Lektor Gol. IV</t>
  </si>
  <si>
    <t>196601101993031003</t>
  </si>
  <si>
    <t>IR. JONNY ZAIN, M.SI</t>
  </si>
  <si>
    <t>Ketua Jurusan B Gol. III</t>
  </si>
  <si>
    <t>196211241989031003</t>
  </si>
  <si>
    <t>IR. USMAN, M.SI</t>
  </si>
  <si>
    <t>197401112007011001</t>
  </si>
  <si>
    <t>ISKANDAR PUTRA,S.Pi, M.Si</t>
  </si>
  <si>
    <t>196108281987031004</t>
  </si>
  <si>
    <t>Ir.Ridar Hendri,M.Si</t>
  </si>
  <si>
    <t>Kepala UPT</t>
  </si>
  <si>
    <t>197411222008121001</t>
  </si>
  <si>
    <t>LAMUN BATHARA, S.Pi, M.Si</t>
  </si>
  <si>
    <t>197801152008011008</t>
  </si>
  <si>
    <t>POLARIS NASUTION, ST., MT</t>
  </si>
  <si>
    <t>III/a</t>
  </si>
  <si>
    <t>198111032006041003</t>
  </si>
  <si>
    <t>RONALD MANGASI HUTAURUK, ST., MT</t>
  </si>
  <si>
    <t>197605302008011008</t>
  </si>
  <si>
    <t>SUMARTO, S.Pi, M.Si</t>
  </si>
  <si>
    <t>197607282006042001</t>
  </si>
  <si>
    <t>YULIATI, S.PI,MSI</t>
  </si>
  <si>
    <t>198111122009121002</t>
  </si>
  <si>
    <t>BENNY HELTONIKA, S.PI, M.SI</t>
  </si>
  <si>
    <t>Asisten Ahli Gol. III</t>
  </si>
  <si>
    <t>198402032014042001</t>
  </si>
  <si>
    <t>DIAN IRIANI, S.Pi, MP</t>
  </si>
  <si>
    <t>Dosen belum punya Jabatan Gol. III</t>
  </si>
  <si>
    <t>197501142005011001</t>
  </si>
  <si>
    <t>DR. ROMIE JHONNERIE, S.PI, M.SI</t>
  </si>
  <si>
    <t>198005212010121002</t>
  </si>
  <si>
    <t>HAZMI ARIEF, S.Pi, M.SI</t>
  </si>
  <si>
    <t>198804042018032001</t>
  </si>
  <si>
    <t>ISMA MULYANI, S.Pi., M.Si</t>
  </si>
  <si>
    <t>Dosen CPNS</t>
  </si>
  <si>
    <t>197801092005012002</t>
  </si>
  <si>
    <t>ISNANIAH, S.PI., M.Si</t>
  </si>
  <si>
    <t>197608262009122001</t>
  </si>
  <si>
    <t>NUR ASIAH, S.PI, M.SI</t>
  </si>
  <si>
    <t>Dosen Tugas Belajar Gol. III</t>
  </si>
  <si>
    <t>199012262019031015</t>
  </si>
  <si>
    <t>ANDRI HENDRIZAL, S.Pd., M.Sc</t>
  </si>
  <si>
    <t>198903062019032014</t>
  </si>
  <si>
    <t>CHICKA WILLY YANTI, S.P., M.P</t>
  </si>
  <si>
    <t>197501212005021002</t>
  </si>
  <si>
    <t>Dr. EKO PRIANTO, S.PI., M.SI</t>
  </si>
  <si>
    <t>198403082019031012</t>
  </si>
  <si>
    <t>INDRA LESMANA, S.Pi., M.Si</t>
  </si>
  <si>
    <t>199103012019032018</t>
  </si>
  <si>
    <t>MARDALISA, B.Sc., M.Si</t>
  </si>
  <si>
    <t>198707162019031015</t>
  </si>
  <si>
    <t>MUHAMMAD ARIEF WIBOWO, S.Kel., M.Si</t>
  </si>
  <si>
    <t>199109102019032024</t>
  </si>
  <si>
    <t>RINA DRITA SIBAGARIANG, S.Pi., M.Sc</t>
  </si>
  <si>
    <t>198802132019032012</t>
  </si>
  <si>
    <t>RINDI METALISA, S.P., M.Si</t>
  </si>
  <si>
    <t>199210262019032020</t>
  </si>
  <si>
    <t>SANTHY WISUDA SIDAURUK, S.Pi., M.Si</t>
  </si>
  <si>
    <t>198705112019031010</t>
  </si>
  <si>
    <t>TOMI RAMADONA, S.Pi., M.Si</t>
  </si>
  <si>
    <t>198804142019032013</t>
  </si>
  <si>
    <t>UMMI MARDHIAH BATUBARA, S.Si., M.Si</t>
  </si>
  <si>
    <t>199102012019031012</t>
  </si>
  <si>
    <t>YUDHO HARJOYUDANTO, S.Si., M.Si</t>
  </si>
  <si>
    <t>Menyetujui,</t>
  </si>
  <si>
    <t>Pekanbaru, 31 Desember 2019</t>
  </si>
  <si>
    <t>Wakil Dekan Bidang Akademik</t>
  </si>
  <si>
    <t>Admin Fakultas</t>
  </si>
  <si>
    <t>(..............................................)</t>
  </si>
  <si>
    <t>( Faperika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</si>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</sst>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a9abb68fcefdef1eac90587e57733b1c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130"/>
  <sheetViews>
    <sheetView tabSelected="1" workbookViewId="0" showGridLines="true" showRowColHeaders="1">
      <selection activeCell="A123" sqref="A123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2.67</v>
      </c>
      <c r="J11" s="11">
        <v>3</v>
      </c>
      <c r="K11" s="11">
        <v>0</v>
      </c>
      <c r="L11" s="11">
        <v>5.42</v>
      </c>
      <c r="M11" s="11">
        <v>0.8799999999999999</v>
      </c>
      <c r="N11" s="11">
        <v>0</v>
      </c>
      <c r="O11" s="11">
        <v>0.5</v>
      </c>
      <c r="P11" s="11">
        <v>1.63</v>
      </c>
      <c r="Q11" s="11">
        <v>8.43</v>
      </c>
      <c r="R11" s="11">
        <v>0</v>
      </c>
      <c r="S11" s="11">
        <v>8.43</v>
      </c>
      <c r="T11" s="11">
        <v>2.67</v>
      </c>
      <c r="U11" s="11">
        <v>3</v>
      </c>
      <c r="V11" s="11">
        <v>2.76</v>
      </c>
      <c r="W11" s="13">
        <v>2.67</v>
      </c>
      <c r="X11" s="13">
        <v>3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40</v>
      </c>
      <c r="E12" s="7" t="s">
        <v>41</v>
      </c>
      <c r="F12" s="7" t="s">
        <v>42</v>
      </c>
      <c r="G12" s="7"/>
      <c r="H12" s="7" t="s">
        <v>43</v>
      </c>
      <c r="I12" s="11">
        <v>2.67</v>
      </c>
      <c r="J12" s="11">
        <v>3</v>
      </c>
      <c r="K12" s="11">
        <v>0</v>
      </c>
      <c r="L12" s="11">
        <v>4.58</v>
      </c>
      <c r="M12" s="11">
        <v>0.4</v>
      </c>
      <c r="N12" s="11">
        <v>0</v>
      </c>
      <c r="O12" s="11">
        <v>0.5</v>
      </c>
      <c r="P12" s="11">
        <v>0</v>
      </c>
      <c r="Q12" s="11">
        <v>5.48</v>
      </c>
      <c r="R12" s="11">
        <v>0</v>
      </c>
      <c r="S12" s="11">
        <v>5.48</v>
      </c>
      <c r="T12" s="11">
        <v>2.67</v>
      </c>
      <c r="U12" s="11">
        <v>2.81</v>
      </c>
      <c r="V12" s="11">
        <v>0</v>
      </c>
      <c r="W12" s="13">
        <v>2.67</v>
      </c>
      <c r="X12" s="13">
        <v>3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46</v>
      </c>
      <c r="C13" s="10" t="s">
        <v>47</v>
      </c>
      <c r="D13" s="7" t="s">
        <v>48</v>
      </c>
      <c r="E13" s="7" t="s">
        <v>41</v>
      </c>
      <c r="F13" s="7" t="s">
        <v>42</v>
      </c>
      <c r="G13" s="7"/>
      <c r="H13" s="7" t="s">
        <v>43</v>
      </c>
      <c r="I13" s="11">
        <v>2.67</v>
      </c>
      <c r="J13" s="11">
        <v>3</v>
      </c>
      <c r="K13" s="11">
        <v>0</v>
      </c>
      <c r="L13" s="11">
        <v>1.9</v>
      </c>
      <c r="M13" s="11">
        <v>0.16</v>
      </c>
      <c r="N13" s="11">
        <v>0</v>
      </c>
      <c r="O13" s="11">
        <v>0.6</v>
      </c>
      <c r="P13" s="11">
        <v>0</v>
      </c>
      <c r="Q13" s="11">
        <v>2.660000000000001</v>
      </c>
      <c r="R13" s="11">
        <v>0</v>
      </c>
      <c r="S13" s="11">
        <v>2.660000000000001</v>
      </c>
      <c r="T13" s="11">
        <v>2.660000000000001</v>
      </c>
      <c r="U13" s="11">
        <v>0</v>
      </c>
      <c r="V13" s="11">
        <v>0</v>
      </c>
      <c r="W13" s="13">
        <v>2.67</v>
      </c>
      <c r="X13" s="13">
        <v>3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49</v>
      </c>
      <c r="C14" s="10" t="s">
        <v>50</v>
      </c>
      <c r="D14" s="7" t="s">
        <v>51</v>
      </c>
      <c r="E14" s="7" t="s">
        <v>41</v>
      </c>
      <c r="F14" s="7" t="s">
        <v>42</v>
      </c>
      <c r="G14" s="7"/>
      <c r="H14" s="7" t="s">
        <v>43</v>
      </c>
      <c r="I14" s="11">
        <v>2.67</v>
      </c>
      <c r="J14" s="11">
        <v>3</v>
      </c>
      <c r="K14" s="11">
        <v>0</v>
      </c>
      <c r="L14" s="11">
        <v>5.17</v>
      </c>
      <c r="M14" s="11">
        <v>0.32</v>
      </c>
      <c r="N14" s="11">
        <v>0</v>
      </c>
      <c r="O14" s="11">
        <v>0</v>
      </c>
      <c r="P14" s="11">
        <v>0.8</v>
      </c>
      <c r="Q14" s="11">
        <v>6.289999999999998</v>
      </c>
      <c r="R14" s="11">
        <v>0</v>
      </c>
      <c r="S14" s="11">
        <v>6.289999999999998</v>
      </c>
      <c r="T14" s="11">
        <v>2.67</v>
      </c>
      <c r="U14" s="11">
        <v>3</v>
      </c>
      <c r="V14" s="11">
        <v>0.6199999999999983</v>
      </c>
      <c r="W14" s="13">
        <v>2.67</v>
      </c>
      <c r="X14" s="13">
        <v>3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52</v>
      </c>
      <c r="C15" s="10" t="s">
        <v>53</v>
      </c>
      <c r="D15" s="7" t="s">
        <v>54</v>
      </c>
      <c r="E15" s="7" t="s">
        <v>41</v>
      </c>
      <c r="F15" s="7" t="s">
        <v>42</v>
      </c>
      <c r="G15" s="7"/>
      <c r="H15" s="7" t="s">
        <v>43</v>
      </c>
      <c r="I15" s="11">
        <v>2.67</v>
      </c>
      <c r="J15" s="11">
        <v>3</v>
      </c>
      <c r="K15" s="11">
        <v>0</v>
      </c>
      <c r="L15" s="11">
        <v>6.44</v>
      </c>
      <c r="M15" s="11">
        <v>0.16</v>
      </c>
      <c r="N15" s="11">
        <v>0</v>
      </c>
      <c r="O15" s="11">
        <v>0.7000000000000001</v>
      </c>
      <c r="P15" s="11">
        <v>0</v>
      </c>
      <c r="Q15" s="11">
        <v>7.3</v>
      </c>
      <c r="R15" s="11">
        <v>0</v>
      </c>
      <c r="S15" s="11">
        <v>7.3</v>
      </c>
      <c r="T15" s="11">
        <v>2.67</v>
      </c>
      <c r="U15" s="11">
        <v>3</v>
      </c>
      <c r="V15" s="11">
        <v>1.63</v>
      </c>
      <c r="W15" s="13">
        <v>2.67</v>
      </c>
      <c r="X15" s="13">
        <v>3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55</v>
      </c>
      <c r="C16" s="10" t="s">
        <v>56</v>
      </c>
      <c r="D16" s="7" t="s">
        <v>51</v>
      </c>
      <c r="E16" s="7" t="s">
        <v>41</v>
      </c>
      <c r="F16" s="7" t="s">
        <v>42</v>
      </c>
      <c r="G16" s="7"/>
      <c r="H16" s="7" t="s">
        <v>57</v>
      </c>
      <c r="I16" s="11">
        <v>2.67</v>
      </c>
      <c r="J16" s="11">
        <v>3</v>
      </c>
      <c r="K16" s="11">
        <v>1.67</v>
      </c>
      <c r="L16" s="11">
        <v>7.109999999999997</v>
      </c>
      <c r="M16" s="11">
        <v>0.32</v>
      </c>
      <c r="N16" s="11">
        <v>0</v>
      </c>
      <c r="O16" s="11">
        <v>0</v>
      </c>
      <c r="P16" s="11">
        <v>0.8</v>
      </c>
      <c r="Q16" s="11">
        <v>9.899999999999997</v>
      </c>
      <c r="R16" s="11">
        <v>0</v>
      </c>
      <c r="S16" s="11">
        <v>9.899999999999997</v>
      </c>
      <c r="T16" s="11">
        <v>2.67</v>
      </c>
      <c r="U16" s="11">
        <v>3</v>
      </c>
      <c r="V16" s="11">
        <v>4.229999999999997</v>
      </c>
      <c r="W16" s="13">
        <v>2.67</v>
      </c>
      <c r="X16" s="13">
        <v>3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58</v>
      </c>
      <c r="C17" s="10" t="s">
        <v>59</v>
      </c>
      <c r="D17" s="7" t="s">
        <v>60</v>
      </c>
      <c r="E17" s="7" t="s">
        <v>61</v>
      </c>
      <c r="F17" s="7" t="s">
        <v>42</v>
      </c>
      <c r="G17" s="7"/>
      <c r="H17" s="7" t="s">
        <v>62</v>
      </c>
      <c r="I17" s="11">
        <v>2.67</v>
      </c>
      <c r="J17" s="11">
        <v>3</v>
      </c>
      <c r="K17" s="11">
        <v>0.95</v>
      </c>
      <c r="L17" s="11">
        <v>6.41</v>
      </c>
      <c r="M17" s="11">
        <v>0</v>
      </c>
      <c r="N17" s="11">
        <v>0</v>
      </c>
      <c r="O17" s="11">
        <v>0.68</v>
      </c>
      <c r="P17" s="11">
        <v>0.8</v>
      </c>
      <c r="Q17" s="11">
        <v>8.839999999999998</v>
      </c>
      <c r="R17" s="11">
        <v>0</v>
      </c>
      <c r="S17" s="11">
        <v>8.839999999999998</v>
      </c>
      <c r="T17" s="11">
        <v>2.67</v>
      </c>
      <c r="U17" s="11">
        <v>3</v>
      </c>
      <c r="V17" s="11">
        <v>3.169999999999998</v>
      </c>
      <c r="W17" s="13">
        <v>2.67</v>
      </c>
      <c r="X17" s="13">
        <v>3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63</v>
      </c>
      <c r="C18" s="10" t="s">
        <v>64</v>
      </c>
      <c r="D18" s="7" t="s">
        <v>48</v>
      </c>
      <c r="E18" s="7" t="s">
        <v>61</v>
      </c>
      <c r="F18" s="7" t="s">
        <v>42</v>
      </c>
      <c r="G18" s="7"/>
      <c r="H18" s="7" t="s">
        <v>43</v>
      </c>
      <c r="I18" s="11">
        <v>2.67</v>
      </c>
      <c r="J18" s="11">
        <v>3</v>
      </c>
      <c r="K18" s="11">
        <v>0</v>
      </c>
      <c r="L18" s="11">
        <v>1.29</v>
      </c>
      <c r="M18" s="11">
        <v>0.48</v>
      </c>
      <c r="N18" s="11">
        <v>0</v>
      </c>
      <c r="O18" s="11">
        <v>0.8099999999999999</v>
      </c>
      <c r="P18" s="11">
        <v>0</v>
      </c>
      <c r="Q18" s="11">
        <v>2.580000000000001</v>
      </c>
      <c r="R18" s="11">
        <v>0</v>
      </c>
      <c r="S18" s="11">
        <v>2.580000000000001</v>
      </c>
      <c r="T18" s="11">
        <v>2.580000000000001</v>
      </c>
      <c r="U18" s="11">
        <v>0</v>
      </c>
      <c r="V18" s="11">
        <v>0</v>
      </c>
      <c r="W18" s="13">
        <v>2.67</v>
      </c>
      <c r="X18" s="13">
        <v>3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65</v>
      </c>
      <c r="C19" s="10" t="s">
        <v>66</v>
      </c>
      <c r="D19" s="7" t="s">
        <v>51</v>
      </c>
      <c r="E19" s="7" t="s">
        <v>41</v>
      </c>
      <c r="F19" s="7" t="s">
        <v>42</v>
      </c>
      <c r="G19" s="7"/>
      <c r="H19" s="7" t="s">
        <v>67</v>
      </c>
      <c r="I19" s="11">
        <v>2.67</v>
      </c>
      <c r="J19" s="11">
        <v>3</v>
      </c>
      <c r="K19" s="11">
        <v>1.33</v>
      </c>
      <c r="L19" s="11">
        <v>8.309999999999999</v>
      </c>
      <c r="M19" s="11">
        <v>0.08</v>
      </c>
      <c r="N19" s="11">
        <v>0</v>
      </c>
      <c r="O19" s="11">
        <v>0</v>
      </c>
      <c r="P19" s="11">
        <v>1.63</v>
      </c>
      <c r="Q19" s="11">
        <v>11.35</v>
      </c>
      <c r="R19" s="11">
        <v>0</v>
      </c>
      <c r="S19" s="11">
        <v>11.35</v>
      </c>
      <c r="T19" s="11">
        <v>2.67</v>
      </c>
      <c r="U19" s="11">
        <v>3</v>
      </c>
      <c r="V19" s="11">
        <v>5.679999999999998</v>
      </c>
      <c r="W19" s="13">
        <v>2.67</v>
      </c>
      <c r="X19" s="13">
        <v>3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68</v>
      </c>
      <c r="C20" s="10" t="s">
        <v>69</v>
      </c>
      <c r="D20" s="7" t="s">
        <v>48</v>
      </c>
      <c r="E20" s="7" t="s">
        <v>61</v>
      </c>
      <c r="F20" s="7" t="s">
        <v>42</v>
      </c>
      <c r="G20" s="7"/>
      <c r="H20" s="7" t="s">
        <v>70</v>
      </c>
      <c r="I20" s="11">
        <v>2.67</v>
      </c>
      <c r="J20" s="11">
        <v>3</v>
      </c>
      <c r="K20" s="11">
        <v>1.67</v>
      </c>
      <c r="L20" s="11">
        <v>5.469999999999999</v>
      </c>
      <c r="M20" s="11">
        <v>0</v>
      </c>
      <c r="N20" s="11">
        <v>0</v>
      </c>
      <c r="O20" s="11">
        <v>4.199999999999999</v>
      </c>
      <c r="P20" s="11">
        <v>0</v>
      </c>
      <c r="Q20" s="11">
        <v>11.34</v>
      </c>
      <c r="R20" s="11">
        <v>0</v>
      </c>
      <c r="S20" s="11">
        <v>11.34</v>
      </c>
      <c r="T20" s="11">
        <v>2.67</v>
      </c>
      <c r="U20" s="11">
        <v>3</v>
      </c>
      <c r="V20" s="11">
        <v>5.669999999999998</v>
      </c>
      <c r="W20" s="13">
        <v>2.67</v>
      </c>
      <c r="X20" s="13">
        <v>3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71</v>
      </c>
      <c r="C21" s="10" t="s">
        <v>72</v>
      </c>
      <c r="D21" s="7" t="s">
        <v>48</v>
      </c>
      <c r="E21" s="7" t="s">
        <v>61</v>
      </c>
      <c r="F21" s="7" t="s">
        <v>42</v>
      </c>
      <c r="G21" s="7"/>
      <c r="H21" s="7" t="s">
        <v>73</v>
      </c>
      <c r="I21" s="11">
        <v>2.67</v>
      </c>
      <c r="J21" s="11">
        <v>3</v>
      </c>
      <c r="K21" s="11">
        <v>2</v>
      </c>
      <c r="L21" s="11">
        <v>4.180000000000001</v>
      </c>
      <c r="M21" s="11">
        <v>0.16</v>
      </c>
      <c r="N21" s="11">
        <v>0</v>
      </c>
      <c r="O21" s="11">
        <v>4.199999999999999</v>
      </c>
      <c r="P21" s="11">
        <v>0.8</v>
      </c>
      <c r="Q21" s="11">
        <v>11.34</v>
      </c>
      <c r="R21" s="11">
        <v>0</v>
      </c>
      <c r="S21" s="11">
        <v>11.34</v>
      </c>
      <c r="T21" s="11">
        <v>2.67</v>
      </c>
      <c r="U21" s="11">
        <v>3</v>
      </c>
      <c r="V21" s="11">
        <v>5.669999999999996</v>
      </c>
      <c r="W21" s="13">
        <v>2.67</v>
      </c>
      <c r="X21" s="13">
        <v>3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74</v>
      </c>
      <c r="C22" s="10" t="s">
        <v>75</v>
      </c>
      <c r="D22" s="7" t="s">
        <v>48</v>
      </c>
      <c r="E22" s="7" t="s">
        <v>41</v>
      </c>
      <c r="F22" s="7" t="s">
        <v>42</v>
      </c>
      <c r="G22" s="7"/>
      <c r="H22" s="7" t="s">
        <v>76</v>
      </c>
      <c r="I22" s="11">
        <v>2.67</v>
      </c>
      <c r="J22" s="11">
        <v>3</v>
      </c>
      <c r="K22" s="11">
        <v>1.67</v>
      </c>
      <c r="L22" s="11">
        <v>3.55</v>
      </c>
      <c r="M22" s="11">
        <v>0.24</v>
      </c>
      <c r="N22" s="11">
        <v>0</v>
      </c>
      <c r="O22" s="11">
        <v>3.48</v>
      </c>
      <c r="P22" s="11">
        <v>1.63</v>
      </c>
      <c r="Q22" s="11">
        <v>10.57</v>
      </c>
      <c r="R22" s="11">
        <v>0</v>
      </c>
      <c r="S22" s="11">
        <v>10.57</v>
      </c>
      <c r="T22" s="11">
        <v>2.67</v>
      </c>
      <c r="U22" s="11">
        <v>3</v>
      </c>
      <c r="V22" s="11">
        <v>4.9</v>
      </c>
      <c r="W22" s="13">
        <v>2.67</v>
      </c>
      <c r="X22" s="13">
        <v>3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77</v>
      </c>
      <c r="C23" s="10" t="s">
        <v>78</v>
      </c>
      <c r="D23" s="7" t="s">
        <v>48</v>
      </c>
      <c r="E23" s="7" t="s">
        <v>41</v>
      </c>
      <c r="F23" s="7" t="s">
        <v>42</v>
      </c>
      <c r="G23" s="7"/>
      <c r="H23" s="7" t="s">
        <v>79</v>
      </c>
      <c r="I23" s="11">
        <v>2.67</v>
      </c>
      <c r="J23" s="11">
        <v>3</v>
      </c>
      <c r="K23" s="11">
        <v>0.95</v>
      </c>
      <c r="L23" s="11">
        <v>2.180000000000001</v>
      </c>
      <c r="M23" s="11">
        <v>0.8</v>
      </c>
      <c r="N23" s="11">
        <v>0</v>
      </c>
      <c r="O23" s="11">
        <v>0.6</v>
      </c>
      <c r="P23" s="11">
        <v>2.61</v>
      </c>
      <c r="Q23" s="11">
        <v>7.140000000000001</v>
      </c>
      <c r="R23" s="11">
        <v>0</v>
      </c>
      <c r="S23" s="11">
        <v>7.140000000000001</v>
      </c>
      <c r="T23" s="11">
        <v>2.67</v>
      </c>
      <c r="U23" s="11">
        <v>3</v>
      </c>
      <c r="V23" s="11">
        <v>1.470000000000001</v>
      </c>
      <c r="W23" s="13">
        <v>2.67</v>
      </c>
      <c r="X23" s="13">
        <v>3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80</v>
      </c>
      <c r="C24" s="10" t="s">
        <v>81</v>
      </c>
      <c r="D24" s="7" t="s">
        <v>54</v>
      </c>
      <c r="E24" s="7" t="s">
        <v>61</v>
      </c>
      <c r="F24" s="7" t="s">
        <v>42</v>
      </c>
      <c r="G24" s="7"/>
      <c r="H24" s="7" t="s">
        <v>43</v>
      </c>
      <c r="I24" s="11">
        <v>2.67</v>
      </c>
      <c r="J24" s="11">
        <v>3</v>
      </c>
      <c r="K24" s="11">
        <v>0</v>
      </c>
      <c r="L24" s="11">
        <v>6.170000000000002</v>
      </c>
      <c r="M24" s="11">
        <v>0</v>
      </c>
      <c r="N24" s="11">
        <v>0</v>
      </c>
      <c r="O24" s="11">
        <v>0.7000000000000001</v>
      </c>
      <c r="P24" s="11">
        <v>0</v>
      </c>
      <c r="Q24" s="11">
        <v>6.870000000000002</v>
      </c>
      <c r="R24" s="11">
        <v>0</v>
      </c>
      <c r="S24" s="11">
        <v>6.870000000000002</v>
      </c>
      <c r="T24" s="11">
        <v>2.67</v>
      </c>
      <c r="U24" s="11">
        <v>3</v>
      </c>
      <c r="V24" s="11">
        <v>1.200000000000002</v>
      </c>
      <c r="W24" s="13">
        <v>2.67</v>
      </c>
      <c r="X24" s="13">
        <v>3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82</v>
      </c>
      <c r="C25" s="10" t="s">
        <v>83</v>
      </c>
      <c r="D25" s="7" t="s">
        <v>48</v>
      </c>
      <c r="E25" s="7" t="s">
        <v>61</v>
      </c>
      <c r="F25" s="7" t="s">
        <v>42</v>
      </c>
      <c r="G25" s="7"/>
      <c r="H25" s="7" t="s">
        <v>84</v>
      </c>
      <c r="I25" s="11">
        <v>2.67</v>
      </c>
      <c r="J25" s="11">
        <v>3</v>
      </c>
      <c r="K25" s="11">
        <v>1.33</v>
      </c>
      <c r="L25" s="11">
        <v>5.609999999999998</v>
      </c>
      <c r="M25" s="11">
        <v>0</v>
      </c>
      <c r="N25" s="11">
        <v>0</v>
      </c>
      <c r="O25" s="11">
        <v>0.6</v>
      </c>
      <c r="P25" s="11">
        <v>0.8</v>
      </c>
      <c r="Q25" s="11">
        <v>8.339999999999996</v>
      </c>
      <c r="R25" s="11">
        <v>0</v>
      </c>
      <c r="S25" s="11">
        <v>8.339999999999996</v>
      </c>
      <c r="T25" s="11">
        <v>2.67</v>
      </c>
      <c r="U25" s="11">
        <v>3</v>
      </c>
      <c r="V25" s="11">
        <v>2.669999999999996</v>
      </c>
      <c r="W25" s="13">
        <v>2.67</v>
      </c>
      <c r="X25" s="13">
        <v>3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85</v>
      </c>
      <c r="C26" s="10" t="s">
        <v>86</v>
      </c>
      <c r="D26" s="7" t="s">
        <v>40</v>
      </c>
      <c r="E26" s="7" t="s">
        <v>61</v>
      </c>
      <c r="F26" s="7" t="s">
        <v>42</v>
      </c>
      <c r="G26" s="7"/>
      <c r="H26" s="7" t="s">
        <v>43</v>
      </c>
      <c r="I26" s="11">
        <v>2.67</v>
      </c>
      <c r="J26" s="11">
        <v>3</v>
      </c>
      <c r="K26" s="11">
        <v>0</v>
      </c>
      <c r="L26" s="11">
        <v>2.989999999999999</v>
      </c>
      <c r="M26" s="11">
        <v>0.4</v>
      </c>
      <c r="N26" s="11">
        <v>0</v>
      </c>
      <c r="O26" s="11">
        <v>0.5</v>
      </c>
      <c r="P26" s="11">
        <v>0.8</v>
      </c>
      <c r="Q26" s="11">
        <v>4.69</v>
      </c>
      <c r="R26" s="11">
        <v>0</v>
      </c>
      <c r="S26" s="11">
        <v>4.69</v>
      </c>
      <c r="T26" s="11">
        <v>2.67</v>
      </c>
      <c r="U26" s="11">
        <v>2.02</v>
      </c>
      <c r="V26" s="11">
        <v>0</v>
      </c>
      <c r="W26" s="13">
        <v>2.67</v>
      </c>
      <c r="X26" s="13">
        <v>3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87</v>
      </c>
      <c r="C27" s="10" t="s">
        <v>88</v>
      </c>
      <c r="D27" s="7" t="s">
        <v>54</v>
      </c>
      <c r="E27" s="7" t="s">
        <v>89</v>
      </c>
      <c r="F27" s="7" t="s">
        <v>90</v>
      </c>
      <c r="G27" s="7"/>
      <c r="H27" s="7" t="s">
        <v>43</v>
      </c>
      <c r="I27" s="11">
        <v>2</v>
      </c>
      <c r="J27" s="11">
        <v>3</v>
      </c>
      <c r="K27" s="11">
        <v>0</v>
      </c>
      <c r="L27" s="11">
        <v>5.659999999999997</v>
      </c>
      <c r="M27" s="11">
        <v>0.24</v>
      </c>
      <c r="N27" s="11">
        <v>0</v>
      </c>
      <c r="O27" s="11">
        <v>0.7000000000000001</v>
      </c>
      <c r="P27" s="11">
        <v>0</v>
      </c>
      <c r="Q27" s="11">
        <v>6.599999999999998</v>
      </c>
      <c r="R27" s="11">
        <v>0</v>
      </c>
      <c r="S27" s="11">
        <v>6.599999999999998</v>
      </c>
      <c r="T27" s="11">
        <v>2</v>
      </c>
      <c r="U27" s="11">
        <v>3</v>
      </c>
      <c r="V27" s="11">
        <v>1.599999999999998</v>
      </c>
      <c r="W27" s="13">
        <v>2</v>
      </c>
      <c r="X27" s="13">
        <v>3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91</v>
      </c>
      <c r="C28" s="10" t="s">
        <v>92</v>
      </c>
      <c r="D28" s="7" t="s">
        <v>40</v>
      </c>
      <c r="E28" s="7" t="s">
        <v>93</v>
      </c>
      <c r="F28" s="7" t="s">
        <v>90</v>
      </c>
      <c r="G28" s="7"/>
      <c r="H28" s="7" t="s">
        <v>94</v>
      </c>
      <c r="I28" s="11">
        <v>2</v>
      </c>
      <c r="J28" s="11">
        <v>3</v>
      </c>
      <c r="K28" s="11">
        <v>1</v>
      </c>
      <c r="L28" s="11">
        <v>4.71</v>
      </c>
      <c r="M28" s="11">
        <v>0.32</v>
      </c>
      <c r="N28" s="11">
        <v>0</v>
      </c>
      <c r="O28" s="11">
        <v>0.6799999999999999</v>
      </c>
      <c r="P28" s="11">
        <v>0.8</v>
      </c>
      <c r="Q28" s="11">
        <v>7.509999999999999</v>
      </c>
      <c r="R28" s="11">
        <v>0</v>
      </c>
      <c r="S28" s="11">
        <v>7.509999999999999</v>
      </c>
      <c r="T28" s="11">
        <v>2</v>
      </c>
      <c r="U28" s="11">
        <v>3</v>
      </c>
      <c r="V28" s="11">
        <v>2.509999999999999</v>
      </c>
      <c r="W28" s="13">
        <v>2</v>
      </c>
      <c r="X28" s="13">
        <v>3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95</v>
      </c>
      <c r="C29" s="10" t="s">
        <v>96</v>
      </c>
      <c r="D29" s="7" t="s">
        <v>48</v>
      </c>
      <c r="E29" s="7" t="s">
        <v>93</v>
      </c>
      <c r="F29" s="7" t="s">
        <v>90</v>
      </c>
      <c r="G29" s="7"/>
      <c r="H29" s="7" t="s">
        <v>94</v>
      </c>
      <c r="I29" s="11">
        <v>2</v>
      </c>
      <c r="J29" s="11">
        <v>3</v>
      </c>
      <c r="K29" s="11">
        <v>1</v>
      </c>
      <c r="L29" s="11">
        <v>4.340000000000001</v>
      </c>
      <c r="M29" s="11">
        <v>0.32</v>
      </c>
      <c r="N29" s="11">
        <v>0</v>
      </c>
      <c r="O29" s="11">
        <v>3.12</v>
      </c>
      <c r="P29" s="11">
        <v>1.6</v>
      </c>
      <c r="Q29" s="11">
        <v>10.38</v>
      </c>
      <c r="R29" s="11">
        <v>0</v>
      </c>
      <c r="S29" s="11">
        <v>10.38</v>
      </c>
      <c r="T29" s="11">
        <v>2</v>
      </c>
      <c r="U29" s="11">
        <v>3</v>
      </c>
      <c r="V29" s="11">
        <v>5.379999999999999</v>
      </c>
      <c r="W29" s="13">
        <v>2</v>
      </c>
      <c r="X29" s="13">
        <v>3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97</v>
      </c>
      <c r="C30" s="10" t="s">
        <v>98</v>
      </c>
      <c r="D30" s="7" t="s">
        <v>51</v>
      </c>
      <c r="E30" s="7" t="s">
        <v>99</v>
      </c>
      <c r="F30" s="7" t="s">
        <v>90</v>
      </c>
      <c r="G30" s="7"/>
      <c r="H30" s="7" t="s">
        <v>43</v>
      </c>
      <c r="I30" s="11">
        <v>2</v>
      </c>
      <c r="J30" s="11">
        <v>3</v>
      </c>
      <c r="K30" s="11">
        <v>0</v>
      </c>
      <c r="L30" s="11">
        <v>7.019999999999996</v>
      </c>
      <c r="M30" s="11">
        <v>0.48</v>
      </c>
      <c r="N30" s="11">
        <v>0</v>
      </c>
      <c r="O30" s="11">
        <v>0</v>
      </c>
      <c r="P30" s="11">
        <v>2.46</v>
      </c>
      <c r="Q30" s="11">
        <v>9.959999999999997</v>
      </c>
      <c r="R30" s="11">
        <v>0</v>
      </c>
      <c r="S30" s="11">
        <v>9.959999999999997</v>
      </c>
      <c r="T30" s="11">
        <v>2</v>
      </c>
      <c r="U30" s="11">
        <v>3</v>
      </c>
      <c r="V30" s="11">
        <v>4.959999999999997</v>
      </c>
      <c r="W30" s="13">
        <v>2</v>
      </c>
      <c r="X30" s="13">
        <v>3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100</v>
      </c>
      <c r="C31" s="10" t="s">
        <v>101</v>
      </c>
      <c r="D31" s="7" t="s">
        <v>54</v>
      </c>
      <c r="E31" s="7" t="s">
        <v>89</v>
      </c>
      <c r="F31" s="7" t="s">
        <v>90</v>
      </c>
      <c r="G31" s="7"/>
      <c r="H31" s="7" t="s">
        <v>94</v>
      </c>
      <c r="I31" s="11">
        <v>2</v>
      </c>
      <c r="J31" s="11">
        <v>3</v>
      </c>
      <c r="K31" s="11">
        <v>1</v>
      </c>
      <c r="L31" s="11">
        <v>4.180000000000001</v>
      </c>
      <c r="M31" s="11">
        <v>0.16</v>
      </c>
      <c r="N31" s="11">
        <v>0</v>
      </c>
      <c r="O31" s="11">
        <v>0.7000000000000001</v>
      </c>
      <c r="P31" s="11">
        <v>0</v>
      </c>
      <c r="Q31" s="11">
        <v>6.04</v>
      </c>
      <c r="R31" s="11">
        <v>0</v>
      </c>
      <c r="S31" s="11">
        <v>6.04</v>
      </c>
      <c r="T31" s="11">
        <v>2</v>
      </c>
      <c r="U31" s="11">
        <v>3</v>
      </c>
      <c r="V31" s="11">
        <v>1.04</v>
      </c>
      <c r="W31" s="13">
        <v>2</v>
      </c>
      <c r="X31" s="13">
        <v>3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102</v>
      </c>
      <c r="C32" s="10" t="s">
        <v>103</v>
      </c>
      <c r="D32" s="7" t="s">
        <v>54</v>
      </c>
      <c r="E32" s="7" t="s">
        <v>89</v>
      </c>
      <c r="F32" s="7" t="s">
        <v>90</v>
      </c>
      <c r="G32" s="7"/>
      <c r="H32" s="7" t="s">
        <v>43</v>
      </c>
      <c r="I32" s="11">
        <v>2</v>
      </c>
      <c r="J32" s="11">
        <v>3</v>
      </c>
      <c r="K32" s="11">
        <v>0</v>
      </c>
      <c r="L32" s="11">
        <v>4.23</v>
      </c>
      <c r="M32" s="11">
        <v>0.75</v>
      </c>
      <c r="N32" s="11">
        <v>0</v>
      </c>
      <c r="O32" s="11">
        <v>0.7000000000000001</v>
      </c>
      <c r="P32" s="11">
        <v>0</v>
      </c>
      <c r="Q32" s="11">
        <v>5.680000000000001</v>
      </c>
      <c r="R32" s="11">
        <v>0</v>
      </c>
      <c r="S32" s="11">
        <v>5.680000000000001</v>
      </c>
      <c r="T32" s="11">
        <v>2</v>
      </c>
      <c r="U32" s="11">
        <v>3</v>
      </c>
      <c r="V32" s="11">
        <v>0.6800000000000006</v>
      </c>
      <c r="W32" s="13">
        <v>2</v>
      </c>
      <c r="X32" s="13">
        <v>3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104</v>
      </c>
      <c r="C33" s="10" t="s">
        <v>105</v>
      </c>
      <c r="D33" s="7" t="s">
        <v>51</v>
      </c>
      <c r="E33" s="7" t="s">
        <v>93</v>
      </c>
      <c r="F33" s="7" t="s">
        <v>90</v>
      </c>
      <c r="G33" s="7"/>
      <c r="H33" s="7" t="s">
        <v>79</v>
      </c>
      <c r="I33" s="11">
        <v>2</v>
      </c>
      <c r="J33" s="11">
        <v>3</v>
      </c>
      <c r="K33" s="11">
        <v>0.95</v>
      </c>
      <c r="L33" s="11">
        <v>6.909999999999997</v>
      </c>
      <c r="M33" s="11">
        <v>0.6399999999999999</v>
      </c>
      <c r="N33" s="11">
        <v>0</v>
      </c>
      <c r="O33" s="11">
        <v>0</v>
      </c>
      <c r="P33" s="11">
        <v>0.8</v>
      </c>
      <c r="Q33" s="11">
        <v>9.299999999999997</v>
      </c>
      <c r="R33" s="11">
        <v>0</v>
      </c>
      <c r="S33" s="11">
        <v>9.299999999999997</v>
      </c>
      <c r="T33" s="11">
        <v>2</v>
      </c>
      <c r="U33" s="11">
        <v>3</v>
      </c>
      <c r="V33" s="11">
        <v>4.299999999999997</v>
      </c>
      <c r="W33" s="13">
        <v>2</v>
      </c>
      <c r="X33" s="13">
        <v>3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106</v>
      </c>
      <c r="C34" s="10" t="s">
        <v>107</v>
      </c>
      <c r="D34" s="7" t="s">
        <v>40</v>
      </c>
      <c r="E34" s="7" t="s">
        <v>93</v>
      </c>
      <c r="F34" s="7" t="s">
        <v>90</v>
      </c>
      <c r="G34" s="7"/>
      <c r="H34" s="7" t="s">
        <v>43</v>
      </c>
      <c r="I34" s="11">
        <v>2</v>
      </c>
      <c r="J34" s="11">
        <v>3</v>
      </c>
      <c r="K34" s="11">
        <v>0</v>
      </c>
      <c r="L34" s="11">
        <v>4.249999999999999</v>
      </c>
      <c r="M34" s="11">
        <v>0.64</v>
      </c>
      <c r="N34" s="11">
        <v>0</v>
      </c>
      <c r="O34" s="11">
        <v>0.5</v>
      </c>
      <c r="P34" s="11">
        <v>0</v>
      </c>
      <c r="Q34" s="11">
        <v>5.390000000000001</v>
      </c>
      <c r="R34" s="11">
        <v>0</v>
      </c>
      <c r="S34" s="11">
        <v>5.390000000000001</v>
      </c>
      <c r="T34" s="11">
        <v>2</v>
      </c>
      <c r="U34" s="11">
        <v>3</v>
      </c>
      <c r="V34" s="11">
        <v>0.3900000000000006</v>
      </c>
      <c r="W34" s="13">
        <v>2</v>
      </c>
      <c r="X34" s="13">
        <v>3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108</v>
      </c>
      <c r="C35" s="10" t="s">
        <v>109</v>
      </c>
      <c r="D35" s="7" t="s">
        <v>54</v>
      </c>
      <c r="E35" s="7" t="s">
        <v>93</v>
      </c>
      <c r="F35" s="7" t="s">
        <v>90</v>
      </c>
      <c r="G35" s="7"/>
      <c r="H35" s="7" t="s">
        <v>110</v>
      </c>
      <c r="I35" s="11">
        <v>2</v>
      </c>
      <c r="J35" s="11">
        <v>3</v>
      </c>
      <c r="K35" s="11">
        <v>1.33</v>
      </c>
      <c r="L35" s="11">
        <v>4.33</v>
      </c>
      <c r="M35" s="11">
        <v>0.24</v>
      </c>
      <c r="N35" s="11">
        <v>0</v>
      </c>
      <c r="O35" s="11">
        <v>0.7000000000000001</v>
      </c>
      <c r="P35" s="11">
        <v>0</v>
      </c>
      <c r="Q35" s="11">
        <v>6.600000000000001</v>
      </c>
      <c r="R35" s="11">
        <v>0</v>
      </c>
      <c r="S35" s="11">
        <v>6.600000000000001</v>
      </c>
      <c r="T35" s="11">
        <v>2</v>
      </c>
      <c r="U35" s="11">
        <v>3</v>
      </c>
      <c r="V35" s="11">
        <v>1.600000000000001</v>
      </c>
      <c r="W35" s="13">
        <v>2</v>
      </c>
      <c r="X35" s="13">
        <v>3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111</v>
      </c>
      <c r="C36" s="10" t="s">
        <v>112</v>
      </c>
      <c r="D36" s="7" t="s">
        <v>51</v>
      </c>
      <c r="E36" s="7" t="s">
        <v>93</v>
      </c>
      <c r="F36" s="7" t="s">
        <v>90</v>
      </c>
      <c r="G36" s="7"/>
      <c r="H36" s="7" t="s">
        <v>43</v>
      </c>
      <c r="I36" s="11">
        <v>2</v>
      </c>
      <c r="J36" s="11">
        <v>3</v>
      </c>
      <c r="K36" s="11">
        <v>0</v>
      </c>
      <c r="L36" s="11">
        <v>4.699999999999999</v>
      </c>
      <c r="M36" s="11">
        <v>0.4</v>
      </c>
      <c r="N36" s="11">
        <v>0</v>
      </c>
      <c r="O36" s="11">
        <v>0</v>
      </c>
      <c r="P36" s="11">
        <v>1.66</v>
      </c>
      <c r="Q36" s="11">
        <v>6.76</v>
      </c>
      <c r="R36" s="11">
        <v>0</v>
      </c>
      <c r="S36" s="11">
        <v>6.76</v>
      </c>
      <c r="T36" s="11">
        <v>2</v>
      </c>
      <c r="U36" s="11">
        <v>3</v>
      </c>
      <c r="V36" s="11">
        <v>1.76</v>
      </c>
      <c r="W36" s="13">
        <v>2</v>
      </c>
      <c r="X36" s="13">
        <v>3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113</v>
      </c>
      <c r="C37" s="10" t="s">
        <v>114</v>
      </c>
      <c r="D37" s="7" t="s">
        <v>54</v>
      </c>
      <c r="E37" s="7" t="s">
        <v>89</v>
      </c>
      <c r="F37" s="7" t="s">
        <v>90</v>
      </c>
      <c r="G37" s="7"/>
      <c r="H37" s="7" t="s">
        <v>43</v>
      </c>
      <c r="I37" s="11">
        <v>2</v>
      </c>
      <c r="J37" s="11">
        <v>3</v>
      </c>
      <c r="K37" s="11">
        <v>0</v>
      </c>
      <c r="L37" s="11">
        <v>5.979999999999996</v>
      </c>
      <c r="M37" s="11">
        <v>0.08</v>
      </c>
      <c r="N37" s="11">
        <v>0</v>
      </c>
      <c r="O37" s="11">
        <v>0.7000000000000001</v>
      </c>
      <c r="P37" s="11">
        <v>0</v>
      </c>
      <c r="Q37" s="11">
        <v>6.759999999999996</v>
      </c>
      <c r="R37" s="11">
        <v>0</v>
      </c>
      <c r="S37" s="11">
        <v>6.759999999999996</v>
      </c>
      <c r="T37" s="11">
        <v>2</v>
      </c>
      <c r="U37" s="11">
        <v>3</v>
      </c>
      <c r="V37" s="11">
        <v>1.759999999999996</v>
      </c>
      <c r="W37" s="13">
        <v>2</v>
      </c>
      <c r="X37" s="13">
        <v>3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115</v>
      </c>
      <c r="C38" s="10" t="s">
        <v>116</v>
      </c>
      <c r="D38" s="7" t="s">
        <v>48</v>
      </c>
      <c r="E38" s="7" t="s">
        <v>89</v>
      </c>
      <c r="F38" s="7" t="s">
        <v>90</v>
      </c>
      <c r="G38" s="7"/>
      <c r="H38" s="7" t="s">
        <v>117</v>
      </c>
      <c r="I38" s="11">
        <v>2</v>
      </c>
      <c r="J38" s="11">
        <v>3</v>
      </c>
      <c r="K38" s="11">
        <v>1.33</v>
      </c>
      <c r="L38" s="11">
        <v>5.31</v>
      </c>
      <c r="M38" s="11">
        <v>0.24</v>
      </c>
      <c r="N38" s="11">
        <v>0</v>
      </c>
      <c r="O38" s="11">
        <v>0.6</v>
      </c>
      <c r="P38" s="11">
        <v>0.8</v>
      </c>
      <c r="Q38" s="11">
        <v>8.279999999999996</v>
      </c>
      <c r="R38" s="11">
        <v>0</v>
      </c>
      <c r="S38" s="11">
        <v>8.279999999999996</v>
      </c>
      <c r="T38" s="11">
        <v>2</v>
      </c>
      <c r="U38" s="11">
        <v>3</v>
      </c>
      <c r="V38" s="11">
        <v>3.279999999999996</v>
      </c>
      <c r="W38" s="13">
        <v>2</v>
      </c>
      <c r="X38" s="13">
        <v>3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118</v>
      </c>
      <c r="C39" s="10" t="s">
        <v>119</v>
      </c>
      <c r="D39" s="7" t="s">
        <v>48</v>
      </c>
      <c r="E39" s="7" t="s">
        <v>99</v>
      </c>
      <c r="F39" s="7" t="s">
        <v>90</v>
      </c>
      <c r="G39" s="7"/>
      <c r="H39" s="7" t="s">
        <v>43</v>
      </c>
      <c r="I39" s="11">
        <v>2</v>
      </c>
      <c r="J39" s="11">
        <v>3</v>
      </c>
      <c r="K39" s="11">
        <v>0</v>
      </c>
      <c r="L39" s="11">
        <v>2.65</v>
      </c>
      <c r="M39" s="11">
        <v>0.32</v>
      </c>
      <c r="N39" s="11">
        <v>0</v>
      </c>
      <c r="O39" s="11">
        <v>0.6</v>
      </c>
      <c r="P39" s="11">
        <v>0.83</v>
      </c>
      <c r="Q39" s="11">
        <v>4.4</v>
      </c>
      <c r="R39" s="11">
        <v>0</v>
      </c>
      <c r="S39" s="11">
        <v>4.4</v>
      </c>
      <c r="T39" s="11">
        <v>2</v>
      </c>
      <c r="U39" s="11">
        <v>2.4</v>
      </c>
      <c r="V39" s="11">
        <v>0</v>
      </c>
      <c r="W39" s="13">
        <v>2</v>
      </c>
      <c r="X39" s="13">
        <v>3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120</v>
      </c>
      <c r="C40" s="10" t="s">
        <v>121</v>
      </c>
      <c r="D40" s="7" t="s">
        <v>60</v>
      </c>
      <c r="E40" s="7" t="s">
        <v>93</v>
      </c>
      <c r="F40" s="7" t="s">
        <v>90</v>
      </c>
      <c r="G40" s="7"/>
      <c r="H40" s="7" t="s">
        <v>43</v>
      </c>
      <c r="I40" s="11">
        <v>2</v>
      </c>
      <c r="J40" s="11">
        <v>3</v>
      </c>
      <c r="K40" s="11">
        <v>0</v>
      </c>
      <c r="L40" s="11">
        <v>1.5</v>
      </c>
      <c r="M40" s="11">
        <v>0.16</v>
      </c>
      <c r="N40" s="11">
        <v>0</v>
      </c>
      <c r="O40" s="11">
        <v>0</v>
      </c>
      <c r="P40" s="11">
        <v>0</v>
      </c>
      <c r="Q40" s="11">
        <v>1.66</v>
      </c>
      <c r="R40" s="11">
        <v>0</v>
      </c>
      <c r="S40" s="11">
        <v>1.66</v>
      </c>
      <c r="T40" s="11">
        <v>1.66</v>
      </c>
      <c r="U40" s="11">
        <v>0</v>
      </c>
      <c r="V40" s="11">
        <v>0</v>
      </c>
      <c r="W40" s="13">
        <v>2</v>
      </c>
      <c r="X40" s="13">
        <v>3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122</v>
      </c>
      <c r="C41" s="10" t="s">
        <v>123</v>
      </c>
      <c r="D41" s="7" t="s">
        <v>54</v>
      </c>
      <c r="E41" s="7" t="s">
        <v>89</v>
      </c>
      <c r="F41" s="7" t="s">
        <v>90</v>
      </c>
      <c r="G41" s="7"/>
      <c r="H41" s="7" t="s">
        <v>124</v>
      </c>
      <c r="I41" s="11">
        <v>2</v>
      </c>
      <c r="J41" s="11">
        <v>3</v>
      </c>
      <c r="K41" s="11">
        <v>0.95</v>
      </c>
      <c r="L41" s="11">
        <v>4.08</v>
      </c>
      <c r="M41" s="11">
        <v>0.16</v>
      </c>
      <c r="N41" s="11">
        <v>0</v>
      </c>
      <c r="O41" s="11">
        <v>0.7000000000000001</v>
      </c>
      <c r="P41" s="11">
        <v>0</v>
      </c>
      <c r="Q41" s="11">
        <v>5.890000000000001</v>
      </c>
      <c r="R41" s="11">
        <v>0</v>
      </c>
      <c r="S41" s="11">
        <v>5.890000000000001</v>
      </c>
      <c r="T41" s="11">
        <v>2</v>
      </c>
      <c r="U41" s="11">
        <v>3</v>
      </c>
      <c r="V41" s="11">
        <v>0.8900000000000006</v>
      </c>
      <c r="W41" s="13">
        <v>2</v>
      </c>
      <c r="X41" s="13">
        <v>3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125</v>
      </c>
      <c r="C42" s="10" t="s">
        <v>126</v>
      </c>
      <c r="D42" s="7" t="s">
        <v>48</v>
      </c>
      <c r="E42" s="7" t="s">
        <v>89</v>
      </c>
      <c r="F42" s="7" t="s">
        <v>90</v>
      </c>
      <c r="G42" s="7"/>
      <c r="H42" s="7" t="s">
        <v>43</v>
      </c>
      <c r="I42" s="11">
        <v>2</v>
      </c>
      <c r="J42" s="11">
        <v>3</v>
      </c>
      <c r="K42" s="11">
        <v>0</v>
      </c>
      <c r="L42" s="11">
        <v>2.879999999999999</v>
      </c>
      <c r="M42" s="11">
        <v>0</v>
      </c>
      <c r="N42" s="11">
        <v>0</v>
      </c>
      <c r="O42" s="11">
        <v>0.6</v>
      </c>
      <c r="P42" s="11">
        <v>0</v>
      </c>
      <c r="Q42" s="11">
        <v>3.48</v>
      </c>
      <c r="R42" s="11">
        <v>0</v>
      </c>
      <c r="S42" s="11">
        <v>3.48</v>
      </c>
      <c r="T42" s="11">
        <v>2</v>
      </c>
      <c r="U42" s="11">
        <v>1.48</v>
      </c>
      <c r="V42" s="11">
        <v>0</v>
      </c>
      <c r="W42" s="13">
        <v>2</v>
      </c>
      <c r="X42" s="13">
        <v>3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127</v>
      </c>
      <c r="C43" s="10" t="s">
        <v>128</v>
      </c>
      <c r="D43" s="7" t="s">
        <v>129</v>
      </c>
      <c r="E43" s="7" t="s">
        <v>93</v>
      </c>
      <c r="F43" s="7" t="s">
        <v>90</v>
      </c>
      <c r="G43" s="7"/>
      <c r="H43" s="7" t="s">
        <v>67</v>
      </c>
      <c r="I43" s="11">
        <v>2</v>
      </c>
      <c r="J43" s="11">
        <v>3</v>
      </c>
      <c r="K43" s="11">
        <v>1.33</v>
      </c>
      <c r="L43" s="11">
        <v>3.49</v>
      </c>
      <c r="M43" s="11">
        <v>0.16</v>
      </c>
      <c r="N43" s="11">
        <v>0</v>
      </c>
      <c r="O43" s="11">
        <v>0.6</v>
      </c>
      <c r="P43" s="11">
        <v>0.8</v>
      </c>
      <c r="Q43" s="11">
        <v>6.380000000000001</v>
      </c>
      <c r="R43" s="11">
        <v>0</v>
      </c>
      <c r="S43" s="11">
        <v>6.380000000000001</v>
      </c>
      <c r="T43" s="11">
        <v>2</v>
      </c>
      <c r="U43" s="11">
        <v>3</v>
      </c>
      <c r="V43" s="11">
        <v>1.380000000000001</v>
      </c>
      <c r="W43" s="13">
        <v>2</v>
      </c>
      <c r="X43" s="13">
        <v>3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130</v>
      </c>
      <c r="C44" s="10" t="s">
        <v>131</v>
      </c>
      <c r="D44" s="7" t="s">
        <v>60</v>
      </c>
      <c r="E44" s="7" t="s">
        <v>89</v>
      </c>
      <c r="F44" s="7" t="s">
        <v>90</v>
      </c>
      <c r="G44" s="7"/>
      <c r="H44" s="7" t="s">
        <v>43</v>
      </c>
      <c r="I44" s="11">
        <v>2</v>
      </c>
      <c r="J44" s="11">
        <v>3</v>
      </c>
      <c r="K44" s="11">
        <v>0</v>
      </c>
      <c r="L44" s="11">
        <v>1.25</v>
      </c>
      <c r="M44" s="11">
        <v>0.08</v>
      </c>
      <c r="N44" s="11">
        <v>0</v>
      </c>
      <c r="O44" s="11">
        <v>0</v>
      </c>
      <c r="P44" s="11">
        <v>0</v>
      </c>
      <c r="Q44" s="11">
        <v>1.33</v>
      </c>
      <c r="R44" s="11">
        <v>0</v>
      </c>
      <c r="S44" s="11">
        <v>1.33</v>
      </c>
      <c r="T44" s="11">
        <v>1.33</v>
      </c>
      <c r="U44" s="11">
        <v>0</v>
      </c>
      <c r="V44" s="11">
        <v>0</v>
      </c>
      <c r="W44" s="13">
        <v>2</v>
      </c>
      <c r="X44" s="13">
        <v>3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132</v>
      </c>
      <c r="C45" s="10" t="s">
        <v>133</v>
      </c>
      <c r="D45" s="7" t="s">
        <v>60</v>
      </c>
      <c r="E45" s="7" t="s">
        <v>89</v>
      </c>
      <c r="F45" s="7" t="s">
        <v>90</v>
      </c>
      <c r="G45" s="7"/>
      <c r="H45" s="7" t="s">
        <v>43</v>
      </c>
      <c r="I45" s="11">
        <v>2</v>
      </c>
      <c r="J45" s="11">
        <v>3</v>
      </c>
      <c r="K45" s="11">
        <v>0</v>
      </c>
      <c r="L45" s="11">
        <v>8.040000000000001</v>
      </c>
      <c r="M45" s="11">
        <v>0.32</v>
      </c>
      <c r="N45" s="11">
        <v>0</v>
      </c>
      <c r="O45" s="11">
        <v>0.6</v>
      </c>
      <c r="P45" s="11">
        <v>1</v>
      </c>
      <c r="Q45" s="11">
        <v>9.960000000000001</v>
      </c>
      <c r="R45" s="11">
        <v>0</v>
      </c>
      <c r="S45" s="11">
        <v>9.960000000000001</v>
      </c>
      <c r="T45" s="11">
        <v>2</v>
      </c>
      <c r="U45" s="11">
        <v>3</v>
      </c>
      <c r="V45" s="11">
        <v>4.960000000000001</v>
      </c>
      <c r="W45" s="13">
        <v>2</v>
      </c>
      <c r="X45" s="13">
        <v>3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134</v>
      </c>
      <c r="C46" s="10" t="s">
        <v>135</v>
      </c>
      <c r="D46" s="7" t="s">
        <v>54</v>
      </c>
      <c r="E46" s="7" t="s">
        <v>93</v>
      </c>
      <c r="F46" s="7" t="s">
        <v>90</v>
      </c>
      <c r="G46" s="7"/>
      <c r="H46" s="7" t="s">
        <v>43</v>
      </c>
      <c r="I46" s="11">
        <v>2</v>
      </c>
      <c r="J46" s="11">
        <v>3</v>
      </c>
      <c r="K46" s="11">
        <v>0</v>
      </c>
      <c r="L46" s="11">
        <v>4.52</v>
      </c>
      <c r="M46" s="11">
        <v>0.5700000000000001</v>
      </c>
      <c r="N46" s="11">
        <v>0</v>
      </c>
      <c r="O46" s="11">
        <v>0.7000000000000001</v>
      </c>
      <c r="P46" s="11">
        <v>0</v>
      </c>
      <c r="Q46" s="11">
        <v>5.79</v>
      </c>
      <c r="R46" s="11">
        <v>0</v>
      </c>
      <c r="S46" s="11">
        <v>5.79</v>
      </c>
      <c r="T46" s="11">
        <v>2</v>
      </c>
      <c r="U46" s="11">
        <v>3</v>
      </c>
      <c r="V46" s="11">
        <v>0.79</v>
      </c>
      <c r="W46" s="13">
        <v>2</v>
      </c>
      <c r="X46" s="13">
        <v>3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136</v>
      </c>
      <c r="C47" s="10" t="s">
        <v>137</v>
      </c>
      <c r="D47" s="7" t="s">
        <v>48</v>
      </c>
      <c r="E47" s="7" t="s">
        <v>99</v>
      </c>
      <c r="F47" s="7" t="s">
        <v>90</v>
      </c>
      <c r="G47" s="7"/>
      <c r="H47" s="7" t="s">
        <v>43</v>
      </c>
      <c r="I47" s="11">
        <v>2</v>
      </c>
      <c r="J47" s="11">
        <v>3</v>
      </c>
      <c r="K47" s="11">
        <v>0</v>
      </c>
      <c r="L47" s="11">
        <v>3.65</v>
      </c>
      <c r="M47" s="11">
        <v>0.4</v>
      </c>
      <c r="N47" s="11">
        <v>0</v>
      </c>
      <c r="O47" s="11">
        <v>0.84</v>
      </c>
      <c r="P47" s="11">
        <v>3.4</v>
      </c>
      <c r="Q47" s="11">
        <v>8.289999999999996</v>
      </c>
      <c r="R47" s="11">
        <v>0</v>
      </c>
      <c r="S47" s="11">
        <v>8.289999999999996</v>
      </c>
      <c r="T47" s="11">
        <v>2</v>
      </c>
      <c r="U47" s="11">
        <v>3</v>
      </c>
      <c r="V47" s="11">
        <v>3.289999999999996</v>
      </c>
      <c r="W47" s="13">
        <v>2</v>
      </c>
      <c r="X47" s="13">
        <v>3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138</v>
      </c>
      <c r="C48" s="10" t="s">
        <v>139</v>
      </c>
      <c r="D48" s="7" t="s">
        <v>54</v>
      </c>
      <c r="E48" s="7" t="s">
        <v>89</v>
      </c>
      <c r="F48" s="7" t="s">
        <v>90</v>
      </c>
      <c r="G48" s="7"/>
      <c r="H48" s="7" t="s">
        <v>43</v>
      </c>
      <c r="I48" s="11">
        <v>2</v>
      </c>
      <c r="J48" s="11">
        <v>3</v>
      </c>
      <c r="K48" s="11">
        <v>0</v>
      </c>
      <c r="L48" s="11">
        <v>6.319999999999999</v>
      </c>
      <c r="M48" s="11">
        <v>0.4</v>
      </c>
      <c r="N48" s="11">
        <v>0</v>
      </c>
      <c r="O48" s="11">
        <v>0.7000000000000001</v>
      </c>
      <c r="P48" s="11">
        <v>0</v>
      </c>
      <c r="Q48" s="11">
        <v>7.420000000000002</v>
      </c>
      <c r="R48" s="11">
        <v>0</v>
      </c>
      <c r="S48" s="11">
        <v>7.420000000000002</v>
      </c>
      <c r="T48" s="11">
        <v>2</v>
      </c>
      <c r="U48" s="11">
        <v>3</v>
      </c>
      <c r="V48" s="11">
        <v>2.420000000000002</v>
      </c>
      <c r="W48" s="13">
        <v>2</v>
      </c>
      <c r="X48" s="13">
        <v>3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49" spans="1:676">
      <c r="A49" s="7">
        <v>39</v>
      </c>
      <c r="B49" s="7" t="s">
        <v>140</v>
      </c>
      <c r="C49" s="10" t="s">
        <v>141</v>
      </c>
      <c r="D49" s="7" t="s">
        <v>60</v>
      </c>
      <c r="E49" s="7" t="s">
        <v>89</v>
      </c>
      <c r="F49" s="7" t="s">
        <v>90</v>
      </c>
      <c r="G49" s="7"/>
      <c r="H49" s="7" t="s">
        <v>43</v>
      </c>
      <c r="I49" s="11">
        <v>2</v>
      </c>
      <c r="J49" s="11">
        <v>3</v>
      </c>
      <c r="K49" s="11">
        <v>0</v>
      </c>
      <c r="L49" s="11">
        <v>3.04</v>
      </c>
      <c r="M49" s="11">
        <v>0.16</v>
      </c>
      <c r="N49" s="11">
        <v>0</v>
      </c>
      <c r="O49" s="11">
        <v>0.64</v>
      </c>
      <c r="P49" s="11">
        <v>0.83</v>
      </c>
      <c r="Q49" s="11">
        <v>4.67</v>
      </c>
      <c r="R49" s="11">
        <v>0</v>
      </c>
      <c r="S49" s="11">
        <v>4.67</v>
      </c>
      <c r="T49" s="11">
        <v>2</v>
      </c>
      <c r="U49" s="11">
        <v>2.67</v>
      </c>
      <c r="V49" s="11">
        <v>0</v>
      </c>
      <c r="W49" s="13">
        <v>2</v>
      </c>
      <c r="X49" s="13">
        <v>3</v>
      </c>
      <c r="Y49" s="13" t="str">
        <f>MIN(W49,S49)</f>
        <v>0</v>
      </c>
      <c r="Z49" s="13" t="str">
        <f>MIN(X49,(S49-Y49))</f>
        <v>0</v>
      </c>
      <c r="AA49" s="13" t="str">
        <f>S49-SUM(Y49,Z49)</f>
        <v>0</v>
      </c>
      <c r="AB49" s="15"/>
      <c r="AC49" s="15"/>
      <c r="AD49" s="1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</row>
    <row r="50" spans="1:676">
      <c r="A50" s="7">
        <v>40</v>
      </c>
      <c r="B50" s="7" t="s">
        <v>142</v>
      </c>
      <c r="C50" s="10" t="s">
        <v>143</v>
      </c>
      <c r="D50" s="7" t="s">
        <v>51</v>
      </c>
      <c r="E50" s="7" t="s">
        <v>89</v>
      </c>
      <c r="F50" s="7" t="s">
        <v>90</v>
      </c>
      <c r="G50" s="7"/>
      <c r="H50" s="7" t="s">
        <v>43</v>
      </c>
      <c r="I50" s="11">
        <v>2</v>
      </c>
      <c r="J50" s="11">
        <v>3</v>
      </c>
      <c r="K50" s="11">
        <v>0</v>
      </c>
      <c r="L50" s="11">
        <v>4.609999999999999</v>
      </c>
      <c r="M50" s="11">
        <v>0.08</v>
      </c>
      <c r="N50" s="11">
        <v>0</v>
      </c>
      <c r="O50" s="11">
        <v>0</v>
      </c>
      <c r="P50" s="11">
        <v>0</v>
      </c>
      <c r="Q50" s="11">
        <v>4.69</v>
      </c>
      <c r="R50" s="11">
        <v>0</v>
      </c>
      <c r="S50" s="11">
        <v>4.69</v>
      </c>
      <c r="T50" s="11">
        <v>2</v>
      </c>
      <c r="U50" s="11">
        <v>2.69</v>
      </c>
      <c r="V50" s="11">
        <v>0</v>
      </c>
      <c r="W50" s="13">
        <v>2</v>
      </c>
      <c r="X50" s="13">
        <v>3</v>
      </c>
      <c r="Y50" s="13" t="str">
        <f>MIN(W50,S50)</f>
        <v>0</v>
      </c>
      <c r="Z50" s="13" t="str">
        <f>MIN(X50,(S50-Y50))</f>
        <v>0</v>
      </c>
      <c r="AA50" s="13" t="str">
        <f>S50-SUM(Y50,Z50)</f>
        <v>0</v>
      </c>
      <c r="AB50" s="15"/>
      <c r="AC50" s="15"/>
      <c r="AD50" s="1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</row>
    <row r="51" spans="1:676">
      <c r="A51" s="7">
        <v>41</v>
      </c>
      <c r="B51" s="7" t="s">
        <v>144</v>
      </c>
      <c r="C51" s="10" t="s">
        <v>145</v>
      </c>
      <c r="D51" s="7" t="s">
        <v>51</v>
      </c>
      <c r="E51" s="7" t="s">
        <v>89</v>
      </c>
      <c r="F51" s="7" t="s">
        <v>90</v>
      </c>
      <c r="G51" s="7"/>
      <c r="H51" s="7" t="s">
        <v>43</v>
      </c>
      <c r="I51" s="11">
        <v>2</v>
      </c>
      <c r="J51" s="11">
        <v>3</v>
      </c>
      <c r="K51" s="11">
        <v>0</v>
      </c>
      <c r="L51" s="11">
        <v>3.370000000000001</v>
      </c>
      <c r="M51" s="11">
        <v>0.08</v>
      </c>
      <c r="N51" s="11">
        <v>0</v>
      </c>
      <c r="O51" s="11">
        <v>0.7000000000000001</v>
      </c>
      <c r="P51" s="11">
        <v>0</v>
      </c>
      <c r="Q51" s="11">
        <v>4.15</v>
      </c>
      <c r="R51" s="11">
        <v>0</v>
      </c>
      <c r="S51" s="11">
        <v>4.15</v>
      </c>
      <c r="T51" s="11">
        <v>2</v>
      </c>
      <c r="U51" s="11">
        <v>2.15</v>
      </c>
      <c r="V51" s="11">
        <v>0</v>
      </c>
      <c r="W51" s="13">
        <v>2</v>
      </c>
      <c r="X51" s="13">
        <v>3</v>
      </c>
      <c r="Y51" s="13" t="str">
        <f>MIN(W51,S51)</f>
        <v>0</v>
      </c>
      <c r="Z51" s="13" t="str">
        <f>MIN(X51,(S51-Y51))</f>
        <v>0</v>
      </c>
      <c r="AA51" s="13" t="str">
        <f>S51-SUM(Y51,Z51)</f>
        <v>0</v>
      </c>
      <c r="AB51" s="15"/>
      <c r="AC51" s="15"/>
      <c r="AD51" s="1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</row>
    <row r="52" spans="1:676">
      <c r="A52" s="7">
        <v>42</v>
      </c>
      <c r="B52" s="7" t="s">
        <v>146</v>
      </c>
      <c r="C52" s="10" t="s">
        <v>147</v>
      </c>
      <c r="D52" s="7" t="s">
        <v>48</v>
      </c>
      <c r="E52" s="7" t="s">
        <v>93</v>
      </c>
      <c r="F52" s="7" t="s">
        <v>90</v>
      </c>
      <c r="G52" s="7"/>
      <c r="H52" s="7" t="s">
        <v>124</v>
      </c>
      <c r="I52" s="11">
        <v>2</v>
      </c>
      <c r="J52" s="11">
        <v>3</v>
      </c>
      <c r="K52" s="11">
        <v>0.95</v>
      </c>
      <c r="L52" s="11">
        <v>1.38</v>
      </c>
      <c r="M52" s="11">
        <v>0.32</v>
      </c>
      <c r="N52" s="11">
        <v>0</v>
      </c>
      <c r="O52" s="11">
        <v>1.26</v>
      </c>
      <c r="P52" s="11">
        <v>1.77</v>
      </c>
      <c r="Q52" s="11">
        <v>5.680000000000001</v>
      </c>
      <c r="R52" s="11">
        <v>0</v>
      </c>
      <c r="S52" s="11">
        <v>5.680000000000001</v>
      </c>
      <c r="T52" s="11">
        <v>2</v>
      </c>
      <c r="U52" s="11">
        <v>3</v>
      </c>
      <c r="V52" s="11">
        <v>0.6800000000000006</v>
      </c>
      <c r="W52" s="13">
        <v>2</v>
      </c>
      <c r="X52" s="13">
        <v>3</v>
      </c>
      <c r="Y52" s="13" t="str">
        <f>MIN(W52,S52)</f>
        <v>0</v>
      </c>
      <c r="Z52" s="13" t="str">
        <f>MIN(X52,(S52-Y52))</f>
        <v>0</v>
      </c>
      <c r="AA52" s="13" t="str">
        <f>S52-SUM(Y52,Z52)</f>
        <v>0</v>
      </c>
      <c r="AB52" s="15"/>
      <c r="AC52" s="15"/>
      <c r="AD52" s="1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</row>
    <row r="53" spans="1:676">
      <c r="A53" s="7">
        <v>43</v>
      </c>
      <c r="B53" s="7" t="s">
        <v>148</v>
      </c>
      <c r="C53" s="10" t="s">
        <v>149</v>
      </c>
      <c r="D53" s="7" t="s">
        <v>40</v>
      </c>
      <c r="E53" s="7" t="s">
        <v>93</v>
      </c>
      <c r="F53" s="7" t="s">
        <v>90</v>
      </c>
      <c r="G53" s="7"/>
      <c r="H53" s="7" t="s">
        <v>43</v>
      </c>
      <c r="I53" s="11">
        <v>2</v>
      </c>
      <c r="J53" s="11">
        <v>3</v>
      </c>
      <c r="K53" s="11">
        <v>0</v>
      </c>
      <c r="L53" s="11">
        <v>4.029999999999999</v>
      </c>
      <c r="M53" s="11">
        <v>0.32</v>
      </c>
      <c r="N53" s="11">
        <v>0</v>
      </c>
      <c r="O53" s="11">
        <v>0.5</v>
      </c>
      <c r="P53" s="11">
        <v>0.17</v>
      </c>
      <c r="Q53" s="11">
        <v>5.02</v>
      </c>
      <c r="R53" s="11">
        <v>0</v>
      </c>
      <c r="S53" s="11">
        <v>5.02</v>
      </c>
      <c r="T53" s="11">
        <v>2</v>
      </c>
      <c r="U53" s="11">
        <v>3</v>
      </c>
      <c r="V53" s="11">
        <v>0.01999999999999957</v>
      </c>
      <c r="W53" s="13">
        <v>2</v>
      </c>
      <c r="X53" s="13">
        <v>3</v>
      </c>
      <c r="Y53" s="13" t="str">
        <f>MIN(W53,S53)</f>
        <v>0</v>
      </c>
      <c r="Z53" s="13" t="str">
        <f>MIN(X53,(S53-Y53))</f>
        <v>0</v>
      </c>
      <c r="AA53" s="13" t="str">
        <f>S53-SUM(Y53,Z53)</f>
        <v>0</v>
      </c>
      <c r="AB53" s="15"/>
      <c r="AC53" s="15"/>
      <c r="AD53" s="1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</row>
    <row r="54" spans="1:676">
      <c r="A54" s="7">
        <v>44</v>
      </c>
      <c r="B54" s="7" t="s">
        <v>150</v>
      </c>
      <c r="C54" s="10" t="s">
        <v>151</v>
      </c>
      <c r="D54" s="7" t="s">
        <v>40</v>
      </c>
      <c r="E54" s="7" t="s">
        <v>93</v>
      </c>
      <c r="F54" s="7" t="s">
        <v>90</v>
      </c>
      <c r="G54" s="7"/>
      <c r="H54" s="7" t="s">
        <v>43</v>
      </c>
      <c r="I54" s="11">
        <v>2</v>
      </c>
      <c r="J54" s="11">
        <v>3</v>
      </c>
      <c r="K54" s="11">
        <v>0</v>
      </c>
      <c r="L54" s="11">
        <v>2.42</v>
      </c>
      <c r="M54" s="11">
        <v>0.48</v>
      </c>
      <c r="N54" s="11">
        <v>0</v>
      </c>
      <c r="O54" s="11">
        <v>0.5</v>
      </c>
      <c r="P54" s="11">
        <v>0</v>
      </c>
      <c r="Q54" s="11">
        <v>3.4</v>
      </c>
      <c r="R54" s="11">
        <v>0</v>
      </c>
      <c r="S54" s="11">
        <v>3.4</v>
      </c>
      <c r="T54" s="11">
        <v>2</v>
      </c>
      <c r="U54" s="11">
        <v>1.4</v>
      </c>
      <c r="V54" s="11">
        <v>0</v>
      </c>
      <c r="W54" s="13">
        <v>2</v>
      </c>
      <c r="X54" s="13">
        <v>3</v>
      </c>
      <c r="Y54" s="13" t="str">
        <f>MIN(W54,S54)</f>
        <v>0</v>
      </c>
      <c r="Z54" s="13" t="str">
        <f>MIN(X54,(S54-Y54))</f>
        <v>0</v>
      </c>
      <c r="AA54" s="13" t="str">
        <f>S54-SUM(Y54,Z54)</f>
        <v>0</v>
      </c>
      <c r="AB54" s="15"/>
      <c r="AC54" s="15"/>
      <c r="AD54" s="1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</row>
    <row r="55" spans="1:676">
      <c r="A55" s="7">
        <v>45</v>
      </c>
      <c r="B55" s="7" t="s">
        <v>152</v>
      </c>
      <c r="C55" s="10" t="s">
        <v>153</v>
      </c>
      <c r="D55" s="7" t="s">
        <v>54</v>
      </c>
      <c r="E55" s="7" t="s">
        <v>89</v>
      </c>
      <c r="F55" s="7" t="s">
        <v>90</v>
      </c>
      <c r="G55" s="7"/>
      <c r="H55" s="7" t="s">
        <v>43</v>
      </c>
      <c r="I55" s="11">
        <v>2</v>
      </c>
      <c r="J55" s="11">
        <v>3</v>
      </c>
      <c r="K55" s="11">
        <v>0</v>
      </c>
      <c r="L55" s="11">
        <v>4.759999999999997</v>
      </c>
      <c r="M55" s="11">
        <v>0.08</v>
      </c>
      <c r="N55" s="11">
        <v>0</v>
      </c>
      <c r="O55" s="11">
        <v>0.7000000000000001</v>
      </c>
      <c r="P55" s="11">
        <v>0</v>
      </c>
      <c r="Q55" s="11">
        <v>5.539999999999997</v>
      </c>
      <c r="R55" s="11">
        <v>0</v>
      </c>
      <c r="S55" s="11">
        <v>5.539999999999997</v>
      </c>
      <c r="T55" s="11">
        <v>2</v>
      </c>
      <c r="U55" s="11">
        <v>3</v>
      </c>
      <c r="V55" s="11">
        <v>0.5399999999999974</v>
      </c>
      <c r="W55" s="13">
        <v>2</v>
      </c>
      <c r="X55" s="13">
        <v>3</v>
      </c>
      <c r="Y55" s="13" t="str">
        <f>MIN(W55,S55)</f>
        <v>0</v>
      </c>
      <c r="Z55" s="13" t="str">
        <f>MIN(X55,(S55-Y55))</f>
        <v>0</v>
      </c>
      <c r="AA55" s="13" t="str">
        <f>S55-SUM(Y55,Z55)</f>
        <v>0</v>
      </c>
      <c r="AB55" s="15"/>
      <c r="AC55" s="15"/>
      <c r="AD55" s="1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</row>
    <row r="56" spans="1:676">
      <c r="A56" s="7">
        <v>46</v>
      </c>
      <c r="B56" s="7" t="s">
        <v>154</v>
      </c>
      <c r="C56" s="10" t="s">
        <v>155</v>
      </c>
      <c r="D56" s="7" t="s">
        <v>51</v>
      </c>
      <c r="E56" s="7" t="s">
        <v>89</v>
      </c>
      <c r="F56" s="7" t="s">
        <v>90</v>
      </c>
      <c r="G56" s="7"/>
      <c r="H56" s="7" t="s">
        <v>43</v>
      </c>
      <c r="I56" s="11">
        <v>2</v>
      </c>
      <c r="J56" s="11">
        <v>3</v>
      </c>
      <c r="K56" s="11">
        <v>0</v>
      </c>
      <c r="L56" s="11">
        <v>4.969999999999998</v>
      </c>
      <c r="M56" s="11">
        <v>0.48</v>
      </c>
      <c r="N56" s="11">
        <v>0</v>
      </c>
      <c r="O56" s="11">
        <v>0</v>
      </c>
      <c r="P56" s="11">
        <v>0.83</v>
      </c>
      <c r="Q56" s="11">
        <v>6.279999999999998</v>
      </c>
      <c r="R56" s="11">
        <v>0</v>
      </c>
      <c r="S56" s="11">
        <v>6.279999999999998</v>
      </c>
      <c r="T56" s="11">
        <v>2</v>
      </c>
      <c r="U56" s="11">
        <v>3</v>
      </c>
      <c r="V56" s="11">
        <v>1.279999999999998</v>
      </c>
      <c r="W56" s="13">
        <v>2</v>
      </c>
      <c r="X56" s="13">
        <v>3</v>
      </c>
      <c r="Y56" s="13" t="str">
        <f>MIN(W56,S56)</f>
        <v>0</v>
      </c>
      <c r="Z56" s="13" t="str">
        <f>MIN(X56,(S56-Y56))</f>
        <v>0</v>
      </c>
      <c r="AA56" s="13" t="str">
        <f>S56-SUM(Y56,Z56)</f>
        <v>0</v>
      </c>
      <c r="AB56" s="15"/>
      <c r="AC56" s="15"/>
      <c r="AD56" s="1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  <c r="PX56" s="5"/>
      <c r="PY56" s="5"/>
      <c r="PZ56" s="5"/>
      <c r="QA56" s="5"/>
      <c r="QB56" s="5"/>
      <c r="QC56" s="5"/>
      <c r="QD56" s="5"/>
      <c r="QE56" s="5"/>
      <c r="QF56" s="5"/>
      <c r="QG56" s="5"/>
      <c r="QH56" s="5"/>
      <c r="QI56" s="5"/>
      <c r="QJ56" s="5"/>
      <c r="QK56" s="5"/>
      <c r="QL56" s="5"/>
      <c r="QM56" s="5"/>
      <c r="QN56" s="5"/>
      <c r="QO56" s="5"/>
      <c r="QP56" s="5"/>
      <c r="QQ56" s="5"/>
      <c r="QR56" s="5"/>
      <c r="QS56" s="5"/>
      <c r="QT56" s="5"/>
      <c r="QU56" s="5"/>
      <c r="QV56" s="5"/>
      <c r="QW56" s="5"/>
      <c r="QX56" s="5"/>
      <c r="QY56" s="5"/>
      <c r="QZ56" s="5"/>
      <c r="RA56" s="5"/>
      <c r="RB56" s="5"/>
      <c r="RC56" s="5"/>
      <c r="RD56" s="5"/>
      <c r="RE56" s="5"/>
      <c r="RF56" s="5"/>
      <c r="RG56" s="5"/>
      <c r="RH56" s="5"/>
      <c r="RI56" s="5"/>
      <c r="RJ56" s="5"/>
      <c r="RK56" s="5"/>
      <c r="RL56" s="5"/>
      <c r="RM56" s="5"/>
      <c r="RN56" s="5"/>
      <c r="RO56" s="5"/>
      <c r="RP56" s="5"/>
      <c r="RQ56" s="5"/>
      <c r="RR56" s="5"/>
      <c r="RS56" s="5"/>
      <c r="RT56" s="5"/>
      <c r="RU56" s="5"/>
      <c r="RV56" s="5"/>
      <c r="RW56" s="5"/>
      <c r="RX56" s="5"/>
      <c r="RY56" s="5"/>
      <c r="RZ56" s="5"/>
      <c r="SA56" s="5"/>
      <c r="SB56" s="5"/>
      <c r="SC56" s="5"/>
      <c r="SD56" s="5"/>
      <c r="SE56" s="5"/>
      <c r="SF56" s="5"/>
      <c r="SG56" s="5"/>
      <c r="SH56" s="5"/>
      <c r="SI56" s="5"/>
      <c r="SJ56" s="5"/>
      <c r="SK56" s="5"/>
      <c r="SL56" s="5"/>
      <c r="SM56" s="5"/>
      <c r="SN56" s="5"/>
      <c r="SO56" s="5"/>
      <c r="SP56" s="5"/>
      <c r="SQ56" s="5"/>
      <c r="SR56" s="5"/>
      <c r="SS56" s="5"/>
      <c r="ST56" s="5"/>
      <c r="SU56" s="5"/>
      <c r="SV56" s="5"/>
      <c r="SW56" s="5"/>
      <c r="SX56" s="5"/>
      <c r="SY56" s="5"/>
      <c r="SZ56" s="5"/>
      <c r="TA56" s="5"/>
      <c r="TB56" s="5"/>
      <c r="TC56" s="5"/>
      <c r="TD56" s="5"/>
      <c r="TE56" s="5"/>
      <c r="TF56" s="5"/>
      <c r="TG56" s="5"/>
      <c r="TH56" s="5"/>
      <c r="TI56" s="5"/>
      <c r="TJ56" s="5"/>
      <c r="TK56" s="5"/>
      <c r="TL56" s="5"/>
      <c r="TM56" s="5"/>
      <c r="TN56" s="5"/>
      <c r="TO56" s="5"/>
      <c r="TP56" s="5"/>
      <c r="TQ56" s="5"/>
      <c r="TR56" s="5"/>
      <c r="TS56" s="5"/>
      <c r="TT56" s="5"/>
      <c r="TU56" s="5"/>
      <c r="TV56" s="5"/>
      <c r="TW56" s="5"/>
      <c r="TX56" s="5"/>
      <c r="TY56" s="5"/>
      <c r="TZ56" s="5"/>
      <c r="UA56" s="5"/>
      <c r="UB56" s="5"/>
      <c r="UC56" s="5"/>
      <c r="UD56" s="5"/>
      <c r="UE56" s="5"/>
      <c r="UF56" s="5"/>
      <c r="UG56" s="5"/>
      <c r="UH56" s="5"/>
      <c r="UI56" s="5"/>
      <c r="UJ56" s="5"/>
      <c r="UK56" s="5"/>
      <c r="UL56" s="5"/>
      <c r="UM56" s="5"/>
      <c r="UN56" s="5"/>
      <c r="UO56" s="5"/>
      <c r="UP56" s="5"/>
      <c r="UQ56" s="5"/>
      <c r="UR56" s="5"/>
      <c r="US56" s="5"/>
      <c r="UT56" s="5"/>
      <c r="UU56" s="5"/>
      <c r="UV56" s="5"/>
      <c r="UW56" s="5"/>
      <c r="UX56" s="5"/>
      <c r="UY56" s="5"/>
      <c r="UZ56" s="5"/>
      <c r="VA56" s="5"/>
      <c r="VB56" s="5"/>
      <c r="VC56" s="5"/>
      <c r="VD56" s="5"/>
      <c r="VE56" s="5"/>
      <c r="VF56" s="5"/>
      <c r="VG56" s="5"/>
      <c r="VH56" s="5"/>
      <c r="VI56" s="5"/>
      <c r="VJ56" s="5"/>
      <c r="VK56" s="5"/>
      <c r="VL56" s="5"/>
      <c r="VM56" s="5"/>
      <c r="VN56" s="5"/>
      <c r="VO56" s="5"/>
      <c r="VP56" s="5"/>
      <c r="VQ56" s="5"/>
      <c r="VR56" s="5"/>
      <c r="VS56" s="5"/>
      <c r="VT56" s="5"/>
      <c r="VU56" s="5"/>
      <c r="VV56" s="5"/>
      <c r="VW56" s="5"/>
      <c r="VX56" s="5"/>
      <c r="VY56" s="5"/>
      <c r="VZ56" s="5"/>
      <c r="WA56" s="5"/>
      <c r="WB56" s="5"/>
      <c r="WC56" s="5"/>
      <c r="WD56" s="5"/>
      <c r="WE56" s="5"/>
      <c r="WF56" s="5"/>
      <c r="WG56" s="5"/>
      <c r="WH56" s="5"/>
      <c r="WI56" s="5"/>
      <c r="WJ56" s="5"/>
      <c r="WK56" s="5"/>
      <c r="WL56" s="5"/>
      <c r="WM56" s="5"/>
      <c r="WN56" s="5"/>
      <c r="WO56" s="5"/>
      <c r="WP56" s="5"/>
      <c r="WQ56" s="5"/>
      <c r="WR56" s="5"/>
      <c r="WS56" s="5"/>
      <c r="WT56" s="5"/>
      <c r="WU56" s="5"/>
      <c r="WV56" s="5"/>
      <c r="WW56" s="5"/>
      <c r="WX56" s="5"/>
      <c r="WY56" s="5"/>
      <c r="WZ56" s="5"/>
      <c r="XA56" s="5"/>
      <c r="XB56" s="5"/>
      <c r="XC56" s="5"/>
      <c r="XD56" s="5"/>
      <c r="XE56" s="5"/>
      <c r="XF56" s="5"/>
      <c r="XG56" s="5"/>
      <c r="XH56" s="5"/>
      <c r="XI56" s="5"/>
      <c r="XJ56" s="5"/>
      <c r="XK56" s="5"/>
      <c r="XL56" s="5"/>
      <c r="XM56" s="5"/>
      <c r="XN56" s="5"/>
      <c r="XO56" s="5"/>
      <c r="XP56" s="5"/>
      <c r="XQ56" s="5"/>
      <c r="XR56" s="5"/>
      <c r="XS56" s="5"/>
      <c r="XT56" s="5"/>
      <c r="XU56" s="5"/>
      <c r="XV56" s="5"/>
      <c r="XW56" s="5"/>
      <c r="XX56" s="5"/>
      <c r="XY56" s="5"/>
      <c r="XZ56" s="5"/>
      <c r="YA56" s="5"/>
      <c r="YB56" s="5"/>
      <c r="YC56" s="5"/>
      <c r="YD56" s="5"/>
      <c r="YE56" s="5"/>
      <c r="YF56" s="5"/>
      <c r="YG56" s="5"/>
      <c r="YH56" s="5"/>
      <c r="YI56" s="5"/>
      <c r="YJ56" s="5"/>
      <c r="YK56" s="5"/>
      <c r="YL56" s="5"/>
      <c r="YM56" s="5"/>
      <c r="YN56" s="5"/>
      <c r="YO56" s="5"/>
      <c r="YP56" s="5"/>
      <c r="YQ56" s="5"/>
      <c r="YR56" s="5"/>
      <c r="YS56" s="5"/>
      <c r="YT56" s="5"/>
      <c r="YU56" s="5"/>
      <c r="YV56" s="5"/>
      <c r="YW56" s="5"/>
      <c r="YX56" s="5"/>
      <c r="YY56" s="5"/>
      <c r="YZ56" s="5"/>
    </row>
    <row r="57" spans="1:676">
      <c r="A57" s="7">
        <v>47</v>
      </c>
      <c r="B57" s="7" t="s">
        <v>156</v>
      </c>
      <c r="C57" s="10" t="s">
        <v>157</v>
      </c>
      <c r="D57" s="7" t="s">
        <v>54</v>
      </c>
      <c r="E57" s="7" t="s">
        <v>89</v>
      </c>
      <c r="F57" s="7" t="s">
        <v>90</v>
      </c>
      <c r="G57" s="7"/>
      <c r="H57" s="7" t="s">
        <v>43</v>
      </c>
      <c r="I57" s="11">
        <v>2</v>
      </c>
      <c r="J57" s="11">
        <v>3</v>
      </c>
      <c r="K57" s="11">
        <v>0</v>
      </c>
      <c r="L57" s="11">
        <v>5.609999999999997</v>
      </c>
      <c r="M57" s="11">
        <v>0.8200000000000001</v>
      </c>
      <c r="N57" s="11">
        <v>0</v>
      </c>
      <c r="O57" s="11">
        <v>0.7000000000000001</v>
      </c>
      <c r="P57" s="11">
        <v>0</v>
      </c>
      <c r="Q57" s="11">
        <v>7.129999999999997</v>
      </c>
      <c r="R57" s="11">
        <v>0</v>
      </c>
      <c r="S57" s="11">
        <v>7.129999999999997</v>
      </c>
      <c r="T57" s="11">
        <v>2</v>
      </c>
      <c r="U57" s="11">
        <v>3</v>
      </c>
      <c r="V57" s="11">
        <v>2.129999999999997</v>
      </c>
      <c r="W57" s="13">
        <v>2</v>
      </c>
      <c r="X57" s="13">
        <v>3</v>
      </c>
      <c r="Y57" s="13" t="str">
        <f>MIN(W57,S57)</f>
        <v>0</v>
      </c>
      <c r="Z57" s="13" t="str">
        <f>MIN(X57,(S57-Y57))</f>
        <v>0</v>
      </c>
      <c r="AA57" s="13" t="str">
        <f>S57-SUM(Y57,Z57)</f>
        <v>0</v>
      </c>
      <c r="AB57" s="15"/>
      <c r="AC57" s="15"/>
      <c r="AD57" s="1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  <c r="IZ57" s="5"/>
      <c r="JA57" s="5"/>
      <c r="JB57" s="5"/>
      <c r="JC57" s="5"/>
      <c r="JD57" s="5"/>
      <c r="JE57" s="5"/>
      <c r="JF57" s="5"/>
      <c r="JG57" s="5"/>
      <c r="JH57" s="5"/>
      <c r="JI57" s="5"/>
      <c r="JJ57" s="5"/>
      <c r="JK57" s="5"/>
      <c r="JL57" s="5"/>
      <c r="JM57" s="5"/>
      <c r="JN57" s="5"/>
      <c r="JO57" s="5"/>
      <c r="JP57" s="5"/>
      <c r="JQ57" s="5"/>
      <c r="JR57" s="5"/>
      <c r="JS57" s="5"/>
      <c r="JT57" s="5"/>
      <c r="JU57" s="5"/>
      <c r="JV57" s="5"/>
      <c r="JW57" s="5"/>
      <c r="JX57" s="5"/>
      <c r="JY57" s="5"/>
      <c r="JZ57" s="5"/>
      <c r="KA57" s="5"/>
      <c r="KB57" s="5"/>
      <c r="KC57" s="5"/>
      <c r="KD57" s="5"/>
      <c r="KE57" s="5"/>
      <c r="KF57" s="5"/>
      <c r="KG57" s="5"/>
      <c r="KH57" s="5"/>
      <c r="KI57" s="5"/>
      <c r="KJ57" s="5"/>
      <c r="KK57" s="5"/>
      <c r="KL57" s="5"/>
      <c r="KM57" s="5"/>
      <c r="KN57" s="5"/>
      <c r="KO57" s="5"/>
      <c r="KP57" s="5"/>
      <c r="KQ57" s="5"/>
      <c r="KR57" s="5"/>
      <c r="KS57" s="5"/>
      <c r="KT57" s="5"/>
      <c r="KU57" s="5"/>
      <c r="KV57" s="5"/>
      <c r="KW57" s="5"/>
      <c r="KX57" s="5"/>
      <c r="KY57" s="5"/>
      <c r="KZ57" s="5"/>
      <c r="LA57" s="5"/>
      <c r="LB57" s="5"/>
      <c r="LC57" s="5"/>
      <c r="LD57" s="5"/>
      <c r="LE57" s="5"/>
      <c r="LF57" s="5"/>
      <c r="LG57" s="5"/>
      <c r="LH57" s="5"/>
      <c r="LI57" s="5"/>
      <c r="LJ57" s="5"/>
      <c r="LK57" s="5"/>
      <c r="LL57" s="5"/>
      <c r="LM57" s="5"/>
      <c r="LN57" s="5"/>
      <c r="LO57" s="5"/>
      <c r="LP57" s="5"/>
      <c r="LQ57" s="5"/>
      <c r="LR57" s="5"/>
      <c r="LS57" s="5"/>
      <c r="LT57" s="5"/>
      <c r="LU57" s="5"/>
      <c r="LV57" s="5"/>
      <c r="LW57" s="5"/>
      <c r="LX57" s="5"/>
      <c r="LY57" s="5"/>
      <c r="LZ57" s="5"/>
      <c r="MA57" s="5"/>
      <c r="MB57" s="5"/>
      <c r="MC57" s="5"/>
      <c r="MD57" s="5"/>
      <c r="ME57" s="5"/>
      <c r="MF57" s="5"/>
      <c r="MG57" s="5"/>
      <c r="MH57" s="5"/>
      <c r="MI57" s="5"/>
      <c r="MJ57" s="5"/>
      <c r="MK57" s="5"/>
      <c r="ML57" s="5"/>
      <c r="MM57" s="5"/>
      <c r="MN57" s="5"/>
      <c r="MO57" s="5"/>
      <c r="MP57" s="5"/>
      <c r="MQ57" s="5"/>
      <c r="MR57" s="5"/>
      <c r="MS57" s="5"/>
      <c r="MT57" s="5"/>
      <c r="MU57" s="5"/>
      <c r="MV57" s="5"/>
      <c r="MW57" s="5"/>
      <c r="MX57" s="5"/>
      <c r="MY57" s="5"/>
      <c r="MZ57" s="5"/>
      <c r="NA57" s="5"/>
      <c r="NB57" s="5"/>
      <c r="NC57" s="5"/>
      <c r="ND57" s="5"/>
      <c r="NE57" s="5"/>
      <c r="NF57" s="5"/>
      <c r="NG57" s="5"/>
      <c r="NH57" s="5"/>
      <c r="NI57" s="5"/>
      <c r="NJ57" s="5"/>
      <c r="NK57" s="5"/>
      <c r="NL57" s="5"/>
      <c r="NM57" s="5"/>
      <c r="NN57" s="5"/>
      <c r="NO57" s="5"/>
      <c r="NP57" s="5"/>
      <c r="NQ57" s="5"/>
      <c r="NR57" s="5"/>
      <c r="NS57" s="5"/>
      <c r="NT57" s="5"/>
      <c r="NU57" s="5"/>
      <c r="NV57" s="5"/>
      <c r="NW57" s="5"/>
      <c r="NX57" s="5"/>
      <c r="NY57" s="5"/>
      <c r="NZ57" s="5"/>
      <c r="OA57" s="5"/>
      <c r="OB57" s="5"/>
      <c r="OC57" s="5"/>
      <c r="OD57" s="5"/>
      <c r="OE57" s="5"/>
      <c r="OF57" s="5"/>
      <c r="OG57" s="5"/>
      <c r="OH57" s="5"/>
      <c r="OI57" s="5"/>
      <c r="OJ57" s="5"/>
      <c r="OK57" s="5"/>
      <c r="OL57" s="5"/>
      <c r="OM57" s="5"/>
      <c r="ON57" s="5"/>
      <c r="OO57" s="5"/>
      <c r="OP57" s="5"/>
      <c r="OQ57" s="5"/>
      <c r="OR57" s="5"/>
      <c r="OS57" s="5"/>
      <c r="OT57" s="5"/>
      <c r="OU57" s="5"/>
      <c r="OV57" s="5"/>
      <c r="OW57" s="5"/>
      <c r="OX57" s="5"/>
      <c r="OY57" s="5"/>
      <c r="OZ57" s="5"/>
      <c r="PA57" s="5"/>
      <c r="PB57" s="5"/>
      <c r="PC57" s="5"/>
      <c r="PD57" s="5"/>
      <c r="PE57" s="5"/>
      <c r="PF57" s="5"/>
      <c r="PG57" s="5"/>
      <c r="PH57" s="5"/>
      <c r="PI57" s="5"/>
      <c r="PJ57" s="5"/>
      <c r="PK57" s="5"/>
      <c r="PL57" s="5"/>
      <c r="PM57" s="5"/>
      <c r="PN57" s="5"/>
      <c r="PO57" s="5"/>
      <c r="PP57" s="5"/>
      <c r="PQ57" s="5"/>
      <c r="PR57" s="5"/>
      <c r="PS57" s="5"/>
      <c r="PT57" s="5"/>
      <c r="PU57" s="5"/>
      <c r="PV57" s="5"/>
      <c r="PW57" s="5"/>
      <c r="PX57" s="5"/>
      <c r="PY57" s="5"/>
      <c r="PZ57" s="5"/>
      <c r="QA57" s="5"/>
      <c r="QB57" s="5"/>
      <c r="QC57" s="5"/>
      <c r="QD57" s="5"/>
      <c r="QE57" s="5"/>
      <c r="QF57" s="5"/>
      <c r="QG57" s="5"/>
      <c r="QH57" s="5"/>
      <c r="QI57" s="5"/>
      <c r="QJ57" s="5"/>
      <c r="QK57" s="5"/>
      <c r="QL57" s="5"/>
      <c r="QM57" s="5"/>
      <c r="QN57" s="5"/>
      <c r="QO57" s="5"/>
      <c r="QP57" s="5"/>
      <c r="QQ57" s="5"/>
      <c r="QR57" s="5"/>
      <c r="QS57" s="5"/>
      <c r="QT57" s="5"/>
      <c r="QU57" s="5"/>
      <c r="QV57" s="5"/>
      <c r="QW57" s="5"/>
      <c r="QX57" s="5"/>
      <c r="QY57" s="5"/>
      <c r="QZ57" s="5"/>
      <c r="RA57" s="5"/>
      <c r="RB57" s="5"/>
      <c r="RC57" s="5"/>
      <c r="RD57" s="5"/>
      <c r="RE57" s="5"/>
      <c r="RF57" s="5"/>
      <c r="RG57" s="5"/>
      <c r="RH57" s="5"/>
      <c r="RI57" s="5"/>
      <c r="RJ57" s="5"/>
      <c r="RK57" s="5"/>
      <c r="RL57" s="5"/>
      <c r="RM57" s="5"/>
      <c r="RN57" s="5"/>
      <c r="RO57" s="5"/>
      <c r="RP57" s="5"/>
      <c r="RQ57" s="5"/>
      <c r="RR57" s="5"/>
      <c r="RS57" s="5"/>
      <c r="RT57" s="5"/>
      <c r="RU57" s="5"/>
      <c r="RV57" s="5"/>
      <c r="RW57" s="5"/>
      <c r="RX57" s="5"/>
      <c r="RY57" s="5"/>
      <c r="RZ57" s="5"/>
      <c r="SA57" s="5"/>
      <c r="SB57" s="5"/>
      <c r="SC57" s="5"/>
      <c r="SD57" s="5"/>
      <c r="SE57" s="5"/>
      <c r="SF57" s="5"/>
      <c r="SG57" s="5"/>
      <c r="SH57" s="5"/>
      <c r="SI57" s="5"/>
      <c r="SJ57" s="5"/>
      <c r="SK57" s="5"/>
      <c r="SL57" s="5"/>
      <c r="SM57" s="5"/>
      <c r="SN57" s="5"/>
      <c r="SO57" s="5"/>
      <c r="SP57" s="5"/>
      <c r="SQ57" s="5"/>
      <c r="SR57" s="5"/>
      <c r="SS57" s="5"/>
      <c r="ST57" s="5"/>
      <c r="SU57" s="5"/>
      <c r="SV57" s="5"/>
      <c r="SW57" s="5"/>
      <c r="SX57" s="5"/>
      <c r="SY57" s="5"/>
      <c r="SZ57" s="5"/>
      <c r="TA57" s="5"/>
      <c r="TB57" s="5"/>
      <c r="TC57" s="5"/>
      <c r="TD57" s="5"/>
      <c r="TE57" s="5"/>
      <c r="TF57" s="5"/>
      <c r="TG57" s="5"/>
      <c r="TH57" s="5"/>
      <c r="TI57" s="5"/>
      <c r="TJ57" s="5"/>
      <c r="TK57" s="5"/>
      <c r="TL57" s="5"/>
      <c r="TM57" s="5"/>
      <c r="TN57" s="5"/>
      <c r="TO57" s="5"/>
      <c r="TP57" s="5"/>
      <c r="TQ57" s="5"/>
      <c r="TR57" s="5"/>
      <c r="TS57" s="5"/>
      <c r="TT57" s="5"/>
      <c r="TU57" s="5"/>
      <c r="TV57" s="5"/>
      <c r="TW57" s="5"/>
      <c r="TX57" s="5"/>
      <c r="TY57" s="5"/>
      <c r="TZ57" s="5"/>
      <c r="UA57" s="5"/>
      <c r="UB57" s="5"/>
      <c r="UC57" s="5"/>
      <c r="UD57" s="5"/>
      <c r="UE57" s="5"/>
      <c r="UF57" s="5"/>
      <c r="UG57" s="5"/>
      <c r="UH57" s="5"/>
      <c r="UI57" s="5"/>
      <c r="UJ57" s="5"/>
      <c r="UK57" s="5"/>
      <c r="UL57" s="5"/>
      <c r="UM57" s="5"/>
      <c r="UN57" s="5"/>
      <c r="UO57" s="5"/>
      <c r="UP57" s="5"/>
      <c r="UQ57" s="5"/>
      <c r="UR57" s="5"/>
      <c r="US57" s="5"/>
      <c r="UT57" s="5"/>
      <c r="UU57" s="5"/>
      <c r="UV57" s="5"/>
      <c r="UW57" s="5"/>
      <c r="UX57" s="5"/>
      <c r="UY57" s="5"/>
      <c r="UZ57" s="5"/>
      <c r="VA57" s="5"/>
      <c r="VB57" s="5"/>
      <c r="VC57" s="5"/>
      <c r="VD57" s="5"/>
      <c r="VE57" s="5"/>
      <c r="VF57" s="5"/>
      <c r="VG57" s="5"/>
      <c r="VH57" s="5"/>
      <c r="VI57" s="5"/>
      <c r="VJ57" s="5"/>
      <c r="VK57" s="5"/>
      <c r="VL57" s="5"/>
      <c r="VM57" s="5"/>
      <c r="VN57" s="5"/>
      <c r="VO57" s="5"/>
      <c r="VP57" s="5"/>
      <c r="VQ57" s="5"/>
      <c r="VR57" s="5"/>
      <c r="VS57" s="5"/>
      <c r="VT57" s="5"/>
      <c r="VU57" s="5"/>
      <c r="VV57" s="5"/>
      <c r="VW57" s="5"/>
      <c r="VX57" s="5"/>
      <c r="VY57" s="5"/>
      <c r="VZ57" s="5"/>
      <c r="WA57" s="5"/>
      <c r="WB57" s="5"/>
      <c r="WC57" s="5"/>
      <c r="WD57" s="5"/>
      <c r="WE57" s="5"/>
      <c r="WF57" s="5"/>
      <c r="WG57" s="5"/>
      <c r="WH57" s="5"/>
      <c r="WI57" s="5"/>
      <c r="WJ57" s="5"/>
      <c r="WK57" s="5"/>
      <c r="WL57" s="5"/>
      <c r="WM57" s="5"/>
      <c r="WN57" s="5"/>
      <c r="WO57" s="5"/>
      <c r="WP57" s="5"/>
      <c r="WQ57" s="5"/>
      <c r="WR57" s="5"/>
      <c r="WS57" s="5"/>
      <c r="WT57" s="5"/>
      <c r="WU57" s="5"/>
      <c r="WV57" s="5"/>
      <c r="WW57" s="5"/>
      <c r="WX57" s="5"/>
      <c r="WY57" s="5"/>
      <c r="WZ57" s="5"/>
      <c r="XA57" s="5"/>
      <c r="XB57" s="5"/>
      <c r="XC57" s="5"/>
      <c r="XD57" s="5"/>
      <c r="XE57" s="5"/>
      <c r="XF57" s="5"/>
      <c r="XG57" s="5"/>
      <c r="XH57" s="5"/>
      <c r="XI57" s="5"/>
      <c r="XJ57" s="5"/>
      <c r="XK57" s="5"/>
      <c r="XL57" s="5"/>
      <c r="XM57" s="5"/>
      <c r="XN57" s="5"/>
      <c r="XO57" s="5"/>
      <c r="XP57" s="5"/>
      <c r="XQ57" s="5"/>
      <c r="XR57" s="5"/>
      <c r="XS57" s="5"/>
      <c r="XT57" s="5"/>
      <c r="XU57" s="5"/>
      <c r="XV57" s="5"/>
      <c r="XW57" s="5"/>
      <c r="XX57" s="5"/>
      <c r="XY57" s="5"/>
      <c r="XZ57" s="5"/>
      <c r="YA57" s="5"/>
      <c r="YB57" s="5"/>
      <c r="YC57" s="5"/>
      <c r="YD57" s="5"/>
      <c r="YE57" s="5"/>
      <c r="YF57" s="5"/>
      <c r="YG57" s="5"/>
      <c r="YH57" s="5"/>
      <c r="YI57" s="5"/>
      <c r="YJ57" s="5"/>
      <c r="YK57" s="5"/>
      <c r="YL57" s="5"/>
      <c r="YM57" s="5"/>
      <c r="YN57" s="5"/>
      <c r="YO57" s="5"/>
      <c r="YP57" s="5"/>
      <c r="YQ57" s="5"/>
      <c r="YR57" s="5"/>
      <c r="YS57" s="5"/>
      <c r="YT57" s="5"/>
      <c r="YU57" s="5"/>
      <c r="YV57" s="5"/>
      <c r="YW57" s="5"/>
      <c r="YX57" s="5"/>
      <c r="YY57" s="5"/>
      <c r="YZ57" s="5"/>
    </row>
    <row r="58" spans="1:676">
      <c r="A58" s="7">
        <v>48</v>
      </c>
      <c r="B58" s="7" t="s">
        <v>158</v>
      </c>
      <c r="C58" s="10" t="s">
        <v>159</v>
      </c>
      <c r="D58" s="7" t="s">
        <v>129</v>
      </c>
      <c r="E58" s="7" t="s">
        <v>93</v>
      </c>
      <c r="F58" s="7" t="s">
        <v>90</v>
      </c>
      <c r="G58" s="7"/>
      <c r="H58" s="7" t="s">
        <v>43</v>
      </c>
      <c r="I58" s="11">
        <v>2</v>
      </c>
      <c r="J58" s="11">
        <v>3</v>
      </c>
      <c r="K58" s="11">
        <v>0</v>
      </c>
      <c r="L58" s="11">
        <v>6.77</v>
      </c>
      <c r="M58" s="11">
        <v>1.32</v>
      </c>
      <c r="N58" s="11">
        <v>0</v>
      </c>
      <c r="O58" s="11">
        <v>0.64</v>
      </c>
      <c r="P58" s="11">
        <v>0.83</v>
      </c>
      <c r="Q58" s="11">
        <v>9.56</v>
      </c>
      <c r="R58" s="11">
        <v>0</v>
      </c>
      <c r="S58" s="11">
        <v>9.56</v>
      </c>
      <c r="T58" s="11">
        <v>2</v>
      </c>
      <c r="U58" s="11">
        <v>3</v>
      </c>
      <c r="V58" s="11">
        <v>4.56</v>
      </c>
      <c r="W58" s="13">
        <v>2</v>
      </c>
      <c r="X58" s="13">
        <v>3</v>
      </c>
      <c r="Y58" s="13" t="str">
        <f>MIN(W58,S58)</f>
        <v>0</v>
      </c>
      <c r="Z58" s="13" t="str">
        <f>MIN(X58,(S58-Y58))</f>
        <v>0</v>
      </c>
      <c r="AA58" s="13" t="str">
        <f>S58-SUM(Y58,Z58)</f>
        <v>0</v>
      </c>
      <c r="AB58" s="15"/>
      <c r="AC58" s="15"/>
      <c r="AD58" s="1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  <c r="IZ58" s="5"/>
      <c r="JA58" s="5"/>
      <c r="JB58" s="5"/>
      <c r="JC58" s="5"/>
      <c r="JD58" s="5"/>
      <c r="JE58" s="5"/>
      <c r="JF58" s="5"/>
      <c r="JG58" s="5"/>
      <c r="JH58" s="5"/>
      <c r="JI58" s="5"/>
      <c r="JJ58" s="5"/>
      <c r="JK58" s="5"/>
      <c r="JL58" s="5"/>
      <c r="JM58" s="5"/>
      <c r="JN58" s="5"/>
      <c r="JO58" s="5"/>
      <c r="JP58" s="5"/>
      <c r="JQ58" s="5"/>
      <c r="JR58" s="5"/>
      <c r="JS58" s="5"/>
      <c r="JT58" s="5"/>
      <c r="JU58" s="5"/>
      <c r="JV58" s="5"/>
      <c r="JW58" s="5"/>
      <c r="JX58" s="5"/>
      <c r="JY58" s="5"/>
      <c r="JZ58" s="5"/>
      <c r="KA58" s="5"/>
      <c r="KB58" s="5"/>
      <c r="KC58" s="5"/>
      <c r="KD58" s="5"/>
      <c r="KE58" s="5"/>
      <c r="KF58" s="5"/>
      <c r="KG58" s="5"/>
      <c r="KH58" s="5"/>
      <c r="KI58" s="5"/>
      <c r="KJ58" s="5"/>
      <c r="KK58" s="5"/>
      <c r="KL58" s="5"/>
      <c r="KM58" s="5"/>
      <c r="KN58" s="5"/>
      <c r="KO58" s="5"/>
      <c r="KP58" s="5"/>
      <c r="KQ58" s="5"/>
      <c r="KR58" s="5"/>
      <c r="KS58" s="5"/>
      <c r="KT58" s="5"/>
      <c r="KU58" s="5"/>
      <c r="KV58" s="5"/>
      <c r="KW58" s="5"/>
      <c r="KX58" s="5"/>
      <c r="KY58" s="5"/>
      <c r="KZ58" s="5"/>
      <c r="LA58" s="5"/>
      <c r="LB58" s="5"/>
      <c r="LC58" s="5"/>
      <c r="LD58" s="5"/>
      <c r="LE58" s="5"/>
      <c r="LF58" s="5"/>
      <c r="LG58" s="5"/>
      <c r="LH58" s="5"/>
      <c r="LI58" s="5"/>
      <c r="LJ58" s="5"/>
      <c r="LK58" s="5"/>
      <c r="LL58" s="5"/>
      <c r="LM58" s="5"/>
      <c r="LN58" s="5"/>
      <c r="LO58" s="5"/>
      <c r="LP58" s="5"/>
      <c r="LQ58" s="5"/>
      <c r="LR58" s="5"/>
      <c r="LS58" s="5"/>
      <c r="LT58" s="5"/>
      <c r="LU58" s="5"/>
      <c r="LV58" s="5"/>
      <c r="LW58" s="5"/>
      <c r="LX58" s="5"/>
      <c r="LY58" s="5"/>
      <c r="LZ58" s="5"/>
      <c r="MA58" s="5"/>
      <c r="MB58" s="5"/>
      <c r="MC58" s="5"/>
      <c r="MD58" s="5"/>
      <c r="ME58" s="5"/>
      <c r="MF58" s="5"/>
      <c r="MG58" s="5"/>
      <c r="MH58" s="5"/>
      <c r="MI58" s="5"/>
      <c r="MJ58" s="5"/>
      <c r="MK58" s="5"/>
      <c r="ML58" s="5"/>
      <c r="MM58" s="5"/>
      <c r="MN58" s="5"/>
      <c r="MO58" s="5"/>
      <c r="MP58" s="5"/>
      <c r="MQ58" s="5"/>
      <c r="MR58" s="5"/>
      <c r="MS58" s="5"/>
      <c r="MT58" s="5"/>
      <c r="MU58" s="5"/>
      <c r="MV58" s="5"/>
      <c r="MW58" s="5"/>
      <c r="MX58" s="5"/>
      <c r="MY58" s="5"/>
      <c r="MZ58" s="5"/>
      <c r="NA58" s="5"/>
      <c r="NB58" s="5"/>
      <c r="NC58" s="5"/>
      <c r="ND58" s="5"/>
      <c r="NE58" s="5"/>
      <c r="NF58" s="5"/>
      <c r="NG58" s="5"/>
      <c r="NH58" s="5"/>
      <c r="NI58" s="5"/>
      <c r="NJ58" s="5"/>
      <c r="NK58" s="5"/>
      <c r="NL58" s="5"/>
      <c r="NM58" s="5"/>
      <c r="NN58" s="5"/>
      <c r="NO58" s="5"/>
      <c r="NP58" s="5"/>
      <c r="NQ58" s="5"/>
      <c r="NR58" s="5"/>
      <c r="NS58" s="5"/>
      <c r="NT58" s="5"/>
      <c r="NU58" s="5"/>
      <c r="NV58" s="5"/>
      <c r="NW58" s="5"/>
      <c r="NX58" s="5"/>
      <c r="NY58" s="5"/>
      <c r="NZ58" s="5"/>
      <c r="OA58" s="5"/>
      <c r="OB58" s="5"/>
      <c r="OC58" s="5"/>
      <c r="OD58" s="5"/>
      <c r="OE58" s="5"/>
      <c r="OF58" s="5"/>
      <c r="OG58" s="5"/>
      <c r="OH58" s="5"/>
      <c r="OI58" s="5"/>
      <c r="OJ58" s="5"/>
      <c r="OK58" s="5"/>
      <c r="OL58" s="5"/>
      <c r="OM58" s="5"/>
      <c r="ON58" s="5"/>
      <c r="OO58" s="5"/>
      <c r="OP58" s="5"/>
      <c r="OQ58" s="5"/>
      <c r="OR58" s="5"/>
      <c r="OS58" s="5"/>
      <c r="OT58" s="5"/>
      <c r="OU58" s="5"/>
      <c r="OV58" s="5"/>
      <c r="OW58" s="5"/>
      <c r="OX58" s="5"/>
      <c r="OY58" s="5"/>
      <c r="OZ58" s="5"/>
      <c r="PA58" s="5"/>
      <c r="PB58" s="5"/>
      <c r="PC58" s="5"/>
      <c r="PD58" s="5"/>
      <c r="PE58" s="5"/>
      <c r="PF58" s="5"/>
      <c r="PG58" s="5"/>
      <c r="PH58" s="5"/>
      <c r="PI58" s="5"/>
      <c r="PJ58" s="5"/>
      <c r="PK58" s="5"/>
      <c r="PL58" s="5"/>
      <c r="PM58" s="5"/>
      <c r="PN58" s="5"/>
      <c r="PO58" s="5"/>
      <c r="PP58" s="5"/>
      <c r="PQ58" s="5"/>
      <c r="PR58" s="5"/>
      <c r="PS58" s="5"/>
      <c r="PT58" s="5"/>
      <c r="PU58" s="5"/>
      <c r="PV58" s="5"/>
      <c r="PW58" s="5"/>
      <c r="PX58" s="5"/>
      <c r="PY58" s="5"/>
      <c r="PZ58" s="5"/>
      <c r="QA58" s="5"/>
      <c r="QB58" s="5"/>
      <c r="QC58" s="5"/>
      <c r="QD58" s="5"/>
      <c r="QE58" s="5"/>
      <c r="QF58" s="5"/>
      <c r="QG58" s="5"/>
      <c r="QH58" s="5"/>
      <c r="QI58" s="5"/>
      <c r="QJ58" s="5"/>
      <c r="QK58" s="5"/>
      <c r="QL58" s="5"/>
      <c r="QM58" s="5"/>
      <c r="QN58" s="5"/>
      <c r="QO58" s="5"/>
      <c r="QP58" s="5"/>
      <c r="QQ58" s="5"/>
      <c r="QR58" s="5"/>
      <c r="QS58" s="5"/>
      <c r="QT58" s="5"/>
      <c r="QU58" s="5"/>
      <c r="QV58" s="5"/>
      <c r="QW58" s="5"/>
      <c r="QX58" s="5"/>
      <c r="QY58" s="5"/>
      <c r="QZ58" s="5"/>
      <c r="RA58" s="5"/>
      <c r="RB58" s="5"/>
      <c r="RC58" s="5"/>
      <c r="RD58" s="5"/>
      <c r="RE58" s="5"/>
      <c r="RF58" s="5"/>
      <c r="RG58" s="5"/>
      <c r="RH58" s="5"/>
      <c r="RI58" s="5"/>
      <c r="RJ58" s="5"/>
      <c r="RK58" s="5"/>
      <c r="RL58" s="5"/>
      <c r="RM58" s="5"/>
      <c r="RN58" s="5"/>
      <c r="RO58" s="5"/>
      <c r="RP58" s="5"/>
      <c r="RQ58" s="5"/>
      <c r="RR58" s="5"/>
      <c r="RS58" s="5"/>
      <c r="RT58" s="5"/>
      <c r="RU58" s="5"/>
      <c r="RV58" s="5"/>
      <c r="RW58" s="5"/>
      <c r="RX58" s="5"/>
      <c r="RY58" s="5"/>
      <c r="RZ58" s="5"/>
      <c r="SA58" s="5"/>
      <c r="SB58" s="5"/>
      <c r="SC58" s="5"/>
      <c r="SD58" s="5"/>
      <c r="SE58" s="5"/>
      <c r="SF58" s="5"/>
      <c r="SG58" s="5"/>
      <c r="SH58" s="5"/>
      <c r="SI58" s="5"/>
      <c r="SJ58" s="5"/>
      <c r="SK58" s="5"/>
      <c r="SL58" s="5"/>
      <c r="SM58" s="5"/>
      <c r="SN58" s="5"/>
      <c r="SO58" s="5"/>
      <c r="SP58" s="5"/>
      <c r="SQ58" s="5"/>
      <c r="SR58" s="5"/>
      <c r="SS58" s="5"/>
      <c r="ST58" s="5"/>
      <c r="SU58" s="5"/>
      <c r="SV58" s="5"/>
      <c r="SW58" s="5"/>
      <c r="SX58" s="5"/>
      <c r="SY58" s="5"/>
      <c r="SZ58" s="5"/>
      <c r="TA58" s="5"/>
      <c r="TB58" s="5"/>
      <c r="TC58" s="5"/>
      <c r="TD58" s="5"/>
      <c r="TE58" s="5"/>
      <c r="TF58" s="5"/>
      <c r="TG58" s="5"/>
      <c r="TH58" s="5"/>
      <c r="TI58" s="5"/>
      <c r="TJ58" s="5"/>
      <c r="TK58" s="5"/>
      <c r="TL58" s="5"/>
      <c r="TM58" s="5"/>
      <c r="TN58" s="5"/>
      <c r="TO58" s="5"/>
      <c r="TP58" s="5"/>
      <c r="TQ58" s="5"/>
      <c r="TR58" s="5"/>
      <c r="TS58" s="5"/>
      <c r="TT58" s="5"/>
      <c r="TU58" s="5"/>
      <c r="TV58" s="5"/>
      <c r="TW58" s="5"/>
      <c r="TX58" s="5"/>
      <c r="TY58" s="5"/>
      <c r="TZ58" s="5"/>
      <c r="UA58" s="5"/>
      <c r="UB58" s="5"/>
      <c r="UC58" s="5"/>
      <c r="UD58" s="5"/>
      <c r="UE58" s="5"/>
      <c r="UF58" s="5"/>
      <c r="UG58" s="5"/>
      <c r="UH58" s="5"/>
      <c r="UI58" s="5"/>
      <c r="UJ58" s="5"/>
      <c r="UK58" s="5"/>
      <c r="UL58" s="5"/>
      <c r="UM58" s="5"/>
      <c r="UN58" s="5"/>
      <c r="UO58" s="5"/>
      <c r="UP58" s="5"/>
      <c r="UQ58" s="5"/>
      <c r="UR58" s="5"/>
      <c r="US58" s="5"/>
      <c r="UT58" s="5"/>
      <c r="UU58" s="5"/>
      <c r="UV58" s="5"/>
      <c r="UW58" s="5"/>
      <c r="UX58" s="5"/>
      <c r="UY58" s="5"/>
      <c r="UZ58" s="5"/>
      <c r="VA58" s="5"/>
      <c r="VB58" s="5"/>
      <c r="VC58" s="5"/>
      <c r="VD58" s="5"/>
      <c r="VE58" s="5"/>
      <c r="VF58" s="5"/>
      <c r="VG58" s="5"/>
      <c r="VH58" s="5"/>
      <c r="VI58" s="5"/>
      <c r="VJ58" s="5"/>
      <c r="VK58" s="5"/>
      <c r="VL58" s="5"/>
      <c r="VM58" s="5"/>
      <c r="VN58" s="5"/>
      <c r="VO58" s="5"/>
      <c r="VP58" s="5"/>
      <c r="VQ58" s="5"/>
      <c r="VR58" s="5"/>
      <c r="VS58" s="5"/>
      <c r="VT58" s="5"/>
      <c r="VU58" s="5"/>
      <c r="VV58" s="5"/>
      <c r="VW58" s="5"/>
      <c r="VX58" s="5"/>
      <c r="VY58" s="5"/>
      <c r="VZ58" s="5"/>
      <c r="WA58" s="5"/>
      <c r="WB58" s="5"/>
      <c r="WC58" s="5"/>
      <c r="WD58" s="5"/>
      <c r="WE58" s="5"/>
      <c r="WF58" s="5"/>
      <c r="WG58" s="5"/>
      <c r="WH58" s="5"/>
      <c r="WI58" s="5"/>
      <c r="WJ58" s="5"/>
      <c r="WK58" s="5"/>
      <c r="WL58" s="5"/>
      <c r="WM58" s="5"/>
      <c r="WN58" s="5"/>
      <c r="WO58" s="5"/>
      <c r="WP58" s="5"/>
      <c r="WQ58" s="5"/>
      <c r="WR58" s="5"/>
      <c r="WS58" s="5"/>
      <c r="WT58" s="5"/>
      <c r="WU58" s="5"/>
      <c r="WV58" s="5"/>
      <c r="WW58" s="5"/>
      <c r="WX58" s="5"/>
      <c r="WY58" s="5"/>
      <c r="WZ58" s="5"/>
      <c r="XA58" s="5"/>
      <c r="XB58" s="5"/>
      <c r="XC58" s="5"/>
      <c r="XD58" s="5"/>
      <c r="XE58" s="5"/>
      <c r="XF58" s="5"/>
      <c r="XG58" s="5"/>
      <c r="XH58" s="5"/>
      <c r="XI58" s="5"/>
      <c r="XJ58" s="5"/>
      <c r="XK58" s="5"/>
      <c r="XL58" s="5"/>
      <c r="XM58" s="5"/>
      <c r="XN58" s="5"/>
      <c r="XO58" s="5"/>
      <c r="XP58" s="5"/>
      <c r="XQ58" s="5"/>
      <c r="XR58" s="5"/>
      <c r="XS58" s="5"/>
      <c r="XT58" s="5"/>
      <c r="XU58" s="5"/>
      <c r="XV58" s="5"/>
      <c r="XW58" s="5"/>
      <c r="XX58" s="5"/>
      <c r="XY58" s="5"/>
      <c r="XZ58" s="5"/>
      <c r="YA58" s="5"/>
      <c r="YB58" s="5"/>
      <c r="YC58" s="5"/>
      <c r="YD58" s="5"/>
      <c r="YE58" s="5"/>
      <c r="YF58" s="5"/>
      <c r="YG58" s="5"/>
      <c r="YH58" s="5"/>
      <c r="YI58" s="5"/>
      <c r="YJ58" s="5"/>
      <c r="YK58" s="5"/>
      <c r="YL58" s="5"/>
      <c r="YM58" s="5"/>
      <c r="YN58" s="5"/>
      <c r="YO58" s="5"/>
      <c r="YP58" s="5"/>
      <c r="YQ58" s="5"/>
      <c r="YR58" s="5"/>
      <c r="YS58" s="5"/>
      <c r="YT58" s="5"/>
      <c r="YU58" s="5"/>
      <c r="YV58" s="5"/>
      <c r="YW58" s="5"/>
      <c r="YX58" s="5"/>
      <c r="YY58" s="5"/>
      <c r="YZ58" s="5"/>
    </row>
    <row r="59" spans="1:676">
      <c r="A59" s="7">
        <v>49</v>
      </c>
      <c r="B59" s="7" t="s">
        <v>160</v>
      </c>
      <c r="C59" s="10" t="s">
        <v>161</v>
      </c>
      <c r="D59" s="7" t="s">
        <v>40</v>
      </c>
      <c r="E59" s="7" t="s">
        <v>93</v>
      </c>
      <c r="F59" s="7" t="s">
        <v>90</v>
      </c>
      <c r="G59" s="7"/>
      <c r="H59" s="7" t="s">
        <v>43</v>
      </c>
      <c r="I59" s="11">
        <v>2</v>
      </c>
      <c r="J59" s="11">
        <v>3</v>
      </c>
      <c r="K59" s="11">
        <v>0</v>
      </c>
      <c r="L59" s="11">
        <v>7.000000000000001</v>
      </c>
      <c r="M59" s="11">
        <v>0.24</v>
      </c>
      <c r="N59" s="11">
        <v>0</v>
      </c>
      <c r="O59" s="11">
        <v>0.5</v>
      </c>
      <c r="P59" s="11">
        <v>0.8</v>
      </c>
      <c r="Q59" s="11">
        <v>8.540000000000001</v>
      </c>
      <c r="R59" s="11">
        <v>0</v>
      </c>
      <c r="S59" s="11">
        <v>8.540000000000001</v>
      </c>
      <c r="T59" s="11">
        <v>2</v>
      </c>
      <c r="U59" s="11">
        <v>3</v>
      </c>
      <c r="V59" s="11">
        <v>3.540000000000001</v>
      </c>
      <c r="W59" s="13">
        <v>2</v>
      </c>
      <c r="X59" s="13">
        <v>3</v>
      </c>
      <c r="Y59" s="13" t="str">
        <f>MIN(W59,S59)</f>
        <v>0</v>
      </c>
      <c r="Z59" s="13" t="str">
        <f>MIN(X59,(S59-Y59))</f>
        <v>0</v>
      </c>
      <c r="AA59" s="13" t="str">
        <f>S59-SUM(Y59,Z59)</f>
        <v>0</v>
      </c>
      <c r="AB59" s="15"/>
      <c r="AC59" s="15"/>
      <c r="AD59" s="1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  <c r="IZ59" s="5"/>
      <c r="JA59" s="5"/>
      <c r="JB59" s="5"/>
      <c r="JC59" s="5"/>
      <c r="JD59" s="5"/>
      <c r="JE59" s="5"/>
      <c r="JF59" s="5"/>
      <c r="JG59" s="5"/>
      <c r="JH59" s="5"/>
      <c r="JI59" s="5"/>
      <c r="JJ59" s="5"/>
      <c r="JK59" s="5"/>
      <c r="JL59" s="5"/>
      <c r="JM59" s="5"/>
      <c r="JN59" s="5"/>
      <c r="JO59" s="5"/>
      <c r="JP59" s="5"/>
      <c r="JQ59" s="5"/>
      <c r="JR59" s="5"/>
      <c r="JS59" s="5"/>
      <c r="JT59" s="5"/>
      <c r="JU59" s="5"/>
      <c r="JV59" s="5"/>
      <c r="JW59" s="5"/>
      <c r="JX59" s="5"/>
      <c r="JY59" s="5"/>
      <c r="JZ59" s="5"/>
      <c r="KA59" s="5"/>
      <c r="KB59" s="5"/>
      <c r="KC59" s="5"/>
      <c r="KD59" s="5"/>
      <c r="KE59" s="5"/>
      <c r="KF59" s="5"/>
      <c r="KG59" s="5"/>
      <c r="KH59" s="5"/>
      <c r="KI59" s="5"/>
      <c r="KJ59" s="5"/>
      <c r="KK59" s="5"/>
      <c r="KL59" s="5"/>
      <c r="KM59" s="5"/>
      <c r="KN59" s="5"/>
      <c r="KO59" s="5"/>
      <c r="KP59" s="5"/>
      <c r="KQ59" s="5"/>
      <c r="KR59" s="5"/>
      <c r="KS59" s="5"/>
      <c r="KT59" s="5"/>
      <c r="KU59" s="5"/>
      <c r="KV59" s="5"/>
      <c r="KW59" s="5"/>
      <c r="KX59" s="5"/>
      <c r="KY59" s="5"/>
      <c r="KZ59" s="5"/>
      <c r="LA59" s="5"/>
      <c r="LB59" s="5"/>
      <c r="LC59" s="5"/>
      <c r="LD59" s="5"/>
      <c r="LE59" s="5"/>
      <c r="LF59" s="5"/>
      <c r="LG59" s="5"/>
      <c r="LH59" s="5"/>
      <c r="LI59" s="5"/>
      <c r="LJ59" s="5"/>
      <c r="LK59" s="5"/>
      <c r="LL59" s="5"/>
      <c r="LM59" s="5"/>
      <c r="LN59" s="5"/>
      <c r="LO59" s="5"/>
      <c r="LP59" s="5"/>
      <c r="LQ59" s="5"/>
      <c r="LR59" s="5"/>
      <c r="LS59" s="5"/>
      <c r="LT59" s="5"/>
      <c r="LU59" s="5"/>
      <c r="LV59" s="5"/>
      <c r="LW59" s="5"/>
      <c r="LX59" s="5"/>
      <c r="LY59" s="5"/>
      <c r="LZ59" s="5"/>
      <c r="MA59" s="5"/>
      <c r="MB59" s="5"/>
      <c r="MC59" s="5"/>
      <c r="MD59" s="5"/>
      <c r="ME59" s="5"/>
      <c r="MF59" s="5"/>
      <c r="MG59" s="5"/>
      <c r="MH59" s="5"/>
      <c r="MI59" s="5"/>
      <c r="MJ59" s="5"/>
      <c r="MK59" s="5"/>
      <c r="ML59" s="5"/>
      <c r="MM59" s="5"/>
      <c r="MN59" s="5"/>
      <c r="MO59" s="5"/>
      <c r="MP59" s="5"/>
      <c r="MQ59" s="5"/>
      <c r="MR59" s="5"/>
      <c r="MS59" s="5"/>
      <c r="MT59" s="5"/>
      <c r="MU59" s="5"/>
      <c r="MV59" s="5"/>
      <c r="MW59" s="5"/>
      <c r="MX59" s="5"/>
      <c r="MY59" s="5"/>
      <c r="MZ59" s="5"/>
      <c r="NA59" s="5"/>
      <c r="NB59" s="5"/>
      <c r="NC59" s="5"/>
      <c r="ND59" s="5"/>
      <c r="NE59" s="5"/>
      <c r="NF59" s="5"/>
      <c r="NG59" s="5"/>
      <c r="NH59" s="5"/>
      <c r="NI59" s="5"/>
      <c r="NJ59" s="5"/>
      <c r="NK59" s="5"/>
      <c r="NL59" s="5"/>
      <c r="NM59" s="5"/>
      <c r="NN59" s="5"/>
      <c r="NO59" s="5"/>
      <c r="NP59" s="5"/>
      <c r="NQ59" s="5"/>
      <c r="NR59" s="5"/>
      <c r="NS59" s="5"/>
      <c r="NT59" s="5"/>
      <c r="NU59" s="5"/>
      <c r="NV59" s="5"/>
      <c r="NW59" s="5"/>
      <c r="NX59" s="5"/>
      <c r="NY59" s="5"/>
      <c r="NZ59" s="5"/>
      <c r="OA59" s="5"/>
      <c r="OB59" s="5"/>
      <c r="OC59" s="5"/>
      <c r="OD59" s="5"/>
      <c r="OE59" s="5"/>
      <c r="OF59" s="5"/>
      <c r="OG59" s="5"/>
      <c r="OH59" s="5"/>
      <c r="OI59" s="5"/>
      <c r="OJ59" s="5"/>
      <c r="OK59" s="5"/>
      <c r="OL59" s="5"/>
      <c r="OM59" s="5"/>
      <c r="ON59" s="5"/>
      <c r="OO59" s="5"/>
      <c r="OP59" s="5"/>
      <c r="OQ59" s="5"/>
      <c r="OR59" s="5"/>
      <c r="OS59" s="5"/>
      <c r="OT59" s="5"/>
      <c r="OU59" s="5"/>
      <c r="OV59" s="5"/>
      <c r="OW59" s="5"/>
      <c r="OX59" s="5"/>
      <c r="OY59" s="5"/>
      <c r="OZ59" s="5"/>
      <c r="PA59" s="5"/>
      <c r="PB59" s="5"/>
      <c r="PC59" s="5"/>
      <c r="PD59" s="5"/>
      <c r="PE59" s="5"/>
      <c r="PF59" s="5"/>
      <c r="PG59" s="5"/>
      <c r="PH59" s="5"/>
      <c r="PI59" s="5"/>
      <c r="PJ59" s="5"/>
      <c r="PK59" s="5"/>
      <c r="PL59" s="5"/>
      <c r="PM59" s="5"/>
      <c r="PN59" s="5"/>
      <c r="PO59" s="5"/>
      <c r="PP59" s="5"/>
      <c r="PQ59" s="5"/>
      <c r="PR59" s="5"/>
      <c r="PS59" s="5"/>
      <c r="PT59" s="5"/>
      <c r="PU59" s="5"/>
      <c r="PV59" s="5"/>
      <c r="PW59" s="5"/>
      <c r="PX59" s="5"/>
      <c r="PY59" s="5"/>
      <c r="PZ59" s="5"/>
      <c r="QA59" s="5"/>
      <c r="QB59" s="5"/>
      <c r="QC59" s="5"/>
      <c r="QD59" s="5"/>
      <c r="QE59" s="5"/>
      <c r="QF59" s="5"/>
      <c r="QG59" s="5"/>
      <c r="QH59" s="5"/>
      <c r="QI59" s="5"/>
      <c r="QJ59" s="5"/>
      <c r="QK59" s="5"/>
      <c r="QL59" s="5"/>
      <c r="QM59" s="5"/>
      <c r="QN59" s="5"/>
      <c r="QO59" s="5"/>
      <c r="QP59" s="5"/>
      <c r="QQ59" s="5"/>
      <c r="QR59" s="5"/>
      <c r="QS59" s="5"/>
      <c r="QT59" s="5"/>
      <c r="QU59" s="5"/>
      <c r="QV59" s="5"/>
      <c r="QW59" s="5"/>
      <c r="QX59" s="5"/>
      <c r="QY59" s="5"/>
      <c r="QZ59" s="5"/>
      <c r="RA59" s="5"/>
      <c r="RB59" s="5"/>
      <c r="RC59" s="5"/>
      <c r="RD59" s="5"/>
      <c r="RE59" s="5"/>
      <c r="RF59" s="5"/>
      <c r="RG59" s="5"/>
      <c r="RH59" s="5"/>
      <c r="RI59" s="5"/>
      <c r="RJ59" s="5"/>
      <c r="RK59" s="5"/>
      <c r="RL59" s="5"/>
      <c r="RM59" s="5"/>
      <c r="RN59" s="5"/>
      <c r="RO59" s="5"/>
      <c r="RP59" s="5"/>
      <c r="RQ59" s="5"/>
      <c r="RR59" s="5"/>
      <c r="RS59" s="5"/>
      <c r="RT59" s="5"/>
      <c r="RU59" s="5"/>
      <c r="RV59" s="5"/>
      <c r="RW59" s="5"/>
      <c r="RX59" s="5"/>
      <c r="RY59" s="5"/>
      <c r="RZ59" s="5"/>
      <c r="SA59" s="5"/>
      <c r="SB59" s="5"/>
      <c r="SC59" s="5"/>
      <c r="SD59" s="5"/>
      <c r="SE59" s="5"/>
      <c r="SF59" s="5"/>
      <c r="SG59" s="5"/>
      <c r="SH59" s="5"/>
      <c r="SI59" s="5"/>
      <c r="SJ59" s="5"/>
      <c r="SK59" s="5"/>
      <c r="SL59" s="5"/>
      <c r="SM59" s="5"/>
      <c r="SN59" s="5"/>
      <c r="SO59" s="5"/>
      <c r="SP59" s="5"/>
      <c r="SQ59" s="5"/>
      <c r="SR59" s="5"/>
      <c r="SS59" s="5"/>
      <c r="ST59" s="5"/>
      <c r="SU59" s="5"/>
      <c r="SV59" s="5"/>
      <c r="SW59" s="5"/>
      <c r="SX59" s="5"/>
      <c r="SY59" s="5"/>
      <c r="SZ59" s="5"/>
      <c r="TA59" s="5"/>
      <c r="TB59" s="5"/>
      <c r="TC59" s="5"/>
      <c r="TD59" s="5"/>
      <c r="TE59" s="5"/>
      <c r="TF59" s="5"/>
      <c r="TG59" s="5"/>
      <c r="TH59" s="5"/>
      <c r="TI59" s="5"/>
      <c r="TJ59" s="5"/>
      <c r="TK59" s="5"/>
      <c r="TL59" s="5"/>
      <c r="TM59" s="5"/>
      <c r="TN59" s="5"/>
      <c r="TO59" s="5"/>
      <c r="TP59" s="5"/>
      <c r="TQ59" s="5"/>
      <c r="TR59" s="5"/>
      <c r="TS59" s="5"/>
      <c r="TT59" s="5"/>
      <c r="TU59" s="5"/>
      <c r="TV59" s="5"/>
      <c r="TW59" s="5"/>
      <c r="TX59" s="5"/>
      <c r="TY59" s="5"/>
      <c r="TZ59" s="5"/>
      <c r="UA59" s="5"/>
      <c r="UB59" s="5"/>
      <c r="UC59" s="5"/>
      <c r="UD59" s="5"/>
      <c r="UE59" s="5"/>
      <c r="UF59" s="5"/>
      <c r="UG59" s="5"/>
      <c r="UH59" s="5"/>
      <c r="UI59" s="5"/>
      <c r="UJ59" s="5"/>
      <c r="UK59" s="5"/>
      <c r="UL59" s="5"/>
      <c r="UM59" s="5"/>
      <c r="UN59" s="5"/>
      <c r="UO59" s="5"/>
      <c r="UP59" s="5"/>
      <c r="UQ59" s="5"/>
      <c r="UR59" s="5"/>
      <c r="US59" s="5"/>
      <c r="UT59" s="5"/>
      <c r="UU59" s="5"/>
      <c r="UV59" s="5"/>
      <c r="UW59" s="5"/>
      <c r="UX59" s="5"/>
      <c r="UY59" s="5"/>
      <c r="UZ59" s="5"/>
      <c r="VA59" s="5"/>
      <c r="VB59" s="5"/>
      <c r="VC59" s="5"/>
      <c r="VD59" s="5"/>
      <c r="VE59" s="5"/>
      <c r="VF59" s="5"/>
      <c r="VG59" s="5"/>
      <c r="VH59" s="5"/>
      <c r="VI59" s="5"/>
      <c r="VJ59" s="5"/>
      <c r="VK59" s="5"/>
      <c r="VL59" s="5"/>
      <c r="VM59" s="5"/>
      <c r="VN59" s="5"/>
      <c r="VO59" s="5"/>
      <c r="VP59" s="5"/>
      <c r="VQ59" s="5"/>
      <c r="VR59" s="5"/>
      <c r="VS59" s="5"/>
      <c r="VT59" s="5"/>
      <c r="VU59" s="5"/>
      <c r="VV59" s="5"/>
      <c r="VW59" s="5"/>
      <c r="VX59" s="5"/>
      <c r="VY59" s="5"/>
      <c r="VZ59" s="5"/>
      <c r="WA59" s="5"/>
      <c r="WB59" s="5"/>
      <c r="WC59" s="5"/>
      <c r="WD59" s="5"/>
      <c r="WE59" s="5"/>
      <c r="WF59" s="5"/>
      <c r="WG59" s="5"/>
      <c r="WH59" s="5"/>
      <c r="WI59" s="5"/>
      <c r="WJ59" s="5"/>
      <c r="WK59" s="5"/>
      <c r="WL59" s="5"/>
      <c r="WM59" s="5"/>
      <c r="WN59" s="5"/>
      <c r="WO59" s="5"/>
      <c r="WP59" s="5"/>
      <c r="WQ59" s="5"/>
      <c r="WR59" s="5"/>
      <c r="WS59" s="5"/>
      <c r="WT59" s="5"/>
      <c r="WU59" s="5"/>
      <c r="WV59" s="5"/>
      <c r="WW59" s="5"/>
      <c r="WX59" s="5"/>
      <c r="WY59" s="5"/>
      <c r="WZ59" s="5"/>
      <c r="XA59" s="5"/>
      <c r="XB59" s="5"/>
      <c r="XC59" s="5"/>
      <c r="XD59" s="5"/>
      <c r="XE59" s="5"/>
      <c r="XF59" s="5"/>
      <c r="XG59" s="5"/>
      <c r="XH59" s="5"/>
      <c r="XI59" s="5"/>
      <c r="XJ59" s="5"/>
      <c r="XK59" s="5"/>
      <c r="XL59" s="5"/>
      <c r="XM59" s="5"/>
      <c r="XN59" s="5"/>
      <c r="XO59" s="5"/>
      <c r="XP59" s="5"/>
      <c r="XQ59" s="5"/>
      <c r="XR59" s="5"/>
      <c r="XS59" s="5"/>
      <c r="XT59" s="5"/>
      <c r="XU59" s="5"/>
      <c r="XV59" s="5"/>
      <c r="XW59" s="5"/>
      <c r="XX59" s="5"/>
      <c r="XY59" s="5"/>
      <c r="XZ59" s="5"/>
      <c r="YA59" s="5"/>
      <c r="YB59" s="5"/>
      <c r="YC59" s="5"/>
      <c r="YD59" s="5"/>
      <c r="YE59" s="5"/>
      <c r="YF59" s="5"/>
      <c r="YG59" s="5"/>
      <c r="YH59" s="5"/>
      <c r="YI59" s="5"/>
      <c r="YJ59" s="5"/>
      <c r="YK59" s="5"/>
      <c r="YL59" s="5"/>
      <c r="YM59" s="5"/>
      <c r="YN59" s="5"/>
      <c r="YO59" s="5"/>
      <c r="YP59" s="5"/>
      <c r="YQ59" s="5"/>
      <c r="YR59" s="5"/>
      <c r="YS59" s="5"/>
      <c r="YT59" s="5"/>
      <c r="YU59" s="5"/>
      <c r="YV59" s="5"/>
      <c r="YW59" s="5"/>
      <c r="YX59" s="5"/>
      <c r="YY59" s="5"/>
      <c r="YZ59" s="5"/>
    </row>
    <row r="60" spans="1:676">
      <c r="A60" s="7">
        <v>50</v>
      </c>
      <c r="B60" s="7" t="s">
        <v>162</v>
      </c>
      <c r="C60" s="10" t="s">
        <v>163</v>
      </c>
      <c r="D60" s="7" t="s">
        <v>48</v>
      </c>
      <c r="E60" s="7" t="s">
        <v>93</v>
      </c>
      <c r="F60" s="7" t="s">
        <v>90</v>
      </c>
      <c r="G60" s="7"/>
      <c r="H60" s="7" t="s">
        <v>43</v>
      </c>
      <c r="I60" s="11">
        <v>2</v>
      </c>
      <c r="J60" s="11">
        <v>3</v>
      </c>
      <c r="K60" s="11">
        <v>0</v>
      </c>
      <c r="L60" s="11">
        <v>1.15</v>
      </c>
      <c r="M60" s="11">
        <v>0.16</v>
      </c>
      <c r="N60" s="11">
        <v>0</v>
      </c>
      <c r="O60" s="11">
        <v>0.6</v>
      </c>
      <c r="P60" s="11">
        <v>0</v>
      </c>
      <c r="Q60" s="11">
        <v>1.91</v>
      </c>
      <c r="R60" s="11">
        <v>0</v>
      </c>
      <c r="S60" s="11">
        <v>1.91</v>
      </c>
      <c r="T60" s="11">
        <v>1.91</v>
      </c>
      <c r="U60" s="11">
        <v>0</v>
      </c>
      <c r="V60" s="11">
        <v>0</v>
      </c>
      <c r="W60" s="13">
        <v>2</v>
      </c>
      <c r="X60" s="13">
        <v>3</v>
      </c>
      <c r="Y60" s="13" t="str">
        <f>MIN(W60,S60)</f>
        <v>0</v>
      </c>
      <c r="Z60" s="13" t="str">
        <f>MIN(X60,(S60-Y60))</f>
        <v>0</v>
      </c>
      <c r="AA60" s="13" t="str">
        <f>S60-SUM(Y60,Z60)</f>
        <v>0</v>
      </c>
      <c r="AB60" s="15"/>
      <c r="AC60" s="15"/>
      <c r="AD60" s="1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  <c r="JO60" s="5"/>
      <c r="JP60" s="5"/>
      <c r="JQ60" s="5"/>
      <c r="JR60" s="5"/>
      <c r="JS60" s="5"/>
      <c r="JT60" s="5"/>
      <c r="JU60" s="5"/>
      <c r="JV60" s="5"/>
      <c r="JW60" s="5"/>
      <c r="JX60" s="5"/>
      <c r="JY60" s="5"/>
      <c r="JZ60" s="5"/>
      <c r="KA60" s="5"/>
      <c r="KB60" s="5"/>
      <c r="KC60" s="5"/>
      <c r="KD60" s="5"/>
      <c r="KE60" s="5"/>
      <c r="KF60" s="5"/>
      <c r="KG60" s="5"/>
      <c r="KH60" s="5"/>
      <c r="KI60" s="5"/>
      <c r="KJ60" s="5"/>
      <c r="KK60" s="5"/>
      <c r="KL60" s="5"/>
      <c r="KM60" s="5"/>
      <c r="KN60" s="5"/>
      <c r="KO60" s="5"/>
      <c r="KP60" s="5"/>
      <c r="KQ60" s="5"/>
      <c r="KR60" s="5"/>
      <c r="KS60" s="5"/>
      <c r="KT60" s="5"/>
      <c r="KU60" s="5"/>
      <c r="KV60" s="5"/>
      <c r="KW60" s="5"/>
      <c r="KX60" s="5"/>
      <c r="KY60" s="5"/>
      <c r="KZ60" s="5"/>
      <c r="LA60" s="5"/>
      <c r="LB60" s="5"/>
      <c r="LC60" s="5"/>
      <c r="LD60" s="5"/>
      <c r="LE60" s="5"/>
      <c r="LF60" s="5"/>
      <c r="LG60" s="5"/>
      <c r="LH60" s="5"/>
      <c r="LI60" s="5"/>
      <c r="LJ60" s="5"/>
      <c r="LK60" s="5"/>
      <c r="LL60" s="5"/>
      <c r="LM60" s="5"/>
      <c r="LN60" s="5"/>
      <c r="LO60" s="5"/>
      <c r="LP60" s="5"/>
      <c r="LQ60" s="5"/>
      <c r="LR60" s="5"/>
      <c r="LS60" s="5"/>
      <c r="LT60" s="5"/>
      <c r="LU60" s="5"/>
      <c r="LV60" s="5"/>
      <c r="LW60" s="5"/>
      <c r="LX60" s="5"/>
      <c r="LY60" s="5"/>
      <c r="LZ60" s="5"/>
      <c r="MA60" s="5"/>
      <c r="MB60" s="5"/>
      <c r="MC60" s="5"/>
      <c r="MD60" s="5"/>
      <c r="ME60" s="5"/>
      <c r="MF60" s="5"/>
      <c r="MG60" s="5"/>
      <c r="MH60" s="5"/>
      <c r="MI60" s="5"/>
      <c r="MJ60" s="5"/>
      <c r="MK60" s="5"/>
      <c r="ML60" s="5"/>
      <c r="MM60" s="5"/>
      <c r="MN60" s="5"/>
      <c r="MO60" s="5"/>
      <c r="MP60" s="5"/>
      <c r="MQ60" s="5"/>
      <c r="MR60" s="5"/>
      <c r="MS60" s="5"/>
      <c r="MT60" s="5"/>
      <c r="MU60" s="5"/>
      <c r="MV60" s="5"/>
      <c r="MW60" s="5"/>
      <c r="MX60" s="5"/>
      <c r="MY60" s="5"/>
      <c r="MZ60" s="5"/>
      <c r="NA60" s="5"/>
      <c r="NB60" s="5"/>
      <c r="NC60" s="5"/>
      <c r="ND60" s="5"/>
      <c r="NE60" s="5"/>
      <c r="NF60" s="5"/>
      <c r="NG60" s="5"/>
      <c r="NH60" s="5"/>
      <c r="NI60" s="5"/>
      <c r="NJ60" s="5"/>
      <c r="NK60" s="5"/>
      <c r="NL60" s="5"/>
      <c r="NM60" s="5"/>
      <c r="NN60" s="5"/>
      <c r="NO60" s="5"/>
      <c r="NP60" s="5"/>
      <c r="NQ60" s="5"/>
      <c r="NR60" s="5"/>
      <c r="NS60" s="5"/>
      <c r="NT60" s="5"/>
      <c r="NU60" s="5"/>
      <c r="NV60" s="5"/>
      <c r="NW60" s="5"/>
      <c r="NX60" s="5"/>
      <c r="NY60" s="5"/>
      <c r="NZ60" s="5"/>
      <c r="OA60" s="5"/>
      <c r="OB60" s="5"/>
      <c r="OC60" s="5"/>
      <c r="OD60" s="5"/>
      <c r="OE60" s="5"/>
      <c r="OF60" s="5"/>
      <c r="OG60" s="5"/>
      <c r="OH60" s="5"/>
      <c r="OI60" s="5"/>
      <c r="OJ60" s="5"/>
      <c r="OK60" s="5"/>
      <c r="OL60" s="5"/>
      <c r="OM60" s="5"/>
      <c r="ON60" s="5"/>
      <c r="OO60" s="5"/>
      <c r="OP60" s="5"/>
      <c r="OQ60" s="5"/>
      <c r="OR60" s="5"/>
      <c r="OS60" s="5"/>
      <c r="OT60" s="5"/>
      <c r="OU60" s="5"/>
      <c r="OV60" s="5"/>
      <c r="OW60" s="5"/>
      <c r="OX60" s="5"/>
      <c r="OY60" s="5"/>
      <c r="OZ60" s="5"/>
      <c r="PA60" s="5"/>
      <c r="PB60" s="5"/>
      <c r="PC60" s="5"/>
      <c r="PD60" s="5"/>
      <c r="PE60" s="5"/>
      <c r="PF60" s="5"/>
      <c r="PG60" s="5"/>
      <c r="PH60" s="5"/>
      <c r="PI60" s="5"/>
      <c r="PJ60" s="5"/>
      <c r="PK60" s="5"/>
      <c r="PL60" s="5"/>
      <c r="PM60" s="5"/>
      <c r="PN60" s="5"/>
      <c r="PO60" s="5"/>
      <c r="PP60" s="5"/>
      <c r="PQ60" s="5"/>
      <c r="PR60" s="5"/>
      <c r="PS60" s="5"/>
      <c r="PT60" s="5"/>
      <c r="PU60" s="5"/>
      <c r="PV60" s="5"/>
      <c r="PW60" s="5"/>
      <c r="PX60" s="5"/>
      <c r="PY60" s="5"/>
      <c r="PZ60" s="5"/>
      <c r="QA60" s="5"/>
      <c r="QB60" s="5"/>
      <c r="QC60" s="5"/>
      <c r="QD60" s="5"/>
      <c r="QE60" s="5"/>
      <c r="QF60" s="5"/>
      <c r="QG60" s="5"/>
      <c r="QH60" s="5"/>
      <c r="QI60" s="5"/>
      <c r="QJ60" s="5"/>
      <c r="QK60" s="5"/>
      <c r="QL60" s="5"/>
      <c r="QM60" s="5"/>
      <c r="QN60" s="5"/>
      <c r="QO60" s="5"/>
      <c r="QP60" s="5"/>
      <c r="QQ60" s="5"/>
      <c r="QR60" s="5"/>
      <c r="QS60" s="5"/>
      <c r="QT60" s="5"/>
      <c r="QU60" s="5"/>
      <c r="QV60" s="5"/>
      <c r="QW60" s="5"/>
      <c r="QX60" s="5"/>
      <c r="QY60" s="5"/>
      <c r="QZ60" s="5"/>
      <c r="RA60" s="5"/>
      <c r="RB60" s="5"/>
      <c r="RC60" s="5"/>
      <c r="RD60" s="5"/>
      <c r="RE60" s="5"/>
      <c r="RF60" s="5"/>
      <c r="RG60" s="5"/>
      <c r="RH60" s="5"/>
      <c r="RI60" s="5"/>
      <c r="RJ60" s="5"/>
      <c r="RK60" s="5"/>
      <c r="RL60" s="5"/>
      <c r="RM60" s="5"/>
      <c r="RN60" s="5"/>
      <c r="RO60" s="5"/>
      <c r="RP60" s="5"/>
      <c r="RQ60" s="5"/>
      <c r="RR60" s="5"/>
      <c r="RS60" s="5"/>
      <c r="RT60" s="5"/>
      <c r="RU60" s="5"/>
      <c r="RV60" s="5"/>
      <c r="RW60" s="5"/>
      <c r="RX60" s="5"/>
      <c r="RY60" s="5"/>
      <c r="RZ60" s="5"/>
      <c r="SA60" s="5"/>
      <c r="SB60" s="5"/>
      <c r="SC60" s="5"/>
      <c r="SD60" s="5"/>
      <c r="SE60" s="5"/>
      <c r="SF60" s="5"/>
      <c r="SG60" s="5"/>
      <c r="SH60" s="5"/>
      <c r="SI60" s="5"/>
      <c r="SJ60" s="5"/>
      <c r="SK60" s="5"/>
      <c r="SL60" s="5"/>
      <c r="SM60" s="5"/>
      <c r="SN60" s="5"/>
      <c r="SO60" s="5"/>
      <c r="SP60" s="5"/>
      <c r="SQ60" s="5"/>
      <c r="SR60" s="5"/>
      <c r="SS60" s="5"/>
      <c r="ST60" s="5"/>
      <c r="SU60" s="5"/>
      <c r="SV60" s="5"/>
      <c r="SW60" s="5"/>
      <c r="SX60" s="5"/>
      <c r="SY60" s="5"/>
      <c r="SZ60" s="5"/>
      <c r="TA60" s="5"/>
      <c r="TB60" s="5"/>
      <c r="TC60" s="5"/>
      <c r="TD60" s="5"/>
      <c r="TE60" s="5"/>
      <c r="TF60" s="5"/>
      <c r="TG60" s="5"/>
      <c r="TH60" s="5"/>
      <c r="TI60" s="5"/>
      <c r="TJ60" s="5"/>
      <c r="TK60" s="5"/>
      <c r="TL60" s="5"/>
      <c r="TM60" s="5"/>
      <c r="TN60" s="5"/>
      <c r="TO60" s="5"/>
      <c r="TP60" s="5"/>
      <c r="TQ60" s="5"/>
      <c r="TR60" s="5"/>
      <c r="TS60" s="5"/>
      <c r="TT60" s="5"/>
      <c r="TU60" s="5"/>
      <c r="TV60" s="5"/>
      <c r="TW60" s="5"/>
      <c r="TX60" s="5"/>
      <c r="TY60" s="5"/>
      <c r="TZ60" s="5"/>
      <c r="UA60" s="5"/>
      <c r="UB60" s="5"/>
      <c r="UC60" s="5"/>
      <c r="UD60" s="5"/>
      <c r="UE60" s="5"/>
      <c r="UF60" s="5"/>
      <c r="UG60" s="5"/>
      <c r="UH60" s="5"/>
      <c r="UI60" s="5"/>
      <c r="UJ60" s="5"/>
      <c r="UK60" s="5"/>
      <c r="UL60" s="5"/>
      <c r="UM60" s="5"/>
      <c r="UN60" s="5"/>
      <c r="UO60" s="5"/>
      <c r="UP60" s="5"/>
      <c r="UQ60" s="5"/>
      <c r="UR60" s="5"/>
      <c r="US60" s="5"/>
      <c r="UT60" s="5"/>
      <c r="UU60" s="5"/>
      <c r="UV60" s="5"/>
      <c r="UW60" s="5"/>
      <c r="UX60" s="5"/>
      <c r="UY60" s="5"/>
      <c r="UZ60" s="5"/>
      <c r="VA60" s="5"/>
      <c r="VB60" s="5"/>
      <c r="VC60" s="5"/>
      <c r="VD60" s="5"/>
      <c r="VE60" s="5"/>
      <c r="VF60" s="5"/>
      <c r="VG60" s="5"/>
      <c r="VH60" s="5"/>
      <c r="VI60" s="5"/>
      <c r="VJ60" s="5"/>
      <c r="VK60" s="5"/>
      <c r="VL60" s="5"/>
      <c r="VM60" s="5"/>
      <c r="VN60" s="5"/>
      <c r="VO60" s="5"/>
      <c r="VP60" s="5"/>
      <c r="VQ60" s="5"/>
      <c r="VR60" s="5"/>
      <c r="VS60" s="5"/>
      <c r="VT60" s="5"/>
      <c r="VU60" s="5"/>
      <c r="VV60" s="5"/>
      <c r="VW60" s="5"/>
      <c r="VX60" s="5"/>
      <c r="VY60" s="5"/>
      <c r="VZ60" s="5"/>
      <c r="WA60" s="5"/>
      <c r="WB60" s="5"/>
      <c r="WC60" s="5"/>
      <c r="WD60" s="5"/>
      <c r="WE60" s="5"/>
      <c r="WF60" s="5"/>
      <c r="WG60" s="5"/>
      <c r="WH60" s="5"/>
      <c r="WI60" s="5"/>
      <c r="WJ60" s="5"/>
      <c r="WK60" s="5"/>
      <c r="WL60" s="5"/>
      <c r="WM60" s="5"/>
      <c r="WN60" s="5"/>
      <c r="WO60" s="5"/>
      <c r="WP60" s="5"/>
      <c r="WQ60" s="5"/>
      <c r="WR60" s="5"/>
      <c r="WS60" s="5"/>
      <c r="WT60" s="5"/>
      <c r="WU60" s="5"/>
      <c r="WV60" s="5"/>
      <c r="WW60" s="5"/>
      <c r="WX60" s="5"/>
      <c r="WY60" s="5"/>
      <c r="WZ60" s="5"/>
      <c r="XA60" s="5"/>
      <c r="XB60" s="5"/>
      <c r="XC60" s="5"/>
      <c r="XD60" s="5"/>
      <c r="XE60" s="5"/>
      <c r="XF60" s="5"/>
      <c r="XG60" s="5"/>
      <c r="XH60" s="5"/>
      <c r="XI60" s="5"/>
      <c r="XJ60" s="5"/>
      <c r="XK60" s="5"/>
      <c r="XL60" s="5"/>
      <c r="XM60" s="5"/>
      <c r="XN60" s="5"/>
      <c r="XO60" s="5"/>
      <c r="XP60" s="5"/>
      <c r="XQ60" s="5"/>
      <c r="XR60" s="5"/>
      <c r="XS60" s="5"/>
      <c r="XT60" s="5"/>
      <c r="XU60" s="5"/>
      <c r="XV60" s="5"/>
      <c r="XW60" s="5"/>
      <c r="XX60" s="5"/>
      <c r="XY60" s="5"/>
      <c r="XZ60" s="5"/>
      <c r="YA60" s="5"/>
      <c r="YB60" s="5"/>
      <c r="YC60" s="5"/>
      <c r="YD60" s="5"/>
      <c r="YE60" s="5"/>
      <c r="YF60" s="5"/>
      <c r="YG60" s="5"/>
      <c r="YH60" s="5"/>
      <c r="YI60" s="5"/>
      <c r="YJ60" s="5"/>
      <c r="YK60" s="5"/>
      <c r="YL60" s="5"/>
      <c r="YM60" s="5"/>
      <c r="YN60" s="5"/>
      <c r="YO60" s="5"/>
      <c r="YP60" s="5"/>
      <c r="YQ60" s="5"/>
      <c r="YR60" s="5"/>
      <c r="YS60" s="5"/>
      <c r="YT60" s="5"/>
      <c r="YU60" s="5"/>
      <c r="YV60" s="5"/>
      <c r="YW60" s="5"/>
      <c r="YX60" s="5"/>
      <c r="YY60" s="5"/>
      <c r="YZ60" s="5"/>
    </row>
    <row r="61" spans="1:676">
      <c r="A61" s="7">
        <v>51</v>
      </c>
      <c r="B61" s="7" t="s">
        <v>164</v>
      </c>
      <c r="C61" s="10" t="s">
        <v>165</v>
      </c>
      <c r="D61" s="7" t="s">
        <v>51</v>
      </c>
      <c r="E61" s="7" t="s">
        <v>99</v>
      </c>
      <c r="F61" s="7" t="s">
        <v>90</v>
      </c>
      <c r="G61" s="7"/>
      <c r="H61" s="7" t="s">
        <v>124</v>
      </c>
      <c r="I61" s="11">
        <v>2</v>
      </c>
      <c r="J61" s="11">
        <v>3</v>
      </c>
      <c r="K61" s="11">
        <v>0.95</v>
      </c>
      <c r="L61" s="11">
        <v>6.029999999999997</v>
      </c>
      <c r="M61" s="11">
        <v>0.24</v>
      </c>
      <c r="N61" s="11">
        <v>0</v>
      </c>
      <c r="O61" s="11">
        <v>0</v>
      </c>
      <c r="P61" s="11">
        <v>0</v>
      </c>
      <c r="Q61" s="11">
        <v>7.219999999999997</v>
      </c>
      <c r="R61" s="11">
        <v>0</v>
      </c>
      <c r="S61" s="11">
        <v>7.219999999999997</v>
      </c>
      <c r="T61" s="11">
        <v>2</v>
      </c>
      <c r="U61" s="11">
        <v>3</v>
      </c>
      <c r="V61" s="11">
        <v>2.219999999999997</v>
      </c>
      <c r="W61" s="13">
        <v>2</v>
      </c>
      <c r="X61" s="13">
        <v>3</v>
      </c>
      <c r="Y61" s="13" t="str">
        <f>MIN(W61,S61)</f>
        <v>0</v>
      </c>
      <c r="Z61" s="13" t="str">
        <f>MIN(X61,(S61-Y61))</f>
        <v>0</v>
      </c>
      <c r="AA61" s="13" t="str">
        <f>S61-SUM(Y61,Z61)</f>
        <v>0</v>
      </c>
      <c r="AB61" s="15"/>
      <c r="AC61" s="15"/>
      <c r="AD61" s="1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  <c r="IZ61" s="5"/>
      <c r="JA61" s="5"/>
      <c r="JB61" s="5"/>
      <c r="JC61" s="5"/>
      <c r="JD61" s="5"/>
      <c r="JE61" s="5"/>
      <c r="JF61" s="5"/>
      <c r="JG61" s="5"/>
      <c r="JH61" s="5"/>
      <c r="JI61" s="5"/>
      <c r="JJ61" s="5"/>
      <c r="JK61" s="5"/>
      <c r="JL61" s="5"/>
      <c r="JM61" s="5"/>
      <c r="JN61" s="5"/>
      <c r="JO61" s="5"/>
      <c r="JP61" s="5"/>
      <c r="JQ61" s="5"/>
      <c r="JR61" s="5"/>
      <c r="JS61" s="5"/>
      <c r="JT61" s="5"/>
      <c r="JU61" s="5"/>
      <c r="JV61" s="5"/>
      <c r="JW61" s="5"/>
      <c r="JX61" s="5"/>
      <c r="JY61" s="5"/>
      <c r="JZ61" s="5"/>
      <c r="KA61" s="5"/>
      <c r="KB61" s="5"/>
      <c r="KC61" s="5"/>
      <c r="KD61" s="5"/>
      <c r="KE61" s="5"/>
      <c r="KF61" s="5"/>
      <c r="KG61" s="5"/>
      <c r="KH61" s="5"/>
      <c r="KI61" s="5"/>
      <c r="KJ61" s="5"/>
      <c r="KK61" s="5"/>
      <c r="KL61" s="5"/>
      <c r="KM61" s="5"/>
      <c r="KN61" s="5"/>
      <c r="KO61" s="5"/>
      <c r="KP61" s="5"/>
      <c r="KQ61" s="5"/>
      <c r="KR61" s="5"/>
      <c r="KS61" s="5"/>
      <c r="KT61" s="5"/>
      <c r="KU61" s="5"/>
      <c r="KV61" s="5"/>
      <c r="KW61" s="5"/>
      <c r="KX61" s="5"/>
      <c r="KY61" s="5"/>
      <c r="KZ61" s="5"/>
      <c r="LA61" s="5"/>
      <c r="LB61" s="5"/>
      <c r="LC61" s="5"/>
      <c r="LD61" s="5"/>
      <c r="LE61" s="5"/>
      <c r="LF61" s="5"/>
      <c r="LG61" s="5"/>
      <c r="LH61" s="5"/>
      <c r="LI61" s="5"/>
      <c r="LJ61" s="5"/>
      <c r="LK61" s="5"/>
      <c r="LL61" s="5"/>
      <c r="LM61" s="5"/>
      <c r="LN61" s="5"/>
      <c r="LO61" s="5"/>
      <c r="LP61" s="5"/>
      <c r="LQ61" s="5"/>
      <c r="LR61" s="5"/>
      <c r="LS61" s="5"/>
      <c r="LT61" s="5"/>
      <c r="LU61" s="5"/>
      <c r="LV61" s="5"/>
      <c r="LW61" s="5"/>
      <c r="LX61" s="5"/>
      <c r="LY61" s="5"/>
      <c r="LZ61" s="5"/>
      <c r="MA61" s="5"/>
      <c r="MB61" s="5"/>
      <c r="MC61" s="5"/>
      <c r="MD61" s="5"/>
      <c r="ME61" s="5"/>
      <c r="MF61" s="5"/>
      <c r="MG61" s="5"/>
      <c r="MH61" s="5"/>
      <c r="MI61" s="5"/>
      <c r="MJ61" s="5"/>
      <c r="MK61" s="5"/>
      <c r="ML61" s="5"/>
      <c r="MM61" s="5"/>
      <c r="MN61" s="5"/>
      <c r="MO61" s="5"/>
      <c r="MP61" s="5"/>
      <c r="MQ61" s="5"/>
      <c r="MR61" s="5"/>
      <c r="MS61" s="5"/>
      <c r="MT61" s="5"/>
      <c r="MU61" s="5"/>
      <c r="MV61" s="5"/>
      <c r="MW61" s="5"/>
      <c r="MX61" s="5"/>
      <c r="MY61" s="5"/>
      <c r="MZ61" s="5"/>
      <c r="NA61" s="5"/>
      <c r="NB61" s="5"/>
      <c r="NC61" s="5"/>
      <c r="ND61" s="5"/>
      <c r="NE61" s="5"/>
      <c r="NF61" s="5"/>
      <c r="NG61" s="5"/>
      <c r="NH61" s="5"/>
      <c r="NI61" s="5"/>
      <c r="NJ61" s="5"/>
      <c r="NK61" s="5"/>
      <c r="NL61" s="5"/>
      <c r="NM61" s="5"/>
      <c r="NN61" s="5"/>
      <c r="NO61" s="5"/>
      <c r="NP61" s="5"/>
      <c r="NQ61" s="5"/>
      <c r="NR61" s="5"/>
      <c r="NS61" s="5"/>
      <c r="NT61" s="5"/>
      <c r="NU61" s="5"/>
      <c r="NV61" s="5"/>
      <c r="NW61" s="5"/>
      <c r="NX61" s="5"/>
      <c r="NY61" s="5"/>
      <c r="NZ61" s="5"/>
      <c r="OA61" s="5"/>
      <c r="OB61" s="5"/>
      <c r="OC61" s="5"/>
      <c r="OD61" s="5"/>
      <c r="OE61" s="5"/>
      <c r="OF61" s="5"/>
      <c r="OG61" s="5"/>
      <c r="OH61" s="5"/>
      <c r="OI61" s="5"/>
      <c r="OJ61" s="5"/>
      <c r="OK61" s="5"/>
      <c r="OL61" s="5"/>
      <c r="OM61" s="5"/>
      <c r="ON61" s="5"/>
      <c r="OO61" s="5"/>
      <c r="OP61" s="5"/>
      <c r="OQ61" s="5"/>
      <c r="OR61" s="5"/>
      <c r="OS61" s="5"/>
      <c r="OT61" s="5"/>
      <c r="OU61" s="5"/>
      <c r="OV61" s="5"/>
      <c r="OW61" s="5"/>
      <c r="OX61" s="5"/>
      <c r="OY61" s="5"/>
      <c r="OZ61" s="5"/>
      <c r="PA61" s="5"/>
      <c r="PB61" s="5"/>
      <c r="PC61" s="5"/>
      <c r="PD61" s="5"/>
      <c r="PE61" s="5"/>
      <c r="PF61" s="5"/>
      <c r="PG61" s="5"/>
      <c r="PH61" s="5"/>
      <c r="PI61" s="5"/>
      <c r="PJ61" s="5"/>
      <c r="PK61" s="5"/>
      <c r="PL61" s="5"/>
      <c r="PM61" s="5"/>
      <c r="PN61" s="5"/>
      <c r="PO61" s="5"/>
      <c r="PP61" s="5"/>
      <c r="PQ61" s="5"/>
      <c r="PR61" s="5"/>
      <c r="PS61" s="5"/>
      <c r="PT61" s="5"/>
      <c r="PU61" s="5"/>
      <c r="PV61" s="5"/>
      <c r="PW61" s="5"/>
      <c r="PX61" s="5"/>
      <c r="PY61" s="5"/>
      <c r="PZ61" s="5"/>
      <c r="QA61" s="5"/>
      <c r="QB61" s="5"/>
      <c r="QC61" s="5"/>
      <c r="QD61" s="5"/>
      <c r="QE61" s="5"/>
      <c r="QF61" s="5"/>
      <c r="QG61" s="5"/>
      <c r="QH61" s="5"/>
      <c r="QI61" s="5"/>
      <c r="QJ61" s="5"/>
      <c r="QK61" s="5"/>
      <c r="QL61" s="5"/>
      <c r="QM61" s="5"/>
      <c r="QN61" s="5"/>
      <c r="QO61" s="5"/>
      <c r="QP61" s="5"/>
      <c r="QQ61" s="5"/>
      <c r="QR61" s="5"/>
      <c r="QS61" s="5"/>
      <c r="QT61" s="5"/>
      <c r="QU61" s="5"/>
      <c r="QV61" s="5"/>
      <c r="QW61" s="5"/>
      <c r="QX61" s="5"/>
      <c r="QY61" s="5"/>
      <c r="QZ61" s="5"/>
      <c r="RA61" s="5"/>
      <c r="RB61" s="5"/>
      <c r="RC61" s="5"/>
      <c r="RD61" s="5"/>
      <c r="RE61" s="5"/>
      <c r="RF61" s="5"/>
      <c r="RG61" s="5"/>
      <c r="RH61" s="5"/>
      <c r="RI61" s="5"/>
      <c r="RJ61" s="5"/>
      <c r="RK61" s="5"/>
      <c r="RL61" s="5"/>
      <c r="RM61" s="5"/>
      <c r="RN61" s="5"/>
      <c r="RO61" s="5"/>
      <c r="RP61" s="5"/>
      <c r="RQ61" s="5"/>
      <c r="RR61" s="5"/>
      <c r="RS61" s="5"/>
      <c r="RT61" s="5"/>
      <c r="RU61" s="5"/>
      <c r="RV61" s="5"/>
      <c r="RW61" s="5"/>
      <c r="RX61" s="5"/>
      <c r="RY61" s="5"/>
      <c r="RZ61" s="5"/>
      <c r="SA61" s="5"/>
      <c r="SB61" s="5"/>
      <c r="SC61" s="5"/>
      <c r="SD61" s="5"/>
      <c r="SE61" s="5"/>
      <c r="SF61" s="5"/>
      <c r="SG61" s="5"/>
      <c r="SH61" s="5"/>
      <c r="SI61" s="5"/>
      <c r="SJ61" s="5"/>
      <c r="SK61" s="5"/>
      <c r="SL61" s="5"/>
      <c r="SM61" s="5"/>
      <c r="SN61" s="5"/>
      <c r="SO61" s="5"/>
      <c r="SP61" s="5"/>
      <c r="SQ61" s="5"/>
      <c r="SR61" s="5"/>
      <c r="SS61" s="5"/>
      <c r="ST61" s="5"/>
      <c r="SU61" s="5"/>
      <c r="SV61" s="5"/>
      <c r="SW61" s="5"/>
      <c r="SX61" s="5"/>
      <c r="SY61" s="5"/>
      <c r="SZ61" s="5"/>
      <c r="TA61" s="5"/>
      <c r="TB61" s="5"/>
      <c r="TC61" s="5"/>
      <c r="TD61" s="5"/>
      <c r="TE61" s="5"/>
      <c r="TF61" s="5"/>
      <c r="TG61" s="5"/>
      <c r="TH61" s="5"/>
      <c r="TI61" s="5"/>
      <c r="TJ61" s="5"/>
      <c r="TK61" s="5"/>
      <c r="TL61" s="5"/>
      <c r="TM61" s="5"/>
      <c r="TN61" s="5"/>
      <c r="TO61" s="5"/>
      <c r="TP61" s="5"/>
      <c r="TQ61" s="5"/>
      <c r="TR61" s="5"/>
      <c r="TS61" s="5"/>
      <c r="TT61" s="5"/>
      <c r="TU61" s="5"/>
      <c r="TV61" s="5"/>
      <c r="TW61" s="5"/>
      <c r="TX61" s="5"/>
      <c r="TY61" s="5"/>
      <c r="TZ61" s="5"/>
      <c r="UA61" s="5"/>
      <c r="UB61" s="5"/>
      <c r="UC61" s="5"/>
      <c r="UD61" s="5"/>
      <c r="UE61" s="5"/>
      <c r="UF61" s="5"/>
      <c r="UG61" s="5"/>
      <c r="UH61" s="5"/>
      <c r="UI61" s="5"/>
      <c r="UJ61" s="5"/>
      <c r="UK61" s="5"/>
      <c r="UL61" s="5"/>
      <c r="UM61" s="5"/>
      <c r="UN61" s="5"/>
      <c r="UO61" s="5"/>
      <c r="UP61" s="5"/>
      <c r="UQ61" s="5"/>
      <c r="UR61" s="5"/>
      <c r="US61" s="5"/>
      <c r="UT61" s="5"/>
      <c r="UU61" s="5"/>
      <c r="UV61" s="5"/>
      <c r="UW61" s="5"/>
      <c r="UX61" s="5"/>
      <c r="UY61" s="5"/>
      <c r="UZ61" s="5"/>
      <c r="VA61" s="5"/>
      <c r="VB61" s="5"/>
      <c r="VC61" s="5"/>
      <c r="VD61" s="5"/>
      <c r="VE61" s="5"/>
      <c r="VF61" s="5"/>
      <c r="VG61" s="5"/>
      <c r="VH61" s="5"/>
      <c r="VI61" s="5"/>
      <c r="VJ61" s="5"/>
      <c r="VK61" s="5"/>
      <c r="VL61" s="5"/>
      <c r="VM61" s="5"/>
      <c r="VN61" s="5"/>
      <c r="VO61" s="5"/>
      <c r="VP61" s="5"/>
      <c r="VQ61" s="5"/>
      <c r="VR61" s="5"/>
      <c r="VS61" s="5"/>
      <c r="VT61" s="5"/>
      <c r="VU61" s="5"/>
      <c r="VV61" s="5"/>
      <c r="VW61" s="5"/>
      <c r="VX61" s="5"/>
      <c r="VY61" s="5"/>
      <c r="VZ61" s="5"/>
      <c r="WA61" s="5"/>
      <c r="WB61" s="5"/>
      <c r="WC61" s="5"/>
      <c r="WD61" s="5"/>
      <c r="WE61" s="5"/>
      <c r="WF61" s="5"/>
      <c r="WG61" s="5"/>
      <c r="WH61" s="5"/>
      <c r="WI61" s="5"/>
      <c r="WJ61" s="5"/>
      <c r="WK61" s="5"/>
      <c r="WL61" s="5"/>
      <c r="WM61" s="5"/>
      <c r="WN61" s="5"/>
      <c r="WO61" s="5"/>
      <c r="WP61" s="5"/>
      <c r="WQ61" s="5"/>
      <c r="WR61" s="5"/>
      <c r="WS61" s="5"/>
      <c r="WT61" s="5"/>
      <c r="WU61" s="5"/>
      <c r="WV61" s="5"/>
      <c r="WW61" s="5"/>
      <c r="WX61" s="5"/>
      <c r="WY61" s="5"/>
      <c r="WZ61" s="5"/>
      <c r="XA61" s="5"/>
      <c r="XB61" s="5"/>
      <c r="XC61" s="5"/>
      <c r="XD61" s="5"/>
      <c r="XE61" s="5"/>
      <c r="XF61" s="5"/>
      <c r="XG61" s="5"/>
      <c r="XH61" s="5"/>
      <c r="XI61" s="5"/>
      <c r="XJ61" s="5"/>
      <c r="XK61" s="5"/>
      <c r="XL61" s="5"/>
      <c r="XM61" s="5"/>
      <c r="XN61" s="5"/>
      <c r="XO61" s="5"/>
      <c r="XP61" s="5"/>
      <c r="XQ61" s="5"/>
      <c r="XR61" s="5"/>
      <c r="XS61" s="5"/>
      <c r="XT61" s="5"/>
      <c r="XU61" s="5"/>
      <c r="XV61" s="5"/>
      <c r="XW61" s="5"/>
      <c r="XX61" s="5"/>
      <c r="XY61" s="5"/>
      <c r="XZ61" s="5"/>
      <c r="YA61" s="5"/>
      <c r="YB61" s="5"/>
      <c r="YC61" s="5"/>
      <c r="YD61" s="5"/>
      <c r="YE61" s="5"/>
      <c r="YF61" s="5"/>
      <c r="YG61" s="5"/>
      <c r="YH61" s="5"/>
      <c r="YI61" s="5"/>
      <c r="YJ61" s="5"/>
      <c r="YK61" s="5"/>
      <c r="YL61" s="5"/>
      <c r="YM61" s="5"/>
      <c r="YN61" s="5"/>
      <c r="YO61" s="5"/>
      <c r="YP61" s="5"/>
      <c r="YQ61" s="5"/>
      <c r="YR61" s="5"/>
      <c r="YS61" s="5"/>
      <c r="YT61" s="5"/>
      <c r="YU61" s="5"/>
      <c r="YV61" s="5"/>
      <c r="YW61" s="5"/>
      <c r="YX61" s="5"/>
      <c r="YY61" s="5"/>
      <c r="YZ61" s="5"/>
    </row>
    <row r="62" spans="1:676">
      <c r="A62" s="7">
        <v>52</v>
      </c>
      <c r="B62" s="7" t="s">
        <v>166</v>
      </c>
      <c r="C62" s="10" t="s">
        <v>167</v>
      </c>
      <c r="D62" s="7" t="s">
        <v>129</v>
      </c>
      <c r="E62" s="7" t="s">
        <v>89</v>
      </c>
      <c r="F62" s="7" t="s">
        <v>90</v>
      </c>
      <c r="G62" s="7"/>
      <c r="H62" s="7" t="s">
        <v>43</v>
      </c>
      <c r="I62" s="11">
        <v>2</v>
      </c>
      <c r="J62" s="11">
        <v>3</v>
      </c>
      <c r="K62" s="11">
        <v>0</v>
      </c>
      <c r="L62" s="11">
        <v>5.239999999999999</v>
      </c>
      <c r="M62" s="11">
        <v>0.16</v>
      </c>
      <c r="N62" s="11">
        <v>0</v>
      </c>
      <c r="O62" s="11">
        <v>0.64</v>
      </c>
      <c r="P62" s="11">
        <v>0</v>
      </c>
      <c r="Q62" s="11">
        <v>6.039999999999999</v>
      </c>
      <c r="R62" s="11">
        <v>0</v>
      </c>
      <c r="S62" s="11">
        <v>6.039999999999999</v>
      </c>
      <c r="T62" s="11">
        <v>2</v>
      </c>
      <c r="U62" s="11">
        <v>3</v>
      </c>
      <c r="V62" s="11">
        <v>1.039999999999999</v>
      </c>
      <c r="W62" s="13">
        <v>2</v>
      </c>
      <c r="X62" s="13">
        <v>3</v>
      </c>
      <c r="Y62" s="13" t="str">
        <f>MIN(W62,S62)</f>
        <v>0</v>
      </c>
      <c r="Z62" s="13" t="str">
        <f>MIN(X62,(S62-Y62))</f>
        <v>0</v>
      </c>
      <c r="AA62" s="13" t="str">
        <f>S62-SUM(Y62,Z62)</f>
        <v>0</v>
      </c>
      <c r="AB62" s="15"/>
      <c r="AC62" s="15"/>
      <c r="AD62" s="1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  <c r="IZ62" s="5"/>
      <c r="JA62" s="5"/>
      <c r="JB62" s="5"/>
      <c r="JC62" s="5"/>
      <c r="JD62" s="5"/>
      <c r="JE62" s="5"/>
      <c r="JF62" s="5"/>
      <c r="JG62" s="5"/>
      <c r="JH62" s="5"/>
      <c r="JI62" s="5"/>
      <c r="JJ62" s="5"/>
      <c r="JK62" s="5"/>
      <c r="JL62" s="5"/>
      <c r="JM62" s="5"/>
      <c r="JN62" s="5"/>
      <c r="JO62" s="5"/>
      <c r="JP62" s="5"/>
      <c r="JQ62" s="5"/>
      <c r="JR62" s="5"/>
      <c r="JS62" s="5"/>
      <c r="JT62" s="5"/>
      <c r="JU62" s="5"/>
      <c r="JV62" s="5"/>
      <c r="JW62" s="5"/>
      <c r="JX62" s="5"/>
      <c r="JY62" s="5"/>
      <c r="JZ62" s="5"/>
      <c r="KA62" s="5"/>
      <c r="KB62" s="5"/>
      <c r="KC62" s="5"/>
      <c r="KD62" s="5"/>
      <c r="KE62" s="5"/>
      <c r="KF62" s="5"/>
      <c r="KG62" s="5"/>
      <c r="KH62" s="5"/>
      <c r="KI62" s="5"/>
      <c r="KJ62" s="5"/>
      <c r="KK62" s="5"/>
      <c r="KL62" s="5"/>
      <c r="KM62" s="5"/>
      <c r="KN62" s="5"/>
      <c r="KO62" s="5"/>
      <c r="KP62" s="5"/>
      <c r="KQ62" s="5"/>
      <c r="KR62" s="5"/>
      <c r="KS62" s="5"/>
      <c r="KT62" s="5"/>
      <c r="KU62" s="5"/>
      <c r="KV62" s="5"/>
      <c r="KW62" s="5"/>
      <c r="KX62" s="5"/>
      <c r="KY62" s="5"/>
      <c r="KZ62" s="5"/>
      <c r="LA62" s="5"/>
      <c r="LB62" s="5"/>
      <c r="LC62" s="5"/>
      <c r="LD62" s="5"/>
      <c r="LE62" s="5"/>
      <c r="LF62" s="5"/>
      <c r="LG62" s="5"/>
      <c r="LH62" s="5"/>
      <c r="LI62" s="5"/>
      <c r="LJ62" s="5"/>
      <c r="LK62" s="5"/>
      <c r="LL62" s="5"/>
      <c r="LM62" s="5"/>
      <c r="LN62" s="5"/>
      <c r="LO62" s="5"/>
      <c r="LP62" s="5"/>
      <c r="LQ62" s="5"/>
      <c r="LR62" s="5"/>
      <c r="LS62" s="5"/>
      <c r="LT62" s="5"/>
      <c r="LU62" s="5"/>
      <c r="LV62" s="5"/>
      <c r="LW62" s="5"/>
      <c r="LX62" s="5"/>
      <c r="LY62" s="5"/>
      <c r="LZ62" s="5"/>
      <c r="MA62" s="5"/>
      <c r="MB62" s="5"/>
      <c r="MC62" s="5"/>
      <c r="MD62" s="5"/>
      <c r="ME62" s="5"/>
      <c r="MF62" s="5"/>
      <c r="MG62" s="5"/>
      <c r="MH62" s="5"/>
      <c r="MI62" s="5"/>
      <c r="MJ62" s="5"/>
      <c r="MK62" s="5"/>
      <c r="ML62" s="5"/>
      <c r="MM62" s="5"/>
      <c r="MN62" s="5"/>
      <c r="MO62" s="5"/>
      <c r="MP62" s="5"/>
      <c r="MQ62" s="5"/>
      <c r="MR62" s="5"/>
      <c r="MS62" s="5"/>
      <c r="MT62" s="5"/>
      <c r="MU62" s="5"/>
      <c r="MV62" s="5"/>
      <c r="MW62" s="5"/>
      <c r="MX62" s="5"/>
      <c r="MY62" s="5"/>
      <c r="MZ62" s="5"/>
      <c r="NA62" s="5"/>
      <c r="NB62" s="5"/>
      <c r="NC62" s="5"/>
      <c r="ND62" s="5"/>
      <c r="NE62" s="5"/>
      <c r="NF62" s="5"/>
      <c r="NG62" s="5"/>
      <c r="NH62" s="5"/>
      <c r="NI62" s="5"/>
      <c r="NJ62" s="5"/>
      <c r="NK62" s="5"/>
      <c r="NL62" s="5"/>
      <c r="NM62" s="5"/>
      <c r="NN62" s="5"/>
      <c r="NO62" s="5"/>
      <c r="NP62" s="5"/>
      <c r="NQ62" s="5"/>
      <c r="NR62" s="5"/>
      <c r="NS62" s="5"/>
      <c r="NT62" s="5"/>
      <c r="NU62" s="5"/>
      <c r="NV62" s="5"/>
      <c r="NW62" s="5"/>
      <c r="NX62" s="5"/>
      <c r="NY62" s="5"/>
      <c r="NZ62" s="5"/>
      <c r="OA62" s="5"/>
      <c r="OB62" s="5"/>
      <c r="OC62" s="5"/>
      <c r="OD62" s="5"/>
      <c r="OE62" s="5"/>
      <c r="OF62" s="5"/>
      <c r="OG62" s="5"/>
      <c r="OH62" s="5"/>
      <c r="OI62" s="5"/>
      <c r="OJ62" s="5"/>
      <c r="OK62" s="5"/>
      <c r="OL62" s="5"/>
      <c r="OM62" s="5"/>
      <c r="ON62" s="5"/>
      <c r="OO62" s="5"/>
      <c r="OP62" s="5"/>
      <c r="OQ62" s="5"/>
      <c r="OR62" s="5"/>
      <c r="OS62" s="5"/>
      <c r="OT62" s="5"/>
      <c r="OU62" s="5"/>
      <c r="OV62" s="5"/>
      <c r="OW62" s="5"/>
      <c r="OX62" s="5"/>
      <c r="OY62" s="5"/>
      <c r="OZ62" s="5"/>
      <c r="PA62" s="5"/>
      <c r="PB62" s="5"/>
      <c r="PC62" s="5"/>
      <c r="PD62" s="5"/>
      <c r="PE62" s="5"/>
      <c r="PF62" s="5"/>
      <c r="PG62" s="5"/>
      <c r="PH62" s="5"/>
      <c r="PI62" s="5"/>
      <c r="PJ62" s="5"/>
      <c r="PK62" s="5"/>
      <c r="PL62" s="5"/>
      <c r="PM62" s="5"/>
      <c r="PN62" s="5"/>
      <c r="PO62" s="5"/>
      <c r="PP62" s="5"/>
      <c r="PQ62" s="5"/>
      <c r="PR62" s="5"/>
      <c r="PS62" s="5"/>
      <c r="PT62" s="5"/>
      <c r="PU62" s="5"/>
      <c r="PV62" s="5"/>
      <c r="PW62" s="5"/>
      <c r="PX62" s="5"/>
      <c r="PY62" s="5"/>
      <c r="PZ62" s="5"/>
      <c r="QA62" s="5"/>
      <c r="QB62" s="5"/>
      <c r="QC62" s="5"/>
      <c r="QD62" s="5"/>
      <c r="QE62" s="5"/>
      <c r="QF62" s="5"/>
      <c r="QG62" s="5"/>
      <c r="QH62" s="5"/>
      <c r="QI62" s="5"/>
      <c r="QJ62" s="5"/>
      <c r="QK62" s="5"/>
      <c r="QL62" s="5"/>
      <c r="QM62" s="5"/>
      <c r="QN62" s="5"/>
      <c r="QO62" s="5"/>
      <c r="QP62" s="5"/>
      <c r="QQ62" s="5"/>
      <c r="QR62" s="5"/>
      <c r="QS62" s="5"/>
      <c r="QT62" s="5"/>
      <c r="QU62" s="5"/>
      <c r="QV62" s="5"/>
      <c r="QW62" s="5"/>
      <c r="QX62" s="5"/>
      <c r="QY62" s="5"/>
      <c r="QZ62" s="5"/>
      <c r="RA62" s="5"/>
      <c r="RB62" s="5"/>
      <c r="RC62" s="5"/>
      <c r="RD62" s="5"/>
      <c r="RE62" s="5"/>
      <c r="RF62" s="5"/>
      <c r="RG62" s="5"/>
      <c r="RH62" s="5"/>
      <c r="RI62" s="5"/>
      <c r="RJ62" s="5"/>
      <c r="RK62" s="5"/>
      <c r="RL62" s="5"/>
      <c r="RM62" s="5"/>
      <c r="RN62" s="5"/>
      <c r="RO62" s="5"/>
      <c r="RP62" s="5"/>
      <c r="RQ62" s="5"/>
      <c r="RR62" s="5"/>
      <c r="RS62" s="5"/>
      <c r="RT62" s="5"/>
      <c r="RU62" s="5"/>
      <c r="RV62" s="5"/>
      <c r="RW62" s="5"/>
      <c r="RX62" s="5"/>
      <c r="RY62" s="5"/>
      <c r="RZ62" s="5"/>
      <c r="SA62" s="5"/>
      <c r="SB62" s="5"/>
      <c r="SC62" s="5"/>
      <c r="SD62" s="5"/>
      <c r="SE62" s="5"/>
      <c r="SF62" s="5"/>
      <c r="SG62" s="5"/>
      <c r="SH62" s="5"/>
      <c r="SI62" s="5"/>
      <c r="SJ62" s="5"/>
      <c r="SK62" s="5"/>
      <c r="SL62" s="5"/>
      <c r="SM62" s="5"/>
      <c r="SN62" s="5"/>
      <c r="SO62" s="5"/>
      <c r="SP62" s="5"/>
      <c r="SQ62" s="5"/>
      <c r="SR62" s="5"/>
      <c r="SS62" s="5"/>
      <c r="ST62" s="5"/>
      <c r="SU62" s="5"/>
      <c r="SV62" s="5"/>
      <c r="SW62" s="5"/>
      <c r="SX62" s="5"/>
      <c r="SY62" s="5"/>
      <c r="SZ62" s="5"/>
      <c r="TA62" s="5"/>
      <c r="TB62" s="5"/>
      <c r="TC62" s="5"/>
      <c r="TD62" s="5"/>
      <c r="TE62" s="5"/>
      <c r="TF62" s="5"/>
      <c r="TG62" s="5"/>
      <c r="TH62" s="5"/>
      <c r="TI62" s="5"/>
      <c r="TJ62" s="5"/>
      <c r="TK62" s="5"/>
      <c r="TL62" s="5"/>
      <c r="TM62" s="5"/>
      <c r="TN62" s="5"/>
      <c r="TO62" s="5"/>
      <c r="TP62" s="5"/>
      <c r="TQ62" s="5"/>
      <c r="TR62" s="5"/>
      <c r="TS62" s="5"/>
      <c r="TT62" s="5"/>
      <c r="TU62" s="5"/>
      <c r="TV62" s="5"/>
      <c r="TW62" s="5"/>
      <c r="TX62" s="5"/>
      <c r="TY62" s="5"/>
      <c r="TZ62" s="5"/>
      <c r="UA62" s="5"/>
      <c r="UB62" s="5"/>
      <c r="UC62" s="5"/>
      <c r="UD62" s="5"/>
      <c r="UE62" s="5"/>
      <c r="UF62" s="5"/>
      <c r="UG62" s="5"/>
      <c r="UH62" s="5"/>
      <c r="UI62" s="5"/>
      <c r="UJ62" s="5"/>
      <c r="UK62" s="5"/>
      <c r="UL62" s="5"/>
      <c r="UM62" s="5"/>
      <c r="UN62" s="5"/>
      <c r="UO62" s="5"/>
      <c r="UP62" s="5"/>
      <c r="UQ62" s="5"/>
      <c r="UR62" s="5"/>
      <c r="US62" s="5"/>
      <c r="UT62" s="5"/>
      <c r="UU62" s="5"/>
      <c r="UV62" s="5"/>
      <c r="UW62" s="5"/>
      <c r="UX62" s="5"/>
      <c r="UY62" s="5"/>
      <c r="UZ62" s="5"/>
      <c r="VA62" s="5"/>
      <c r="VB62" s="5"/>
      <c r="VC62" s="5"/>
      <c r="VD62" s="5"/>
      <c r="VE62" s="5"/>
      <c r="VF62" s="5"/>
      <c r="VG62" s="5"/>
      <c r="VH62" s="5"/>
      <c r="VI62" s="5"/>
      <c r="VJ62" s="5"/>
      <c r="VK62" s="5"/>
      <c r="VL62" s="5"/>
      <c r="VM62" s="5"/>
      <c r="VN62" s="5"/>
      <c r="VO62" s="5"/>
      <c r="VP62" s="5"/>
      <c r="VQ62" s="5"/>
      <c r="VR62" s="5"/>
      <c r="VS62" s="5"/>
      <c r="VT62" s="5"/>
      <c r="VU62" s="5"/>
      <c r="VV62" s="5"/>
      <c r="VW62" s="5"/>
      <c r="VX62" s="5"/>
      <c r="VY62" s="5"/>
      <c r="VZ62" s="5"/>
      <c r="WA62" s="5"/>
      <c r="WB62" s="5"/>
      <c r="WC62" s="5"/>
      <c r="WD62" s="5"/>
      <c r="WE62" s="5"/>
      <c r="WF62" s="5"/>
      <c r="WG62" s="5"/>
      <c r="WH62" s="5"/>
      <c r="WI62" s="5"/>
      <c r="WJ62" s="5"/>
      <c r="WK62" s="5"/>
      <c r="WL62" s="5"/>
      <c r="WM62" s="5"/>
      <c r="WN62" s="5"/>
      <c r="WO62" s="5"/>
      <c r="WP62" s="5"/>
      <c r="WQ62" s="5"/>
      <c r="WR62" s="5"/>
      <c r="WS62" s="5"/>
      <c r="WT62" s="5"/>
      <c r="WU62" s="5"/>
      <c r="WV62" s="5"/>
      <c r="WW62" s="5"/>
      <c r="WX62" s="5"/>
      <c r="WY62" s="5"/>
      <c r="WZ62" s="5"/>
      <c r="XA62" s="5"/>
      <c r="XB62" s="5"/>
      <c r="XC62" s="5"/>
      <c r="XD62" s="5"/>
      <c r="XE62" s="5"/>
      <c r="XF62" s="5"/>
      <c r="XG62" s="5"/>
      <c r="XH62" s="5"/>
      <c r="XI62" s="5"/>
      <c r="XJ62" s="5"/>
      <c r="XK62" s="5"/>
      <c r="XL62" s="5"/>
      <c r="XM62" s="5"/>
      <c r="XN62" s="5"/>
      <c r="XO62" s="5"/>
      <c r="XP62" s="5"/>
      <c r="XQ62" s="5"/>
      <c r="XR62" s="5"/>
      <c r="XS62" s="5"/>
      <c r="XT62" s="5"/>
      <c r="XU62" s="5"/>
      <c r="XV62" s="5"/>
      <c r="XW62" s="5"/>
      <c r="XX62" s="5"/>
      <c r="XY62" s="5"/>
      <c r="XZ62" s="5"/>
      <c r="YA62" s="5"/>
      <c r="YB62" s="5"/>
      <c r="YC62" s="5"/>
      <c r="YD62" s="5"/>
      <c r="YE62" s="5"/>
      <c r="YF62" s="5"/>
      <c r="YG62" s="5"/>
      <c r="YH62" s="5"/>
      <c r="YI62" s="5"/>
      <c r="YJ62" s="5"/>
      <c r="YK62" s="5"/>
      <c r="YL62" s="5"/>
      <c r="YM62" s="5"/>
      <c r="YN62" s="5"/>
      <c r="YO62" s="5"/>
      <c r="YP62" s="5"/>
      <c r="YQ62" s="5"/>
      <c r="YR62" s="5"/>
      <c r="YS62" s="5"/>
      <c r="YT62" s="5"/>
      <c r="YU62" s="5"/>
      <c r="YV62" s="5"/>
      <c r="YW62" s="5"/>
      <c r="YX62" s="5"/>
      <c r="YY62" s="5"/>
      <c r="YZ62" s="5"/>
    </row>
    <row r="63" spans="1:676">
      <c r="A63" s="7">
        <v>53</v>
      </c>
      <c r="B63" s="7" t="s">
        <v>168</v>
      </c>
      <c r="C63" s="10" t="s">
        <v>169</v>
      </c>
      <c r="D63" s="7" t="s">
        <v>129</v>
      </c>
      <c r="E63" s="7" t="s">
        <v>93</v>
      </c>
      <c r="F63" s="7" t="s">
        <v>90</v>
      </c>
      <c r="G63" s="7"/>
      <c r="H63" s="7" t="s">
        <v>43</v>
      </c>
      <c r="I63" s="11">
        <v>2</v>
      </c>
      <c r="J63" s="11">
        <v>3</v>
      </c>
      <c r="K63" s="11">
        <v>0</v>
      </c>
      <c r="L63" s="11">
        <v>4.779999999999999</v>
      </c>
      <c r="M63" s="11">
        <v>0.08</v>
      </c>
      <c r="N63" s="11">
        <v>0</v>
      </c>
      <c r="O63" s="11">
        <v>0.6</v>
      </c>
      <c r="P63" s="11">
        <v>0.83</v>
      </c>
      <c r="Q63" s="11">
        <v>6.289999999999999</v>
      </c>
      <c r="R63" s="11">
        <v>0</v>
      </c>
      <c r="S63" s="11">
        <v>6.289999999999999</v>
      </c>
      <c r="T63" s="11">
        <v>2</v>
      </c>
      <c r="U63" s="11">
        <v>3</v>
      </c>
      <c r="V63" s="11">
        <v>1.289999999999999</v>
      </c>
      <c r="W63" s="13">
        <v>2</v>
      </c>
      <c r="X63" s="13">
        <v>3</v>
      </c>
      <c r="Y63" s="13" t="str">
        <f>MIN(W63,S63)</f>
        <v>0</v>
      </c>
      <c r="Z63" s="13" t="str">
        <f>MIN(X63,(S63-Y63))</f>
        <v>0</v>
      </c>
      <c r="AA63" s="13" t="str">
        <f>S63-SUM(Y63,Z63)</f>
        <v>0</v>
      </c>
      <c r="AB63" s="15"/>
      <c r="AC63" s="15"/>
      <c r="AD63" s="1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  <c r="IX63" s="5"/>
      <c r="IY63" s="5"/>
      <c r="IZ63" s="5"/>
      <c r="JA63" s="5"/>
      <c r="JB63" s="5"/>
      <c r="JC63" s="5"/>
      <c r="JD63" s="5"/>
      <c r="JE63" s="5"/>
      <c r="JF63" s="5"/>
      <c r="JG63" s="5"/>
      <c r="JH63" s="5"/>
      <c r="JI63" s="5"/>
      <c r="JJ63" s="5"/>
      <c r="JK63" s="5"/>
      <c r="JL63" s="5"/>
      <c r="JM63" s="5"/>
      <c r="JN63" s="5"/>
      <c r="JO63" s="5"/>
      <c r="JP63" s="5"/>
      <c r="JQ63" s="5"/>
      <c r="JR63" s="5"/>
      <c r="JS63" s="5"/>
      <c r="JT63" s="5"/>
      <c r="JU63" s="5"/>
      <c r="JV63" s="5"/>
      <c r="JW63" s="5"/>
      <c r="JX63" s="5"/>
      <c r="JY63" s="5"/>
      <c r="JZ63" s="5"/>
      <c r="KA63" s="5"/>
      <c r="KB63" s="5"/>
      <c r="KC63" s="5"/>
      <c r="KD63" s="5"/>
      <c r="KE63" s="5"/>
      <c r="KF63" s="5"/>
      <c r="KG63" s="5"/>
      <c r="KH63" s="5"/>
      <c r="KI63" s="5"/>
      <c r="KJ63" s="5"/>
      <c r="KK63" s="5"/>
      <c r="KL63" s="5"/>
      <c r="KM63" s="5"/>
      <c r="KN63" s="5"/>
      <c r="KO63" s="5"/>
      <c r="KP63" s="5"/>
      <c r="KQ63" s="5"/>
      <c r="KR63" s="5"/>
      <c r="KS63" s="5"/>
      <c r="KT63" s="5"/>
      <c r="KU63" s="5"/>
      <c r="KV63" s="5"/>
      <c r="KW63" s="5"/>
      <c r="KX63" s="5"/>
      <c r="KY63" s="5"/>
      <c r="KZ63" s="5"/>
      <c r="LA63" s="5"/>
      <c r="LB63" s="5"/>
      <c r="LC63" s="5"/>
      <c r="LD63" s="5"/>
      <c r="LE63" s="5"/>
      <c r="LF63" s="5"/>
      <c r="LG63" s="5"/>
      <c r="LH63" s="5"/>
      <c r="LI63" s="5"/>
      <c r="LJ63" s="5"/>
      <c r="LK63" s="5"/>
      <c r="LL63" s="5"/>
      <c r="LM63" s="5"/>
      <c r="LN63" s="5"/>
      <c r="LO63" s="5"/>
      <c r="LP63" s="5"/>
      <c r="LQ63" s="5"/>
      <c r="LR63" s="5"/>
      <c r="LS63" s="5"/>
      <c r="LT63" s="5"/>
      <c r="LU63" s="5"/>
      <c r="LV63" s="5"/>
      <c r="LW63" s="5"/>
      <c r="LX63" s="5"/>
      <c r="LY63" s="5"/>
      <c r="LZ63" s="5"/>
      <c r="MA63" s="5"/>
      <c r="MB63" s="5"/>
      <c r="MC63" s="5"/>
      <c r="MD63" s="5"/>
      <c r="ME63" s="5"/>
      <c r="MF63" s="5"/>
      <c r="MG63" s="5"/>
      <c r="MH63" s="5"/>
      <c r="MI63" s="5"/>
      <c r="MJ63" s="5"/>
      <c r="MK63" s="5"/>
      <c r="ML63" s="5"/>
      <c r="MM63" s="5"/>
      <c r="MN63" s="5"/>
      <c r="MO63" s="5"/>
      <c r="MP63" s="5"/>
      <c r="MQ63" s="5"/>
      <c r="MR63" s="5"/>
      <c r="MS63" s="5"/>
      <c r="MT63" s="5"/>
      <c r="MU63" s="5"/>
      <c r="MV63" s="5"/>
      <c r="MW63" s="5"/>
      <c r="MX63" s="5"/>
      <c r="MY63" s="5"/>
      <c r="MZ63" s="5"/>
      <c r="NA63" s="5"/>
      <c r="NB63" s="5"/>
      <c r="NC63" s="5"/>
      <c r="ND63" s="5"/>
      <c r="NE63" s="5"/>
      <c r="NF63" s="5"/>
      <c r="NG63" s="5"/>
      <c r="NH63" s="5"/>
      <c r="NI63" s="5"/>
      <c r="NJ63" s="5"/>
      <c r="NK63" s="5"/>
      <c r="NL63" s="5"/>
      <c r="NM63" s="5"/>
      <c r="NN63" s="5"/>
      <c r="NO63" s="5"/>
      <c r="NP63" s="5"/>
      <c r="NQ63" s="5"/>
      <c r="NR63" s="5"/>
      <c r="NS63" s="5"/>
      <c r="NT63" s="5"/>
      <c r="NU63" s="5"/>
      <c r="NV63" s="5"/>
      <c r="NW63" s="5"/>
      <c r="NX63" s="5"/>
      <c r="NY63" s="5"/>
      <c r="NZ63" s="5"/>
      <c r="OA63" s="5"/>
      <c r="OB63" s="5"/>
      <c r="OC63" s="5"/>
      <c r="OD63" s="5"/>
      <c r="OE63" s="5"/>
      <c r="OF63" s="5"/>
      <c r="OG63" s="5"/>
      <c r="OH63" s="5"/>
      <c r="OI63" s="5"/>
      <c r="OJ63" s="5"/>
      <c r="OK63" s="5"/>
      <c r="OL63" s="5"/>
      <c r="OM63" s="5"/>
      <c r="ON63" s="5"/>
      <c r="OO63" s="5"/>
      <c r="OP63" s="5"/>
      <c r="OQ63" s="5"/>
      <c r="OR63" s="5"/>
      <c r="OS63" s="5"/>
      <c r="OT63" s="5"/>
      <c r="OU63" s="5"/>
      <c r="OV63" s="5"/>
      <c r="OW63" s="5"/>
      <c r="OX63" s="5"/>
      <c r="OY63" s="5"/>
      <c r="OZ63" s="5"/>
      <c r="PA63" s="5"/>
      <c r="PB63" s="5"/>
      <c r="PC63" s="5"/>
      <c r="PD63" s="5"/>
      <c r="PE63" s="5"/>
      <c r="PF63" s="5"/>
      <c r="PG63" s="5"/>
      <c r="PH63" s="5"/>
      <c r="PI63" s="5"/>
      <c r="PJ63" s="5"/>
      <c r="PK63" s="5"/>
      <c r="PL63" s="5"/>
      <c r="PM63" s="5"/>
      <c r="PN63" s="5"/>
      <c r="PO63" s="5"/>
      <c r="PP63" s="5"/>
      <c r="PQ63" s="5"/>
      <c r="PR63" s="5"/>
      <c r="PS63" s="5"/>
      <c r="PT63" s="5"/>
      <c r="PU63" s="5"/>
      <c r="PV63" s="5"/>
      <c r="PW63" s="5"/>
      <c r="PX63" s="5"/>
      <c r="PY63" s="5"/>
      <c r="PZ63" s="5"/>
      <c r="QA63" s="5"/>
      <c r="QB63" s="5"/>
      <c r="QC63" s="5"/>
      <c r="QD63" s="5"/>
      <c r="QE63" s="5"/>
      <c r="QF63" s="5"/>
      <c r="QG63" s="5"/>
      <c r="QH63" s="5"/>
      <c r="QI63" s="5"/>
      <c r="QJ63" s="5"/>
      <c r="QK63" s="5"/>
      <c r="QL63" s="5"/>
      <c r="QM63" s="5"/>
      <c r="QN63" s="5"/>
      <c r="QO63" s="5"/>
      <c r="QP63" s="5"/>
      <c r="QQ63" s="5"/>
      <c r="QR63" s="5"/>
      <c r="QS63" s="5"/>
      <c r="QT63" s="5"/>
      <c r="QU63" s="5"/>
      <c r="QV63" s="5"/>
      <c r="QW63" s="5"/>
      <c r="QX63" s="5"/>
      <c r="QY63" s="5"/>
      <c r="QZ63" s="5"/>
      <c r="RA63" s="5"/>
      <c r="RB63" s="5"/>
      <c r="RC63" s="5"/>
      <c r="RD63" s="5"/>
      <c r="RE63" s="5"/>
      <c r="RF63" s="5"/>
      <c r="RG63" s="5"/>
      <c r="RH63" s="5"/>
      <c r="RI63" s="5"/>
      <c r="RJ63" s="5"/>
      <c r="RK63" s="5"/>
      <c r="RL63" s="5"/>
      <c r="RM63" s="5"/>
      <c r="RN63" s="5"/>
      <c r="RO63" s="5"/>
      <c r="RP63" s="5"/>
      <c r="RQ63" s="5"/>
      <c r="RR63" s="5"/>
      <c r="RS63" s="5"/>
      <c r="RT63" s="5"/>
      <c r="RU63" s="5"/>
      <c r="RV63" s="5"/>
      <c r="RW63" s="5"/>
      <c r="RX63" s="5"/>
      <c r="RY63" s="5"/>
      <c r="RZ63" s="5"/>
      <c r="SA63" s="5"/>
      <c r="SB63" s="5"/>
      <c r="SC63" s="5"/>
      <c r="SD63" s="5"/>
      <c r="SE63" s="5"/>
      <c r="SF63" s="5"/>
      <c r="SG63" s="5"/>
      <c r="SH63" s="5"/>
      <c r="SI63" s="5"/>
      <c r="SJ63" s="5"/>
      <c r="SK63" s="5"/>
      <c r="SL63" s="5"/>
      <c r="SM63" s="5"/>
      <c r="SN63" s="5"/>
      <c r="SO63" s="5"/>
      <c r="SP63" s="5"/>
      <c r="SQ63" s="5"/>
      <c r="SR63" s="5"/>
      <c r="SS63" s="5"/>
      <c r="ST63" s="5"/>
      <c r="SU63" s="5"/>
      <c r="SV63" s="5"/>
      <c r="SW63" s="5"/>
      <c r="SX63" s="5"/>
      <c r="SY63" s="5"/>
      <c r="SZ63" s="5"/>
      <c r="TA63" s="5"/>
      <c r="TB63" s="5"/>
      <c r="TC63" s="5"/>
      <c r="TD63" s="5"/>
      <c r="TE63" s="5"/>
      <c r="TF63" s="5"/>
      <c r="TG63" s="5"/>
      <c r="TH63" s="5"/>
      <c r="TI63" s="5"/>
      <c r="TJ63" s="5"/>
      <c r="TK63" s="5"/>
      <c r="TL63" s="5"/>
      <c r="TM63" s="5"/>
      <c r="TN63" s="5"/>
      <c r="TO63" s="5"/>
      <c r="TP63" s="5"/>
      <c r="TQ63" s="5"/>
      <c r="TR63" s="5"/>
      <c r="TS63" s="5"/>
      <c r="TT63" s="5"/>
      <c r="TU63" s="5"/>
      <c r="TV63" s="5"/>
      <c r="TW63" s="5"/>
      <c r="TX63" s="5"/>
      <c r="TY63" s="5"/>
      <c r="TZ63" s="5"/>
      <c r="UA63" s="5"/>
      <c r="UB63" s="5"/>
      <c r="UC63" s="5"/>
      <c r="UD63" s="5"/>
      <c r="UE63" s="5"/>
      <c r="UF63" s="5"/>
      <c r="UG63" s="5"/>
      <c r="UH63" s="5"/>
      <c r="UI63" s="5"/>
      <c r="UJ63" s="5"/>
      <c r="UK63" s="5"/>
      <c r="UL63" s="5"/>
      <c r="UM63" s="5"/>
      <c r="UN63" s="5"/>
      <c r="UO63" s="5"/>
      <c r="UP63" s="5"/>
      <c r="UQ63" s="5"/>
      <c r="UR63" s="5"/>
      <c r="US63" s="5"/>
      <c r="UT63" s="5"/>
      <c r="UU63" s="5"/>
      <c r="UV63" s="5"/>
      <c r="UW63" s="5"/>
      <c r="UX63" s="5"/>
      <c r="UY63" s="5"/>
      <c r="UZ63" s="5"/>
      <c r="VA63" s="5"/>
      <c r="VB63" s="5"/>
      <c r="VC63" s="5"/>
      <c r="VD63" s="5"/>
      <c r="VE63" s="5"/>
      <c r="VF63" s="5"/>
      <c r="VG63" s="5"/>
      <c r="VH63" s="5"/>
      <c r="VI63" s="5"/>
      <c r="VJ63" s="5"/>
      <c r="VK63" s="5"/>
      <c r="VL63" s="5"/>
      <c r="VM63" s="5"/>
      <c r="VN63" s="5"/>
      <c r="VO63" s="5"/>
      <c r="VP63" s="5"/>
      <c r="VQ63" s="5"/>
      <c r="VR63" s="5"/>
      <c r="VS63" s="5"/>
      <c r="VT63" s="5"/>
      <c r="VU63" s="5"/>
      <c r="VV63" s="5"/>
      <c r="VW63" s="5"/>
      <c r="VX63" s="5"/>
      <c r="VY63" s="5"/>
      <c r="VZ63" s="5"/>
      <c r="WA63" s="5"/>
      <c r="WB63" s="5"/>
      <c r="WC63" s="5"/>
      <c r="WD63" s="5"/>
      <c r="WE63" s="5"/>
      <c r="WF63" s="5"/>
      <c r="WG63" s="5"/>
      <c r="WH63" s="5"/>
      <c r="WI63" s="5"/>
      <c r="WJ63" s="5"/>
      <c r="WK63" s="5"/>
      <c r="WL63" s="5"/>
      <c r="WM63" s="5"/>
      <c r="WN63" s="5"/>
      <c r="WO63" s="5"/>
      <c r="WP63" s="5"/>
      <c r="WQ63" s="5"/>
      <c r="WR63" s="5"/>
      <c r="WS63" s="5"/>
      <c r="WT63" s="5"/>
      <c r="WU63" s="5"/>
      <c r="WV63" s="5"/>
      <c r="WW63" s="5"/>
      <c r="WX63" s="5"/>
      <c r="WY63" s="5"/>
      <c r="WZ63" s="5"/>
      <c r="XA63" s="5"/>
      <c r="XB63" s="5"/>
      <c r="XC63" s="5"/>
      <c r="XD63" s="5"/>
      <c r="XE63" s="5"/>
      <c r="XF63" s="5"/>
      <c r="XG63" s="5"/>
      <c r="XH63" s="5"/>
      <c r="XI63" s="5"/>
      <c r="XJ63" s="5"/>
      <c r="XK63" s="5"/>
      <c r="XL63" s="5"/>
      <c r="XM63" s="5"/>
      <c r="XN63" s="5"/>
      <c r="XO63" s="5"/>
      <c r="XP63" s="5"/>
      <c r="XQ63" s="5"/>
      <c r="XR63" s="5"/>
      <c r="XS63" s="5"/>
      <c r="XT63" s="5"/>
      <c r="XU63" s="5"/>
      <c r="XV63" s="5"/>
      <c r="XW63" s="5"/>
      <c r="XX63" s="5"/>
      <c r="XY63" s="5"/>
      <c r="XZ63" s="5"/>
      <c r="YA63" s="5"/>
      <c r="YB63" s="5"/>
      <c r="YC63" s="5"/>
      <c r="YD63" s="5"/>
      <c r="YE63" s="5"/>
      <c r="YF63" s="5"/>
      <c r="YG63" s="5"/>
      <c r="YH63" s="5"/>
      <c r="YI63" s="5"/>
      <c r="YJ63" s="5"/>
      <c r="YK63" s="5"/>
      <c r="YL63" s="5"/>
      <c r="YM63" s="5"/>
      <c r="YN63" s="5"/>
      <c r="YO63" s="5"/>
      <c r="YP63" s="5"/>
      <c r="YQ63" s="5"/>
      <c r="YR63" s="5"/>
      <c r="YS63" s="5"/>
      <c r="YT63" s="5"/>
      <c r="YU63" s="5"/>
      <c r="YV63" s="5"/>
      <c r="YW63" s="5"/>
      <c r="YX63" s="5"/>
      <c r="YY63" s="5"/>
      <c r="YZ63" s="5"/>
    </row>
    <row r="64" spans="1:676">
      <c r="A64" s="7">
        <v>54</v>
      </c>
      <c r="B64" s="7" t="s">
        <v>170</v>
      </c>
      <c r="C64" s="10" t="s">
        <v>171</v>
      </c>
      <c r="D64" s="7" t="s">
        <v>129</v>
      </c>
      <c r="E64" s="7" t="s">
        <v>89</v>
      </c>
      <c r="F64" s="7" t="s">
        <v>90</v>
      </c>
      <c r="G64" s="7"/>
      <c r="H64" s="7" t="s">
        <v>43</v>
      </c>
      <c r="I64" s="11">
        <v>2</v>
      </c>
      <c r="J64" s="11">
        <v>3</v>
      </c>
      <c r="K64" s="11">
        <v>0</v>
      </c>
      <c r="L64" s="11">
        <v>4.88</v>
      </c>
      <c r="M64" s="11">
        <v>0.66</v>
      </c>
      <c r="N64" s="11">
        <v>0</v>
      </c>
      <c r="O64" s="11">
        <v>0.6</v>
      </c>
      <c r="P64" s="11">
        <v>0</v>
      </c>
      <c r="Q64" s="11">
        <v>6.14</v>
      </c>
      <c r="R64" s="11">
        <v>0</v>
      </c>
      <c r="S64" s="11">
        <v>6.14</v>
      </c>
      <c r="T64" s="11">
        <v>2</v>
      </c>
      <c r="U64" s="11">
        <v>3</v>
      </c>
      <c r="V64" s="11">
        <v>1.14</v>
      </c>
      <c r="W64" s="13">
        <v>2</v>
      </c>
      <c r="X64" s="13">
        <v>3</v>
      </c>
      <c r="Y64" s="13" t="str">
        <f>MIN(W64,S64)</f>
        <v>0</v>
      </c>
      <c r="Z64" s="13" t="str">
        <f>MIN(X64,(S64-Y64))</f>
        <v>0</v>
      </c>
      <c r="AA64" s="13" t="str">
        <f>S64-SUM(Y64,Z64)</f>
        <v>0</v>
      </c>
      <c r="AB64" s="15"/>
      <c r="AC64" s="15"/>
      <c r="AD64" s="1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  <c r="IX64" s="5"/>
      <c r="IY64" s="5"/>
      <c r="IZ64" s="5"/>
      <c r="JA64" s="5"/>
      <c r="JB64" s="5"/>
      <c r="JC64" s="5"/>
      <c r="JD64" s="5"/>
      <c r="JE64" s="5"/>
      <c r="JF64" s="5"/>
      <c r="JG64" s="5"/>
      <c r="JH64" s="5"/>
      <c r="JI64" s="5"/>
      <c r="JJ64" s="5"/>
      <c r="JK64" s="5"/>
      <c r="JL64" s="5"/>
      <c r="JM64" s="5"/>
      <c r="JN64" s="5"/>
      <c r="JO64" s="5"/>
      <c r="JP64" s="5"/>
      <c r="JQ64" s="5"/>
      <c r="JR64" s="5"/>
      <c r="JS64" s="5"/>
      <c r="JT64" s="5"/>
      <c r="JU64" s="5"/>
      <c r="JV64" s="5"/>
      <c r="JW64" s="5"/>
      <c r="JX64" s="5"/>
      <c r="JY64" s="5"/>
      <c r="JZ64" s="5"/>
      <c r="KA64" s="5"/>
      <c r="KB64" s="5"/>
      <c r="KC64" s="5"/>
      <c r="KD64" s="5"/>
      <c r="KE64" s="5"/>
      <c r="KF64" s="5"/>
      <c r="KG64" s="5"/>
      <c r="KH64" s="5"/>
      <c r="KI64" s="5"/>
      <c r="KJ64" s="5"/>
      <c r="KK64" s="5"/>
      <c r="KL64" s="5"/>
      <c r="KM64" s="5"/>
      <c r="KN64" s="5"/>
      <c r="KO64" s="5"/>
      <c r="KP64" s="5"/>
      <c r="KQ64" s="5"/>
      <c r="KR64" s="5"/>
      <c r="KS64" s="5"/>
      <c r="KT64" s="5"/>
      <c r="KU64" s="5"/>
      <c r="KV64" s="5"/>
      <c r="KW64" s="5"/>
      <c r="KX64" s="5"/>
      <c r="KY64" s="5"/>
      <c r="KZ64" s="5"/>
      <c r="LA64" s="5"/>
      <c r="LB64" s="5"/>
      <c r="LC64" s="5"/>
      <c r="LD64" s="5"/>
      <c r="LE64" s="5"/>
      <c r="LF64" s="5"/>
      <c r="LG64" s="5"/>
      <c r="LH64" s="5"/>
      <c r="LI64" s="5"/>
      <c r="LJ64" s="5"/>
      <c r="LK64" s="5"/>
      <c r="LL64" s="5"/>
      <c r="LM64" s="5"/>
      <c r="LN64" s="5"/>
      <c r="LO64" s="5"/>
      <c r="LP64" s="5"/>
      <c r="LQ64" s="5"/>
      <c r="LR64" s="5"/>
      <c r="LS64" s="5"/>
      <c r="LT64" s="5"/>
      <c r="LU64" s="5"/>
      <c r="LV64" s="5"/>
      <c r="LW64" s="5"/>
      <c r="LX64" s="5"/>
      <c r="LY64" s="5"/>
      <c r="LZ64" s="5"/>
      <c r="MA64" s="5"/>
      <c r="MB64" s="5"/>
      <c r="MC64" s="5"/>
      <c r="MD64" s="5"/>
      <c r="ME64" s="5"/>
      <c r="MF64" s="5"/>
      <c r="MG64" s="5"/>
      <c r="MH64" s="5"/>
      <c r="MI64" s="5"/>
      <c r="MJ64" s="5"/>
      <c r="MK64" s="5"/>
      <c r="ML64" s="5"/>
      <c r="MM64" s="5"/>
      <c r="MN64" s="5"/>
      <c r="MO64" s="5"/>
      <c r="MP64" s="5"/>
      <c r="MQ64" s="5"/>
      <c r="MR64" s="5"/>
      <c r="MS64" s="5"/>
      <c r="MT64" s="5"/>
      <c r="MU64" s="5"/>
      <c r="MV64" s="5"/>
      <c r="MW64" s="5"/>
      <c r="MX64" s="5"/>
      <c r="MY64" s="5"/>
      <c r="MZ64" s="5"/>
      <c r="NA64" s="5"/>
      <c r="NB64" s="5"/>
      <c r="NC64" s="5"/>
      <c r="ND64" s="5"/>
      <c r="NE64" s="5"/>
      <c r="NF64" s="5"/>
      <c r="NG64" s="5"/>
      <c r="NH64" s="5"/>
      <c r="NI64" s="5"/>
      <c r="NJ64" s="5"/>
      <c r="NK64" s="5"/>
      <c r="NL64" s="5"/>
      <c r="NM64" s="5"/>
      <c r="NN64" s="5"/>
      <c r="NO64" s="5"/>
      <c r="NP64" s="5"/>
      <c r="NQ64" s="5"/>
      <c r="NR64" s="5"/>
      <c r="NS64" s="5"/>
      <c r="NT64" s="5"/>
      <c r="NU64" s="5"/>
      <c r="NV64" s="5"/>
      <c r="NW64" s="5"/>
      <c r="NX64" s="5"/>
      <c r="NY64" s="5"/>
      <c r="NZ64" s="5"/>
      <c r="OA64" s="5"/>
      <c r="OB64" s="5"/>
      <c r="OC64" s="5"/>
      <c r="OD64" s="5"/>
      <c r="OE64" s="5"/>
      <c r="OF64" s="5"/>
      <c r="OG64" s="5"/>
      <c r="OH64" s="5"/>
      <c r="OI64" s="5"/>
      <c r="OJ64" s="5"/>
      <c r="OK64" s="5"/>
      <c r="OL64" s="5"/>
      <c r="OM64" s="5"/>
      <c r="ON64" s="5"/>
      <c r="OO64" s="5"/>
      <c r="OP64" s="5"/>
      <c r="OQ64" s="5"/>
      <c r="OR64" s="5"/>
      <c r="OS64" s="5"/>
      <c r="OT64" s="5"/>
      <c r="OU64" s="5"/>
      <c r="OV64" s="5"/>
      <c r="OW64" s="5"/>
      <c r="OX64" s="5"/>
      <c r="OY64" s="5"/>
      <c r="OZ64" s="5"/>
      <c r="PA64" s="5"/>
      <c r="PB64" s="5"/>
      <c r="PC64" s="5"/>
      <c r="PD64" s="5"/>
      <c r="PE64" s="5"/>
      <c r="PF64" s="5"/>
      <c r="PG64" s="5"/>
      <c r="PH64" s="5"/>
      <c r="PI64" s="5"/>
      <c r="PJ64" s="5"/>
      <c r="PK64" s="5"/>
      <c r="PL64" s="5"/>
      <c r="PM64" s="5"/>
      <c r="PN64" s="5"/>
      <c r="PO64" s="5"/>
      <c r="PP64" s="5"/>
      <c r="PQ64" s="5"/>
      <c r="PR64" s="5"/>
      <c r="PS64" s="5"/>
      <c r="PT64" s="5"/>
      <c r="PU64" s="5"/>
      <c r="PV64" s="5"/>
      <c r="PW64" s="5"/>
      <c r="PX64" s="5"/>
      <c r="PY64" s="5"/>
      <c r="PZ64" s="5"/>
      <c r="QA64" s="5"/>
      <c r="QB64" s="5"/>
      <c r="QC64" s="5"/>
      <c r="QD64" s="5"/>
      <c r="QE64" s="5"/>
      <c r="QF64" s="5"/>
      <c r="QG64" s="5"/>
      <c r="QH64" s="5"/>
      <c r="QI64" s="5"/>
      <c r="QJ64" s="5"/>
      <c r="QK64" s="5"/>
      <c r="QL64" s="5"/>
      <c r="QM64" s="5"/>
      <c r="QN64" s="5"/>
      <c r="QO64" s="5"/>
      <c r="QP64" s="5"/>
      <c r="QQ64" s="5"/>
      <c r="QR64" s="5"/>
      <c r="QS64" s="5"/>
      <c r="QT64" s="5"/>
      <c r="QU64" s="5"/>
      <c r="QV64" s="5"/>
      <c r="QW64" s="5"/>
      <c r="QX64" s="5"/>
      <c r="QY64" s="5"/>
      <c r="QZ64" s="5"/>
      <c r="RA64" s="5"/>
      <c r="RB64" s="5"/>
      <c r="RC64" s="5"/>
      <c r="RD64" s="5"/>
      <c r="RE64" s="5"/>
      <c r="RF64" s="5"/>
      <c r="RG64" s="5"/>
      <c r="RH64" s="5"/>
      <c r="RI64" s="5"/>
      <c r="RJ64" s="5"/>
      <c r="RK64" s="5"/>
      <c r="RL64" s="5"/>
      <c r="RM64" s="5"/>
      <c r="RN64" s="5"/>
      <c r="RO64" s="5"/>
      <c r="RP64" s="5"/>
      <c r="RQ64" s="5"/>
      <c r="RR64" s="5"/>
      <c r="RS64" s="5"/>
      <c r="RT64" s="5"/>
      <c r="RU64" s="5"/>
      <c r="RV64" s="5"/>
      <c r="RW64" s="5"/>
      <c r="RX64" s="5"/>
      <c r="RY64" s="5"/>
      <c r="RZ64" s="5"/>
      <c r="SA64" s="5"/>
      <c r="SB64" s="5"/>
      <c r="SC64" s="5"/>
      <c r="SD64" s="5"/>
      <c r="SE64" s="5"/>
      <c r="SF64" s="5"/>
      <c r="SG64" s="5"/>
      <c r="SH64" s="5"/>
      <c r="SI64" s="5"/>
      <c r="SJ64" s="5"/>
      <c r="SK64" s="5"/>
      <c r="SL64" s="5"/>
      <c r="SM64" s="5"/>
      <c r="SN64" s="5"/>
      <c r="SO64" s="5"/>
      <c r="SP64" s="5"/>
      <c r="SQ64" s="5"/>
      <c r="SR64" s="5"/>
      <c r="SS64" s="5"/>
      <c r="ST64" s="5"/>
      <c r="SU64" s="5"/>
      <c r="SV64" s="5"/>
      <c r="SW64" s="5"/>
      <c r="SX64" s="5"/>
      <c r="SY64" s="5"/>
      <c r="SZ64" s="5"/>
      <c r="TA64" s="5"/>
      <c r="TB64" s="5"/>
      <c r="TC64" s="5"/>
      <c r="TD64" s="5"/>
      <c r="TE64" s="5"/>
      <c r="TF64" s="5"/>
      <c r="TG64" s="5"/>
      <c r="TH64" s="5"/>
      <c r="TI64" s="5"/>
      <c r="TJ64" s="5"/>
      <c r="TK64" s="5"/>
      <c r="TL64" s="5"/>
      <c r="TM64" s="5"/>
      <c r="TN64" s="5"/>
      <c r="TO64" s="5"/>
      <c r="TP64" s="5"/>
      <c r="TQ64" s="5"/>
      <c r="TR64" s="5"/>
      <c r="TS64" s="5"/>
      <c r="TT64" s="5"/>
      <c r="TU64" s="5"/>
      <c r="TV64" s="5"/>
      <c r="TW64" s="5"/>
      <c r="TX64" s="5"/>
      <c r="TY64" s="5"/>
      <c r="TZ64" s="5"/>
      <c r="UA64" s="5"/>
      <c r="UB64" s="5"/>
      <c r="UC64" s="5"/>
      <c r="UD64" s="5"/>
      <c r="UE64" s="5"/>
      <c r="UF64" s="5"/>
      <c r="UG64" s="5"/>
      <c r="UH64" s="5"/>
      <c r="UI64" s="5"/>
      <c r="UJ64" s="5"/>
      <c r="UK64" s="5"/>
      <c r="UL64" s="5"/>
      <c r="UM64" s="5"/>
      <c r="UN64" s="5"/>
      <c r="UO64" s="5"/>
      <c r="UP64" s="5"/>
      <c r="UQ64" s="5"/>
      <c r="UR64" s="5"/>
      <c r="US64" s="5"/>
      <c r="UT64" s="5"/>
      <c r="UU64" s="5"/>
      <c r="UV64" s="5"/>
      <c r="UW64" s="5"/>
      <c r="UX64" s="5"/>
      <c r="UY64" s="5"/>
      <c r="UZ64" s="5"/>
      <c r="VA64" s="5"/>
      <c r="VB64" s="5"/>
      <c r="VC64" s="5"/>
      <c r="VD64" s="5"/>
      <c r="VE64" s="5"/>
      <c r="VF64" s="5"/>
      <c r="VG64" s="5"/>
      <c r="VH64" s="5"/>
      <c r="VI64" s="5"/>
      <c r="VJ64" s="5"/>
      <c r="VK64" s="5"/>
      <c r="VL64" s="5"/>
      <c r="VM64" s="5"/>
      <c r="VN64" s="5"/>
      <c r="VO64" s="5"/>
      <c r="VP64" s="5"/>
      <c r="VQ64" s="5"/>
      <c r="VR64" s="5"/>
      <c r="VS64" s="5"/>
      <c r="VT64" s="5"/>
      <c r="VU64" s="5"/>
      <c r="VV64" s="5"/>
      <c r="VW64" s="5"/>
      <c r="VX64" s="5"/>
      <c r="VY64" s="5"/>
      <c r="VZ64" s="5"/>
      <c r="WA64" s="5"/>
      <c r="WB64" s="5"/>
      <c r="WC64" s="5"/>
      <c r="WD64" s="5"/>
      <c r="WE64" s="5"/>
      <c r="WF64" s="5"/>
      <c r="WG64" s="5"/>
      <c r="WH64" s="5"/>
      <c r="WI64" s="5"/>
      <c r="WJ64" s="5"/>
      <c r="WK64" s="5"/>
      <c r="WL64" s="5"/>
      <c r="WM64" s="5"/>
      <c r="WN64" s="5"/>
      <c r="WO64" s="5"/>
      <c r="WP64" s="5"/>
      <c r="WQ64" s="5"/>
      <c r="WR64" s="5"/>
      <c r="WS64" s="5"/>
      <c r="WT64" s="5"/>
      <c r="WU64" s="5"/>
      <c r="WV64" s="5"/>
      <c r="WW64" s="5"/>
      <c r="WX64" s="5"/>
      <c r="WY64" s="5"/>
      <c r="WZ64" s="5"/>
      <c r="XA64" s="5"/>
      <c r="XB64" s="5"/>
      <c r="XC64" s="5"/>
      <c r="XD64" s="5"/>
      <c r="XE64" s="5"/>
      <c r="XF64" s="5"/>
      <c r="XG64" s="5"/>
      <c r="XH64" s="5"/>
      <c r="XI64" s="5"/>
      <c r="XJ64" s="5"/>
      <c r="XK64" s="5"/>
      <c r="XL64" s="5"/>
      <c r="XM64" s="5"/>
      <c r="XN64" s="5"/>
      <c r="XO64" s="5"/>
      <c r="XP64" s="5"/>
      <c r="XQ64" s="5"/>
      <c r="XR64" s="5"/>
      <c r="XS64" s="5"/>
      <c r="XT64" s="5"/>
      <c r="XU64" s="5"/>
      <c r="XV64" s="5"/>
      <c r="XW64" s="5"/>
      <c r="XX64" s="5"/>
      <c r="XY64" s="5"/>
      <c r="XZ64" s="5"/>
      <c r="YA64" s="5"/>
      <c r="YB64" s="5"/>
      <c r="YC64" s="5"/>
      <c r="YD64" s="5"/>
      <c r="YE64" s="5"/>
      <c r="YF64" s="5"/>
      <c r="YG64" s="5"/>
      <c r="YH64" s="5"/>
      <c r="YI64" s="5"/>
      <c r="YJ64" s="5"/>
      <c r="YK64" s="5"/>
      <c r="YL64" s="5"/>
      <c r="YM64" s="5"/>
      <c r="YN64" s="5"/>
      <c r="YO64" s="5"/>
      <c r="YP64" s="5"/>
      <c r="YQ64" s="5"/>
      <c r="YR64" s="5"/>
      <c r="YS64" s="5"/>
      <c r="YT64" s="5"/>
      <c r="YU64" s="5"/>
      <c r="YV64" s="5"/>
      <c r="YW64" s="5"/>
      <c r="YX64" s="5"/>
      <c r="YY64" s="5"/>
      <c r="YZ64" s="5"/>
    </row>
    <row r="65" spans="1:676">
      <c r="A65" s="7">
        <v>55</v>
      </c>
      <c r="B65" s="7" t="s">
        <v>172</v>
      </c>
      <c r="C65" s="10" t="s">
        <v>173</v>
      </c>
      <c r="D65" s="7" t="s">
        <v>40</v>
      </c>
      <c r="E65" s="7" t="s">
        <v>89</v>
      </c>
      <c r="F65" s="7" t="s">
        <v>90</v>
      </c>
      <c r="G65" s="7"/>
      <c r="H65" s="7"/>
      <c r="I65" s="11">
        <v>2</v>
      </c>
      <c r="J65" s="11">
        <v>3</v>
      </c>
      <c r="K65" s="11">
        <v>0</v>
      </c>
      <c r="L65" s="11">
        <v>3.97</v>
      </c>
      <c r="M65" s="11">
        <v>0.64</v>
      </c>
      <c r="N65" s="11">
        <v>0</v>
      </c>
      <c r="O65" s="11">
        <v>0.5</v>
      </c>
      <c r="P65" s="11">
        <v>0</v>
      </c>
      <c r="Q65" s="11">
        <v>5.11</v>
      </c>
      <c r="R65" s="11">
        <v>0</v>
      </c>
      <c r="S65" s="11">
        <v>5.11</v>
      </c>
      <c r="T65" s="11">
        <v>2</v>
      </c>
      <c r="U65" s="11">
        <v>3</v>
      </c>
      <c r="V65" s="11">
        <v>0.1100000000000003</v>
      </c>
      <c r="W65" s="13">
        <v>2</v>
      </c>
      <c r="X65" s="13">
        <v>3</v>
      </c>
      <c r="Y65" s="13" t="str">
        <f>MIN(W65,S65)</f>
        <v>0</v>
      </c>
      <c r="Z65" s="13" t="str">
        <f>MIN(X65,(S65-Y65))</f>
        <v>0</v>
      </c>
      <c r="AA65" s="13" t="str">
        <f>S65-SUM(Y65,Z65)</f>
        <v>0</v>
      </c>
      <c r="AB65" s="15"/>
      <c r="AC65" s="15"/>
      <c r="AD65" s="1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  <c r="IX65" s="5"/>
      <c r="IY65" s="5"/>
      <c r="IZ65" s="5"/>
      <c r="JA65" s="5"/>
      <c r="JB65" s="5"/>
      <c r="JC65" s="5"/>
      <c r="JD65" s="5"/>
      <c r="JE65" s="5"/>
      <c r="JF65" s="5"/>
      <c r="JG65" s="5"/>
      <c r="JH65" s="5"/>
      <c r="JI65" s="5"/>
      <c r="JJ65" s="5"/>
      <c r="JK65" s="5"/>
      <c r="JL65" s="5"/>
      <c r="JM65" s="5"/>
      <c r="JN65" s="5"/>
      <c r="JO65" s="5"/>
      <c r="JP65" s="5"/>
      <c r="JQ65" s="5"/>
      <c r="JR65" s="5"/>
      <c r="JS65" s="5"/>
      <c r="JT65" s="5"/>
      <c r="JU65" s="5"/>
      <c r="JV65" s="5"/>
      <c r="JW65" s="5"/>
      <c r="JX65" s="5"/>
      <c r="JY65" s="5"/>
      <c r="JZ65" s="5"/>
      <c r="KA65" s="5"/>
      <c r="KB65" s="5"/>
      <c r="KC65" s="5"/>
      <c r="KD65" s="5"/>
      <c r="KE65" s="5"/>
      <c r="KF65" s="5"/>
      <c r="KG65" s="5"/>
      <c r="KH65" s="5"/>
      <c r="KI65" s="5"/>
      <c r="KJ65" s="5"/>
      <c r="KK65" s="5"/>
      <c r="KL65" s="5"/>
      <c r="KM65" s="5"/>
      <c r="KN65" s="5"/>
      <c r="KO65" s="5"/>
      <c r="KP65" s="5"/>
      <c r="KQ65" s="5"/>
      <c r="KR65" s="5"/>
      <c r="KS65" s="5"/>
      <c r="KT65" s="5"/>
      <c r="KU65" s="5"/>
      <c r="KV65" s="5"/>
      <c r="KW65" s="5"/>
      <c r="KX65" s="5"/>
      <c r="KY65" s="5"/>
      <c r="KZ65" s="5"/>
      <c r="LA65" s="5"/>
      <c r="LB65" s="5"/>
      <c r="LC65" s="5"/>
      <c r="LD65" s="5"/>
      <c r="LE65" s="5"/>
      <c r="LF65" s="5"/>
      <c r="LG65" s="5"/>
      <c r="LH65" s="5"/>
      <c r="LI65" s="5"/>
      <c r="LJ65" s="5"/>
      <c r="LK65" s="5"/>
      <c r="LL65" s="5"/>
      <c r="LM65" s="5"/>
      <c r="LN65" s="5"/>
      <c r="LO65" s="5"/>
      <c r="LP65" s="5"/>
      <c r="LQ65" s="5"/>
      <c r="LR65" s="5"/>
      <c r="LS65" s="5"/>
      <c r="LT65" s="5"/>
      <c r="LU65" s="5"/>
      <c r="LV65" s="5"/>
      <c r="LW65" s="5"/>
      <c r="LX65" s="5"/>
      <c r="LY65" s="5"/>
      <c r="LZ65" s="5"/>
      <c r="MA65" s="5"/>
      <c r="MB65" s="5"/>
      <c r="MC65" s="5"/>
      <c r="MD65" s="5"/>
      <c r="ME65" s="5"/>
      <c r="MF65" s="5"/>
      <c r="MG65" s="5"/>
      <c r="MH65" s="5"/>
      <c r="MI65" s="5"/>
      <c r="MJ65" s="5"/>
      <c r="MK65" s="5"/>
      <c r="ML65" s="5"/>
      <c r="MM65" s="5"/>
      <c r="MN65" s="5"/>
      <c r="MO65" s="5"/>
      <c r="MP65" s="5"/>
      <c r="MQ65" s="5"/>
      <c r="MR65" s="5"/>
      <c r="MS65" s="5"/>
      <c r="MT65" s="5"/>
      <c r="MU65" s="5"/>
      <c r="MV65" s="5"/>
      <c r="MW65" s="5"/>
      <c r="MX65" s="5"/>
      <c r="MY65" s="5"/>
      <c r="MZ65" s="5"/>
      <c r="NA65" s="5"/>
      <c r="NB65" s="5"/>
      <c r="NC65" s="5"/>
      <c r="ND65" s="5"/>
      <c r="NE65" s="5"/>
      <c r="NF65" s="5"/>
      <c r="NG65" s="5"/>
      <c r="NH65" s="5"/>
      <c r="NI65" s="5"/>
      <c r="NJ65" s="5"/>
      <c r="NK65" s="5"/>
      <c r="NL65" s="5"/>
      <c r="NM65" s="5"/>
      <c r="NN65" s="5"/>
      <c r="NO65" s="5"/>
      <c r="NP65" s="5"/>
      <c r="NQ65" s="5"/>
      <c r="NR65" s="5"/>
      <c r="NS65" s="5"/>
      <c r="NT65" s="5"/>
      <c r="NU65" s="5"/>
      <c r="NV65" s="5"/>
      <c r="NW65" s="5"/>
      <c r="NX65" s="5"/>
      <c r="NY65" s="5"/>
      <c r="NZ65" s="5"/>
      <c r="OA65" s="5"/>
      <c r="OB65" s="5"/>
      <c r="OC65" s="5"/>
      <c r="OD65" s="5"/>
      <c r="OE65" s="5"/>
      <c r="OF65" s="5"/>
      <c r="OG65" s="5"/>
      <c r="OH65" s="5"/>
      <c r="OI65" s="5"/>
      <c r="OJ65" s="5"/>
      <c r="OK65" s="5"/>
      <c r="OL65" s="5"/>
      <c r="OM65" s="5"/>
      <c r="ON65" s="5"/>
      <c r="OO65" s="5"/>
      <c r="OP65" s="5"/>
      <c r="OQ65" s="5"/>
      <c r="OR65" s="5"/>
      <c r="OS65" s="5"/>
      <c r="OT65" s="5"/>
      <c r="OU65" s="5"/>
      <c r="OV65" s="5"/>
      <c r="OW65" s="5"/>
      <c r="OX65" s="5"/>
      <c r="OY65" s="5"/>
      <c r="OZ65" s="5"/>
      <c r="PA65" s="5"/>
      <c r="PB65" s="5"/>
      <c r="PC65" s="5"/>
      <c r="PD65" s="5"/>
      <c r="PE65" s="5"/>
      <c r="PF65" s="5"/>
      <c r="PG65" s="5"/>
      <c r="PH65" s="5"/>
      <c r="PI65" s="5"/>
      <c r="PJ65" s="5"/>
      <c r="PK65" s="5"/>
      <c r="PL65" s="5"/>
      <c r="PM65" s="5"/>
      <c r="PN65" s="5"/>
      <c r="PO65" s="5"/>
      <c r="PP65" s="5"/>
      <c r="PQ65" s="5"/>
      <c r="PR65" s="5"/>
      <c r="PS65" s="5"/>
      <c r="PT65" s="5"/>
      <c r="PU65" s="5"/>
      <c r="PV65" s="5"/>
      <c r="PW65" s="5"/>
      <c r="PX65" s="5"/>
      <c r="PY65" s="5"/>
      <c r="PZ65" s="5"/>
      <c r="QA65" s="5"/>
      <c r="QB65" s="5"/>
      <c r="QC65" s="5"/>
      <c r="QD65" s="5"/>
      <c r="QE65" s="5"/>
      <c r="QF65" s="5"/>
      <c r="QG65" s="5"/>
      <c r="QH65" s="5"/>
      <c r="QI65" s="5"/>
      <c r="QJ65" s="5"/>
      <c r="QK65" s="5"/>
      <c r="QL65" s="5"/>
      <c r="QM65" s="5"/>
      <c r="QN65" s="5"/>
      <c r="QO65" s="5"/>
      <c r="QP65" s="5"/>
      <c r="QQ65" s="5"/>
      <c r="QR65" s="5"/>
      <c r="QS65" s="5"/>
      <c r="QT65" s="5"/>
      <c r="QU65" s="5"/>
      <c r="QV65" s="5"/>
      <c r="QW65" s="5"/>
      <c r="QX65" s="5"/>
      <c r="QY65" s="5"/>
      <c r="QZ65" s="5"/>
      <c r="RA65" s="5"/>
      <c r="RB65" s="5"/>
      <c r="RC65" s="5"/>
      <c r="RD65" s="5"/>
      <c r="RE65" s="5"/>
      <c r="RF65" s="5"/>
      <c r="RG65" s="5"/>
      <c r="RH65" s="5"/>
      <c r="RI65" s="5"/>
      <c r="RJ65" s="5"/>
      <c r="RK65" s="5"/>
      <c r="RL65" s="5"/>
      <c r="RM65" s="5"/>
      <c r="RN65" s="5"/>
      <c r="RO65" s="5"/>
      <c r="RP65" s="5"/>
      <c r="RQ65" s="5"/>
      <c r="RR65" s="5"/>
      <c r="RS65" s="5"/>
      <c r="RT65" s="5"/>
      <c r="RU65" s="5"/>
      <c r="RV65" s="5"/>
      <c r="RW65" s="5"/>
      <c r="RX65" s="5"/>
      <c r="RY65" s="5"/>
      <c r="RZ65" s="5"/>
      <c r="SA65" s="5"/>
      <c r="SB65" s="5"/>
      <c r="SC65" s="5"/>
      <c r="SD65" s="5"/>
      <c r="SE65" s="5"/>
      <c r="SF65" s="5"/>
      <c r="SG65" s="5"/>
      <c r="SH65" s="5"/>
      <c r="SI65" s="5"/>
      <c r="SJ65" s="5"/>
      <c r="SK65" s="5"/>
      <c r="SL65" s="5"/>
      <c r="SM65" s="5"/>
      <c r="SN65" s="5"/>
      <c r="SO65" s="5"/>
      <c r="SP65" s="5"/>
      <c r="SQ65" s="5"/>
      <c r="SR65" s="5"/>
      <c r="SS65" s="5"/>
      <c r="ST65" s="5"/>
      <c r="SU65" s="5"/>
      <c r="SV65" s="5"/>
      <c r="SW65" s="5"/>
      <c r="SX65" s="5"/>
      <c r="SY65" s="5"/>
      <c r="SZ65" s="5"/>
      <c r="TA65" s="5"/>
      <c r="TB65" s="5"/>
      <c r="TC65" s="5"/>
      <c r="TD65" s="5"/>
      <c r="TE65" s="5"/>
      <c r="TF65" s="5"/>
      <c r="TG65" s="5"/>
      <c r="TH65" s="5"/>
      <c r="TI65" s="5"/>
      <c r="TJ65" s="5"/>
      <c r="TK65" s="5"/>
      <c r="TL65" s="5"/>
      <c r="TM65" s="5"/>
      <c r="TN65" s="5"/>
      <c r="TO65" s="5"/>
      <c r="TP65" s="5"/>
      <c r="TQ65" s="5"/>
      <c r="TR65" s="5"/>
      <c r="TS65" s="5"/>
      <c r="TT65" s="5"/>
      <c r="TU65" s="5"/>
      <c r="TV65" s="5"/>
      <c r="TW65" s="5"/>
      <c r="TX65" s="5"/>
      <c r="TY65" s="5"/>
      <c r="TZ65" s="5"/>
      <c r="UA65" s="5"/>
      <c r="UB65" s="5"/>
      <c r="UC65" s="5"/>
      <c r="UD65" s="5"/>
      <c r="UE65" s="5"/>
      <c r="UF65" s="5"/>
      <c r="UG65" s="5"/>
      <c r="UH65" s="5"/>
      <c r="UI65" s="5"/>
      <c r="UJ65" s="5"/>
      <c r="UK65" s="5"/>
      <c r="UL65" s="5"/>
      <c r="UM65" s="5"/>
      <c r="UN65" s="5"/>
      <c r="UO65" s="5"/>
      <c r="UP65" s="5"/>
      <c r="UQ65" s="5"/>
      <c r="UR65" s="5"/>
      <c r="US65" s="5"/>
      <c r="UT65" s="5"/>
      <c r="UU65" s="5"/>
      <c r="UV65" s="5"/>
      <c r="UW65" s="5"/>
      <c r="UX65" s="5"/>
      <c r="UY65" s="5"/>
      <c r="UZ65" s="5"/>
      <c r="VA65" s="5"/>
      <c r="VB65" s="5"/>
      <c r="VC65" s="5"/>
      <c r="VD65" s="5"/>
      <c r="VE65" s="5"/>
      <c r="VF65" s="5"/>
      <c r="VG65" s="5"/>
      <c r="VH65" s="5"/>
      <c r="VI65" s="5"/>
      <c r="VJ65" s="5"/>
      <c r="VK65" s="5"/>
      <c r="VL65" s="5"/>
      <c r="VM65" s="5"/>
      <c r="VN65" s="5"/>
      <c r="VO65" s="5"/>
      <c r="VP65" s="5"/>
      <c r="VQ65" s="5"/>
      <c r="VR65" s="5"/>
      <c r="VS65" s="5"/>
      <c r="VT65" s="5"/>
      <c r="VU65" s="5"/>
      <c r="VV65" s="5"/>
      <c r="VW65" s="5"/>
      <c r="VX65" s="5"/>
      <c r="VY65" s="5"/>
      <c r="VZ65" s="5"/>
      <c r="WA65" s="5"/>
      <c r="WB65" s="5"/>
      <c r="WC65" s="5"/>
      <c r="WD65" s="5"/>
      <c r="WE65" s="5"/>
      <c r="WF65" s="5"/>
      <c r="WG65" s="5"/>
      <c r="WH65" s="5"/>
      <c r="WI65" s="5"/>
      <c r="WJ65" s="5"/>
      <c r="WK65" s="5"/>
      <c r="WL65" s="5"/>
      <c r="WM65" s="5"/>
      <c r="WN65" s="5"/>
      <c r="WO65" s="5"/>
      <c r="WP65" s="5"/>
      <c r="WQ65" s="5"/>
      <c r="WR65" s="5"/>
      <c r="WS65" s="5"/>
      <c r="WT65" s="5"/>
      <c r="WU65" s="5"/>
      <c r="WV65" s="5"/>
      <c r="WW65" s="5"/>
      <c r="WX65" s="5"/>
      <c r="WY65" s="5"/>
      <c r="WZ65" s="5"/>
      <c r="XA65" s="5"/>
      <c r="XB65" s="5"/>
      <c r="XC65" s="5"/>
      <c r="XD65" s="5"/>
      <c r="XE65" s="5"/>
      <c r="XF65" s="5"/>
      <c r="XG65" s="5"/>
      <c r="XH65" s="5"/>
      <c r="XI65" s="5"/>
      <c r="XJ65" s="5"/>
      <c r="XK65" s="5"/>
      <c r="XL65" s="5"/>
      <c r="XM65" s="5"/>
      <c r="XN65" s="5"/>
      <c r="XO65" s="5"/>
      <c r="XP65" s="5"/>
      <c r="XQ65" s="5"/>
      <c r="XR65" s="5"/>
      <c r="XS65" s="5"/>
      <c r="XT65" s="5"/>
      <c r="XU65" s="5"/>
      <c r="XV65" s="5"/>
      <c r="XW65" s="5"/>
      <c r="XX65" s="5"/>
      <c r="XY65" s="5"/>
      <c r="XZ65" s="5"/>
      <c r="YA65" s="5"/>
      <c r="YB65" s="5"/>
      <c r="YC65" s="5"/>
      <c r="YD65" s="5"/>
      <c r="YE65" s="5"/>
      <c r="YF65" s="5"/>
      <c r="YG65" s="5"/>
      <c r="YH65" s="5"/>
      <c r="YI65" s="5"/>
      <c r="YJ65" s="5"/>
      <c r="YK65" s="5"/>
      <c r="YL65" s="5"/>
      <c r="YM65" s="5"/>
      <c r="YN65" s="5"/>
      <c r="YO65" s="5"/>
      <c r="YP65" s="5"/>
      <c r="YQ65" s="5"/>
      <c r="YR65" s="5"/>
      <c r="YS65" s="5"/>
      <c r="YT65" s="5"/>
      <c r="YU65" s="5"/>
      <c r="YV65" s="5"/>
      <c r="YW65" s="5"/>
      <c r="YX65" s="5"/>
      <c r="YY65" s="5"/>
      <c r="YZ65" s="5"/>
    </row>
    <row r="66" spans="1:676">
      <c r="A66" s="7">
        <v>56</v>
      </c>
      <c r="B66" s="7" t="s">
        <v>174</v>
      </c>
      <c r="C66" s="10" t="s">
        <v>175</v>
      </c>
      <c r="D66" s="7" t="s">
        <v>60</v>
      </c>
      <c r="E66" s="7" t="s">
        <v>93</v>
      </c>
      <c r="F66" s="7" t="s">
        <v>90</v>
      </c>
      <c r="G66" s="7"/>
      <c r="H66" s="7" t="s">
        <v>94</v>
      </c>
      <c r="I66" s="11">
        <v>2</v>
      </c>
      <c r="J66" s="11">
        <v>3</v>
      </c>
      <c r="K66" s="11">
        <v>1</v>
      </c>
      <c r="L66" s="11">
        <v>3.570000000000001</v>
      </c>
      <c r="M66" s="11">
        <v>0.24</v>
      </c>
      <c r="N66" s="11">
        <v>0</v>
      </c>
      <c r="O66" s="11">
        <v>0.6799999999999999</v>
      </c>
      <c r="P66" s="11">
        <v>1.63</v>
      </c>
      <c r="Q66" s="11">
        <v>7.119999999999999</v>
      </c>
      <c r="R66" s="11">
        <v>0</v>
      </c>
      <c r="S66" s="11">
        <v>7.119999999999999</v>
      </c>
      <c r="T66" s="11">
        <v>2</v>
      </c>
      <c r="U66" s="11">
        <v>3</v>
      </c>
      <c r="V66" s="11">
        <v>2.119999999999999</v>
      </c>
      <c r="W66" s="13">
        <v>2</v>
      </c>
      <c r="X66" s="13">
        <v>3</v>
      </c>
      <c r="Y66" s="13" t="str">
        <f>MIN(W66,S66)</f>
        <v>0</v>
      </c>
      <c r="Z66" s="13" t="str">
        <f>MIN(X66,(S66-Y66))</f>
        <v>0</v>
      </c>
      <c r="AA66" s="13" t="str">
        <f>S66-SUM(Y66,Z66)</f>
        <v>0</v>
      </c>
      <c r="AB66" s="15"/>
      <c r="AC66" s="15"/>
      <c r="AD66" s="1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  <c r="IZ66" s="5"/>
      <c r="JA66" s="5"/>
      <c r="JB66" s="5"/>
      <c r="JC66" s="5"/>
      <c r="JD66" s="5"/>
      <c r="JE66" s="5"/>
      <c r="JF66" s="5"/>
      <c r="JG66" s="5"/>
      <c r="JH66" s="5"/>
      <c r="JI66" s="5"/>
      <c r="JJ66" s="5"/>
      <c r="JK66" s="5"/>
      <c r="JL66" s="5"/>
      <c r="JM66" s="5"/>
      <c r="JN66" s="5"/>
      <c r="JO66" s="5"/>
      <c r="JP66" s="5"/>
      <c r="JQ66" s="5"/>
      <c r="JR66" s="5"/>
      <c r="JS66" s="5"/>
      <c r="JT66" s="5"/>
      <c r="JU66" s="5"/>
      <c r="JV66" s="5"/>
      <c r="JW66" s="5"/>
      <c r="JX66" s="5"/>
      <c r="JY66" s="5"/>
      <c r="JZ66" s="5"/>
      <c r="KA66" s="5"/>
      <c r="KB66" s="5"/>
      <c r="KC66" s="5"/>
      <c r="KD66" s="5"/>
      <c r="KE66" s="5"/>
      <c r="KF66" s="5"/>
      <c r="KG66" s="5"/>
      <c r="KH66" s="5"/>
      <c r="KI66" s="5"/>
      <c r="KJ66" s="5"/>
      <c r="KK66" s="5"/>
      <c r="KL66" s="5"/>
      <c r="KM66" s="5"/>
      <c r="KN66" s="5"/>
      <c r="KO66" s="5"/>
      <c r="KP66" s="5"/>
      <c r="KQ66" s="5"/>
      <c r="KR66" s="5"/>
      <c r="KS66" s="5"/>
      <c r="KT66" s="5"/>
      <c r="KU66" s="5"/>
      <c r="KV66" s="5"/>
      <c r="KW66" s="5"/>
      <c r="KX66" s="5"/>
      <c r="KY66" s="5"/>
      <c r="KZ66" s="5"/>
      <c r="LA66" s="5"/>
      <c r="LB66" s="5"/>
      <c r="LC66" s="5"/>
      <c r="LD66" s="5"/>
      <c r="LE66" s="5"/>
      <c r="LF66" s="5"/>
      <c r="LG66" s="5"/>
      <c r="LH66" s="5"/>
      <c r="LI66" s="5"/>
      <c r="LJ66" s="5"/>
      <c r="LK66" s="5"/>
      <c r="LL66" s="5"/>
      <c r="LM66" s="5"/>
      <c r="LN66" s="5"/>
      <c r="LO66" s="5"/>
      <c r="LP66" s="5"/>
      <c r="LQ66" s="5"/>
      <c r="LR66" s="5"/>
      <c r="LS66" s="5"/>
      <c r="LT66" s="5"/>
      <c r="LU66" s="5"/>
      <c r="LV66" s="5"/>
      <c r="LW66" s="5"/>
      <c r="LX66" s="5"/>
      <c r="LY66" s="5"/>
      <c r="LZ66" s="5"/>
      <c r="MA66" s="5"/>
      <c r="MB66" s="5"/>
      <c r="MC66" s="5"/>
      <c r="MD66" s="5"/>
      <c r="ME66" s="5"/>
      <c r="MF66" s="5"/>
      <c r="MG66" s="5"/>
      <c r="MH66" s="5"/>
      <c r="MI66" s="5"/>
      <c r="MJ66" s="5"/>
      <c r="MK66" s="5"/>
      <c r="ML66" s="5"/>
      <c r="MM66" s="5"/>
      <c r="MN66" s="5"/>
      <c r="MO66" s="5"/>
      <c r="MP66" s="5"/>
      <c r="MQ66" s="5"/>
      <c r="MR66" s="5"/>
      <c r="MS66" s="5"/>
      <c r="MT66" s="5"/>
      <c r="MU66" s="5"/>
      <c r="MV66" s="5"/>
      <c r="MW66" s="5"/>
      <c r="MX66" s="5"/>
      <c r="MY66" s="5"/>
      <c r="MZ66" s="5"/>
      <c r="NA66" s="5"/>
      <c r="NB66" s="5"/>
      <c r="NC66" s="5"/>
      <c r="ND66" s="5"/>
      <c r="NE66" s="5"/>
      <c r="NF66" s="5"/>
      <c r="NG66" s="5"/>
      <c r="NH66" s="5"/>
      <c r="NI66" s="5"/>
      <c r="NJ66" s="5"/>
      <c r="NK66" s="5"/>
      <c r="NL66" s="5"/>
      <c r="NM66" s="5"/>
      <c r="NN66" s="5"/>
      <c r="NO66" s="5"/>
      <c r="NP66" s="5"/>
      <c r="NQ66" s="5"/>
      <c r="NR66" s="5"/>
      <c r="NS66" s="5"/>
      <c r="NT66" s="5"/>
      <c r="NU66" s="5"/>
      <c r="NV66" s="5"/>
      <c r="NW66" s="5"/>
      <c r="NX66" s="5"/>
      <c r="NY66" s="5"/>
      <c r="NZ66" s="5"/>
      <c r="OA66" s="5"/>
      <c r="OB66" s="5"/>
      <c r="OC66" s="5"/>
      <c r="OD66" s="5"/>
      <c r="OE66" s="5"/>
      <c r="OF66" s="5"/>
      <c r="OG66" s="5"/>
      <c r="OH66" s="5"/>
      <c r="OI66" s="5"/>
      <c r="OJ66" s="5"/>
      <c r="OK66" s="5"/>
      <c r="OL66" s="5"/>
      <c r="OM66" s="5"/>
      <c r="ON66" s="5"/>
      <c r="OO66" s="5"/>
      <c r="OP66" s="5"/>
      <c r="OQ66" s="5"/>
      <c r="OR66" s="5"/>
      <c r="OS66" s="5"/>
      <c r="OT66" s="5"/>
      <c r="OU66" s="5"/>
      <c r="OV66" s="5"/>
      <c r="OW66" s="5"/>
      <c r="OX66" s="5"/>
      <c r="OY66" s="5"/>
      <c r="OZ66" s="5"/>
      <c r="PA66" s="5"/>
      <c r="PB66" s="5"/>
      <c r="PC66" s="5"/>
      <c r="PD66" s="5"/>
      <c r="PE66" s="5"/>
      <c r="PF66" s="5"/>
      <c r="PG66" s="5"/>
      <c r="PH66" s="5"/>
      <c r="PI66" s="5"/>
      <c r="PJ66" s="5"/>
      <c r="PK66" s="5"/>
      <c r="PL66" s="5"/>
      <c r="PM66" s="5"/>
      <c r="PN66" s="5"/>
      <c r="PO66" s="5"/>
      <c r="PP66" s="5"/>
      <c r="PQ66" s="5"/>
      <c r="PR66" s="5"/>
      <c r="PS66" s="5"/>
      <c r="PT66" s="5"/>
      <c r="PU66" s="5"/>
      <c r="PV66" s="5"/>
      <c r="PW66" s="5"/>
      <c r="PX66" s="5"/>
      <c r="PY66" s="5"/>
      <c r="PZ66" s="5"/>
      <c r="QA66" s="5"/>
      <c r="QB66" s="5"/>
      <c r="QC66" s="5"/>
      <c r="QD66" s="5"/>
      <c r="QE66" s="5"/>
      <c r="QF66" s="5"/>
      <c r="QG66" s="5"/>
      <c r="QH66" s="5"/>
      <c r="QI66" s="5"/>
      <c r="QJ66" s="5"/>
      <c r="QK66" s="5"/>
      <c r="QL66" s="5"/>
      <c r="QM66" s="5"/>
      <c r="QN66" s="5"/>
      <c r="QO66" s="5"/>
      <c r="QP66" s="5"/>
      <c r="QQ66" s="5"/>
      <c r="QR66" s="5"/>
      <c r="QS66" s="5"/>
      <c r="QT66" s="5"/>
      <c r="QU66" s="5"/>
      <c r="QV66" s="5"/>
      <c r="QW66" s="5"/>
      <c r="QX66" s="5"/>
      <c r="QY66" s="5"/>
      <c r="QZ66" s="5"/>
      <c r="RA66" s="5"/>
      <c r="RB66" s="5"/>
      <c r="RC66" s="5"/>
      <c r="RD66" s="5"/>
      <c r="RE66" s="5"/>
      <c r="RF66" s="5"/>
      <c r="RG66" s="5"/>
      <c r="RH66" s="5"/>
      <c r="RI66" s="5"/>
      <c r="RJ66" s="5"/>
      <c r="RK66" s="5"/>
      <c r="RL66" s="5"/>
      <c r="RM66" s="5"/>
      <c r="RN66" s="5"/>
      <c r="RO66" s="5"/>
      <c r="RP66" s="5"/>
      <c r="RQ66" s="5"/>
      <c r="RR66" s="5"/>
      <c r="RS66" s="5"/>
      <c r="RT66" s="5"/>
      <c r="RU66" s="5"/>
      <c r="RV66" s="5"/>
      <c r="RW66" s="5"/>
      <c r="RX66" s="5"/>
      <c r="RY66" s="5"/>
      <c r="RZ66" s="5"/>
      <c r="SA66" s="5"/>
      <c r="SB66" s="5"/>
      <c r="SC66" s="5"/>
      <c r="SD66" s="5"/>
      <c r="SE66" s="5"/>
      <c r="SF66" s="5"/>
      <c r="SG66" s="5"/>
      <c r="SH66" s="5"/>
      <c r="SI66" s="5"/>
      <c r="SJ66" s="5"/>
      <c r="SK66" s="5"/>
      <c r="SL66" s="5"/>
      <c r="SM66" s="5"/>
      <c r="SN66" s="5"/>
      <c r="SO66" s="5"/>
      <c r="SP66" s="5"/>
      <c r="SQ66" s="5"/>
      <c r="SR66" s="5"/>
      <c r="SS66" s="5"/>
      <c r="ST66" s="5"/>
      <c r="SU66" s="5"/>
      <c r="SV66" s="5"/>
      <c r="SW66" s="5"/>
      <c r="SX66" s="5"/>
      <c r="SY66" s="5"/>
      <c r="SZ66" s="5"/>
      <c r="TA66" s="5"/>
      <c r="TB66" s="5"/>
      <c r="TC66" s="5"/>
      <c r="TD66" s="5"/>
      <c r="TE66" s="5"/>
      <c r="TF66" s="5"/>
      <c r="TG66" s="5"/>
      <c r="TH66" s="5"/>
      <c r="TI66" s="5"/>
      <c r="TJ66" s="5"/>
      <c r="TK66" s="5"/>
      <c r="TL66" s="5"/>
      <c r="TM66" s="5"/>
      <c r="TN66" s="5"/>
      <c r="TO66" s="5"/>
      <c r="TP66" s="5"/>
      <c r="TQ66" s="5"/>
      <c r="TR66" s="5"/>
      <c r="TS66" s="5"/>
      <c r="TT66" s="5"/>
      <c r="TU66" s="5"/>
      <c r="TV66" s="5"/>
      <c r="TW66" s="5"/>
      <c r="TX66" s="5"/>
      <c r="TY66" s="5"/>
      <c r="TZ66" s="5"/>
      <c r="UA66" s="5"/>
      <c r="UB66" s="5"/>
      <c r="UC66" s="5"/>
      <c r="UD66" s="5"/>
      <c r="UE66" s="5"/>
      <c r="UF66" s="5"/>
      <c r="UG66" s="5"/>
      <c r="UH66" s="5"/>
      <c r="UI66" s="5"/>
      <c r="UJ66" s="5"/>
      <c r="UK66" s="5"/>
      <c r="UL66" s="5"/>
      <c r="UM66" s="5"/>
      <c r="UN66" s="5"/>
      <c r="UO66" s="5"/>
      <c r="UP66" s="5"/>
      <c r="UQ66" s="5"/>
      <c r="UR66" s="5"/>
      <c r="US66" s="5"/>
      <c r="UT66" s="5"/>
      <c r="UU66" s="5"/>
      <c r="UV66" s="5"/>
      <c r="UW66" s="5"/>
      <c r="UX66" s="5"/>
      <c r="UY66" s="5"/>
      <c r="UZ66" s="5"/>
      <c r="VA66" s="5"/>
      <c r="VB66" s="5"/>
      <c r="VC66" s="5"/>
      <c r="VD66" s="5"/>
      <c r="VE66" s="5"/>
      <c r="VF66" s="5"/>
      <c r="VG66" s="5"/>
      <c r="VH66" s="5"/>
      <c r="VI66" s="5"/>
      <c r="VJ66" s="5"/>
      <c r="VK66" s="5"/>
      <c r="VL66" s="5"/>
      <c r="VM66" s="5"/>
      <c r="VN66" s="5"/>
      <c r="VO66" s="5"/>
      <c r="VP66" s="5"/>
      <c r="VQ66" s="5"/>
      <c r="VR66" s="5"/>
      <c r="VS66" s="5"/>
      <c r="VT66" s="5"/>
      <c r="VU66" s="5"/>
      <c r="VV66" s="5"/>
      <c r="VW66" s="5"/>
      <c r="VX66" s="5"/>
      <c r="VY66" s="5"/>
      <c r="VZ66" s="5"/>
      <c r="WA66" s="5"/>
      <c r="WB66" s="5"/>
      <c r="WC66" s="5"/>
      <c r="WD66" s="5"/>
      <c r="WE66" s="5"/>
      <c r="WF66" s="5"/>
      <c r="WG66" s="5"/>
      <c r="WH66" s="5"/>
      <c r="WI66" s="5"/>
      <c r="WJ66" s="5"/>
      <c r="WK66" s="5"/>
      <c r="WL66" s="5"/>
      <c r="WM66" s="5"/>
      <c r="WN66" s="5"/>
      <c r="WO66" s="5"/>
      <c r="WP66" s="5"/>
      <c r="WQ66" s="5"/>
      <c r="WR66" s="5"/>
      <c r="WS66" s="5"/>
      <c r="WT66" s="5"/>
      <c r="WU66" s="5"/>
      <c r="WV66" s="5"/>
      <c r="WW66" s="5"/>
      <c r="WX66" s="5"/>
      <c r="WY66" s="5"/>
      <c r="WZ66" s="5"/>
      <c r="XA66" s="5"/>
      <c r="XB66" s="5"/>
      <c r="XC66" s="5"/>
      <c r="XD66" s="5"/>
      <c r="XE66" s="5"/>
      <c r="XF66" s="5"/>
      <c r="XG66" s="5"/>
      <c r="XH66" s="5"/>
      <c r="XI66" s="5"/>
      <c r="XJ66" s="5"/>
      <c r="XK66" s="5"/>
      <c r="XL66" s="5"/>
      <c r="XM66" s="5"/>
      <c r="XN66" s="5"/>
      <c r="XO66" s="5"/>
      <c r="XP66" s="5"/>
      <c r="XQ66" s="5"/>
      <c r="XR66" s="5"/>
      <c r="XS66" s="5"/>
      <c r="XT66" s="5"/>
      <c r="XU66" s="5"/>
      <c r="XV66" s="5"/>
      <c r="XW66" s="5"/>
      <c r="XX66" s="5"/>
      <c r="XY66" s="5"/>
      <c r="XZ66" s="5"/>
      <c r="YA66" s="5"/>
      <c r="YB66" s="5"/>
      <c r="YC66" s="5"/>
      <c r="YD66" s="5"/>
      <c r="YE66" s="5"/>
      <c r="YF66" s="5"/>
      <c r="YG66" s="5"/>
      <c r="YH66" s="5"/>
      <c r="YI66" s="5"/>
      <c r="YJ66" s="5"/>
      <c r="YK66" s="5"/>
      <c r="YL66" s="5"/>
      <c r="YM66" s="5"/>
      <c r="YN66" s="5"/>
      <c r="YO66" s="5"/>
      <c r="YP66" s="5"/>
      <c r="YQ66" s="5"/>
      <c r="YR66" s="5"/>
      <c r="YS66" s="5"/>
      <c r="YT66" s="5"/>
      <c r="YU66" s="5"/>
      <c r="YV66" s="5"/>
      <c r="YW66" s="5"/>
      <c r="YX66" s="5"/>
      <c r="YY66" s="5"/>
      <c r="YZ66" s="5"/>
    </row>
    <row r="67" spans="1:676">
      <c r="A67" s="7">
        <v>57</v>
      </c>
      <c r="B67" s="7" t="s">
        <v>176</v>
      </c>
      <c r="C67" s="10" t="s">
        <v>177</v>
      </c>
      <c r="D67" s="7" t="s">
        <v>60</v>
      </c>
      <c r="E67" s="7" t="s">
        <v>93</v>
      </c>
      <c r="F67" s="7" t="s">
        <v>90</v>
      </c>
      <c r="G67" s="7"/>
      <c r="H67" s="7" t="s">
        <v>43</v>
      </c>
      <c r="I67" s="11">
        <v>2</v>
      </c>
      <c r="J67" s="11">
        <v>3</v>
      </c>
      <c r="K67" s="11">
        <v>0</v>
      </c>
      <c r="L67" s="11">
        <v>3.29</v>
      </c>
      <c r="M67" s="11">
        <v>0.08</v>
      </c>
      <c r="N67" s="11">
        <v>0</v>
      </c>
      <c r="O67" s="11">
        <v>0.58</v>
      </c>
      <c r="P67" s="11">
        <v>0</v>
      </c>
      <c r="Q67" s="11">
        <v>3.95</v>
      </c>
      <c r="R67" s="11">
        <v>0</v>
      </c>
      <c r="S67" s="11">
        <v>3.95</v>
      </c>
      <c r="T67" s="11">
        <v>2</v>
      </c>
      <c r="U67" s="11">
        <v>1.95</v>
      </c>
      <c r="V67" s="11">
        <v>0</v>
      </c>
      <c r="W67" s="13">
        <v>2</v>
      </c>
      <c r="X67" s="13">
        <v>3</v>
      </c>
      <c r="Y67" s="13" t="str">
        <f>MIN(W67,S67)</f>
        <v>0</v>
      </c>
      <c r="Z67" s="13" t="str">
        <f>MIN(X67,(S67-Y67))</f>
        <v>0</v>
      </c>
      <c r="AA67" s="13" t="str">
        <f>S67-SUM(Y67,Z67)</f>
        <v>0</v>
      </c>
      <c r="AB67" s="15"/>
      <c r="AC67" s="15"/>
      <c r="AD67" s="1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  <c r="IX67" s="5"/>
      <c r="IY67" s="5"/>
      <c r="IZ67" s="5"/>
      <c r="JA67" s="5"/>
      <c r="JB67" s="5"/>
      <c r="JC67" s="5"/>
      <c r="JD67" s="5"/>
      <c r="JE67" s="5"/>
      <c r="JF67" s="5"/>
      <c r="JG67" s="5"/>
      <c r="JH67" s="5"/>
      <c r="JI67" s="5"/>
      <c r="JJ67" s="5"/>
      <c r="JK67" s="5"/>
      <c r="JL67" s="5"/>
      <c r="JM67" s="5"/>
      <c r="JN67" s="5"/>
      <c r="JO67" s="5"/>
      <c r="JP67" s="5"/>
      <c r="JQ67" s="5"/>
      <c r="JR67" s="5"/>
      <c r="JS67" s="5"/>
      <c r="JT67" s="5"/>
      <c r="JU67" s="5"/>
      <c r="JV67" s="5"/>
      <c r="JW67" s="5"/>
      <c r="JX67" s="5"/>
      <c r="JY67" s="5"/>
      <c r="JZ67" s="5"/>
      <c r="KA67" s="5"/>
      <c r="KB67" s="5"/>
      <c r="KC67" s="5"/>
      <c r="KD67" s="5"/>
      <c r="KE67" s="5"/>
      <c r="KF67" s="5"/>
      <c r="KG67" s="5"/>
      <c r="KH67" s="5"/>
      <c r="KI67" s="5"/>
      <c r="KJ67" s="5"/>
      <c r="KK67" s="5"/>
      <c r="KL67" s="5"/>
      <c r="KM67" s="5"/>
      <c r="KN67" s="5"/>
      <c r="KO67" s="5"/>
      <c r="KP67" s="5"/>
      <c r="KQ67" s="5"/>
      <c r="KR67" s="5"/>
      <c r="KS67" s="5"/>
      <c r="KT67" s="5"/>
      <c r="KU67" s="5"/>
      <c r="KV67" s="5"/>
      <c r="KW67" s="5"/>
      <c r="KX67" s="5"/>
      <c r="KY67" s="5"/>
      <c r="KZ67" s="5"/>
      <c r="LA67" s="5"/>
      <c r="LB67" s="5"/>
      <c r="LC67" s="5"/>
      <c r="LD67" s="5"/>
      <c r="LE67" s="5"/>
      <c r="LF67" s="5"/>
      <c r="LG67" s="5"/>
      <c r="LH67" s="5"/>
      <c r="LI67" s="5"/>
      <c r="LJ67" s="5"/>
      <c r="LK67" s="5"/>
      <c r="LL67" s="5"/>
      <c r="LM67" s="5"/>
      <c r="LN67" s="5"/>
      <c r="LO67" s="5"/>
      <c r="LP67" s="5"/>
      <c r="LQ67" s="5"/>
      <c r="LR67" s="5"/>
      <c r="LS67" s="5"/>
      <c r="LT67" s="5"/>
      <c r="LU67" s="5"/>
      <c r="LV67" s="5"/>
      <c r="LW67" s="5"/>
      <c r="LX67" s="5"/>
      <c r="LY67" s="5"/>
      <c r="LZ67" s="5"/>
      <c r="MA67" s="5"/>
      <c r="MB67" s="5"/>
      <c r="MC67" s="5"/>
      <c r="MD67" s="5"/>
      <c r="ME67" s="5"/>
      <c r="MF67" s="5"/>
      <c r="MG67" s="5"/>
      <c r="MH67" s="5"/>
      <c r="MI67" s="5"/>
      <c r="MJ67" s="5"/>
      <c r="MK67" s="5"/>
      <c r="ML67" s="5"/>
      <c r="MM67" s="5"/>
      <c r="MN67" s="5"/>
      <c r="MO67" s="5"/>
      <c r="MP67" s="5"/>
      <c r="MQ67" s="5"/>
      <c r="MR67" s="5"/>
      <c r="MS67" s="5"/>
      <c r="MT67" s="5"/>
      <c r="MU67" s="5"/>
      <c r="MV67" s="5"/>
      <c r="MW67" s="5"/>
      <c r="MX67" s="5"/>
      <c r="MY67" s="5"/>
      <c r="MZ67" s="5"/>
      <c r="NA67" s="5"/>
      <c r="NB67" s="5"/>
      <c r="NC67" s="5"/>
      <c r="ND67" s="5"/>
      <c r="NE67" s="5"/>
      <c r="NF67" s="5"/>
      <c r="NG67" s="5"/>
      <c r="NH67" s="5"/>
      <c r="NI67" s="5"/>
      <c r="NJ67" s="5"/>
      <c r="NK67" s="5"/>
      <c r="NL67" s="5"/>
      <c r="NM67" s="5"/>
      <c r="NN67" s="5"/>
      <c r="NO67" s="5"/>
      <c r="NP67" s="5"/>
      <c r="NQ67" s="5"/>
      <c r="NR67" s="5"/>
      <c r="NS67" s="5"/>
      <c r="NT67" s="5"/>
      <c r="NU67" s="5"/>
      <c r="NV67" s="5"/>
      <c r="NW67" s="5"/>
      <c r="NX67" s="5"/>
      <c r="NY67" s="5"/>
      <c r="NZ67" s="5"/>
      <c r="OA67" s="5"/>
      <c r="OB67" s="5"/>
      <c r="OC67" s="5"/>
      <c r="OD67" s="5"/>
      <c r="OE67" s="5"/>
      <c r="OF67" s="5"/>
      <c r="OG67" s="5"/>
      <c r="OH67" s="5"/>
      <c r="OI67" s="5"/>
      <c r="OJ67" s="5"/>
      <c r="OK67" s="5"/>
      <c r="OL67" s="5"/>
      <c r="OM67" s="5"/>
      <c r="ON67" s="5"/>
      <c r="OO67" s="5"/>
      <c r="OP67" s="5"/>
      <c r="OQ67" s="5"/>
      <c r="OR67" s="5"/>
      <c r="OS67" s="5"/>
      <c r="OT67" s="5"/>
      <c r="OU67" s="5"/>
      <c r="OV67" s="5"/>
      <c r="OW67" s="5"/>
      <c r="OX67" s="5"/>
      <c r="OY67" s="5"/>
      <c r="OZ67" s="5"/>
      <c r="PA67" s="5"/>
      <c r="PB67" s="5"/>
      <c r="PC67" s="5"/>
      <c r="PD67" s="5"/>
      <c r="PE67" s="5"/>
      <c r="PF67" s="5"/>
      <c r="PG67" s="5"/>
      <c r="PH67" s="5"/>
      <c r="PI67" s="5"/>
      <c r="PJ67" s="5"/>
      <c r="PK67" s="5"/>
      <c r="PL67" s="5"/>
      <c r="PM67" s="5"/>
      <c r="PN67" s="5"/>
      <c r="PO67" s="5"/>
      <c r="PP67" s="5"/>
      <c r="PQ67" s="5"/>
      <c r="PR67" s="5"/>
      <c r="PS67" s="5"/>
      <c r="PT67" s="5"/>
      <c r="PU67" s="5"/>
      <c r="PV67" s="5"/>
      <c r="PW67" s="5"/>
      <c r="PX67" s="5"/>
      <c r="PY67" s="5"/>
      <c r="PZ67" s="5"/>
      <c r="QA67" s="5"/>
      <c r="QB67" s="5"/>
      <c r="QC67" s="5"/>
      <c r="QD67" s="5"/>
      <c r="QE67" s="5"/>
      <c r="QF67" s="5"/>
      <c r="QG67" s="5"/>
      <c r="QH67" s="5"/>
      <c r="QI67" s="5"/>
      <c r="QJ67" s="5"/>
      <c r="QK67" s="5"/>
      <c r="QL67" s="5"/>
      <c r="QM67" s="5"/>
      <c r="QN67" s="5"/>
      <c r="QO67" s="5"/>
      <c r="QP67" s="5"/>
      <c r="QQ67" s="5"/>
      <c r="QR67" s="5"/>
      <c r="QS67" s="5"/>
      <c r="QT67" s="5"/>
      <c r="QU67" s="5"/>
      <c r="QV67" s="5"/>
      <c r="QW67" s="5"/>
      <c r="QX67" s="5"/>
      <c r="QY67" s="5"/>
      <c r="QZ67" s="5"/>
      <c r="RA67" s="5"/>
      <c r="RB67" s="5"/>
      <c r="RC67" s="5"/>
      <c r="RD67" s="5"/>
      <c r="RE67" s="5"/>
      <c r="RF67" s="5"/>
      <c r="RG67" s="5"/>
      <c r="RH67" s="5"/>
      <c r="RI67" s="5"/>
      <c r="RJ67" s="5"/>
      <c r="RK67" s="5"/>
      <c r="RL67" s="5"/>
      <c r="RM67" s="5"/>
      <c r="RN67" s="5"/>
      <c r="RO67" s="5"/>
      <c r="RP67" s="5"/>
      <c r="RQ67" s="5"/>
      <c r="RR67" s="5"/>
      <c r="RS67" s="5"/>
      <c r="RT67" s="5"/>
      <c r="RU67" s="5"/>
      <c r="RV67" s="5"/>
      <c r="RW67" s="5"/>
      <c r="RX67" s="5"/>
      <c r="RY67" s="5"/>
      <c r="RZ67" s="5"/>
      <c r="SA67" s="5"/>
      <c r="SB67" s="5"/>
      <c r="SC67" s="5"/>
      <c r="SD67" s="5"/>
      <c r="SE67" s="5"/>
      <c r="SF67" s="5"/>
      <c r="SG67" s="5"/>
      <c r="SH67" s="5"/>
      <c r="SI67" s="5"/>
      <c r="SJ67" s="5"/>
      <c r="SK67" s="5"/>
      <c r="SL67" s="5"/>
      <c r="SM67" s="5"/>
      <c r="SN67" s="5"/>
      <c r="SO67" s="5"/>
      <c r="SP67" s="5"/>
      <c r="SQ67" s="5"/>
      <c r="SR67" s="5"/>
      <c r="SS67" s="5"/>
      <c r="ST67" s="5"/>
      <c r="SU67" s="5"/>
      <c r="SV67" s="5"/>
      <c r="SW67" s="5"/>
      <c r="SX67" s="5"/>
      <c r="SY67" s="5"/>
      <c r="SZ67" s="5"/>
      <c r="TA67" s="5"/>
      <c r="TB67" s="5"/>
      <c r="TC67" s="5"/>
      <c r="TD67" s="5"/>
      <c r="TE67" s="5"/>
      <c r="TF67" s="5"/>
      <c r="TG67" s="5"/>
      <c r="TH67" s="5"/>
      <c r="TI67" s="5"/>
      <c r="TJ67" s="5"/>
      <c r="TK67" s="5"/>
      <c r="TL67" s="5"/>
      <c r="TM67" s="5"/>
      <c r="TN67" s="5"/>
      <c r="TO67" s="5"/>
      <c r="TP67" s="5"/>
      <c r="TQ67" s="5"/>
      <c r="TR67" s="5"/>
      <c r="TS67" s="5"/>
      <c r="TT67" s="5"/>
      <c r="TU67" s="5"/>
      <c r="TV67" s="5"/>
      <c r="TW67" s="5"/>
      <c r="TX67" s="5"/>
      <c r="TY67" s="5"/>
      <c r="TZ67" s="5"/>
      <c r="UA67" s="5"/>
      <c r="UB67" s="5"/>
      <c r="UC67" s="5"/>
      <c r="UD67" s="5"/>
      <c r="UE67" s="5"/>
      <c r="UF67" s="5"/>
      <c r="UG67" s="5"/>
      <c r="UH67" s="5"/>
      <c r="UI67" s="5"/>
      <c r="UJ67" s="5"/>
      <c r="UK67" s="5"/>
      <c r="UL67" s="5"/>
      <c r="UM67" s="5"/>
      <c r="UN67" s="5"/>
      <c r="UO67" s="5"/>
      <c r="UP67" s="5"/>
      <c r="UQ67" s="5"/>
      <c r="UR67" s="5"/>
      <c r="US67" s="5"/>
      <c r="UT67" s="5"/>
      <c r="UU67" s="5"/>
      <c r="UV67" s="5"/>
      <c r="UW67" s="5"/>
      <c r="UX67" s="5"/>
      <c r="UY67" s="5"/>
      <c r="UZ67" s="5"/>
      <c r="VA67" s="5"/>
      <c r="VB67" s="5"/>
      <c r="VC67" s="5"/>
      <c r="VD67" s="5"/>
      <c r="VE67" s="5"/>
      <c r="VF67" s="5"/>
      <c r="VG67" s="5"/>
      <c r="VH67" s="5"/>
      <c r="VI67" s="5"/>
      <c r="VJ67" s="5"/>
      <c r="VK67" s="5"/>
      <c r="VL67" s="5"/>
      <c r="VM67" s="5"/>
      <c r="VN67" s="5"/>
      <c r="VO67" s="5"/>
      <c r="VP67" s="5"/>
      <c r="VQ67" s="5"/>
      <c r="VR67" s="5"/>
      <c r="VS67" s="5"/>
      <c r="VT67" s="5"/>
      <c r="VU67" s="5"/>
      <c r="VV67" s="5"/>
      <c r="VW67" s="5"/>
      <c r="VX67" s="5"/>
      <c r="VY67" s="5"/>
      <c r="VZ67" s="5"/>
      <c r="WA67" s="5"/>
      <c r="WB67" s="5"/>
      <c r="WC67" s="5"/>
      <c r="WD67" s="5"/>
      <c r="WE67" s="5"/>
      <c r="WF67" s="5"/>
      <c r="WG67" s="5"/>
      <c r="WH67" s="5"/>
      <c r="WI67" s="5"/>
      <c r="WJ67" s="5"/>
      <c r="WK67" s="5"/>
      <c r="WL67" s="5"/>
      <c r="WM67" s="5"/>
      <c r="WN67" s="5"/>
      <c r="WO67" s="5"/>
      <c r="WP67" s="5"/>
      <c r="WQ67" s="5"/>
      <c r="WR67" s="5"/>
      <c r="WS67" s="5"/>
      <c r="WT67" s="5"/>
      <c r="WU67" s="5"/>
      <c r="WV67" s="5"/>
      <c r="WW67" s="5"/>
      <c r="WX67" s="5"/>
      <c r="WY67" s="5"/>
      <c r="WZ67" s="5"/>
      <c r="XA67" s="5"/>
      <c r="XB67" s="5"/>
      <c r="XC67" s="5"/>
      <c r="XD67" s="5"/>
      <c r="XE67" s="5"/>
      <c r="XF67" s="5"/>
      <c r="XG67" s="5"/>
      <c r="XH67" s="5"/>
      <c r="XI67" s="5"/>
      <c r="XJ67" s="5"/>
      <c r="XK67" s="5"/>
      <c r="XL67" s="5"/>
      <c r="XM67" s="5"/>
      <c r="XN67" s="5"/>
      <c r="XO67" s="5"/>
      <c r="XP67" s="5"/>
      <c r="XQ67" s="5"/>
      <c r="XR67" s="5"/>
      <c r="XS67" s="5"/>
      <c r="XT67" s="5"/>
      <c r="XU67" s="5"/>
      <c r="XV67" s="5"/>
      <c r="XW67" s="5"/>
      <c r="XX67" s="5"/>
      <c r="XY67" s="5"/>
      <c r="XZ67" s="5"/>
      <c r="YA67" s="5"/>
      <c r="YB67" s="5"/>
      <c r="YC67" s="5"/>
      <c r="YD67" s="5"/>
      <c r="YE67" s="5"/>
      <c r="YF67" s="5"/>
      <c r="YG67" s="5"/>
      <c r="YH67" s="5"/>
      <c r="YI67" s="5"/>
      <c r="YJ67" s="5"/>
      <c r="YK67" s="5"/>
      <c r="YL67" s="5"/>
      <c r="YM67" s="5"/>
      <c r="YN67" s="5"/>
      <c r="YO67" s="5"/>
      <c r="YP67" s="5"/>
      <c r="YQ67" s="5"/>
      <c r="YR67" s="5"/>
      <c r="YS67" s="5"/>
      <c r="YT67" s="5"/>
      <c r="YU67" s="5"/>
      <c r="YV67" s="5"/>
      <c r="YW67" s="5"/>
      <c r="YX67" s="5"/>
      <c r="YY67" s="5"/>
      <c r="YZ67" s="5"/>
    </row>
    <row r="68" spans="1:676">
      <c r="A68" s="7">
        <v>58</v>
      </c>
      <c r="B68" s="7" t="s">
        <v>178</v>
      </c>
      <c r="C68" s="10" t="s">
        <v>179</v>
      </c>
      <c r="D68" s="7" t="s">
        <v>48</v>
      </c>
      <c r="E68" s="7" t="s">
        <v>93</v>
      </c>
      <c r="F68" s="7" t="s">
        <v>90</v>
      </c>
      <c r="G68" s="7"/>
      <c r="H68" s="7" t="s">
        <v>43</v>
      </c>
      <c r="I68" s="11">
        <v>2</v>
      </c>
      <c r="J68" s="11">
        <v>3</v>
      </c>
      <c r="K68" s="11">
        <v>0</v>
      </c>
      <c r="L68" s="11">
        <v>1.77</v>
      </c>
      <c r="M68" s="11">
        <v>0.48</v>
      </c>
      <c r="N68" s="11">
        <v>0</v>
      </c>
      <c r="O68" s="11">
        <v>0.6</v>
      </c>
      <c r="P68" s="11">
        <v>0</v>
      </c>
      <c r="Q68" s="11">
        <v>2.850000000000001</v>
      </c>
      <c r="R68" s="11">
        <v>0</v>
      </c>
      <c r="S68" s="11">
        <v>2.850000000000001</v>
      </c>
      <c r="T68" s="11">
        <v>2</v>
      </c>
      <c r="U68" s="11">
        <v>0.850000000000001</v>
      </c>
      <c r="V68" s="11">
        <v>0</v>
      </c>
      <c r="W68" s="13">
        <v>2</v>
      </c>
      <c r="X68" s="13">
        <v>3</v>
      </c>
      <c r="Y68" s="13" t="str">
        <f>MIN(W68,S68)</f>
        <v>0</v>
      </c>
      <c r="Z68" s="13" t="str">
        <f>MIN(X68,(S68-Y68))</f>
        <v>0</v>
      </c>
      <c r="AA68" s="13" t="str">
        <f>S68-SUM(Y68,Z68)</f>
        <v>0</v>
      </c>
      <c r="AB68" s="15"/>
      <c r="AC68" s="15"/>
      <c r="AD68" s="1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  <c r="IX68" s="5"/>
      <c r="IY68" s="5"/>
      <c r="IZ68" s="5"/>
      <c r="JA68" s="5"/>
      <c r="JB68" s="5"/>
      <c r="JC68" s="5"/>
      <c r="JD68" s="5"/>
      <c r="JE68" s="5"/>
      <c r="JF68" s="5"/>
      <c r="JG68" s="5"/>
      <c r="JH68" s="5"/>
      <c r="JI68" s="5"/>
      <c r="JJ68" s="5"/>
      <c r="JK68" s="5"/>
      <c r="JL68" s="5"/>
      <c r="JM68" s="5"/>
      <c r="JN68" s="5"/>
      <c r="JO68" s="5"/>
      <c r="JP68" s="5"/>
      <c r="JQ68" s="5"/>
      <c r="JR68" s="5"/>
      <c r="JS68" s="5"/>
      <c r="JT68" s="5"/>
      <c r="JU68" s="5"/>
      <c r="JV68" s="5"/>
      <c r="JW68" s="5"/>
      <c r="JX68" s="5"/>
      <c r="JY68" s="5"/>
      <c r="JZ68" s="5"/>
      <c r="KA68" s="5"/>
      <c r="KB68" s="5"/>
      <c r="KC68" s="5"/>
      <c r="KD68" s="5"/>
      <c r="KE68" s="5"/>
      <c r="KF68" s="5"/>
      <c r="KG68" s="5"/>
      <c r="KH68" s="5"/>
      <c r="KI68" s="5"/>
      <c r="KJ68" s="5"/>
      <c r="KK68" s="5"/>
      <c r="KL68" s="5"/>
      <c r="KM68" s="5"/>
      <c r="KN68" s="5"/>
      <c r="KO68" s="5"/>
      <c r="KP68" s="5"/>
      <c r="KQ68" s="5"/>
      <c r="KR68" s="5"/>
      <c r="KS68" s="5"/>
      <c r="KT68" s="5"/>
      <c r="KU68" s="5"/>
      <c r="KV68" s="5"/>
      <c r="KW68" s="5"/>
      <c r="KX68" s="5"/>
      <c r="KY68" s="5"/>
      <c r="KZ68" s="5"/>
      <c r="LA68" s="5"/>
      <c r="LB68" s="5"/>
      <c r="LC68" s="5"/>
      <c r="LD68" s="5"/>
      <c r="LE68" s="5"/>
      <c r="LF68" s="5"/>
      <c r="LG68" s="5"/>
      <c r="LH68" s="5"/>
      <c r="LI68" s="5"/>
      <c r="LJ68" s="5"/>
      <c r="LK68" s="5"/>
      <c r="LL68" s="5"/>
      <c r="LM68" s="5"/>
      <c r="LN68" s="5"/>
      <c r="LO68" s="5"/>
      <c r="LP68" s="5"/>
      <c r="LQ68" s="5"/>
      <c r="LR68" s="5"/>
      <c r="LS68" s="5"/>
      <c r="LT68" s="5"/>
      <c r="LU68" s="5"/>
      <c r="LV68" s="5"/>
      <c r="LW68" s="5"/>
      <c r="LX68" s="5"/>
      <c r="LY68" s="5"/>
      <c r="LZ68" s="5"/>
      <c r="MA68" s="5"/>
      <c r="MB68" s="5"/>
      <c r="MC68" s="5"/>
      <c r="MD68" s="5"/>
      <c r="ME68" s="5"/>
      <c r="MF68" s="5"/>
      <c r="MG68" s="5"/>
      <c r="MH68" s="5"/>
      <c r="MI68" s="5"/>
      <c r="MJ68" s="5"/>
      <c r="MK68" s="5"/>
      <c r="ML68" s="5"/>
      <c r="MM68" s="5"/>
      <c r="MN68" s="5"/>
      <c r="MO68" s="5"/>
      <c r="MP68" s="5"/>
      <c r="MQ68" s="5"/>
      <c r="MR68" s="5"/>
      <c r="MS68" s="5"/>
      <c r="MT68" s="5"/>
      <c r="MU68" s="5"/>
      <c r="MV68" s="5"/>
      <c r="MW68" s="5"/>
      <c r="MX68" s="5"/>
      <c r="MY68" s="5"/>
      <c r="MZ68" s="5"/>
      <c r="NA68" s="5"/>
      <c r="NB68" s="5"/>
      <c r="NC68" s="5"/>
      <c r="ND68" s="5"/>
      <c r="NE68" s="5"/>
      <c r="NF68" s="5"/>
      <c r="NG68" s="5"/>
      <c r="NH68" s="5"/>
      <c r="NI68" s="5"/>
      <c r="NJ68" s="5"/>
      <c r="NK68" s="5"/>
      <c r="NL68" s="5"/>
      <c r="NM68" s="5"/>
      <c r="NN68" s="5"/>
      <c r="NO68" s="5"/>
      <c r="NP68" s="5"/>
      <c r="NQ68" s="5"/>
      <c r="NR68" s="5"/>
      <c r="NS68" s="5"/>
      <c r="NT68" s="5"/>
      <c r="NU68" s="5"/>
      <c r="NV68" s="5"/>
      <c r="NW68" s="5"/>
      <c r="NX68" s="5"/>
      <c r="NY68" s="5"/>
      <c r="NZ68" s="5"/>
      <c r="OA68" s="5"/>
      <c r="OB68" s="5"/>
      <c r="OC68" s="5"/>
      <c r="OD68" s="5"/>
      <c r="OE68" s="5"/>
      <c r="OF68" s="5"/>
      <c r="OG68" s="5"/>
      <c r="OH68" s="5"/>
      <c r="OI68" s="5"/>
      <c r="OJ68" s="5"/>
      <c r="OK68" s="5"/>
      <c r="OL68" s="5"/>
      <c r="OM68" s="5"/>
      <c r="ON68" s="5"/>
      <c r="OO68" s="5"/>
      <c r="OP68" s="5"/>
      <c r="OQ68" s="5"/>
      <c r="OR68" s="5"/>
      <c r="OS68" s="5"/>
      <c r="OT68" s="5"/>
      <c r="OU68" s="5"/>
      <c r="OV68" s="5"/>
      <c r="OW68" s="5"/>
      <c r="OX68" s="5"/>
      <c r="OY68" s="5"/>
      <c r="OZ68" s="5"/>
      <c r="PA68" s="5"/>
      <c r="PB68" s="5"/>
      <c r="PC68" s="5"/>
      <c r="PD68" s="5"/>
      <c r="PE68" s="5"/>
      <c r="PF68" s="5"/>
      <c r="PG68" s="5"/>
      <c r="PH68" s="5"/>
      <c r="PI68" s="5"/>
      <c r="PJ68" s="5"/>
      <c r="PK68" s="5"/>
      <c r="PL68" s="5"/>
      <c r="PM68" s="5"/>
      <c r="PN68" s="5"/>
      <c r="PO68" s="5"/>
      <c r="PP68" s="5"/>
      <c r="PQ68" s="5"/>
      <c r="PR68" s="5"/>
      <c r="PS68" s="5"/>
      <c r="PT68" s="5"/>
      <c r="PU68" s="5"/>
      <c r="PV68" s="5"/>
      <c r="PW68" s="5"/>
      <c r="PX68" s="5"/>
      <c r="PY68" s="5"/>
      <c r="PZ68" s="5"/>
      <c r="QA68" s="5"/>
      <c r="QB68" s="5"/>
      <c r="QC68" s="5"/>
      <c r="QD68" s="5"/>
      <c r="QE68" s="5"/>
      <c r="QF68" s="5"/>
      <c r="QG68" s="5"/>
      <c r="QH68" s="5"/>
      <c r="QI68" s="5"/>
      <c r="QJ68" s="5"/>
      <c r="QK68" s="5"/>
      <c r="QL68" s="5"/>
      <c r="QM68" s="5"/>
      <c r="QN68" s="5"/>
      <c r="QO68" s="5"/>
      <c r="QP68" s="5"/>
      <c r="QQ68" s="5"/>
      <c r="QR68" s="5"/>
      <c r="QS68" s="5"/>
      <c r="QT68" s="5"/>
      <c r="QU68" s="5"/>
      <c r="QV68" s="5"/>
      <c r="QW68" s="5"/>
      <c r="QX68" s="5"/>
      <c r="QY68" s="5"/>
      <c r="QZ68" s="5"/>
      <c r="RA68" s="5"/>
      <c r="RB68" s="5"/>
      <c r="RC68" s="5"/>
      <c r="RD68" s="5"/>
      <c r="RE68" s="5"/>
      <c r="RF68" s="5"/>
      <c r="RG68" s="5"/>
      <c r="RH68" s="5"/>
      <c r="RI68" s="5"/>
      <c r="RJ68" s="5"/>
      <c r="RK68" s="5"/>
      <c r="RL68" s="5"/>
      <c r="RM68" s="5"/>
      <c r="RN68" s="5"/>
      <c r="RO68" s="5"/>
      <c r="RP68" s="5"/>
      <c r="RQ68" s="5"/>
      <c r="RR68" s="5"/>
      <c r="RS68" s="5"/>
      <c r="RT68" s="5"/>
      <c r="RU68" s="5"/>
      <c r="RV68" s="5"/>
      <c r="RW68" s="5"/>
      <c r="RX68" s="5"/>
      <c r="RY68" s="5"/>
      <c r="RZ68" s="5"/>
      <c r="SA68" s="5"/>
      <c r="SB68" s="5"/>
      <c r="SC68" s="5"/>
      <c r="SD68" s="5"/>
      <c r="SE68" s="5"/>
      <c r="SF68" s="5"/>
      <c r="SG68" s="5"/>
      <c r="SH68" s="5"/>
      <c r="SI68" s="5"/>
      <c r="SJ68" s="5"/>
      <c r="SK68" s="5"/>
      <c r="SL68" s="5"/>
      <c r="SM68" s="5"/>
      <c r="SN68" s="5"/>
      <c r="SO68" s="5"/>
      <c r="SP68" s="5"/>
      <c r="SQ68" s="5"/>
      <c r="SR68" s="5"/>
      <c r="SS68" s="5"/>
      <c r="ST68" s="5"/>
      <c r="SU68" s="5"/>
      <c r="SV68" s="5"/>
      <c r="SW68" s="5"/>
      <c r="SX68" s="5"/>
      <c r="SY68" s="5"/>
      <c r="SZ68" s="5"/>
      <c r="TA68" s="5"/>
      <c r="TB68" s="5"/>
      <c r="TC68" s="5"/>
      <c r="TD68" s="5"/>
      <c r="TE68" s="5"/>
      <c r="TF68" s="5"/>
      <c r="TG68" s="5"/>
      <c r="TH68" s="5"/>
      <c r="TI68" s="5"/>
      <c r="TJ68" s="5"/>
      <c r="TK68" s="5"/>
      <c r="TL68" s="5"/>
      <c r="TM68" s="5"/>
      <c r="TN68" s="5"/>
      <c r="TO68" s="5"/>
      <c r="TP68" s="5"/>
      <c r="TQ68" s="5"/>
      <c r="TR68" s="5"/>
      <c r="TS68" s="5"/>
      <c r="TT68" s="5"/>
      <c r="TU68" s="5"/>
      <c r="TV68" s="5"/>
      <c r="TW68" s="5"/>
      <c r="TX68" s="5"/>
      <c r="TY68" s="5"/>
      <c r="TZ68" s="5"/>
      <c r="UA68" s="5"/>
      <c r="UB68" s="5"/>
      <c r="UC68" s="5"/>
      <c r="UD68" s="5"/>
      <c r="UE68" s="5"/>
      <c r="UF68" s="5"/>
      <c r="UG68" s="5"/>
      <c r="UH68" s="5"/>
      <c r="UI68" s="5"/>
      <c r="UJ68" s="5"/>
      <c r="UK68" s="5"/>
      <c r="UL68" s="5"/>
      <c r="UM68" s="5"/>
      <c r="UN68" s="5"/>
      <c r="UO68" s="5"/>
      <c r="UP68" s="5"/>
      <c r="UQ68" s="5"/>
      <c r="UR68" s="5"/>
      <c r="US68" s="5"/>
      <c r="UT68" s="5"/>
      <c r="UU68" s="5"/>
      <c r="UV68" s="5"/>
      <c r="UW68" s="5"/>
      <c r="UX68" s="5"/>
      <c r="UY68" s="5"/>
      <c r="UZ68" s="5"/>
      <c r="VA68" s="5"/>
      <c r="VB68" s="5"/>
      <c r="VC68" s="5"/>
      <c r="VD68" s="5"/>
      <c r="VE68" s="5"/>
      <c r="VF68" s="5"/>
      <c r="VG68" s="5"/>
      <c r="VH68" s="5"/>
      <c r="VI68" s="5"/>
      <c r="VJ68" s="5"/>
      <c r="VK68" s="5"/>
      <c r="VL68" s="5"/>
      <c r="VM68" s="5"/>
      <c r="VN68" s="5"/>
      <c r="VO68" s="5"/>
      <c r="VP68" s="5"/>
      <c r="VQ68" s="5"/>
      <c r="VR68" s="5"/>
      <c r="VS68" s="5"/>
      <c r="VT68" s="5"/>
      <c r="VU68" s="5"/>
      <c r="VV68" s="5"/>
      <c r="VW68" s="5"/>
      <c r="VX68" s="5"/>
      <c r="VY68" s="5"/>
      <c r="VZ68" s="5"/>
      <c r="WA68" s="5"/>
      <c r="WB68" s="5"/>
      <c r="WC68" s="5"/>
      <c r="WD68" s="5"/>
      <c r="WE68" s="5"/>
      <c r="WF68" s="5"/>
      <c r="WG68" s="5"/>
      <c r="WH68" s="5"/>
      <c r="WI68" s="5"/>
      <c r="WJ68" s="5"/>
      <c r="WK68" s="5"/>
      <c r="WL68" s="5"/>
      <c r="WM68" s="5"/>
      <c r="WN68" s="5"/>
      <c r="WO68" s="5"/>
      <c r="WP68" s="5"/>
      <c r="WQ68" s="5"/>
      <c r="WR68" s="5"/>
      <c r="WS68" s="5"/>
      <c r="WT68" s="5"/>
      <c r="WU68" s="5"/>
      <c r="WV68" s="5"/>
      <c r="WW68" s="5"/>
      <c r="WX68" s="5"/>
      <c r="WY68" s="5"/>
      <c r="WZ68" s="5"/>
      <c r="XA68" s="5"/>
      <c r="XB68" s="5"/>
      <c r="XC68" s="5"/>
      <c r="XD68" s="5"/>
      <c r="XE68" s="5"/>
      <c r="XF68" s="5"/>
      <c r="XG68" s="5"/>
      <c r="XH68" s="5"/>
      <c r="XI68" s="5"/>
      <c r="XJ68" s="5"/>
      <c r="XK68" s="5"/>
      <c r="XL68" s="5"/>
      <c r="XM68" s="5"/>
      <c r="XN68" s="5"/>
      <c r="XO68" s="5"/>
      <c r="XP68" s="5"/>
      <c r="XQ68" s="5"/>
      <c r="XR68" s="5"/>
      <c r="XS68" s="5"/>
      <c r="XT68" s="5"/>
      <c r="XU68" s="5"/>
      <c r="XV68" s="5"/>
      <c r="XW68" s="5"/>
      <c r="XX68" s="5"/>
      <c r="XY68" s="5"/>
      <c r="XZ68" s="5"/>
      <c r="YA68" s="5"/>
      <c r="YB68" s="5"/>
      <c r="YC68" s="5"/>
      <c r="YD68" s="5"/>
      <c r="YE68" s="5"/>
      <c r="YF68" s="5"/>
      <c r="YG68" s="5"/>
      <c r="YH68" s="5"/>
      <c r="YI68" s="5"/>
      <c r="YJ68" s="5"/>
      <c r="YK68" s="5"/>
      <c r="YL68" s="5"/>
      <c r="YM68" s="5"/>
      <c r="YN68" s="5"/>
      <c r="YO68" s="5"/>
      <c r="YP68" s="5"/>
      <c r="YQ68" s="5"/>
      <c r="YR68" s="5"/>
      <c r="YS68" s="5"/>
      <c r="YT68" s="5"/>
      <c r="YU68" s="5"/>
      <c r="YV68" s="5"/>
      <c r="YW68" s="5"/>
      <c r="YX68" s="5"/>
      <c r="YY68" s="5"/>
      <c r="YZ68" s="5"/>
    </row>
    <row r="69" spans="1:676">
      <c r="A69" s="7">
        <v>59</v>
      </c>
      <c r="B69" s="7" t="s">
        <v>180</v>
      </c>
      <c r="C69" s="10" t="s">
        <v>181</v>
      </c>
      <c r="D69" s="7" t="s">
        <v>60</v>
      </c>
      <c r="E69" s="7" t="s">
        <v>93</v>
      </c>
      <c r="F69" s="7" t="s">
        <v>90</v>
      </c>
      <c r="G69" s="7"/>
      <c r="H69" s="7" t="s">
        <v>43</v>
      </c>
      <c r="I69" s="11">
        <v>2</v>
      </c>
      <c r="J69" s="11">
        <v>3</v>
      </c>
      <c r="K69" s="11">
        <v>0</v>
      </c>
      <c r="L69" s="11">
        <v>4.610000000000001</v>
      </c>
      <c r="M69" s="11">
        <v>0.08</v>
      </c>
      <c r="N69" s="11">
        <v>0</v>
      </c>
      <c r="O69" s="11">
        <v>0.74</v>
      </c>
      <c r="P69" s="11">
        <v>0.8</v>
      </c>
      <c r="Q69" s="11">
        <v>6.23</v>
      </c>
      <c r="R69" s="11">
        <v>0</v>
      </c>
      <c r="S69" s="11">
        <v>6.23</v>
      </c>
      <c r="T69" s="11">
        <v>2</v>
      </c>
      <c r="U69" s="11">
        <v>3</v>
      </c>
      <c r="V69" s="11">
        <v>1.23</v>
      </c>
      <c r="W69" s="13">
        <v>2</v>
      </c>
      <c r="X69" s="13">
        <v>3</v>
      </c>
      <c r="Y69" s="13" t="str">
        <f>MIN(W69,S69)</f>
        <v>0</v>
      </c>
      <c r="Z69" s="13" t="str">
        <f>MIN(X69,(S69-Y69))</f>
        <v>0</v>
      </c>
      <c r="AA69" s="13" t="str">
        <f>S69-SUM(Y69,Z69)</f>
        <v>0</v>
      </c>
      <c r="AB69" s="15"/>
      <c r="AC69" s="15"/>
      <c r="AD69" s="1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  <c r="IX69" s="5"/>
      <c r="IY69" s="5"/>
      <c r="IZ69" s="5"/>
      <c r="JA69" s="5"/>
      <c r="JB69" s="5"/>
      <c r="JC69" s="5"/>
      <c r="JD69" s="5"/>
      <c r="JE69" s="5"/>
      <c r="JF69" s="5"/>
      <c r="JG69" s="5"/>
      <c r="JH69" s="5"/>
      <c r="JI69" s="5"/>
      <c r="JJ69" s="5"/>
      <c r="JK69" s="5"/>
      <c r="JL69" s="5"/>
      <c r="JM69" s="5"/>
      <c r="JN69" s="5"/>
      <c r="JO69" s="5"/>
      <c r="JP69" s="5"/>
      <c r="JQ69" s="5"/>
      <c r="JR69" s="5"/>
      <c r="JS69" s="5"/>
      <c r="JT69" s="5"/>
      <c r="JU69" s="5"/>
      <c r="JV69" s="5"/>
      <c r="JW69" s="5"/>
      <c r="JX69" s="5"/>
      <c r="JY69" s="5"/>
      <c r="JZ69" s="5"/>
      <c r="KA69" s="5"/>
      <c r="KB69" s="5"/>
      <c r="KC69" s="5"/>
      <c r="KD69" s="5"/>
      <c r="KE69" s="5"/>
      <c r="KF69" s="5"/>
      <c r="KG69" s="5"/>
      <c r="KH69" s="5"/>
      <c r="KI69" s="5"/>
      <c r="KJ69" s="5"/>
      <c r="KK69" s="5"/>
      <c r="KL69" s="5"/>
      <c r="KM69" s="5"/>
      <c r="KN69" s="5"/>
      <c r="KO69" s="5"/>
      <c r="KP69" s="5"/>
      <c r="KQ69" s="5"/>
      <c r="KR69" s="5"/>
      <c r="KS69" s="5"/>
      <c r="KT69" s="5"/>
      <c r="KU69" s="5"/>
      <c r="KV69" s="5"/>
      <c r="KW69" s="5"/>
      <c r="KX69" s="5"/>
      <c r="KY69" s="5"/>
      <c r="KZ69" s="5"/>
      <c r="LA69" s="5"/>
      <c r="LB69" s="5"/>
      <c r="LC69" s="5"/>
      <c r="LD69" s="5"/>
      <c r="LE69" s="5"/>
      <c r="LF69" s="5"/>
      <c r="LG69" s="5"/>
      <c r="LH69" s="5"/>
      <c r="LI69" s="5"/>
      <c r="LJ69" s="5"/>
      <c r="LK69" s="5"/>
      <c r="LL69" s="5"/>
      <c r="LM69" s="5"/>
      <c r="LN69" s="5"/>
      <c r="LO69" s="5"/>
      <c r="LP69" s="5"/>
      <c r="LQ69" s="5"/>
      <c r="LR69" s="5"/>
      <c r="LS69" s="5"/>
      <c r="LT69" s="5"/>
      <c r="LU69" s="5"/>
      <c r="LV69" s="5"/>
      <c r="LW69" s="5"/>
      <c r="LX69" s="5"/>
      <c r="LY69" s="5"/>
      <c r="LZ69" s="5"/>
      <c r="MA69" s="5"/>
      <c r="MB69" s="5"/>
      <c r="MC69" s="5"/>
      <c r="MD69" s="5"/>
      <c r="ME69" s="5"/>
      <c r="MF69" s="5"/>
      <c r="MG69" s="5"/>
      <c r="MH69" s="5"/>
      <c r="MI69" s="5"/>
      <c r="MJ69" s="5"/>
      <c r="MK69" s="5"/>
      <c r="ML69" s="5"/>
      <c r="MM69" s="5"/>
      <c r="MN69" s="5"/>
      <c r="MO69" s="5"/>
      <c r="MP69" s="5"/>
      <c r="MQ69" s="5"/>
      <c r="MR69" s="5"/>
      <c r="MS69" s="5"/>
      <c r="MT69" s="5"/>
      <c r="MU69" s="5"/>
      <c r="MV69" s="5"/>
      <c r="MW69" s="5"/>
      <c r="MX69" s="5"/>
      <c r="MY69" s="5"/>
      <c r="MZ69" s="5"/>
      <c r="NA69" s="5"/>
      <c r="NB69" s="5"/>
      <c r="NC69" s="5"/>
      <c r="ND69" s="5"/>
      <c r="NE69" s="5"/>
      <c r="NF69" s="5"/>
      <c r="NG69" s="5"/>
      <c r="NH69" s="5"/>
      <c r="NI69" s="5"/>
      <c r="NJ69" s="5"/>
      <c r="NK69" s="5"/>
      <c r="NL69" s="5"/>
      <c r="NM69" s="5"/>
      <c r="NN69" s="5"/>
      <c r="NO69" s="5"/>
      <c r="NP69" s="5"/>
      <c r="NQ69" s="5"/>
      <c r="NR69" s="5"/>
      <c r="NS69" s="5"/>
      <c r="NT69" s="5"/>
      <c r="NU69" s="5"/>
      <c r="NV69" s="5"/>
      <c r="NW69" s="5"/>
      <c r="NX69" s="5"/>
      <c r="NY69" s="5"/>
      <c r="NZ69" s="5"/>
      <c r="OA69" s="5"/>
      <c r="OB69" s="5"/>
      <c r="OC69" s="5"/>
      <c r="OD69" s="5"/>
      <c r="OE69" s="5"/>
      <c r="OF69" s="5"/>
      <c r="OG69" s="5"/>
      <c r="OH69" s="5"/>
      <c r="OI69" s="5"/>
      <c r="OJ69" s="5"/>
      <c r="OK69" s="5"/>
      <c r="OL69" s="5"/>
      <c r="OM69" s="5"/>
      <c r="ON69" s="5"/>
      <c r="OO69" s="5"/>
      <c r="OP69" s="5"/>
      <c r="OQ69" s="5"/>
      <c r="OR69" s="5"/>
      <c r="OS69" s="5"/>
      <c r="OT69" s="5"/>
      <c r="OU69" s="5"/>
      <c r="OV69" s="5"/>
      <c r="OW69" s="5"/>
      <c r="OX69" s="5"/>
      <c r="OY69" s="5"/>
      <c r="OZ69" s="5"/>
      <c r="PA69" s="5"/>
      <c r="PB69" s="5"/>
      <c r="PC69" s="5"/>
      <c r="PD69" s="5"/>
      <c r="PE69" s="5"/>
      <c r="PF69" s="5"/>
      <c r="PG69" s="5"/>
      <c r="PH69" s="5"/>
      <c r="PI69" s="5"/>
      <c r="PJ69" s="5"/>
      <c r="PK69" s="5"/>
      <c r="PL69" s="5"/>
      <c r="PM69" s="5"/>
      <c r="PN69" s="5"/>
      <c r="PO69" s="5"/>
      <c r="PP69" s="5"/>
      <c r="PQ69" s="5"/>
      <c r="PR69" s="5"/>
      <c r="PS69" s="5"/>
      <c r="PT69" s="5"/>
      <c r="PU69" s="5"/>
      <c r="PV69" s="5"/>
      <c r="PW69" s="5"/>
      <c r="PX69" s="5"/>
      <c r="PY69" s="5"/>
      <c r="PZ69" s="5"/>
      <c r="QA69" s="5"/>
      <c r="QB69" s="5"/>
      <c r="QC69" s="5"/>
      <c r="QD69" s="5"/>
      <c r="QE69" s="5"/>
      <c r="QF69" s="5"/>
      <c r="QG69" s="5"/>
      <c r="QH69" s="5"/>
      <c r="QI69" s="5"/>
      <c r="QJ69" s="5"/>
      <c r="QK69" s="5"/>
      <c r="QL69" s="5"/>
      <c r="QM69" s="5"/>
      <c r="QN69" s="5"/>
      <c r="QO69" s="5"/>
      <c r="QP69" s="5"/>
      <c r="QQ69" s="5"/>
      <c r="QR69" s="5"/>
      <c r="QS69" s="5"/>
      <c r="QT69" s="5"/>
      <c r="QU69" s="5"/>
      <c r="QV69" s="5"/>
      <c r="QW69" s="5"/>
      <c r="QX69" s="5"/>
      <c r="QY69" s="5"/>
      <c r="QZ69" s="5"/>
      <c r="RA69" s="5"/>
      <c r="RB69" s="5"/>
      <c r="RC69" s="5"/>
      <c r="RD69" s="5"/>
      <c r="RE69" s="5"/>
      <c r="RF69" s="5"/>
      <c r="RG69" s="5"/>
      <c r="RH69" s="5"/>
      <c r="RI69" s="5"/>
      <c r="RJ69" s="5"/>
      <c r="RK69" s="5"/>
      <c r="RL69" s="5"/>
      <c r="RM69" s="5"/>
      <c r="RN69" s="5"/>
      <c r="RO69" s="5"/>
      <c r="RP69" s="5"/>
      <c r="RQ69" s="5"/>
      <c r="RR69" s="5"/>
      <c r="RS69" s="5"/>
      <c r="RT69" s="5"/>
      <c r="RU69" s="5"/>
      <c r="RV69" s="5"/>
      <c r="RW69" s="5"/>
      <c r="RX69" s="5"/>
      <c r="RY69" s="5"/>
      <c r="RZ69" s="5"/>
      <c r="SA69" s="5"/>
      <c r="SB69" s="5"/>
      <c r="SC69" s="5"/>
      <c r="SD69" s="5"/>
      <c r="SE69" s="5"/>
      <c r="SF69" s="5"/>
      <c r="SG69" s="5"/>
      <c r="SH69" s="5"/>
      <c r="SI69" s="5"/>
      <c r="SJ69" s="5"/>
      <c r="SK69" s="5"/>
      <c r="SL69" s="5"/>
      <c r="SM69" s="5"/>
      <c r="SN69" s="5"/>
      <c r="SO69" s="5"/>
      <c r="SP69" s="5"/>
      <c r="SQ69" s="5"/>
      <c r="SR69" s="5"/>
      <c r="SS69" s="5"/>
      <c r="ST69" s="5"/>
      <c r="SU69" s="5"/>
      <c r="SV69" s="5"/>
      <c r="SW69" s="5"/>
      <c r="SX69" s="5"/>
      <c r="SY69" s="5"/>
      <c r="SZ69" s="5"/>
      <c r="TA69" s="5"/>
      <c r="TB69" s="5"/>
      <c r="TC69" s="5"/>
      <c r="TD69" s="5"/>
      <c r="TE69" s="5"/>
      <c r="TF69" s="5"/>
      <c r="TG69" s="5"/>
      <c r="TH69" s="5"/>
      <c r="TI69" s="5"/>
      <c r="TJ69" s="5"/>
      <c r="TK69" s="5"/>
      <c r="TL69" s="5"/>
      <c r="TM69" s="5"/>
      <c r="TN69" s="5"/>
      <c r="TO69" s="5"/>
      <c r="TP69" s="5"/>
      <c r="TQ69" s="5"/>
      <c r="TR69" s="5"/>
      <c r="TS69" s="5"/>
      <c r="TT69" s="5"/>
      <c r="TU69" s="5"/>
      <c r="TV69" s="5"/>
      <c r="TW69" s="5"/>
      <c r="TX69" s="5"/>
      <c r="TY69" s="5"/>
      <c r="TZ69" s="5"/>
      <c r="UA69" s="5"/>
      <c r="UB69" s="5"/>
      <c r="UC69" s="5"/>
      <c r="UD69" s="5"/>
      <c r="UE69" s="5"/>
      <c r="UF69" s="5"/>
      <c r="UG69" s="5"/>
      <c r="UH69" s="5"/>
      <c r="UI69" s="5"/>
      <c r="UJ69" s="5"/>
      <c r="UK69" s="5"/>
      <c r="UL69" s="5"/>
      <c r="UM69" s="5"/>
      <c r="UN69" s="5"/>
      <c r="UO69" s="5"/>
      <c r="UP69" s="5"/>
      <c r="UQ69" s="5"/>
      <c r="UR69" s="5"/>
      <c r="US69" s="5"/>
      <c r="UT69" s="5"/>
      <c r="UU69" s="5"/>
      <c r="UV69" s="5"/>
      <c r="UW69" s="5"/>
      <c r="UX69" s="5"/>
      <c r="UY69" s="5"/>
      <c r="UZ69" s="5"/>
      <c r="VA69" s="5"/>
      <c r="VB69" s="5"/>
      <c r="VC69" s="5"/>
      <c r="VD69" s="5"/>
      <c r="VE69" s="5"/>
      <c r="VF69" s="5"/>
      <c r="VG69" s="5"/>
      <c r="VH69" s="5"/>
      <c r="VI69" s="5"/>
      <c r="VJ69" s="5"/>
      <c r="VK69" s="5"/>
      <c r="VL69" s="5"/>
      <c r="VM69" s="5"/>
      <c r="VN69" s="5"/>
      <c r="VO69" s="5"/>
      <c r="VP69" s="5"/>
      <c r="VQ69" s="5"/>
      <c r="VR69" s="5"/>
      <c r="VS69" s="5"/>
      <c r="VT69" s="5"/>
      <c r="VU69" s="5"/>
      <c r="VV69" s="5"/>
      <c r="VW69" s="5"/>
      <c r="VX69" s="5"/>
      <c r="VY69" s="5"/>
      <c r="VZ69" s="5"/>
      <c r="WA69" s="5"/>
      <c r="WB69" s="5"/>
      <c r="WC69" s="5"/>
      <c r="WD69" s="5"/>
      <c r="WE69" s="5"/>
      <c r="WF69" s="5"/>
      <c r="WG69" s="5"/>
      <c r="WH69" s="5"/>
      <c r="WI69" s="5"/>
      <c r="WJ69" s="5"/>
      <c r="WK69" s="5"/>
      <c r="WL69" s="5"/>
      <c r="WM69" s="5"/>
      <c r="WN69" s="5"/>
      <c r="WO69" s="5"/>
      <c r="WP69" s="5"/>
      <c r="WQ69" s="5"/>
      <c r="WR69" s="5"/>
      <c r="WS69" s="5"/>
      <c r="WT69" s="5"/>
      <c r="WU69" s="5"/>
      <c r="WV69" s="5"/>
      <c r="WW69" s="5"/>
      <c r="WX69" s="5"/>
      <c r="WY69" s="5"/>
      <c r="WZ69" s="5"/>
      <c r="XA69" s="5"/>
      <c r="XB69" s="5"/>
      <c r="XC69" s="5"/>
      <c r="XD69" s="5"/>
      <c r="XE69" s="5"/>
      <c r="XF69" s="5"/>
      <c r="XG69" s="5"/>
      <c r="XH69" s="5"/>
      <c r="XI69" s="5"/>
      <c r="XJ69" s="5"/>
      <c r="XK69" s="5"/>
      <c r="XL69" s="5"/>
      <c r="XM69" s="5"/>
      <c r="XN69" s="5"/>
      <c r="XO69" s="5"/>
      <c r="XP69" s="5"/>
      <c r="XQ69" s="5"/>
      <c r="XR69" s="5"/>
      <c r="XS69" s="5"/>
      <c r="XT69" s="5"/>
      <c r="XU69" s="5"/>
      <c r="XV69" s="5"/>
      <c r="XW69" s="5"/>
      <c r="XX69" s="5"/>
      <c r="XY69" s="5"/>
      <c r="XZ69" s="5"/>
      <c r="YA69" s="5"/>
      <c r="YB69" s="5"/>
      <c r="YC69" s="5"/>
      <c r="YD69" s="5"/>
      <c r="YE69" s="5"/>
      <c r="YF69" s="5"/>
      <c r="YG69" s="5"/>
      <c r="YH69" s="5"/>
      <c r="YI69" s="5"/>
      <c r="YJ69" s="5"/>
      <c r="YK69" s="5"/>
      <c r="YL69" s="5"/>
      <c r="YM69" s="5"/>
      <c r="YN69" s="5"/>
      <c r="YO69" s="5"/>
      <c r="YP69" s="5"/>
      <c r="YQ69" s="5"/>
      <c r="YR69" s="5"/>
      <c r="YS69" s="5"/>
      <c r="YT69" s="5"/>
      <c r="YU69" s="5"/>
      <c r="YV69" s="5"/>
      <c r="YW69" s="5"/>
      <c r="YX69" s="5"/>
      <c r="YY69" s="5"/>
      <c r="YZ69" s="5"/>
    </row>
    <row r="70" spans="1:676">
      <c r="A70" s="7">
        <v>60</v>
      </c>
      <c r="B70" s="7" t="s">
        <v>182</v>
      </c>
      <c r="C70" s="10" t="s">
        <v>183</v>
      </c>
      <c r="D70" s="7" t="s">
        <v>51</v>
      </c>
      <c r="E70" s="7" t="s">
        <v>93</v>
      </c>
      <c r="F70" s="7" t="s">
        <v>90</v>
      </c>
      <c r="G70" s="7"/>
      <c r="H70" s="7" t="s">
        <v>184</v>
      </c>
      <c r="I70" s="11">
        <v>2</v>
      </c>
      <c r="J70" s="11">
        <v>3</v>
      </c>
      <c r="K70" s="11">
        <v>1.33</v>
      </c>
      <c r="L70" s="11">
        <v>5.039999999999997</v>
      </c>
      <c r="M70" s="11">
        <v>0.4</v>
      </c>
      <c r="N70" s="11">
        <v>0</v>
      </c>
      <c r="O70" s="11">
        <v>0</v>
      </c>
      <c r="P70" s="11">
        <v>0.8</v>
      </c>
      <c r="Q70" s="11">
        <v>7.569999999999997</v>
      </c>
      <c r="R70" s="11">
        <v>0</v>
      </c>
      <c r="S70" s="11">
        <v>7.569999999999997</v>
      </c>
      <c r="T70" s="11">
        <v>2</v>
      </c>
      <c r="U70" s="11">
        <v>3</v>
      </c>
      <c r="V70" s="11">
        <v>2.569999999999997</v>
      </c>
      <c r="W70" s="13">
        <v>2</v>
      </c>
      <c r="X70" s="13">
        <v>3</v>
      </c>
      <c r="Y70" s="13" t="str">
        <f>MIN(W70,S70)</f>
        <v>0</v>
      </c>
      <c r="Z70" s="13" t="str">
        <f>MIN(X70,(S70-Y70))</f>
        <v>0</v>
      </c>
      <c r="AA70" s="13" t="str">
        <f>S70-SUM(Y70,Z70)</f>
        <v>0</v>
      </c>
      <c r="AB70" s="15"/>
      <c r="AC70" s="15"/>
      <c r="AD70" s="1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  <c r="IX70" s="5"/>
      <c r="IY70" s="5"/>
      <c r="IZ70" s="5"/>
      <c r="JA70" s="5"/>
      <c r="JB70" s="5"/>
      <c r="JC70" s="5"/>
      <c r="JD70" s="5"/>
      <c r="JE70" s="5"/>
      <c r="JF70" s="5"/>
      <c r="JG70" s="5"/>
      <c r="JH70" s="5"/>
      <c r="JI70" s="5"/>
      <c r="JJ70" s="5"/>
      <c r="JK70" s="5"/>
      <c r="JL70" s="5"/>
      <c r="JM70" s="5"/>
      <c r="JN70" s="5"/>
      <c r="JO70" s="5"/>
      <c r="JP70" s="5"/>
      <c r="JQ70" s="5"/>
      <c r="JR70" s="5"/>
      <c r="JS70" s="5"/>
      <c r="JT70" s="5"/>
      <c r="JU70" s="5"/>
      <c r="JV70" s="5"/>
      <c r="JW70" s="5"/>
      <c r="JX70" s="5"/>
      <c r="JY70" s="5"/>
      <c r="JZ70" s="5"/>
      <c r="KA70" s="5"/>
      <c r="KB70" s="5"/>
      <c r="KC70" s="5"/>
      <c r="KD70" s="5"/>
      <c r="KE70" s="5"/>
      <c r="KF70" s="5"/>
      <c r="KG70" s="5"/>
      <c r="KH70" s="5"/>
      <c r="KI70" s="5"/>
      <c r="KJ70" s="5"/>
      <c r="KK70" s="5"/>
      <c r="KL70" s="5"/>
      <c r="KM70" s="5"/>
      <c r="KN70" s="5"/>
      <c r="KO70" s="5"/>
      <c r="KP70" s="5"/>
      <c r="KQ70" s="5"/>
      <c r="KR70" s="5"/>
      <c r="KS70" s="5"/>
      <c r="KT70" s="5"/>
      <c r="KU70" s="5"/>
      <c r="KV70" s="5"/>
      <c r="KW70" s="5"/>
      <c r="KX70" s="5"/>
      <c r="KY70" s="5"/>
      <c r="KZ70" s="5"/>
      <c r="LA70" s="5"/>
      <c r="LB70" s="5"/>
      <c r="LC70" s="5"/>
      <c r="LD70" s="5"/>
      <c r="LE70" s="5"/>
      <c r="LF70" s="5"/>
      <c r="LG70" s="5"/>
      <c r="LH70" s="5"/>
      <c r="LI70" s="5"/>
      <c r="LJ70" s="5"/>
      <c r="LK70" s="5"/>
      <c r="LL70" s="5"/>
      <c r="LM70" s="5"/>
      <c r="LN70" s="5"/>
      <c r="LO70" s="5"/>
      <c r="LP70" s="5"/>
      <c r="LQ70" s="5"/>
      <c r="LR70" s="5"/>
      <c r="LS70" s="5"/>
      <c r="LT70" s="5"/>
      <c r="LU70" s="5"/>
      <c r="LV70" s="5"/>
      <c r="LW70" s="5"/>
      <c r="LX70" s="5"/>
      <c r="LY70" s="5"/>
      <c r="LZ70" s="5"/>
      <c r="MA70" s="5"/>
      <c r="MB70" s="5"/>
      <c r="MC70" s="5"/>
      <c r="MD70" s="5"/>
      <c r="ME70" s="5"/>
      <c r="MF70" s="5"/>
      <c r="MG70" s="5"/>
      <c r="MH70" s="5"/>
      <c r="MI70" s="5"/>
      <c r="MJ70" s="5"/>
      <c r="MK70" s="5"/>
      <c r="ML70" s="5"/>
      <c r="MM70" s="5"/>
      <c r="MN70" s="5"/>
      <c r="MO70" s="5"/>
      <c r="MP70" s="5"/>
      <c r="MQ70" s="5"/>
      <c r="MR70" s="5"/>
      <c r="MS70" s="5"/>
      <c r="MT70" s="5"/>
      <c r="MU70" s="5"/>
      <c r="MV70" s="5"/>
      <c r="MW70" s="5"/>
      <c r="MX70" s="5"/>
      <c r="MY70" s="5"/>
      <c r="MZ70" s="5"/>
      <c r="NA70" s="5"/>
      <c r="NB70" s="5"/>
      <c r="NC70" s="5"/>
      <c r="ND70" s="5"/>
      <c r="NE70" s="5"/>
      <c r="NF70" s="5"/>
      <c r="NG70" s="5"/>
      <c r="NH70" s="5"/>
      <c r="NI70" s="5"/>
      <c r="NJ70" s="5"/>
      <c r="NK70" s="5"/>
      <c r="NL70" s="5"/>
      <c r="NM70" s="5"/>
      <c r="NN70" s="5"/>
      <c r="NO70" s="5"/>
      <c r="NP70" s="5"/>
      <c r="NQ70" s="5"/>
      <c r="NR70" s="5"/>
      <c r="NS70" s="5"/>
      <c r="NT70" s="5"/>
      <c r="NU70" s="5"/>
      <c r="NV70" s="5"/>
      <c r="NW70" s="5"/>
      <c r="NX70" s="5"/>
      <c r="NY70" s="5"/>
      <c r="NZ70" s="5"/>
      <c r="OA70" s="5"/>
      <c r="OB70" s="5"/>
      <c r="OC70" s="5"/>
      <c r="OD70" s="5"/>
      <c r="OE70" s="5"/>
      <c r="OF70" s="5"/>
      <c r="OG70" s="5"/>
      <c r="OH70" s="5"/>
      <c r="OI70" s="5"/>
      <c r="OJ70" s="5"/>
      <c r="OK70" s="5"/>
      <c r="OL70" s="5"/>
      <c r="OM70" s="5"/>
      <c r="ON70" s="5"/>
      <c r="OO70" s="5"/>
      <c r="OP70" s="5"/>
      <c r="OQ70" s="5"/>
      <c r="OR70" s="5"/>
      <c r="OS70" s="5"/>
      <c r="OT70" s="5"/>
      <c r="OU70" s="5"/>
      <c r="OV70" s="5"/>
      <c r="OW70" s="5"/>
      <c r="OX70" s="5"/>
      <c r="OY70" s="5"/>
      <c r="OZ70" s="5"/>
      <c r="PA70" s="5"/>
      <c r="PB70" s="5"/>
      <c r="PC70" s="5"/>
      <c r="PD70" s="5"/>
      <c r="PE70" s="5"/>
      <c r="PF70" s="5"/>
      <c r="PG70" s="5"/>
      <c r="PH70" s="5"/>
      <c r="PI70" s="5"/>
      <c r="PJ70" s="5"/>
      <c r="PK70" s="5"/>
      <c r="PL70" s="5"/>
      <c r="PM70" s="5"/>
      <c r="PN70" s="5"/>
      <c r="PO70" s="5"/>
      <c r="PP70" s="5"/>
      <c r="PQ70" s="5"/>
      <c r="PR70" s="5"/>
      <c r="PS70" s="5"/>
      <c r="PT70" s="5"/>
      <c r="PU70" s="5"/>
      <c r="PV70" s="5"/>
      <c r="PW70" s="5"/>
      <c r="PX70" s="5"/>
      <c r="PY70" s="5"/>
      <c r="PZ70" s="5"/>
      <c r="QA70" s="5"/>
      <c r="QB70" s="5"/>
      <c r="QC70" s="5"/>
      <c r="QD70" s="5"/>
      <c r="QE70" s="5"/>
      <c r="QF70" s="5"/>
      <c r="QG70" s="5"/>
      <c r="QH70" s="5"/>
      <c r="QI70" s="5"/>
      <c r="QJ70" s="5"/>
      <c r="QK70" s="5"/>
      <c r="QL70" s="5"/>
      <c r="QM70" s="5"/>
      <c r="QN70" s="5"/>
      <c r="QO70" s="5"/>
      <c r="QP70" s="5"/>
      <c r="QQ70" s="5"/>
      <c r="QR70" s="5"/>
      <c r="QS70" s="5"/>
      <c r="QT70" s="5"/>
      <c r="QU70" s="5"/>
      <c r="QV70" s="5"/>
      <c r="QW70" s="5"/>
      <c r="QX70" s="5"/>
      <c r="QY70" s="5"/>
      <c r="QZ70" s="5"/>
      <c r="RA70" s="5"/>
      <c r="RB70" s="5"/>
      <c r="RC70" s="5"/>
      <c r="RD70" s="5"/>
      <c r="RE70" s="5"/>
      <c r="RF70" s="5"/>
      <c r="RG70" s="5"/>
      <c r="RH70" s="5"/>
      <c r="RI70" s="5"/>
      <c r="RJ70" s="5"/>
      <c r="RK70" s="5"/>
      <c r="RL70" s="5"/>
      <c r="RM70" s="5"/>
      <c r="RN70" s="5"/>
      <c r="RO70" s="5"/>
      <c r="RP70" s="5"/>
      <c r="RQ70" s="5"/>
      <c r="RR70" s="5"/>
      <c r="RS70" s="5"/>
      <c r="RT70" s="5"/>
      <c r="RU70" s="5"/>
      <c r="RV70" s="5"/>
      <c r="RW70" s="5"/>
      <c r="RX70" s="5"/>
      <c r="RY70" s="5"/>
      <c r="RZ70" s="5"/>
      <c r="SA70" s="5"/>
      <c r="SB70" s="5"/>
      <c r="SC70" s="5"/>
      <c r="SD70" s="5"/>
      <c r="SE70" s="5"/>
      <c r="SF70" s="5"/>
      <c r="SG70" s="5"/>
      <c r="SH70" s="5"/>
      <c r="SI70" s="5"/>
      <c r="SJ70" s="5"/>
      <c r="SK70" s="5"/>
      <c r="SL70" s="5"/>
      <c r="SM70" s="5"/>
      <c r="SN70" s="5"/>
      <c r="SO70" s="5"/>
      <c r="SP70" s="5"/>
      <c r="SQ70" s="5"/>
      <c r="SR70" s="5"/>
      <c r="SS70" s="5"/>
      <c r="ST70" s="5"/>
      <c r="SU70" s="5"/>
      <c r="SV70" s="5"/>
      <c r="SW70" s="5"/>
      <c r="SX70" s="5"/>
      <c r="SY70" s="5"/>
      <c r="SZ70" s="5"/>
      <c r="TA70" s="5"/>
      <c r="TB70" s="5"/>
      <c r="TC70" s="5"/>
      <c r="TD70" s="5"/>
      <c r="TE70" s="5"/>
      <c r="TF70" s="5"/>
      <c r="TG70" s="5"/>
      <c r="TH70" s="5"/>
      <c r="TI70" s="5"/>
      <c r="TJ70" s="5"/>
      <c r="TK70" s="5"/>
      <c r="TL70" s="5"/>
      <c r="TM70" s="5"/>
      <c r="TN70" s="5"/>
      <c r="TO70" s="5"/>
      <c r="TP70" s="5"/>
      <c r="TQ70" s="5"/>
      <c r="TR70" s="5"/>
      <c r="TS70" s="5"/>
      <c r="TT70" s="5"/>
      <c r="TU70" s="5"/>
      <c r="TV70" s="5"/>
      <c r="TW70" s="5"/>
      <c r="TX70" s="5"/>
      <c r="TY70" s="5"/>
      <c r="TZ70" s="5"/>
      <c r="UA70" s="5"/>
      <c r="UB70" s="5"/>
      <c r="UC70" s="5"/>
      <c r="UD70" s="5"/>
      <c r="UE70" s="5"/>
      <c r="UF70" s="5"/>
      <c r="UG70" s="5"/>
      <c r="UH70" s="5"/>
      <c r="UI70" s="5"/>
      <c r="UJ70" s="5"/>
      <c r="UK70" s="5"/>
      <c r="UL70" s="5"/>
      <c r="UM70" s="5"/>
      <c r="UN70" s="5"/>
      <c r="UO70" s="5"/>
      <c r="UP70" s="5"/>
      <c r="UQ70" s="5"/>
      <c r="UR70" s="5"/>
      <c r="US70" s="5"/>
      <c r="UT70" s="5"/>
      <c r="UU70" s="5"/>
      <c r="UV70" s="5"/>
      <c r="UW70" s="5"/>
      <c r="UX70" s="5"/>
      <c r="UY70" s="5"/>
      <c r="UZ70" s="5"/>
      <c r="VA70" s="5"/>
      <c r="VB70" s="5"/>
      <c r="VC70" s="5"/>
      <c r="VD70" s="5"/>
      <c r="VE70" s="5"/>
      <c r="VF70" s="5"/>
      <c r="VG70" s="5"/>
      <c r="VH70" s="5"/>
      <c r="VI70" s="5"/>
      <c r="VJ70" s="5"/>
      <c r="VK70" s="5"/>
      <c r="VL70" s="5"/>
      <c r="VM70" s="5"/>
      <c r="VN70" s="5"/>
      <c r="VO70" s="5"/>
      <c r="VP70" s="5"/>
      <c r="VQ70" s="5"/>
      <c r="VR70" s="5"/>
      <c r="VS70" s="5"/>
      <c r="VT70" s="5"/>
      <c r="VU70" s="5"/>
      <c r="VV70" s="5"/>
      <c r="VW70" s="5"/>
      <c r="VX70" s="5"/>
      <c r="VY70" s="5"/>
      <c r="VZ70" s="5"/>
      <c r="WA70" s="5"/>
      <c r="WB70" s="5"/>
      <c r="WC70" s="5"/>
      <c r="WD70" s="5"/>
      <c r="WE70" s="5"/>
      <c r="WF70" s="5"/>
      <c r="WG70" s="5"/>
      <c r="WH70" s="5"/>
      <c r="WI70" s="5"/>
      <c r="WJ70" s="5"/>
      <c r="WK70" s="5"/>
      <c r="WL70" s="5"/>
      <c r="WM70" s="5"/>
      <c r="WN70" s="5"/>
      <c r="WO70" s="5"/>
      <c r="WP70" s="5"/>
      <c r="WQ70" s="5"/>
      <c r="WR70" s="5"/>
      <c r="WS70" s="5"/>
      <c r="WT70" s="5"/>
      <c r="WU70" s="5"/>
      <c r="WV70" s="5"/>
      <c r="WW70" s="5"/>
      <c r="WX70" s="5"/>
      <c r="WY70" s="5"/>
      <c r="WZ70" s="5"/>
      <c r="XA70" s="5"/>
      <c r="XB70" s="5"/>
      <c r="XC70" s="5"/>
      <c r="XD70" s="5"/>
      <c r="XE70" s="5"/>
      <c r="XF70" s="5"/>
      <c r="XG70" s="5"/>
      <c r="XH70" s="5"/>
      <c r="XI70" s="5"/>
      <c r="XJ70" s="5"/>
      <c r="XK70" s="5"/>
      <c r="XL70" s="5"/>
      <c r="XM70" s="5"/>
      <c r="XN70" s="5"/>
      <c r="XO70" s="5"/>
      <c r="XP70" s="5"/>
      <c r="XQ70" s="5"/>
      <c r="XR70" s="5"/>
      <c r="XS70" s="5"/>
      <c r="XT70" s="5"/>
      <c r="XU70" s="5"/>
      <c r="XV70" s="5"/>
      <c r="XW70" s="5"/>
      <c r="XX70" s="5"/>
      <c r="XY70" s="5"/>
      <c r="XZ70" s="5"/>
      <c r="YA70" s="5"/>
      <c r="YB70" s="5"/>
      <c r="YC70" s="5"/>
      <c r="YD70" s="5"/>
      <c r="YE70" s="5"/>
      <c r="YF70" s="5"/>
      <c r="YG70" s="5"/>
      <c r="YH70" s="5"/>
      <c r="YI70" s="5"/>
      <c r="YJ70" s="5"/>
      <c r="YK70" s="5"/>
      <c r="YL70" s="5"/>
      <c r="YM70" s="5"/>
      <c r="YN70" s="5"/>
      <c r="YO70" s="5"/>
      <c r="YP70" s="5"/>
      <c r="YQ70" s="5"/>
      <c r="YR70" s="5"/>
      <c r="YS70" s="5"/>
      <c r="YT70" s="5"/>
      <c r="YU70" s="5"/>
      <c r="YV70" s="5"/>
      <c r="YW70" s="5"/>
      <c r="YX70" s="5"/>
      <c r="YY70" s="5"/>
      <c r="YZ70" s="5"/>
    </row>
    <row r="71" spans="1:676">
      <c r="A71" s="7">
        <v>61</v>
      </c>
      <c r="B71" s="7" t="s">
        <v>185</v>
      </c>
      <c r="C71" s="10" t="s">
        <v>186</v>
      </c>
      <c r="D71" s="7" t="s">
        <v>48</v>
      </c>
      <c r="E71" s="7" t="s">
        <v>89</v>
      </c>
      <c r="F71" s="7" t="s">
        <v>90</v>
      </c>
      <c r="G71" s="7"/>
      <c r="H71" s="7" t="s">
        <v>43</v>
      </c>
      <c r="I71" s="11">
        <v>2</v>
      </c>
      <c r="J71" s="11">
        <v>3</v>
      </c>
      <c r="K71" s="11">
        <v>0</v>
      </c>
      <c r="L71" s="11">
        <v>1.14</v>
      </c>
      <c r="M71" s="11">
        <v>0.24</v>
      </c>
      <c r="N71" s="11">
        <v>0</v>
      </c>
      <c r="O71" s="11">
        <v>2.76</v>
      </c>
      <c r="P71" s="11">
        <v>0.83</v>
      </c>
      <c r="Q71" s="11">
        <v>4.970000000000001</v>
      </c>
      <c r="R71" s="11">
        <v>0</v>
      </c>
      <c r="S71" s="11">
        <v>4.970000000000001</v>
      </c>
      <c r="T71" s="11">
        <v>2</v>
      </c>
      <c r="U71" s="11">
        <v>2.970000000000001</v>
      </c>
      <c r="V71" s="11">
        <v>0</v>
      </c>
      <c r="W71" s="13">
        <v>2</v>
      </c>
      <c r="X71" s="13">
        <v>3</v>
      </c>
      <c r="Y71" s="13" t="str">
        <f>MIN(W71,S71)</f>
        <v>0</v>
      </c>
      <c r="Z71" s="13" t="str">
        <f>MIN(X71,(S71-Y71))</f>
        <v>0</v>
      </c>
      <c r="AA71" s="13" t="str">
        <f>S71-SUM(Y71,Z71)</f>
        <v>0</v>
      </c>
      <c r="AB71" s="15"/>
      <c r="AC71" s="15"/>
      <c r="AD71" s="1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  <c r="IX71" s="5"/>
      <c r="IY71" s="5"/>
      <c r="IZ71" s="5"/>
      <c r="JA71" s="5"/>
      <c r="JB71" s="5"/>
      <c r="JC71" s="5"/>
      <c r="JD71" s="5"/>
      <c r="JE71" s="5"/>
      <c r="JF71" s="5"/>
      <c r="JG71" s="5"/>
      <c r="JH71" s="5"/>
      <c r="JI71" s="5"/>
      <c r="JJ71" s="5"/>
      <c r="JK71" s="5"/>
      <c r="JL71" s="5"/>
      <c r="JM71" s="5"/>
      <c r="JN71" s="5"/>
      <c r="JO71" s="5"/>
      <c r="JP71" s="5"/>
      <c r="JQ71" s="5"/>
      <c r="JR71" s="5"/>
      <c r="JS71" s="5"/>
      <c r="JT71" s="5"/>
      <c r="JU71" s="5"/>
      <c r="JV71" s="5"/>
      <c r="JW71" s="5"/>
      <c r="JX71" s="5"/>
      <c r="JY71" s="5"/>
      <c r="JZ71" s="5"/>
      <c r="KA71" s="5"/>
      <c r="KB71" s="5"/>
      <c r="KC71" s="5"/>
      <c r="KD71" s="5"/>
      <c r="KE71" s="5"/>
      <c r="KF71" s="5"/>
      <c r="KG71" s="5"/>
      <c r="KH71" s="5"/>
      <c r="KI71" s="5"/>
      <c r="KJ71" s="5"/>
      <c r="KK71" s="5"/>
      <c r="KL71" s="5"/>
      <c r="KM71" s="5"/>
      <c r="KN71" s="5"/>
      <c r="KO71" s="5"/>
      <c r="KP71" s="5"/>
      <c r="KQ71" s="5"/>
      <c r="KR71" s="5"/>
      <c r="KS71" s="5"/>
      <c r="KT71" s="5"/>
      <c r="KU71" s="5"/>
      <c r="KV71" s="5"/>
      <c r="KW71" s="5"/>
      <c r="KX71" s="5"/>
      <c r="KY71" s="5"/>
      <c r="KZ71" s="5"/>
      <c r="LA71" s="5"/>
      <c r="LB71" s="5"/>
      <c r="LC71" s="5"/>
      <c r="LD71" s="5"/>
      <c r="LE71" s="5"/>
      <c r="LF71" s="5"/>
      <c r="LG71" s="5"/>
      <c r="LH71" s="5"/>
      <c r="LI71" s="5"/>
      <c r="LJ71" s="5"/>
      <c r="LK71" s="5"/>
      <c r="LL71" s="5"/>
      <c r="LM71" s="5"/>
      <c r="LN71" s="5"/>
      <c r="LO71" s="5"/>
      <c r="LP71" s="5"/>
      <c r="LQ71" s="5"/>
      <c r="LR71" s="5"/>
      <c r="LS71" s="5"/>
      <c r="LT71" s="5"/>
      <c r="LU71" s="5"/>
      <c r="LV71" s="5"/>
      <c r="LW71" s="5"/>
      <c r="LX71" s="5"/>
      <c r="LY71" s="5"/>
      <c r="LZ71" s="5"/>
      <c r="MA71" s="5"/>
      <c r="MB71" s="5"/>
      <c r="MC71" s="5"/>
      <c r="MD71" s="5"/>
      <c r="ME71" s="5"/>
      <c r="MF71" s="5"/>
      <c r="MG71" s="5"/>
      <c r="MH71" s="5"/>
      <c r="MI71" s="5"/>
      <c r="MJ71" s="5"/>
      <c r="MK71" s="5"/>
      <c r="ML71" s="5"/>
      <c r="MM71" s="5"/>
      <c r="MN71" s="5"/>
      <c r="MO71" s="5"/>
      <c r="MP71" s="5"/>
      <c r="MQ71" s="5"/>
      <c r="MR71" s="5"/>
      <c r="MS71" s="5"/>
      <c r="MT71" s="5"/>
      <c r="MU71" s="5"/>
      <c r="MV71" s="5"/>
      <c r="MW71" s="5"/>
      <c r="MX71" s="5"/>
      <c r="MY71" s="5"/>
      <c r="MZ71" s="5"/>
      <c r="NA71" s="5"/>
      <c r="NB71" s="5"/>
      <c r="NC71" s="5"/>
      <c r="ND71" s="5"/>
      <c r="NE71" s="5"/>
      <c r="NF71" s="5"/>
      <c r="NG71" s="5"/>
      <c r="NH71" s="5"/>
      <c r="NI71" s="5"/>
      <c r="NJ71" s="5"/>
      <c r="NK71" s="5"/>
      <c r="NL71" s="5"/>
      <c r="NM71" s="5"/>
      <c r="NN71" s="5"/>
      <c r="NO71" s="5"/>
      <c r="NP71" s="5"/>
      <c r="NQ71" s="5"/>
      <c r="NR71" s="5"/>
      <c r="NS71" s="5"/>
      <c r="NT71" s="5"/>
      <c r="NU71" s="5"/>
      <c r="NV71" s="5"/>
      <c r="NW71" s="5"/>
      <c r="NX71" s="5"/>
      <c r="NY71" s="5"/>
      <c r="NZ71" s="5"/>
      <c r="OA71" s="5"/>
      <c r="OB71" s="5"/>
      <c r="OC71" s="5"/>
      <c r="OD71" s="5"/>
      <c r="OE71" s="5"/>
      <c r="OF71" s="5"/>
      <c r="OG71" s="5"/>
      <c r="OH71" s="5"/>
      <c r="OI71" s="5"/>
      <c r="OJ71" s="5"/>
      <c r="OK71" s="5"/>
      <c r="OL71" s="5"/>
      <c r="OM71" s="5"/>
      <c r="ON71" s="5"/>
      <c r="OO71" s="5"/>
      <c r="OP71" s="5"/>
      <c r="OQ71" s="5"/>
      <c r="OR71" s="5"/>
      <c r="OS71" s="5"/>
      <c r="OT71" s="5"/>
      <c r="OU71" s="5"/>
      <c r="OV71" s="5"/>
      <c r="OW71" s="5"/>
      <c r="OX71" s="5"/>
      <c r="OY71" s="5"/>
      <c r="OZ71" s="5"/>
      <c r="PA71" s="5"/>
      <c r="PB71" s="5"/>
      <c r="PC71" s="5"/>
      <c r="PD71" s="5"/>
      <c r="PE71" s="5"/>
      <c r="PF71" s="5"/>
      <c r="PG71" s="5"/>
      <c r="PH71" s="5"/>
      <c r="PI71" s="5"/>
      <c r="PJ71" s="5"/>
      <c r="PK71" s="5"/>
      <c r="PL71" s="5"/>
      <c r="PM71" s="5"/>
      <c r="PN71" s="5"/>
      <c r="PO71" s="5"/>
      <c r="PP71" s="5"/>
      <c r="PQ71" s="5"/>
      <c r="PR71" s="5"/>
      <c r="PS71" s="5"/>
      <c r="PT71" s="5"/>
      <c r="PU71" s="5"/>
      <c r="PV71" s="5"/>
      <c r="PW71" s="5"/>
      <c r="PX71" s="5"/>
      <c r="PY71" s="5"/>
      <c r="PZ71" s="5"/>
      <c r="QA71" s="5"/>
      <c r="QB71" s="5"/>
      <c r="QC71" s="5"/>
      <c r="QD71" s="5"/>
      <c r="QE71" s="5"/>
      <c r="QF71" s="5"/>
      <c r="QG71" s="5"/>
      <c r="QH71" s="5"/>
      <c r="QI71" s="5"/>
      <c r="QJ71" s="5"/>
      <c r="QK71" s="5"/>
      <c r="QL71" s="5"/>
      <c r="QM71" s="5"/>
      <c r="QN71" s="5"/>
      <c r="QO71" s="5"/>
      <c r="QP71" s="5"/>
      <c r="QQ71" s="5"/>
      <c r="QR71" s="5"/>
      <c r="QS71" s="5"/>
      <c r="QT71" s="5"/>
      <c r="QU71" s="5"/>
      <c r="QV71" s="5"/>
      <c r="QW71" s="5"/>
      <c r="QX71" s="5"/>
      <c r="QY71" s="5"/>
      <c r="QZ71" s="5"/>
      <c r="RA71" s="5"/>
      <c r="RB71" s="5"/>
      <c r="RC71" s="5"/>
      <c r="RD71" s="5"/>
      <c r="RE71" s="5"/>
      <c r="RF71" s="5"/>
      <c r="RG71" s="5"/>
      <c r="RH71" s="5"/>
      <c r="RI71" s="5"/>
      <c r="RJ71" s="5"/>
      <c r="RK71" s="5"/>
      <c r="RL71" s="5"/>
      <c r="RM71" s="5"/>
      <c r="RN71" s="5"/>
      <c r="RO71" s="5"/>
      <c r="RP71" s="5"/>
      <c r="RQ71" s="5"/>
      <c r="RR71" s="5"/>
      <c r="RS71" s="5"/>
      <c r="RT71" s="5"/>
      <c r="RU71" s="5"/>
      <c r="RV71" s="5"/>
      <c r="RW71" s="5"/>
      <c r="RX71" s="5"/>
      <c r="RY71" s="5"/>
      <c r="RZ71" s="5"/>
      <c r="SA71" s="5"/>
      <c r="SB71" s="5"/>
      <c r="SC71" s="5"/>
      <c r="SD71" s="5"/>
      <c r="SE71" s="5"/>
      <c r="SF71" s="5"/>
      <c r="SG71" s="5"/>
      <c r="SH71" s="5"/>
      <c r="SI71" s="5"/>
      <c r="SJ71" s="5"/>
      <c r="SK71" s="5"/>
      <c r="SL71" s="5"/>
      <c r="SM71" s="5"/>
      <c r="SN71" s="5"/>
      <c r="SO71" s="5"/>
      <c r="SP71" s="5"/>
      <c r="SQ71" s="5"/>
      <c r="SR71" s="5"/>
      <c r="SS71" s="5"/>
      <c r="ST71" s="5"/>
      <c r="SU71" s="5"/>
      <c r="SV71" s="5"/>
      <c r="SW71" s="5"/>
      <c r="SX71" s="5"/>
      <c r="SY71" s="5"/>
      <c r="SZ71" s="5"/>
      <c r="TA71" s="5"/>
      <c r="TB71" s="5"/>
      <c r="TC71" s="5"/>
      <c r="TD71" s="5"/>
      <c r="TE71" s="5"/>
      <c r="TF71" s="5"/>
      <c r="TG71" s="5"/>
      <c r="TH71" s="5"/>
      <c r="TI71" s="5"/>
      <c r="TJ71" s="5"/>
      <c r="TK71" s="5"/>
      <c r="TL71" s="5"/>
      <c r="TM71" s="5"/>
      <c r="TN71" s="5"/>
      <c r="TO71" s="5"/>
      <c r="TP71" s="5"/>
      <c r="TQ71" s="5"/>
      <c r="TR71" s="5"/>
      <c r="TS71" s="5"/>
      <c r="TT71" s="5"/>
      <c r="TU71" s="5"/>
      <c r="TV71" s="5"/>
      <c r="TW71" s="5"/>
      <c r="TX71" s="5"/>
      <c r="TY71" s="5"/>
      <c r="TZ71" s="5"/>
      <c r="UA71" s="5"/>
      <c r="UB71" s="5"/>
      <c r="UC71" s="5"/>
      <c r="UD71" s="5"/>
      <c r="UE71" s="5"/>
      <c r="UF71" s="5"/>
      <c r="UG71" s="5"/>
      <c r="UH71" s="5"/>
      <c r="UI71" s="5"/>
      <c r="UJ71" s="5"/>
      <c r="UK71" s="5"/>
      <c r="UL71" s="5"/>
      <c r="UM71" s="5"/>
      <c r="UN71" s="5"/>
      <c r="UO71" s="5"/>
      <c r="UP71" s="5"/>
      <c r="UQ71" s="5"/>
      <c r="UR71" s="5"/>
      <c r="US71" s="5"/>
      <c r="UT71" s="5"/>
      <c r="UU71" s="5"/>
      <c r="UV71" s="5"/>
      <c r="UW71" s="5"/>
      <c r="UX71" s="5"/>
      <c r="UY71" s="5"/>
      <c r="UZ71" s="5"/>
      <c r="VA71" s="5"/>
      <c r="VB71" s="5"/>
      <c r="VC71" s="5"/>
      <c r="VD71" s="5"/>
      <c r="VE71" s="5"/>
      <c r="VF71" s="5"/>
      <c r="VG71" s="5"/>
      <c r="VH71" s="5"/>
      <c r="VI71" s="5"/>
      <c r="VJ71" s="5"/>
      <c r="VK71" s="5"/>
      <c r="VL71" s="5"/>
      <c r="VM71" s="5"/>
      <c r="VN71" s="5"/>
      <c r="VO71" s="5"/>
      <c r="VP71" s="5"/>
      <c r="VQ71" s="5"/>
      <c r="VR71" s="5"/>
      <c r="VS71" s="5"/>
      <c r="VT71" s="5"/>
      <c r="VU71" s="5"/>
      <c r="VV71" s="5"/>
      <c r="VW71" s="5"/>
      <c r="VX71" s="5"/>
      <c r="VY71" s="5"/>
      <c r="VZ71" s="5"/>
      <c r="WA71" s="5"/>
      <c r="WB71" s="5"/>
      <c r="WC71" s="5"/>
      <c r="WD71" s="5"/>
      <c r="WE71" s="5"/>
      <c r="WF71" s="5"/>
      <c r="WG71" s="5"/>
      <c r="WH71" s="5"/>
      <c r="WI71" s="5"/>
      <c r="WJ71" s="5"/>
      <c r="WK71" s="5"/>
      <c r="WL71" s="5"/>
      <c r="WM71" s="5"/>
      <c r="WN71" s="5"/>
      <c r="WO71" s="5"/>
      <c r="WP71" s="5"/>
      <c r="WQ71" s="5"/>
      <c r="WR71" s="5"/>
      <c r="WS71" s="5"/>
      <c r="WT71" s="5"/>
      <c r="WU71" s="5"/>
      <c r="WV71" s="5"/>
      <c r="WW71" s="5"/>
      <c r="WX71" s="5"/>
      <c r="WY71" s="5"/>
      <c r="WZ71" s="5"/>
      <c r="XA71" s="5"/>
      <c r="XB71" s="5"/>
      <c r="XC71" s="5"/>
      <c r="XD71" s="5"/>
      <c r="XE71" s="5"/>
      <c r="XF71" s="5"/>
      <c r="XG71" s="5"/>
      <c r="XH71" s="5"/>
      <c r="XI71" s="5"/>
      <c r="XJ71" s="5"/>
      <c r="XK71" s="5"/>
      <c r="XL71" s="5"/>
      <c r="XM71" s="5"/>
      <c r="XN71" s="5"/>
      <c r="XO71" s="5"/>
      <c r="XP71" s="5"/>
      <c r="XQ71" s="5"/>
      <c r="XR71" s="5"/>
      <c r="XS71" s="5"/>
      <c r="XT71" s="5"/>
      <c r="XU71" s="5"/>
      <c r="XV71" s="5"/>
      <c r="XW71" s="5"/>
      <c r="XX71" s="5"/>
      <c r="XY71" s="5"/>
      <c r="XZ71" s="5"/>
      <c r="YA71" s="5"/>
      <c r="YB71" s="5"/>
      <c r="YC71" s="5"/>
      <c r="YD71" s="5"/>
      <c r="YE71" s="5"/>
      <c r="YF71" s="5"/>
      <c r="YG71" s="5"/>
      <c r="YH71" s="5"/>
      <c r="YI71" s="5"/>
      <c r="YJ71" s="5"/>
      <c r="YK71" s="5"/>
      <c r="YL71" s="5"/>
      <c r="YM71" s="5"/>
      <c r="YN71" s="5"/>
      <c r="YO71" s="5"/>
      <c r="YP71" s="5"/>
      <c r="YQ71" s="5"/>
      <c r="YR71" s="5"/>
      <c r="YS71" s="5"/>
      <c r="YT71" s="5"/>
      <c r="YU71" s="5"/>
      <c r="YV71" s="5"/>
      <c r="YW71" s="5"/>
      <c r="YX71" s="5"/>
      <c r="YY71" s="5"/>
      <c r="YZ71" s="5"/>
    </row>
    <row r="72" spans="1:676">
      <c r="A72" s="7">
        <v>62</v>
      </c>
      <c r="B72" s="7" t="s">
        <v>187</v>
      </c>
      <c r="C72" s="10" t="s">
        <v>188</v>
      </c>
      <c r="D72" s="7" t="s">
        <v>40</v>
      </c>
      <c r="E72" s="7" t="s">
        <v>93</v>
      </c>
      <c r="F72" s="7" t="s">
        <v>90</v>
      </c>
      <c r="G72" s="7"/>
      <c r="H72" s="7" t="s">
        <v>43</v>
      </c>
      <c r="I72" s="11">
        <v>2</v>
      </c>
      <c r="J72" s="11">
        <v>3</v>
      </c>
      <c r="K72" s="11">
        <v>0</v>
      </c>
      <c r="L72" s="11">
        <v>5.219999999999999</v>
      </c>
      <c r="M72" s="11">
        <v>0.48</v>
      </c>
      <c r="N72" s="11">
        <v>0</v>
      </c>
      <c r="O72" s="11">
        <v>0.5</v>
      </c>
      <c r="P72" s="11">
        <v>0.17</v>
      </c>
      <c r="Q72" s="11">
        <v>6.369999999999999</v>
      </c>
      <c r="R72" s="11">
        <v>0</v>
      </c>
      <c r="S72" s="11">
        <v>6.369999999999999</v>
      </c>
      <c r="T72" s="11">
        <v>2</v>
      </c>
      <c r="U72" s="11">
        <v>3</v>
      </c>
      <c r="V72" s="11">
        <v>1.369999999999999</v>
      </c>
      <c r="W72" s="13">
        <v>2</v>
      </c>
      <c r="X72" s="13">
        <v>3</v>
      </c>
      <c r="Y72" s="13" t="str">
        <f>MIN(W72,S72)</f>
        <v>0</v>
      </c>
      <c r="Z72" s="13" t="str">
        <f>MIN(X72,(S72-Y72))</f>
        <v>0</v>
      </c>
      <c r="AA72" s="13" t="str">
        <f>S72-SUM(Y72,Z72)</f>
        <v>0</v>
      </c>
      <c r="AB72" s="15"/>
      <c r="AC72" s="15"/>
      <c r="AD72" s="1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5"/>
      <c r="IX72" s="5"/>
      <c r="IY72" s="5"/>
      <c r="IZ72" s="5"/>
      <c r="JA72" s="5"/>
      <c r="JB72" s="5"/>
      <c r="JC72" s="5"/>
      <c r="JD72" s="5"/>
      <c r="JE72" s="5"/>
      <c r="JF72" s="5"/>
      <c r="JG72" s="5"/>
      <c r="JH72" s="5"/>
      <c r="JI72" s="5"/>
      <c r="JJ72" s="5"/>
      <c r="JK72" s="5"/>
      <c r="JL72" s="5"/>
      <c r="JM72" s="5"/>
      <c r="JN72" s="5"/>
      <c r="JO72" s="5"/>
      <c r="JP72" s="5"/>
      <c r="JQ72" s="5"/>
      <c r="JR72" s="5"/>
      <c r="JS72" s="5"/>
      <c r="JT72" s="5"/>
      <c r="JU72" s="5"/>
      <c r="JV72" s="5"/>
      <c r="JW72" s="5"/>
      <c r="JX72" s="5"/>
      <c r="JY72" s="5"/>
      <c r="JZ72" s="5"/>
      <c r="KA72" s="5"/>
      <c r="KB72" s="5"/>
      <c r="KC72" s="5"/>
      <c r="KD72" s="5"/>
      <c r="KE72" s="5"/>
      <c r="KF72" s="5"/>
      <c r="KG72" s="5"/>
      <c r="KH72" s="5"/>
      <c r="KI72" s="5"/>
      <c r="KJ72" s="5"/>
      <c r="KK72" s="5"/>
      <c r="KL72" s="5"/>
      <c r="KM72" s="5"/>
      <c r="KN72" s="5"/>
      <c r="KO72" s="5"/>
      <c r="KP72" s="5"/>
      <c r="KQ72" s="5"/>
      <c r="KR72" s="5"/>
      <c r="KS72" s="5"/>
      <c r="KT72" s="5"/>
      <c r="KU72" s="5"/>
      <c r="KV72" s="5"/>
      <c r="KW72" s="5"/>
      <c r="KX72" s="5"/>
      <c r="KY72" s="5"/>
      <c r="KZ72" s="5"/>
      <c r="LA72" s="5"/>
      <c r="LB72" s="5"/>
      <c r="LC72" s="5"/>
      <c r="LD72" s="5"/>
      <c r="LE72" s="5"/>
      <c r="LF72" s="5"/>
      <c r="LG72" s="5"/>
      <c r="LH72" s="5"/>
      <c r="LI72" s="5"/>
      <c r="LJ72" s="5"/>
      <c r="LK72" s="5"/>
      <c r="LL72" s="5"/>
      <c r="LM72" s="5"/>
      <c r="LN72" s="5"/>
      <c r="LO72" s="5"/>
      <c r="LP72" s="5"/>
      <c r="LQ72" s="5"/>
      <c r="LR72" s="5"/>
      <c r="LS72" s="5"/>
      <c r="LT72" s="5"/>
      <c r="LU72" s="5"/>
      <c r="LV72" s="5"/>
      <c r="LW72" s="5"/>
      <c r="LX72" s="5"/>
      <c r="LY72" s="5"/>
      <c r="LZ72" s="5"/>
      <c r="MA72" s="5"/>
      <c r="MB72" s="5"/>
      <c r="MC72" s="5"/>
      <c r="MD72" s="5"/>
      <c r="ME72" s="5"/>
      <c r="MF72" s="5"/>
      <c r="MG72" s="5"/>
      <c r="MH72" s="5"/>
      <c r="MI72" s="5"/>
      <c r="MJ72" s="5"/>
      <c r="MK72" s="5"/>
      <c r="ML72" s="5"/>
      <c r="MM72" s="5"/>
      <c r="MN72" s="5"/>
      <c r="MO72" s="5"/>
      <c r="MP72" s="5"/>
      <c r="MQ72" s="5"/>
      <c r="MR72" s="5"/>
      <c r="MS72" s="5"/>
      <c r="MT72" s="5"/>
      <c r="MU72" s="5"/>
      <c r="MV72" s="5"/>
      <c r="MW72" s="5"/>
      <c r="MX72" s="5"/>
      <c r="MY72" s="5"/>
      <c r="MZ72" s="5"/>
      <c r="NA72" s="5"/>
      <c r="NB72" s="5"/>
      <c r="NC72" s="5"/>
      <c r="ND72" s="5"/>
      <c r="NE72" s="5"/>
      <c r="NF72" s="5"/>
      <c r="NG72" s="5"/>
      <c r="NH72" s="5"/>
      <c r="NI72" s="5"/>
      <c r="NJ72" s="5"/>
      <c r="NK72" s="5"/>
      <c r="NL72" s="5"/>
      <c r="NM72" s="5"/>
      <c r="NN72" s="5"/>
      <c r="NO72" s="5"/>
      <c r="NP72" s="5"/>
      <c r="NQ72" s="5"/>
      <c r="NR72" s="5"/>
      <c r="NS72" s="5"/>
      <c r="NT72" s="5"/>
      <c r="NU72" s="5"/>
      <c r="NV72" s="5"/>
      <c r="NW72" s="5"/>
      <c r="NX72" s="5"/>
      <c r="NY72" s="5"/>
      <c r="NZ72" s="5"/>
      <c r="OA72" s="5"/>
      <c r="OB72" s="5"/>
      <c r="OC72" s="5"/>
      <c r="OD72" s="5"/>
      <c r="OE72" s="5"/>
      <c r="OF72" s="5"/>
      <c r="OG72" s="5"/>
      <c r="OH72" s="5"/>
      <c r="OI72" s="5"/>
      <c r="OJ72" s="5"/>
      <c r="OK72" s="5"/>
      <c r="OL72" s="5"/>
      <c r="OM72" s="5"/>
      <c r="ON72" s="5"/>
      <c r="OO72" s="5"/>
      <c r="OP72" s="5"/>
      <c r="OQ72" s="5"/>
      <c r="OR72" s="5"/>
      <c r="OS72" s="5"/>
      <c r="OT72" s="5"/>
      <c r="OU72" s="5"/>
      <c r="OV72" s="5"/>
      <c r="OW72" s="5"/>
      <c r="OX72" s="5"/>
      <c r="OY72" s="5"/>
      <c r="OZ72" s="5"/>
      <c r="PA72" s="5"/>
      <c r="PB72" s="5"/>
      <c r="PC72" s="5"/>
      <c r="PD72" s="5"/>
      <c r="PE72" s="5"/>
      <c r="PF72" s="5"/>
      <c r="PG72" s="5"/>
      <c r="PH72" s="5"/>
      <c r="PI72" s="5"/>
      <c r="PJ72" s="5"/>
      <c r="PK72" s="5"/>
      <c r="PL72" s="5"/>
      <c r="PM72" s="5"/>
      <c r="PN72" s="5"/>
      <c r="PO72" s="5"/>
      <c r="PP72" s="5"/>
      <c r="PQ72" s="5"/>
      <c r="PR72" s="5"/>
      <c r="PS72" s="5"/>
      <c r="PT72" s="5"/>
      <c r="PU72" s="5"/>
      <c r="PV72" s="5"/>
      <c r="PW72" s="5"/>
      <c r="PX72" s="5"/>
      <c r="PY72" s="5"/>
      <c r="PZ72" s="5"/>
      <c r="QA72" s="5"/>
      <c r="QB72" s="5"/>
      <c r="QC72" s="5"/>
      <c r="QD72" s="5"/>
      <c r="QE72" s="5"/>
      <c r="QF72" s="5"/>
      <c r="QG72" s="5"/>
      <c r="QH72" s="5"/>
      <c r="QI72" s="5"/>
      <c r="QJ72" s="5"/>
      <c r="QK72" s="5"/>
      <c r="QL72" s="5"/>
      <c r="QM72" s="5"/>
      <c r="QN72" s="5"/>
      <c r="QO72" s="5"/>
      <c r="QP72" s="5"/>
      <c r="QQ72" s="5"/>
      <c r="QR72" s="5"/>
      <c r="QS72" s="5"/>
      <c r="QT72" s="5"/>
      <c r="QU72" s="5"/>
      <c r="QV72" s="5"/>
      <c r="QW72" s="5"/>
      <c r="QX72" s="5"/>
      <c r="QY72" s="5"/>
      <c r="QZ72" s="5"/>
      <c r="RA72" s="5"/>
      <c r="RB72" s="5"/>
      <c r="RC72" s="5"/>
      <c r="RD72" s="5"/>
      <c r="RE72" s="5"/>
      <c r="RF72" s="5"/>
      <c r="RG72" s="5"/>
      <c r="RH72" s="5"/>
      <c r="RI72" s="5"/>
      <c r="RJ72" s="5"/>
      <c r="RK72" s="5"/>
      <c r="RL72" s="5"/>
      <c r="RM72" s="5"/>
      <c r="RN72" s="5"/>
      <c r="RO72" s="5"/>
      <c r="RP72" s="5"/>
      <c r="RQ72" s="5"/>
      <c r="RR72" s="5"/>
      <c r="RS72" s="5"/>
      <c r="RT72" s="5"/>
      <c r="RU72" s="5"/>
      <c r="RV72" s="5"/>
      <c r="RW72" s="5"/>
      <c r="RX72" s="5"/>
      <c r="RY72" s="5"/>
      <c r="RZ72" s="5"/>
      <c r="SA72" s="5"/>
      <c r="SB72" s="5"/>
      <c r="SC72" s="5"/>
      <c r="SD72" s="5"/>
      <c r="SE72" s="5"/>
      <c r="SF72" s="5"/>
      <c r="SG72" s="5"/>
      <c r="SH72" s="5"/>
      <c r="SI72" s="5"/>
      <c r="SJ72" s="5"/>
      <c r="SK72" s="5"/>
      <c r="SL72" s="5"/>
      <c r="SM72" s="5"/>
      <c r="SN72" s="5"/>
      <c r="SO72" s="5"/>
      <c r="SP72" s="5"/>
      <c r="SQ72" s="5"/>
      <c r="SR72" s="5"/>
      <c r="SS72" s="5"/>
      <c r="ST72" s="5"/>
      <c r="SU72" s="5"/>
      <c r="SV72" s="5"/>
      <c r="SW72" s="5"/>
      <c r="SX72" s="5"/>
      <c r="SY72" s="5"/>
      <c r="SZ72" s="5"/>
      <c r="TA72" s="5"/>
      <c r="TB72" s="5"/>
      <c r="TC72" s="5"/>
      <c r="TD72" s="5"/>
      <c r="TE72" s="5"/>
      <c r="TF72" s="5"/>
      <c r="TG72" s="5"/>
      <c r="TH72" s="5"/>
      <c r="TI72" s="5"/>
      <c r="TJ72" s="5"/>
      <c r="TK72" s="5"/>
      <c r="TL72" s="5"/>
      <c r="TM72" s="5"/>
      <c r="TN72" s="5"/>
      <c r="TO72" s="5"/>
      <c r="TP72" s="5"/>
      <c r="TQ72" s="5"/>
      <c r="TR72" s="5"/>
      <c r="TS72" s="5"/>
      <c r="TT72" s="5"/>
      <c r="TU72" s="5"/>
      <c r="TV72" s="5"/>
      <c r="TW72" s="5"/>
      <c r="TX72" s="5"/>
      <c r="TY72" s="5"/>
      <c r="TZ72" s="5"/>
      <c r="UA72" s="5"/>
      <c r="UB72" s="5"/>
      <c r="UC72" s="5"/>
      <c r="UD72" s="5"/>
      <c r="UE72" s="5"/>
      <c r="UF72" s="5"/>
      <c r="UG72" s="5"/>
      <c r="UH72" s="5"/>
      <c r="UI72" s="5"/>
      <c r="UJ72" s="5"/>
      <c r="UK72" s="5"/>
      <c r="UL72" s="5"/>
      <c r="UM72" s="5"/>
      <c r="UN72" s="5"/>
      <c r="UO72" s="5"/>
      <c r="UP72" s="5"/>
      <c r="UQ72" s="5"/>
      <c r="UR72" s="5"/>
      <c r="US72" s="5"/>
      <c r="UT72" s="5"/>
      <c r="UU72" s="5"/>
      <c r="UV72" s="5"/>
      <c r="UW72" s="5"/>
      <c r="UX72" s="5"/>
      <c r="UY72" s="5"/>
      <c r="UZ72" s="5"/>
      <c r="VA72" s="5"/>
      <c r="VB72" s="5"/>
      <c r="VC72" s="5"/>
      <c r="VD72" s="5"/>
      <c r="VE72" s="5"/>
      <c r="VF72" s="5"/>
      <c r="VG72" s="5"/>
      <c r="VH72" s="5"/>
      <c r="VI72" s="5"/>
      <c r="VJ72" s="5"/>
      <c r="VK72" s="5"/>
      <c r="VL72" s="5"/>
      <c r="VM72" s="5"/>
      <c r="VN72" s="5"/>
      <c r="VO72" s="5"/>
      <c r="VP72" s="5"/>
      <c r="VQ72" s="5"/>
      <c r="VR72" s="5"/>
      <c r="VS72" s="5"/>
      <c r="VT72" s="5"/>
      <c r="VU72" s="5"/>
      <c r="VV72" s="5"/>
      <c r="VW72" s="5"/>
      <c r="VX72" s="5"/>
      <c r="VY72" s="5"/>
      <c r="VZ72" s="5"/>
      <c r="WA72" s="5"/>
      <c r="WB72" s="5"/>
      <c r="WC72" s="5"/>
      <c r="WD72" s="5"/>
      <c r="WE72" s="5"/>
      <c r="WF72" s="5"/>
      <c r="WG72" s="5"/>
      <c r="WH72" s="5"/>
      <c r="WI72" s="5"/>
      <c r="WJ72" s="5"/>
      <c r="WK72" s="5"/>
      <c r="WL72" s="5"/>
      <c r="WM72" s="5"/>
      <c r="WN72" s="5"/>
      <c r="WO72" s="5"/>
      <c r="WP72" s="5"/>
      <c r="WQ72" s="5"/>
      <c r="WR72" s="5"/>
      <c r="WS72" s="5"/>
      <c r="WT72" s="5"/>
      <c r="WU72" s="5"/>
      <c r="WV72" s="5"/>
      <c r="WW72" s="5"/>
      <c r="WX72" s="5"/>
      <c r="WY72" s="5"/>
      <c r="WZ72" s="5"/>
      <c r="XA72" s="5"/>
      <c r="XB72" s="5"/>
      <c r="XC72" s="5"/>
      <c r="XD72" s="5"/>
      <c r="XE72" s="5"/>
      <c r="XF72" s="5"/>
      <c r="XG72" s="5"/>
      <c r="XH72" s="5"/>
      <c r="XI72" s="5"/>
      <c r="XJ72" s="5"/>
      <c r="XK72" s="5"/>
      <c r="XL72" s="5"/>
      <c r="XM72" s="5"/>
      <c r="XN72" s="5"/>
      <c r="XO72" s="5"/>
      <c r="XP72" s="5"/>
      <c r="XQ72" s="5"/>
      <c r="XR72" s="5"/>
      <c r="XS72" s="5"/>
      <c r="XT72" s="5"/>
      <c r="XU72" s="5"/>
      <c r="XV72" s="5"/>
      <c r="XW72" s="5"/>
      <c r="XX72" s="5"/>
      <c r="XY72" s="5"/>
      <c r="XZ72" s="5"/>
      <c r="YA72" s="5"/>
      <c r="YB72" s="5"/>
      <c r="YC72" s="5"/>
      <c r="YD72" s="5"/>
      <c r="YE72" s="5"/>
      <c r="YF72" s="5"/>
      <c r="YG72" s="5"/>
      <c r="YH72" s="5"/>
      <c r="YI72" s="5"/>
      <c r="YJ72" s="5"/>
      <c r="YK72" s="5"/>
      <c r="YL72" s="5"/>
      <c r="YM72" s="5"/>
      <c r="YN72" s="5"/>
      <c r="YO72" s="5"/>
      <c r="YP72" s="5"/>
      <c r="YQ72" s="5"/>
      <c r="YR72" s="5"/>
      <c r="YS72" s="5"/>
      <c r="YT72" s="5"/>
      <c r="YU72" s="5"/>
      <c r="YV72" s="5"/>
      <c r="YW72" s="5"/>
      <c r="YX72" s="5"/>
      <c r="YY72" s="5"/>
      <c r="YZ72" s="5"/>
    </row>
    <row r="73" spans="1:676">
      <c r="A73" s="7">
        <v>63</v>
      </c>
      <c r="B73" s="7" t="s">
        <v>189</v>
      </c>
      <c r="C73" s="10" t="s">
        <v>190</v>
      </c>
      <c r="D73" s="7" t="s">
        <v>51</v>
      </c>
      <c r="E73" s="7" t="s">
        <v>99</v>
      </c>
      <c r="F73" s="7" t="s">
        <v>90</v>
      </c>
      <c r="G73" s="7"/>
      <c r="H73" s="7" t="s">
        <v>43</v>
      </c>
      <c r="I73" s="11">
        <v>2</v>
      </c>
      <c r="J73" s="11">
        <v>3</v>
      </c>
      <c r="K73" s="11">
        <v>0</v>
      </c>
      <c r="L73" s="11">
        <v>4.22</v>
      </c>
      <c r="M73" s="11">
        <v>0.48</v>
      </c>
      <c r="N73" s="11">
        <v>0</v>
      </c>
      <c r="O73" s="11">
        <v>0.7000000000000001</v>
      </c>
      <c r="P73" s="11">
        <v>0</v>
      </c>
      <c r="Q73" s="11">
        <v>5.4</v>
      </c>
      <c r="R73" s="11">
        <v>0</v>
      </c>
      <c r="S73" s="11">
        <v>5.4</v>
      </c>
      <c r="T73" s="11">
        <v>2</v>
      </c>
      <c r="U73" s="11">
        <v>3</v>
      </c>
      <c r="V73" s="11">
        <v>0.4000000000000004</v>
      </c>
      <c r="W73" s="13">
        <v>2</v>
      </c>
      <c r="X73" s="13">
        <v>3</v>
      </c>
      <c r="Y73" s="13" t="str">
        <f>MIN(W73,S73)</f>
        <v>0</v>
      </c>
      <c r="Z73" s="13" t="str">
        <f>MIN(X73,(S73-Y73))</f>
        <v>0</v>
      </c>
      <c r="AA73" s="13" t="str">
        <f>S73-SUM(Y73,Z73)</f>
        <v>0</v>
      </c>
      <c r="AB73" s="15"/>
      <c r="AC73" s="15"/>
      <c r="AD73" s="1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  <c r="IW73" s="5"/>
      <c r="IX73" s="5"/>
      <c r="IY73" s="5"/>
      <c r="IZ73" s="5"/>
      <c r="JA73" s="5"/>
      <c r="JB73" s="5"/>
      <c r="JC73" s="5"/>
      <c r="JD73" s="5"/>
      <c r="JE73" s="5"/>
      <c r="JF73" s="5"/>
      <c r="JG73" s="5"/>
      <c r="JH73" s="5"/>
      <c r="JI73" s="5"/>
      <c r="JJ73" s="5"/>
      <c r="JK73" s="5"/>
      <c r="JL73" s="5"/>
      <c r="JM73" s="5"/>
      <c r="JN73" s="5"/>
      <c r="JO73" s="5"/>
      <c r="JP73" s="5"/>
      <c r="JQ73" s="5"/>
      <c r="JR73" s="5"/>
      <c r="JS73" s="5"/>
      <c r="JT73" s="5"/>
      <c r="JU73" s="5"/>
      <c r="JV73" s="5"/>
      <c r="JW73" s="5"/>
      <c r="JX73" s="5"/>
      <c r="JY73" s="5"/>
      <c r="JZ73" s="5"/>
      <c r="KA73" s="5"/>
      <c r="KB73" s="5"/>
      <c r="KC73" s="5"/>
      <c r="KD73" s="5"/>
      <c r="KE73" s="5"/>
      <c r="KF73" s="5"/>
      <c r="KG73" s="5"/>
      <c r="KH73" s="5"/>
      <c r="KI73" s="5"/>
      <c r="KJ73" s="5"/>
      <c r="KK73" s="5"/>
      <c r="KL73" s="5"/>
      <c r="KM73" s="5"/>
      <c r="KN73" s="5"/>
      <c r="KO73" s="5"/>
      <c r="KP73" s="5"/>
      <c r="KQ73" s="5"/>
      <c r="KR73" s="5"/>
      <c r="KS73" s="5"/>
      <c r="KT73" s="5"/>
      <c r="KU73" s="5"/>
      <c r="KV73" s="5"/>
      <c r="KW73" s="5"/>
      <c r="KX73" s="5"/>
      <c r="KY73" s="5"/>
      <c r="KZ73" s="5"/>
      <c r="LA73" s="5"/>
      <c r="LB73" s="5"/>
      <c r="LC73" s="5"/>
      <c r="LD73" s="5"/>
      <c r="LE73" s="5"/>
      <c r="LF73" s="5"/>
      <c r="LG73" s="5"/>
      <c r="LH73" s="5"/>
      <c r="LI73" s="5"/>
      <c r="LJ73" s="5"/>
      <c r="LK73" s="5"/>
      <c r="LL73" s="5"/>
      <c r="LM73" s="5"/>
      <c r="LN73" s="5"/>
      <c r="LO73" s="5"/>
      <c r="LP73" s="5"/>
      <c r="LQ73" s="5"/>
      <c r="LR73" s="5"/>
      <c r="LS73" s="5"/>
      <c r="LT73" s="5"/>
      <c r="LU73" s="5"/>
      <c r="LV73" s="5"/>
      <c r="LW73" s="5"/>
      <c r="LX73" s="5"/>
      <c r="LY73" s="5"/>
      <c r="LZ73" s="5"/>
      <c r="MA73" s="5"/>
      <c r="MB73" s="5"/>
      <c r="MC73" s="5"/>
      <c r="MD73" s="5"/>
      <c r="ME73" s="5"/>
      <c r="MF73" s="5"/>
      <c r="MG73" s="5"/>
      <c r="MH73" s="5"/>
      <c r="MI73" s="5"/>
      <c r="MJ73" s="5"/>
      <c r="MK73" s="5"/>
      <c r="ML73" s="5"/>
      <c r="MM73" s="5"/>
      <c r="MN73" s="5"/>
      <c r="MO73" s="5"/>
      <c r="MP73" s="5"/>
      <c r="MQ73" s="5"/>
      <c r="MR73" s="5"/>
      <c r="MS73" s="5"/>
      <c r="MT73" s="5"/>
      <c r="MU73" s="5"/>
      <c r="MV73" s="5"/>
      <c r="MW73" s="5"/>
      <c r="MX73" s="5"/>
      <c r="MY73" s="5"/>
      <c r="MZ73" s="5"/>
      <c r="NA73" s="5"/>
      <c r="NB73" s="5"/>
      <c r="NC73" s="5"/>
      <c r="ND73" s="5"/>
      <c r="NE73" s="5"/>
      <c r="NF73" s="5"/>
      <c r="NG73" s="5"/>
      <c r="NH73" s="5"/>
      <c r="NI73" s="5"/>
      <c r="NJ73" s="5"/>
      <c r="NK73" s="5"/>
      <c r="NL73" s="5"/>
      <c r="NM73" s="5"/>
      <c r="NN73" s="5"/>
      <c r="NO73" s="5"/>
      <c r="NP73" s="5"/>
      <c r="NQ73" s="5"/>
      <c r="NR73" s="5"/>
      <c r="NS73" s="5"/>
      <c r="NT73" s="5"/>
      <c r="NU73" s="5"/>
      <c r="NV73" s="5"/>
      <c r="NW73" s="5"/>
      <c r="NX73" s="5"/>
      <c r="NY73" s="5"/>
      <c r="NZ73" s="5"/>
      <c r="OA73" s="5"/>
      <c r="OB73" s="5"/>
      <c r="OC73" s="5"/>
      <c r="OD73" s="5"/>
      <c r="OE73" s="5"/>
      <c r="OF73" s="5"/>
      <c r="OG73" s="5"/>
      <c r="OH73" s="5"/>
      <c r="OI73" s="5"/>
      <c r="OJ73" s="5"/>
      <c r="OK73" s="5"/>
      <c r="OL73" s="5"/>
      <c r="OM73" s="5"/>
      <c r="ON73" s="5"/>
      <c r="OO73" s="5"/>
      <c r="OP73" s="5"/>
      <c r="OQ73" s="5"/>
      <c r="OR73" s="5"/>
      <c r="OS73" s="5"/>
      <c r="OT73" s="5"/>
      <c r="OU73" s="5"/>
      <c r="OV73" s="5"/>
      <c r="OW73" s="5"/>
      <c r="OX73" s="5"/>
      <c r="OY73" s="5"/>
      <c r="OZ73" s="5"/>
      <c r="PA73" s="5"/>
      <c r="PB73" s="5"/>
      <c r="PC73" s="5"/>
      <c r="PD73" s="5"/>
      <c r="PE73" s="5"/>
      <c r="PF73" s="5"/>
      <c r="PG73" s="5"/>
      <c r="PH73" s="5"/>
      <c r="PI73" s="5"/>
      <c r="PJ73" s="5"/>
      <c r="PK73" s="5"/>
      <c r="PL73" s="5"/>
      <c r="PM73" s="5"/>
      <c r="PN73" s="5"/>
      <c r="PO73" s="5"/>
      <c r="PP73" s="5"/>
      <c r="PQ73" s="5"/>
      <c r="PR73" s="5"/>
      <c r="PS73" s="5"/>
      <c r="PT73" s="5"/>
      <c r="PU73" s="5"/>
      <c r="PV73" s="5"/>
      <c r="PW73" s="5"/>
      <c r="PX73" s="5"/>
      <c r="PY73" s="5"/>
      <c r="PZ73" s="5"/>
      <c r="QA73" s="5"/>
      <c r="QB73" s="5"/>
      <c r="QC73" s="5"/>
      <c r="QD73" s="5"/>
      <c r="QE73" s="5"/>
      <c r="QF73" s="5"/>
      <c r="QG73" s="5"/>
      <c r="QH73" s="5"/>
      <c r="QI73" s="5"/>
      <c r="QJ73" s="5"/>
      <c r="QK73" s="5"/>
      <c r="QL73" s="5"/>
      <c r="QM73" s="5"/>
      <c r="QN73" s="5"/>
      <c r="QO73" s="5"/>
      <c r="QP73" s="5"/>
      <c r="QQ73" s="5"/>
      <c r="QR73" s="5"/>
      <c r="QS73" s="5"/>
      <c r="QT73" s="5"/>
      <c r="QU73" s="5"/>
      <c r="QV73" s="5"/>
      <c r="QW73" s="5"/>
      <c r="QX73" s="5"/>
      <c r="QY73" s="5"/>
      <c r="QZ73" s="5"/>
      <c r="RA73" s="5"/>
      <c r="RB73" s="5"/>
      <c r="RC73" s="5"/>
      <c r="RD73" s="5"/>
      <c r="RE73" s="5"/>
      <c r="RF73" s="5"/>
      <c r="RG73" s="5"/>
      <c r="RH73" s="5"/>
      <c r="RI73" s="5"/>
      <c r="RJ73" s="5"/>
      <c r="RK73" s="5"/>
      <c r="RL73" s="5"/>
      <c r="RM73" s="5"/>
      <c r="RN73" s="5"/>
      <c r="RO73" s="5"/>
      <c r="RP73" s="5"/>
      <c r="RQ73" s="5"/>
      <c r="RR73" s="5"/>
      <c r="RS73" s="5"/>
      <c r="RT73" s="5"/>
      <c r="RU73" s="5"/>
      <c r="RV73" s="5"/>
      <c r="RW73" s="5"/>
      <c r="RX73" s="5"/>
      <c r="RY73" s="5"/>
      <c r="RZ73" s="5"/>
      <c r="SA73" s="5"/>
      <c r="SB73" s="5"/>
      <c r="SC73" s="5"/>
      <c r="SD73" s="5"/>
      <c r="SE73" s="5"/>
      <c r="SF73" s="5"/>
      <c r="SG73" s="5"/>
      <c r="SH73" s="5"/>
      <c r="SI73" s="5"/>
      <c r="SJ73" s="5"/>
      <c r="SK73" s="5"/>
      <c r="SL73" s="5"/>
      <c r="SM73" s="5"/>
      <c r="SN73" s="5"/>
      <c r="SO73" s="5"/>
      <c r="SP73" s="5"/>
      <c r="SQ73" s="5"/>
      <c r="SR73" s="5"/>
      <c r="SS73" s="5"/>
      <c r="ST73" s="5"/>
      <c r="SU73" s="5"/>
      <c r="SV73" s="5"/>
      <c r="SW73" s="5"/>
      <c r="SX73" s="5"/>
      <c r="SY73" s="5"/>
      <c r="SZ73" s="5"/>
      <c r="TA73" s="5"/>
      <c r="TB73" s="5"/>
      <c r="TC73" s="5"/>
      <c r="TD73" s="5"/>
      <c r="TE73" s="5"/>
      <c r="TF73" s="5"/>
      <c r="TG73" s="5"/>
      <c r="TH73" s="5"/>
      <c r="TI73" s="5"/>
      <c r="TJ73" s="5"/>
      <c r="TK73" s="5"/>
      <c r="TL73" s="5"/>
      <c r="TM73" s="5"/>
      <c r="TN73" s="5"/>
      <c r="TO73" s="5"/>
      <c r="TP73" s="5"/>
      <c r="TQ73" s="5"/>
      <c r="TR73" s="5"/>
      <c r="TS73" s="5"/>
      <c r="TT73" s="5"/>
      <c r="TU73" s="5"/>
      <c r="TV73" s="5"/>
      <c r="TW73" s="5"/>
      <c r="TX73" s="5"/>
      <c r="TY73" s="5"/>
      <c r="TZ73" s="5"/>
      <c r="UA73" s="5"/>
      <c r="UB73" s="5"/>
      <c r="UC73" s="5"/>
      <c r="UD73" s="5"/>
      <c r="UE73" s="5"/>
      <c r="UF73" s="5"/>
      <c r="UG73" s="5"/>
      <c r="UH73" s="5"/>
      <c r="UI73" s="5"/>
      <c r="UJ73" s="5"/>
      <c r="UK73" s="5"/>
      <c r="UL73" s="5"/>
      <c r="UM73" s="5"/>
      <c r="UN73" s="5"/>
      <c r="UO73" s="5"/>
      <c r="UP73" s="5"/>
      <c r="UQ73" s="5"/>
      <c r="UR73" s="5"/>
      <c r="US73" s="5"/>
      <c r="UT73" s="5"/>
      <c r="UU73" s="5"/>
      <c r="UV73" s="5"/>
      <c r="UW73" s="5"/>
      <c r="UX73" s="5"/>
      <c r="UY73" s="5"/>
      <c r="UZ73" s="5"/>
      <c r="VA73" s="5"/>
      <c r="VB73" s="5"/>
      <c r="VC73" s="5"/>
      <c r="VD73" s="5"/>
      <c r="VE73" s="5"/>
      <c r="VF73" s="5"/>
      <c r="VG73" s="5"/>
      <c r="VH73" s="5"/>
      <c r="VI73" s="5"/>
      <c r="VJ73" s="5"/>
      <c r="VK73" s="5"/>
      <c r="VL73" s="5"/>
      <c r="VM73" s="5"/>
      <c r="VN73" s="5"/>
      <c r="VO73" s="5"/>
      <c r="VP73" s="5"/>
      <c r="VQ73" s="5"/>
      <c r="VR73" s="5"/>
      <c r="VS73" s="5"/>
      <c r="VT73" s="5"/>
      <c r="VU73" s="5"/>
      <c r="VV73" s="5"/>
      <c r="VW73" s="5"/>
      <c r="VX73" s="5"/>
      <c r="VY73" s="5"/>
      <c r="VZ73" s="5"/>
      <c r="WA73" s="5"/>
      <c r="WB73" s="5"/>
      <c r="WC73" s="5"/>
      <c r="WD73" s="5"/>
      <c r="WE73" s="5"/>
      <c r="WF73" s="5"/>
      <c r="WG73" s="5"/>
      <c r="WH73" s="5"/>
      <c r="WI73" s="5"/>
      <c r="WJ73" s="5"/>
      <c r="WK73" s="5"/>
      <c r="WL73" s="5"/>
      <c r="WM73" s="5"/>
      <c r="WN73" s="5"/>
      <c r="WO73" s="5"/>
      <c r="WP73" s="5"/>
      <c r="WQ73" s="5"/>
      <c r="WR73" s="5"/>
      <c r="WS73" s="5"/>
      <c r="WT73" s="5"/>
      <c r="WU73" s="5"/>
      <c r="WV73" s="5"/>
      <c r="WW73" s="5"/>
      <c r="WX73" s="5"/>
      <c r="WY73" s="5"/>
      <c r="WZ73" s="5"/>
      <c r="XA73" s="5"/>
      <c r="XB73" s="5"/>
      <c r="XC73" s="5"/>
      <c r="XD73" s="5"/>
      <c r="XE73" s="5"/>
      <c r="XF73" s="5"/>
      <c r="XG73" s="5"/>
      <c r="XH73" s="5"/>
      <c r="XI73" s="5"/>
      <c r="XJ73" s="5"/>
      <c r="XK73" s="5"/>
      <c r="XL73" s="5"/>
      <c r="XM73" s="5"/>
      <c r="XN73" s="5"/>
      <c r="XO73" s="5"/>
      <c r="XP73" s="5"/>
      <c r="XQ73" s="5"/>
      <c r="XR73" s="5"/>
      <c r="XS73" s="5"/>
      <c r="XT73" s="5"/>
      <c r="XU73" s="5"/>
      <c r="XV73" s="5"/>
      <c r="XW73" s="5"/>
      <c r="XX73" s="5"/>
      <c r="XY73" s="5"/>
      <c r="XZ73" s="5"/>
      <c r="YA73" s="5"/>
      <c r="YB73" s="5"/>
      <c r="YC73" s="5"/>
      <c r="YD73" s="5"/>
      <c r="YE73" s="5"/>
      <c r="YF73" s="5"/>
      <c r="YG73" s="5"/>
      <c r="YH73" s="5"/>
      <c r="YI73" s="5"/>
      <c r="YJ73" s="5"/>
      <c r="YK73" s="5"/>
      <c r="YL73" s="5"/>
      <c r="YM73" s="5"/>
      <c r="YN73" s="5"/>
      <c r="YO73" s="5"/>
      <c r="YP73" s="5"/>
      <c r="YQ73" s="5"/>
      <c r="YR73" s="5"/>
      <c r="YS73" s="5"/>
      <c r="YT73" s="5"/>
      <c r="YU73" s="5"/>
      <c r="YV73" s="5"/>
      <c r="YW73" s="5"/>
      <c r="YX73" s="5"/>
      <c r="YY73" s="5"/>
      <c r="YZ73" s="5"/>
    </row>
    <row r="74" spans="1:676">
      <c r="A74" s="7">
        <v>64</v>
      </c>
      <c r="B74" s="7" t="s">
        <v>191</v>
      </c>
      <c r="C74" s="10" t="s">
        <v>192</v>
      </c>
      <c r="D74" s="7" t="s">
        <v>51</v>
      </c>
      <c r="E74" s="7" t="s">
        <v>99</v>
      </c>
      <c r="F74" s="7" t="s">
        <v>90</v>
      </c>
      <c r="G74" s="7"/>
      <c r="H74" s="7" t="s">
        <v>43</v>
      </c>
      <c r="I74" s="11">
        <v>2</v>
      </c>
      <c r="J74" s="11">
        <v>3</v>
      </c>
      <c r="K74" s="11">
        <v>0</v>
      </c>
      <c r="L74" s="11">
        <v>5.229999999999996</v>
      </c>
      <c r="M74" s="11">
        <v>0.24</v>
      </c>
      <c r="N74" s="11">
        <v>0</v>
      </c>
      <c r="O74" s="11">
        <v>0</v>
      </c>
      <c r="P74" s="11">
        <v>1.66</v>
      </c>
      <c r="Q74" s="11">
        <v>7.129999999999996</v>
      </c>
      <c r="R74" s="11">
        <v>0</v>
      </c>
      <c r="S74" s="11">
        <v>7.129999999999996</v>
      </c>
      <c r="T74" s="11">
        <v>2</v>
      </c>
      <c r="U74" s="11">
        <v>3</v>
      </c>
      <c r="V74" s="11">
        <v>2.129999999999996</v>
      </c>
      <c r="W74" s="13">
        <v>2</v>
      </c>
      <c r="X74" s="13">
        <v>3</v>
      </c>
      <c r="Y74" s="13" t="str">
        <f>MIN(W74,S74)</f>
        <v>0</v>
      </c>
      <c r="Z74" s="13" t="str">
        <f>MIN(X74,(S74-Y74))</f>
        <v>0</v>
      </c>
      <c r="AA74" s="13" t="str">
        <f>S74-SUM(Y74,Z74)</f>
        <v>0</v>
      </c>
      <c r="AB74" s="15"/>
      <c r="AC74" s="15"/>
      <c r="AD74" s="1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  <c r="IW74" s="5"/>
      <c r="IX74" s="5"/>
      <c r="IY74" s="5"/>
      <c r="IZ74" s="5"/>
      <c r="JA74" s="5"/>
      <c r="JB74" s="5"/>
      <c r="JC74" s="5"/>
      <c r="JD74" s="5"/>
      <c r="JE74" s="5"/>
      <c r="JF74" s="5"/>
      <c r="JG74" s="5"/>
      <c r="JH74" s="5"/>
      <c r="JI74" s="5"/>
      <c r="JJ74" s="5"/>
      <c r="JK74" s="5"/>
      <c r="JL74" s="5"/>
      <c r="JM74" s="5"/>
      <c r="JN74" s="5"/>
      <c r="JO74" s="5"/>
      <c r="JP74" s="5"/>
      <c r="JQ74" s="5"/>
      <c r="JR74" s="5"/>
      <c r="JS74" s="5"/>
      <c r="JT74" s="5"/>
      <c r="JU74" s="5"/>
      <c r="JV74" s="5"/>
      <c r="JW74" s="5"/>
      <c r="JX74" s="5"/>
      <c r="JY74" s="5"/>
      <c r="JZ74" s="5"/>
      <c r="KA74" s="5"/>
      <c r="KB74" s="5"/>
      <c r="KC74" s="5"/>
      <c r="KD74" s="5"/>
      <c r="KE74" s="5"/>
      <c r="KF74" s="5"/>
      <c r="KG74" s="5"/>
      <c r="KH74" s="5"/>
      <c r="KI74" s="5"/>
      <c r="KJ74" s="5"/>
      <c r="KK74" s="5"/>
      <c r="KL74" s="5"/>
      <c r="KM74" s="5"/>
      <c r="KN74" s="5"/>
      <c r="KO74" s="5"/>
      <c r="KP74" s="5"/>
      <c r="KQ74" s="5"/>
      <c r="KR74" s="5"/>
      <c r="KS74" s="5"/>
      <c r="KT74" s="5"/>
      <c r="KU74" s="5"/>
      <c r="KV74" s="5"/>
      <c r="KW74" s="5"/>
      <c r="KX74" s="5"/>
      <c r="KY74" s="5"/>
      <c r="KZ74" s="5"/>
      <c r="LA74" s="5"/>
      <c r="LB74" s="5"/>
      <c r="LC74" s="5"/>
      <c r="LD74" s="5"/>
      <c r="LE74" s="5"/>
      <c r="LF74" s="5"/>
      <c r="LG74" s="5"/>
      <c r="LH74" s="5"/>
      <c r="LI74" s="5"/>
      <c r="LJ74" s="5"/>
      <c r="LK74" s="5"/>
      <c r="LL74" s="5"/>
      <c r="LM74" s="5"/>
      <c r="LN74" s="5"/>
      <c r="LO74" s="5"/>
      <c r="LP74" s="5"/>
      <c r="LQ74" s="5"/>
      <c r="LR74" s="5"/>
      <c r="LS74" s="5"/>
      <c r="LT74" s="5"/>
      <c r="LU74" s="5"/>
      <c r="LV74" s="5"/>
      <c r="LW74" s="5"/>
      <c r="LX74" s="5"/>
      <c r="LY74" s="5"/>
      <c r="LZ74" s="5"/>
      <c r="MA74" s="5"/>
      <c r="MB74" s="5"/>
      <c r="MC74" s="5"/>
      <c r="MD74" s="5"/>
      <c r="ME74" s="5"/>
      <c r="MF74" s="5"/>
      <c r="MG74" s="5"/>
      <c r="MH74" s="5"/>
      <c r="MI74" s="5"/>
      <c r="MJ74" s="5"/>
      <c r="MK74" s="5"/>
      <c r="ML74" s="5"/>
      <c r="MM74" s="5"/>
      <c r="MN74" s="5"/>
      <c r="MO74" s="5"/>
      <c r="MP74" s="5"/>
      <c r="MQ74" s="5"/>
      <c r="MR74" s="5"/>
      <c r="MS74" s="5"/>
      <c r="MT74" s="5"/>
      <c r="MU74" s="5"/>
      <c r="MV74" s="5"/>
      <c r="MW74" s="5"/>
      <c r="MX74" s="5"/>
      <c r="MY74" s="5"/>
      <c r="MZ74" s="5"/>
      <c r="NA74" s="5"/>
      <c r="NB74" s="5"/>
      <c r="NC74" s="5"/>
      <c r="ND74" s="5"/>
      <c r="NE74" s="5"/>
      <c r="NF74" s="5"/>
      <c r="NG74" s="5"/>
      <c r="NH74" s="5"/>
      <c r="NI74" s="5"/>
      <c r="NJ74" s="5"/>
      <c r="NK74" s="5"/>
      <c r="NL74" s="5"/>
      <c r="NM74" s="5"/>
      <c r="NN74" s="5"/>
      <c r="NO74" s="5"/>
      <c r="NP74" s="5"/>
      <c r="NQ74" s="5"/>
      <c r="NR74" s="5"/>
      <c r="NS74" s="5"/>
      <c r="NT74" s="5"/>
      <c r="NU74" s="5"/>
      <c r="NV74" s="5"/>
      <c r="NW74" s="5"/>
      <c r="NX74" s="5"/>
      <c r="NY74" s="5"/>
      <c r="NZ74" s="5"/>
      <c r="OA74" s="5"/>
      <c r="OB74" s="5"/>
      <c r="OC74" s="5"/>
      <c r="OD74" s="5"/>
      <c r="OE74" s="5"/>
      <c r="OF74" s="5"/>
      <c r="OG74" s="5"/>
      <c r="OH74" s="5"/>
      <c r="OI74" s="5"/>
      <c r="OJ74" s="5"/>
      <c r="OK74" s="5"/>
      <c r="OL74" s="5"/>
      <c r="OM74" s="5"/>
      <c r="ON74" s="5"/>
      <c r="OO74" s="5"/>
      <c r="OP74" s="5"/>
      <c r="OQ74" s="5"/>
      <c r="OR74" s="5"/>
      <c r="OS74" s="5"/>
      <c r="OT74" s="5"/>
      <c r="OU74" s="5"/>
      <c r="OV74" s="5"/>
      <c r="OW74" s="5"/>
      <c r="OX74" s="5"/>
      <c r="OY74" s="5"/>
      <c r="OZ74" s="5"/>
      <c r="PA74" s="5"/>
      <c r="PB74" s="5"/>
      <c r="PC74" s="5"/>
      <c r="PD74" s="5"/>
      <c r="PE74" s="5"/>
      <c r="PF74" s="5"/>
      <c r="PG74" s="5"/>
      <c r="PH74" s="5"/>
      <c r="PI74" s="5"/>
      <c r="PJ74" s="5"/>
      <c r="PK74" s="5"/>
      <c r="PL74" s="5"/>
      <c r="PM74" s="5"/>
      <c r="PN74" s="5"/>
      <c r="PO74" s="5"/>
      <c r="PP74" s="5"/>
      <c r="PQ74" s="5"/>
      <c r="PR74" s="5"/>
      <c r="PS74" s="5"/>
      <c r="PT74" s="5"/>
      <c r="PU74" s="5"/>
      <c r="PV74" s="5"/>
      <c r="PW74" s="5"/>
      <c r="PX74" s="5"/>
      <c r="PY74" s="5"/>
      <c r="PZ74" s="5"/>
      <c r="QA74" s="5"/>
      <c r="QB74" s="5"/>
      <c r="QC74" s="5"/>
      <c r="QD74" s="5"/>
      <c r="QE74" s="5"/>
      <c r="QF74" s="5"/>
      <c r="QG74" s="5"/>
      <c r="QH74" s="5"/>
      <c r="QI74" s="5"/>
      <c r="QJ74" s="5"/>
      <c r="QK74" s="5"/>
      <c r="QL74" s="5"/>
      <c r="QM74" s="5"/>
      <c r="QN74" s="5"/>
      <c r="QO74" s="5"/>
      <c r="QP74" s="5"/>
      <c r="QQ74" s="5"/>
      <c r="QR74" s="5"/>
      <c r="QS74" s="5"/>
      <c r="QT74" s="5"/>
      <c r="QU74" s="5"/>
      <c r="QV74" s="5"/>
      <c r="QW74" s="5"/>
      <c r="QX74" s="5"/>
      <c r="QY74" s="5"/>
      <c r="QZ74" s="5"/>
      <c r="RA74" s="5"/>
      <c r="RB74" s="5"/>
      <c r="RC74" s="5"/>
      <c r="RD74" s="5"/>
      <c r="RE74" s="5"/>
      <c r="RF74" s="5"/>
      <c r="RG74" s="5"/>
      <c r="RH74" s="5"/>
      <c r="RI74" s="5"/>
      <c r="RJ74" s="5"/>
      <c r="RK74" s="5"/>
      <c r="RL74" s="5"/>
      <c r="RM74" s="5"/>
      <c r="RN74" s="5"/>
      <c r="RO74" s="5"/>
      <c r="RP74" s="5"/>
      <c r="RQ74" s="5"/>
      <c r="RR74" s="5"/>
      <c r="RS74" s="5"/>
      <c r="RT74" s="5"/>
      <c r="RU74" s="5"/>
      <c r="RV74" s="5"/>
      <c r="RW74" s="5"/>
      <c r="RX74" s="5"/>
      <c r="RY74" s="5"/>
      <c r="RZ74" s="5"/>
      <c r="SA74" s="5"/>
      <c r="SB74" s="5"/>
      <c r="SC74" s="5"/>
      <c r="SD74" s="5"/>
      <c r="SE74" s="5"/>
      <c r="SF74" s="5"/>
      <c r="SG74" s="5"/>
      <c r="SH74" s="5"/>
      <c r="SI74" s="5"/>
      <c r="SJ74" s="5"/>
      <c r="SK74" s="5"/>
      <c r="SL74" s="5"/>
      <c r="SM74" s="5"/>
      <c r="SN74" s="5"/>
      <c r="SO74" s="5"/>
      <c r="SP74" s="5"/>
      <c r="SQ74" s="5"/>
      <c r="SR74" s="5"/>
      <c r="SS74" s="5"/>
      <c r="ST74" s="5"/>
      <c r="SU74" s="5"/>
      <c r="SV74" s="5"/>
      <c r="SW74" s="5"/>
      <c r="SX74" s="5"/>
      <c r="SY74" s="5"/>
      <c r="SZ74" s="5"/>
      <c r="TA74" s="5"/>
      <c r="TB74" s="5"/>
      <c r="TC74" s="5"/>
      <c r="TD74" s="5"/>
      <c r="TE74" s="5"/>
      <c r="TF74" s="5"/>
      <c r="TG74" s="5"/>
      <c r="TH74" s="5"/>
      <c r="TI74" s="5"/>
      <c r="TJ74" s="5"/>
      <c r="TK74" s="5"/>
      <c r="TL74" s="5"/>
      <c r="TM74" s="5"/>
      <c r="TN74" s="5"/>
      <c r="TO74" s="5"/>
      <c r="TP74" s="5"/>
      <c r="TQ74" s="5"/>
      <c r="TR74" s="5"/>
      <c r="TS74" s="5"/>
      <c r="TT74" s="5"/>
      <c r="TU74" s="5"/>
      <c r="TV74" s="5"/>
      <c r="TW74" s="5"/>
      <c r="TX74" s="5"/>
      <c r="TY74" s="5"/>
      <c r="TZ74" s="5"/>
      <c r="UA74" s="5"/>
      <c r="UB74" s="5"/>
      <c r="UC74" s="5"/>
      <c r="UD74" s="5"/>
      <c r="UE74" s="5"/>
      <c r="UF74" s="5"/>
      <c r="UG74" s="5"/>
      <c r="UH74" s="5"/>
      <c r="UI74" s="5"/>
      <c r="UJ74" s="5"/>
      <c r="UK74" s="5"/>
      <c r="UL74" s="5"/>
      <c r="UM74" s="5"/>
      <c r="UN74" s="5"/>
      <c r="UO74" s="5"/>
      <c r="UP74" s="5"/>
      <c r="UQ74" s="5"/>
      <c r="UR74" s="5"/>
      <c r="US74" s="5"/>
      <c r="UT74" s="5"/>
      <c r="UU74" s="5"/>
      <c r="UV74" s="5"/>
      <c r="UW74" s="5"/>
      <c r="UX74" s="5"/>
      <c r="UY74" s="5"/>
      <c r="UZ74" s="5"/>
      <c r="VA74" s="5"/>
      <c r="VB74" s="5"/>
      <c r="VC74" s="5"/>
      <c r="VD74" s="5"/>
      <c r="VE74" s="5"/>
      <c r="VF74" s="5"/>
      <c r="VG74" s="5"/>
      <c r="VH74" s="5"/>
      <c r="VI74" s="5"/>
      <c r="VJ74" s="5"/>
      <c r="VK74" s="5"/>
      <c r="VL74" s="5"/>
      <c r="VM74" s="5"/>
      <c r="VN74" s="5"/>
      <c r="VO74" s="5"/>
      <c r="VP74" s="5"/>
      <c r="VQ74" s="5"/>
      <c r="VR74" s="5"/>
      <c r="VS74" s="5"/>
      <c r="VT74" s="5"/>
      <c r="VU74" s="5"/>
      <c r="VV74" s="5"/>
      <c r="VW74" s="5"/>
      <c r="VX74" s="5"/>
      <c r="VY74" s="5"/>
      <c r="VZ74" s="5"/>
      <c r="WA74" s="5"/>
      <c r="WB74" s="5"/>
      <c r="WC74" s="5"/>
      <c r="WD74" s="5"/>
      <c r="WE74" s="5"/>
      <c r="WF74" s="5"/>
      <c r="WG74" s="5"/>
      <c r="WH74" s="5"/>
      <c r="WI74" s="5"/>
      <c r="WJ74" s="5"/>
      <c r="WK74" s="5"/>
      <c r="WL74" s="5"/>
      <c r="WM74" s="5"/>
      <c r="WN74" s="5"/>
      <c r="WO74" s="5"/>
      <c r="WP74" s="5"/>
      <c r="WQ74" s="5"/>
      <c r="WR74" s="5"/>
      <c r="WS74" s="5"/>
      <c r="WT74" s="5"/>
      <c r="WU74" s="5"/>
      <c r="WV74" s="5"/>
      <c r="WW74" s="5"/>
      <c r="WX74" s="5"/>
      <c r="WY74" s="5"/>
      <c r="WZ74" s="5"/>
      <c r="XA74" s="5"/>
      <c r="XB74" s="5"/>
      <c r="XC74" s="5"/>
      <c r="XD74" s="5"/>
      <c r="XE74" s="5"/>
      <c r="XF74" s="5"/>
      <c r="XG74" s="5"/>
      <c r="XH74" s="5"/>
      <c r="XI74" s="5"/>
      <c r="XJ74" s="5"/>
      <c r="XK74" s="5"/>
      <c r="XL74" s="5"/>
      <c r="XM74" s="5"/>
      <c r="XN74" s="5"/>
      <c r="XO74" s="5"/>
      <c r="XP74" s="5"/>
      <c r="XQ74" s="5"/>
      <c r="XR74" s="5"/>
      <c r="XS74" s="5"/>
      <c r="XT74" s="5"/>
      <c r="XU74" s="5"/>
      <c r="XV74" s="5"/>
      <c r="XW74" s="5"/>
      <c r="XX74" s="5"/>
      <c r="XY74" s="5"/>
      <c r="XZ74" s="5"/>
      <c r="YA74" s="5"/>
      <c r="YB74" s="5"/>
      <c r="YC74" s="5"/>
      <c r="YD74" s="5"/>
      <c r="YE74" s="5"/>
      <c r="YF74" s="5"/>
      <c r="YG74" s="5"/>
      <c r="YH74" s="5"/>
      <c r="YI74" s="5"/>
      <c r="YJ74" s="5"/>
      <c r="YK74" s="5"/>
      <c r="YL74" s="5"/>
      <c r="YM74" s="5"/>
      <c r="YN74" s="5"/>
      <c r="YO74" s="5"/>
      <c r="YP74" s="5"/>
      <c r="YQ74" s="5"/>
      <c r="YR74" s="5"/>
      <c r="YS74" s="5"/>
      <c r="YT74" s="5"/>
      <c r="YU74" s="5"/>
      <c r="YV74" s="5"/>
      <c r="YW74" s="5"/>
      <c r="YX74" s="5"/>
      <c r="YY74" s="5"/>
      <c r="YZ74" s="5"/>
    </row>
    <row r="75" spans="1:676">
      <c r="A75" s="7">
        <v>65</v>
      </c>
      <c r="B75" s="7" t="s">
        <v>193</v>
      </c>
      <c r="C75" s="10" t="s">
        <v>194</v>
      </c>
      <c r="D75" s="7" t="s">
        <v>40</v>
      </c>
      <c r="E75" s="7" t="s">
        <v>99</v>
      </c>
      <c r="F75" s="7" t="s">
        <v>90</v>
      </c>
      <c r="G75" s="7"/>
      <c r="H75" s="7" t="s">
        <v>43</v>
      </c>
      <c r="I75" s="11">
        <v>2</v>
      </c>
      <c r="J75" s="11">
        <v>3</v>
      </c>
      <c r="K75" s="11">
        <v>0</v>
      </c>
      <c r="L75" s="11">
        <v>4.539999999999999</v>
      </c>
      <c r="M75" s="11">
        <v>0.72</v>
      </c>
      <c r="N75" s="11">
        <v>0</v>
      </c>
      <c r="O75" s="11">
        <v>0.5</v>
      </c>
      <c r="P75" s="11">
        <v>0.8</v>
      </c>
      <c r="Q75" s="11">
        <v>6.559999999999999</v>
      </c>
      <c r="R75" s="11">
        <v>0</v>
      </c>
      <c r="S75" s="11">
        <v>6.559999999999999</v>
      </c>
      <c r="T75" s="11">
        <v>2</v>
      </c>
      <c r="U75" s="11">
        <v>3</v>
      </c>
      <c r="V75" s="11">
        <v>1.559999999999999</v>
      </c>
      <c r="W75" s="13">
        <v>2</v>
      </c>
      <c r="X75" s="13">
        <v>3</v>
      </c>
      <c r="Y75" s="13" t="str">
        <f>MIN(W75,S75)</f>
        <v>0</v>
      </c>
      <c r="Z75" s="13" t="str">
        <f>MIN(X75,(S75-Y75))</f>
        <v>0</v>
      </c>
      <c r="AA75" s="13" t="str">
        <f>S75-SUM(Y75,Z75)</f>
        <v>0</v>
      </c>
      <c r="AB75" s="15"/>
      <c r="AC75" s="15"/>
      <c r="AD75" s="1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  <c r="IW75" s="5"/>
      <c r="IX75" s="5"/>
      <c r="IY75" s="5"/>
      <c r="IZ75" s="5"/>
      <c r="JA75" s="5"/>
      <c r="JB75" s="5"/>
      <c r="JC75" s="5"/>
      <c r="JD75" s="5"/>
      <c r="JE75" s="5"/>
      <c r="JF75" s="5"/>
      <c r="JG75" s="5"/>
      <c r="JH75" s="5"/>
      <c r="JI75" s="5"/>
      <c r="JJ75" s="5"/>
      <c r="JK75" s="5"/>
      <c r="JL75" s="5"/>
      <c r="JM75" s="5"/>
      <c r="JN75" s="5"/>
      <c r="JO75" s="5"/>
      <c r="JP75" s="5"/>
      <c r="JQ75" s="5"/>
      <c r="JR75" s="5"/>
      <c r="JS75" s="5"/>
      <c r="JT75" s="5"/>
      <c r="JU75" s="5"/>
      <c r="JV75" s="5"/>
      <c r="JW75" s="5"/>
      <c r="JX75" s="5"/>
      <c r="JY75" s="5"/>
      <c r="JZ75" s="5"/>
      <c r="KA75" s="5"/>
      <c r="KB75" s="5"/>
      <c r="KC75" s="5"/>
      <c r="KD75" s="5"/>
      <c r="KE75" s="5"/>
      <c r="KF75" s="5"/>
      <c r="KG75" s="5"/>
      <c r="KH75" s="5"/>
      <c r="KI75" s="5"/>
      <c r="KJ75" s="5"/>
      <c r="KK75" s="5"/>
      <c r="KL75" s="5"/>
      <c r="KM75" s="5"/>
      <c r="KN75" s="5"/>
      <c r="KO75" s="5"/>
      <c r="KP75" s="5"/>
      <c r="KQ75" s="5"/>
      <c r="KR75" s="5"/>
      <c r="KS75" s="5"/>
      <c r="KT75" s="5"/>
      <c r="KU75" s="5"/>
      <c r="KV75" s="5"/>
      <c r="KW75" s="5"/>
      <c r="KX75" s="5"/>
      <c r="KY75" s="5"/>
      <c r="KZ75" s="5"/>
      <c r="LA75" s="5"/>
      <c r="LB75" s="5"/>
      <c r="LC75" s="5"/>
      <c r="LD75" s="5"/>
      <c r="LE75" s="5"/>
      <c r="LF75" s="5"/>
      <c r="LG75" s="5"/>
      <c r="LH75" s="5"/>
      <c r="LI75" s="5"/>
      <c r="LJ75" s="5"/>
      <c r="LK75" s="5"/>
      <c r="LL75" s="5"/>
      <c r="LM75" s="5"/>
      <c r="LN75" s="5"/>
      <c r="LO75" s="5"/>
      <c r="LP75" s="5"/>
      <c r="LQ75" s="5"/>
      <c r="LR75" s="5"/>
      <c r="LS75" s="5"/>
      <c r="LT75" s="5"/>
      <c r="LU75" s="5"/>
      <c r="LV75" s="5"/>
      <c r="LW75" s="5"/>
      <c r="LX75" s="5"/>
      <c r="LY75" s="5"/>
      <c r="LZ75" s="5"/>
      <c r="MA75" s="5"/>
      <c r="MB75" s="5"/>
      <c r="MC75" s="5"/>
      <c r="MD75" s="5"/>
      <c r="ME75" s="5"/>
      <c r="MF75" s="5"/>
      <c r="MG75" s="5"/>
      <c r="MH75" s="5"/>
      <c r="MI75" s="5"/>
      <c r="MJ75" s="5"/>
      <c r="MK75" s="5"/>
      <c r="ML75" s="5"/>
      <c r="MM75" s="5"/>
      <c r="MN75" s="5"/>
      <c r="MO75" s="5"/>
      <c r="MP75" s="5"/>
      <c r="MQ75" s="5"/>
      <c r="MR75" s="5"/>
      <c r="MS75" s="5"/>
      <c r="MT75" s="5"/>
      <c r="MU75" s="5"/>
      <c r="MV75" s="5"/>
      <c r="MW75" s="5"/>
      <c r="MX75" s="5"/>
      <c r="MY75" s="5"/>
      <c r="MZ75" s="5"/>
      <c r="NA75" s="5"/>
      <c r="NB75" s="5"/>
      <c r="NC75" s="5"/>
      <c r="ND75" s="5"/>
      <c r="NE75" s="5"/>
      <c r="NF75" s="5"/>
      <c r="NG75" s="5"/>
      <c r="NH75" s="5"/>
      <c r="NI75" s="5"/>
      <c r="NJ75" s="5"/>
      <c r="NK75" s="5"/>
      <c r="NL75" s="5"/>
      <c r="NM75" s="5"/>
      <c r="NN75" s="5"/>
      <c r="NO75" s="5"/>
      <c r="NP75" s="5"/>
      <c r="NQ75" s="5"/>
      <c r="NR75" s="5"/>
      <c r="NS75" s="5"/>
      <c r="NT75" s="5"/>
      <c r="NU75" s="5"/>
      <c r="NV75" s="5"/>
      <c r="NW75" s="5"/>
      <c r="NX75" s="5"/>
      <c r="NY75" s="5"/>
      <c r="NZ75" s="5"/>
      <c r="OA75" s="5"/>
      <c r="OB75" s="5"/>
      <c r="OC75" s="5"/>
      <c r="OD75" s="5"/>
      <c r="OE75" s="5"/>
      <c r="OF75" s="5"/>
      <c r="OG75" s="5"/>
      <c r="OH75" s="5"/>
      <c r="OI75" s="5"/>
      <c r="OJ75" s="5"/>
      <c r="OK75" s="5"/>
      <c r="OL75" s="5"/>
      <c r="OM75" s="5"/>
      <c r="ON75" s="5"/>
      <c r="OO75" s="5"/>
      <c r="OP75" s="5"/>
      <c r="OQ75" s="5"/>
      <c r="OR75" s="5"/>
      <c r="OS75" s="5"/>
      <c r="OT75" s="5"/>
      <c r="OU75" s="5"/>
      <c r="OV75" s="5"/>
      <c r="OW75" s="5"/>
      <c r="OX75" s="5"/>
      <c r="OY75" s="5"/>
      <c r="OZ75" s="5"/>
      <c r="PA75" s="5"/>
      <c r="PB75" s="5"/>
      <c r="PC75" s="5"/>
      <c r="PD75" s="5"/>
      <c r="PE75" s="5"/>
      <c r="PF75" s="5"/>
      <c r="PG75" s="5"/>
      <c r="PH75" s="5"/>
      <c r="PI75" s="5"/>
      <c r="PJ75" s="5"/>
      <c r="PK75" s="5"/>
      <c r="PL75" s="5"/>
      <c r="PM75" s="5"/>
      <c r="PN75" s="5"/>
      <c r="PO75" s="5"/>
      <c r="PP75" s="5"/>
      <c r="PQ75" s="5"/>
      <c r="PR75" s="5"/>
      <c r="PS75" s="5"/>
      <c r="PT75" s="5"/>
      <c r="PU75" s="5"/>
      <c r="PV75" s="5"/>
      <c r="PW75" s="5"/>
      <c r="PX75" s="5"/>
      <c r="PY75" s="5"/>
      <c r="PZ75" s="5"/>
      <c r="QA75" s="5"/>
      <c r="QB75" s="5"/>
      <c r="QC75" s="5"/>
      <c r="QD75" s="5"/>
      <c r="QE75" s="5"/>
      <c r="QF75" s="5"/>
      <c r="QG75" s="5"/>
      <c r="QH75" s="5"/>
      <c r="QI75" s="5"/>
      <c r="QJ75" s="5"/>
      <c r="QK75" s="5"/>
      <c r="QL75" s="5"/>
      <c r="QM75" s="5"/>
      <c r="QN75" s="5"/>
      <c r="QO75" s="5"/>
      <c r="QP75" s="5"/>
      <c r="QQ75" s="5"/>
      <c r="QR75" s="5"/>
      <c r="QS75" s="5"/>
      <c r="QT75" s="5"/>
      <c r="QU75" s="5"/>
      <c r="QV75" s="5"/>
      <c r="QW75" s="5"/>
      <c r="QX75" s="5"/>
      <c r="QY75" s="5"/>
      <c r="QZ75" s="5"/>
      <c r="RA75" s="5"/>
      <c r="RB75" s="5"/>
      <c r="RC75" s="5"/>
      <c r="RD75" s="5"/>
      <c r="RE75" s="5"/>
      <c r="RF75" s="5"/>
      <c r="RG75" s="5"/>
      <c r="RH75" s="5"/>
      <c r="RI75" s="5"/>
      <c r="RJ75" s="5"/>
      <c r="RK75" s="5"/>
      <c r="RL75" s="5"/>
      <c r="RM75" s="5"/>
      <c r="RN75" s="5"/>
      <c r="RO75" s="5"/>
      <c r="RP75" s="5"/>
      <c r="RQ75" s="5"/>
      <c r="RR75" s="5"/>
      <c r="RS75" s="5"/>
      <c r="RT75" s="5"/>
      <c r="RU75" s="5"/>
      <c r="RV75" s="5"/>
      <c r="RW75" s="5"/>
      <c r="RX75" s="5"/>
      <c r="RY75" s="5"/>
      <c r="RZ75" s="5"/>
      <c r="SA75" s="5"/>
      <c r="SB75" s="5"/>
      <c r="SC75" s="5"/>
      <c r="SD75" s="5"/>
      <c r="SE75" s="5"/>
      <c r="SF75" s="5"/>
      <c r="SG75" s="5"/>
      <c r="SH75" s="5"/>
      <c r="SI75" s="5"/>
      <c r="SJ75" s="5"/>
      <c r="SK75" s="5"/>
      <c r="SL75" s="5"/>
      <c r="SM75" s="5"/>
      <c r="SN75" s="5"/>
      <c r="SO75" s="5"/>
      <c r="SP75" s="5"/>
      <c r="SQ75" s="5"/>
      <c r="SR75" s="5"/>
      <c r="SS75" s="5"/>
      <c r="ST75" s="5"/>
      <c r="SU75" s="5"/>
      <c r="SV75" s="5"/>
      <c r="SW75" s="5"/>
      <c r="SX75" s="5"/>
      <c r="SY75" s="5"/>
      <c r="SZ75" s="5"/>
      <c r="TA75" s="5"/>
      <c r="TB75" s="5"/>
      <c r="TC75" s="5"/>
      <c r="TD75" s="5"/>
      <c r="TE75" s="5"/>
      <c r="TF75" s="5"/>
      <c r="TG75" s="5"/>
      <c r="TH75" s="5"/>
      <c r="TI75" s="5"/>
      <c r="TJ75" s="5"/>
      <c r="TK75" s="5"/>
      <c r="TL75" s="5"/>
      <c r="TM75" s="5"/>
      <c r="TN75" s="5"/>
      <c r="TO75" s="5"/>
      <c r="TP75" s="5"/>
      <c r="TQ75" s="5"/>
      <c r="TR75" s="5"/>
      <c r="TS75" s="5"/>
      <c r="TT75" s="5"/>
      <c r="TU75" s="5"/>
      <c r="TV75" s="5"/>
      <c r="TW75" s="5"/>
      <c r="TX75" s="5"/>
      <c r="TY75" s="5"/>
      <c r="TZ75" s="5"/>
      <c r="UA75" s="5"/>
      <c r="UB75" s="5"/>
      <c r="UC75" s="5"/>
      <c r="UD75" s="5"/>
      <c r="UE75" s="5"/>
      <c r="UF75" s="5"/>
      <c r="UG75" s="5"/>
      <c r="UH75" s="5"/>
      <c r="UI75" s="5"/>
      <c r="UJ75" s="5"/>
      <c r="UK75" s="5"/>
      <c r="UL75" s="5"/>
      <c r="UM75" s="5"/>
      <c r="UN75" s="5"/>
      <c r="UO75" s="5"/>
      <c r="UP75" s="5"/>
      <c r="UQ75" s="5"/>
      <c r="UR75" s="5"/>
      <c r="US75" s="5"/>
      <c r="UT75" s="5"/>
      <c r="UU75" s="5"/>
      <c r="UV75" s="5"/>
      <c r="UW75" s="5"/>
      <c r="UX75" s="5"/>
      <c r="UY75" s="5"/>
      <c r="UZ75" s="5"/>
      <c r="VA75" s="5"/>
      <c r="VB75" s="5"/>
      <c r="VC75" s="5"/>
      <c r="VD75" s="5"/>
      <c r="VE75" s="5"/>
      <c r="VF75" s="5"/>
      <c r="VG75" s="5"/>
      <c r="VH75" s="5"/>
      <c r="VI75" s="5"/>
      <c r="VJ75" s="5"/>
      <c r="VK75" s="5"/>
      <c r="VL75" s="5"/>
      <c r="VM75" s="5"/>
      <c r="VN75" s="5"/>
      <c r="VO75" s="5"/>
      <c r="VP75" s="5"/>
      <c r="VQ75" s="5"/>
      <c r="VR75" s="5"/>
      <c r="VS75" s="5"/>
      <c r="VT75" s="5"/>
      <c r="VU75" s="5"/>
      <c r="VV75" s="5"/>
      <c r="VW75" s="5"/>
      <c r="VX75" s="5"/>
      <c r="VY75" s="5"/>
      <c r="VZ75" s="5"/>
      <c r="WA75" s="5"/>
      <c r="WB75" s="5"/>
      <c r="WC75" s="5"/>
      <c r="WD75" s="5"/>
      <c r="WE75" s="5"/>
      <c r="WF75" s="5"/>
      <c r="WG75" s="5"/>
      <c r="WH75" s="5"/>
      <c r="WI75" s="5"/>
      <c r="WJ75" s="5"/>
      <c r="WK75" s="5"/>
      <c r="WL75" s="5"/>
      <c r="WM75" s="5"/>
      <c r="WN75" s="5"/>
      <c r="WO75" s="5"/>
      <c r="WP75" s="5"/>
      <c r="WQ75" s="5"/>
      <c r="WR75" s="5"/>
      <c r="WS75" s="5"/>
      <c r="WT75" s="5"/>
      <c r="WU75" s="5"/>
      <c r="WV75" s="5"/>
      <c r="WW75" s="5"/>
      <c r="WX75" s="5"/>
      <c r="WY75" s="5"/>
      <c r="WZ75" s="5"/>
      <c r="XA75" s="5"/>
      <c r="XB75" s="5"/>
      <c r="XC75" s="5"/>
      <c r="XD75" s="5"/>
      <c r="XE75" s="5"/>
      <c r="XF75" s="5"/>
      <c r="XG75" s="5"/>
      <c r="XH75" s="5"/>
      <c r="XI75" s="5"/>
      <c r="XJ75" s="5"/>
      <c r="XK75" s="5"/>
      <c r="XL75" s="5"/>
      <c r="XM75" s="5"/>
      <c r="XN75" s="5"/>
      <c r="XO75" s="5"/>
      <c r="XP75" s="5"/>
      <c r="XQ75" s="5"/>
      <c r="XR75" s="5"/>
      <c r="XS75" s="5"/>
      <c r="XT75" s="5"/>
      <c r="XU75" s="5"/>
      <c r="XV75" s="5"/>
      <c r="XW75" s="5"/>
      <c r="XX75" s="5"/>
      <c r="XY75" s="5"/>
      <c r="XZ75" s="5"/>
      <c r="YA75" s="5"/>
      <c r="YB75" s="5"/>
      <c r="YC75" s="5"/>
      <c r="YD75" s="5"/>
      <c r="YE75" s="5"/>
      <c r="YF75" s="5"/>
      <c r="YG75" s="5"/>
      <c r="YH75" s="5"/>
      <c r="YI75" s="5"/>
      <c r="YJ75" s="5"/>
      <c r="YK75" s="5"/>
      <c r="YL75" s="5"/>
      <c r="YM75" s="5"/>
      <c r="YN75" s="5"/>
      <c r="YO75" s="5"/>
      <c r="YP75" s="5"/>
      <c r="YQ75" s="5"/>
      <c r="YR75" s="5"/>
      <c r="YS75" s="5"/>
      <c r="YT75" s="5"/>
      <c r="YU75" s="5"/>
      <c r="YV75" s="5"/>
      <c r="YW75" s="5"/>
      <c r="YX75" s="5"/>
      <c r="YY75" s="5"/>
      <c r="YZ75" s="5"/>
    </row>
    <row r="76" spans="1:676">
      <c r="A76" s="7">
        <v>66</v>
      </c>
      <c r="B76" s="7" t="s">
        <v>195</v>
      </c>
      <c r="C76" s="10" t="s">
        <v>196</v>
      </c>
      <c r="D76" s="7" t="s">
        <v>40</v>
      </c>
      <c r="E76" s="7" t="s">
        <v>99</v>
      </c>
      <c r="F76" s="7" t="s">
        <v>90</v>
      </c>
      <c r="G76" s="7"/>
      <c r="H76" s="7" t="s">
        <v>43</v>
      </c>
      <c r="I76" s="11">
        <v>2</v>
      </c>
      <c r="J76" s="11">
        <v>3</v>
      </c>
      <c r="K76" s="11">
        <v>0</v>
      </c>
      <c r="L76" s="11">
        <v>3.839999999999999</v>
      </c>
      <c r="M76" s="11">
        <v>0.72</v>
      </c>
      <c r="N76" s="11">
        <v>0</v>
      </c>
      <c r="O76" s="11">
        <v>0.5</v>
      </c>
      <c r="P76" s="11">
        <v>0</v>
      </c>
      <c r="Q76" s="11">
        <v>5.06</v>
      </c>
      <c r="R76" s="11">
        <v>0</v>
      </c>
      <c r="S76" s="11">
        <v>5.06</v>
      </c>
      <c r="T76" s="11">
        <v>2</v>
      </c>
      <c r="U76" s="11">
        <v>3</v>
      </c>
      <c r="V76" s="11">
        <v>0.0600000000000005</v>
      </c>
      <c r="W76" s="13">
        <v>2</v>
      </c>
      <c r="X76" s="13">
        <v>3</v>
      </c>
      <c r="Y76" s="13" t="str">
        <f>MIN(W76,S76)</f>
        <v>0</v>
      </c>
      <c r="Z76" s="13" t="str">
        <f>MIN(X76,(S76-Y76))</f>
        <v>0</v>
      </c>
      <c r="AA76" s="13" t="str">
        <f>S76-SUM(Y76,Z76)</f>
        <v>0</v>
      </c>
      <c r="AB76" s="15"/>
      <c r="AC76" s="15"/>
      <c r="AD76" s="1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  <c r="IW76" s="5"/>
      <c r="IX76" s="5"/>
      <c r="IY76" s="5"/>
      <c r="IZ76" s="5"/>
      <c r="JA76" s="5"/>
      <c r="JB76" s="5"/>
      <c r="JC76" s="5"/>
      <c r="JD76" s="5"/>
      <c r="JE76" s="5"/>
      <c r="JF76" s="5"/>
      <c r="JG76" s="5"/>
      <c r="JH76" s="5"/>
      <c r="JI76" s="5"/>
      <c r="JJ76" s="5"/>
      <c r="JK76" s="5"/>
      <c r="JL76" s="5"/>
      <c r="JM76" s="5"/>
      <c r="JN76" s="5"/>
      <c r="JO76" s="5"/>
      <c r="JP76" s="5"/>
      <c r="JQ76" s="5"/>
      <c r="JR76" s="5"/>
      <c r="JS76" s="5"/>
      <c r="JT76" s="5"/>
      <c r="JU76" s="5"/>
      <c r="JV76" s="5"/>
      <c r="JW76" s="5"/>
      <c r="JX76" s="5"/>
      <c r="JY76" s="5"/>
      <c r="JZ76" s="5"/>
      <c r="KA76" s="5"/>
      <c r="KB76" s="5"/>
      <c r="KC76" s="5"/>
      <c r="KD76" s="5"/>
      <c r="KE76" s="5"/>
      <c r="KF76" s="5"/>
      <c r="KG76" s="5"/>
      <c r="KH76" s="5"/>
      <c r="KI76" s="5"/>
      <c r="KJ76" s="5"/>
      <c r="KK76" s="5"/>
      <c r="KL76" s="5"/>
      <c r="KM76" s="5"/>
      <c r="KN76" s="5"/>
      <c r="KO76" s="5"/>
      <c r="KP76" s="5"/>
      <c r="KQ76" s="5"/>
      <c r="KR76" s="5"/>
      <c r="KS76" s="5"/>
      <c r="KT76" s="5"/>
      <c r="KU76" s="5"/>
      <c r="KV76" s="5"/>
      <c r="KW76" s="5"/>
      <c r="KX76" s="5"/>
      <c r="KY76" s="5"/>
      <c r="KZ76" s="5"/>
      <c r="LA76" s="5"/>
      <c r="LB76" s="5"/>
      <c r="LC76" s="5"/>
      <c r="LD76" s="5"/>
      <c r="LE76" s="5"/>
      <c r="LF76" s="5"/>
      <c r="LG76" s="5"/>
      <c r="LH76" s="5"/>
      <c r="LI76" s="5"/>
      <c r="LJ76" s="5"/>
      <c r="LK76" s="5"/>
      <c r="LL76" s="5"/>
      <c r="LM76" s="5"/>
      <c r="LN76" s="5"/>
      <c r="LO76" s="5"/>
      <c r="LP76" s="5"/>
      <c r="LQ76" s="5"/>
      <c r="LR76" s="5"/>
      <c r="LS76" s="5"/>
      <c r="LT76" s="5"/>
      <c r="LU76" s="5"/>
      <c r="LV76" s="5"/>
      <c r="LW76" s="5"/>
      <c r="LX76" s="5"/>
      <c r="LY76" s="5"/>
      <c r="LZ76" s="5"/>
      <c r="MA76" s="5"/>
      <c r="MB76" s="5"/>
      <c r="MC76" s="5"/>
      <c r="MD76" s="5"/>
      <c r="ME76" s="5"/>
      <c r="MF76" s="5"/>
      <c r="MG76" s="5"/>
      <c r="MH76" s="5"/>
      <c r="MI76" s="5"/>
      <c r="MJ76" s="5"/>
      <c r="MK76" s="5"/>
      <c r="ML76" s="5"/>
      <c r="MM76" s="5"/>
      <c r="MN76" s="5"/>
      <c r="MO76" s="5"/>
      <c r="MP76" s="5"/>
      <c r="MQ76" s="5"/>
      <c r="MR76" s="5"/>
      <c r="MS76" s="5"/>
      <c r="MT76" s="5"/>
      <c r="MU76" s="5"/>
      <c r="MV76" s="5"/>
      <c r="MW76" s="5"/>
      <c r="MX76" s="5"/>
      <c r="MY76" s="5"/>
      <c r="MZ76" s="5"/>
      <c r="NA76" s="5"/>
      <c r="NB76" s="5"/>
      <c r="NC76" s="5"/>
      <c r="ND76" s="5"/>
      <c r="NE76" s="5"/>
      <c r="NF76" s="5"/>
      <c r="NG76" s="5"/>
      <c r="NH76" s="5"/>
      <c r="NI76" s="5"/>
      <c r="NJ76" s="5"/>
      <c r="NK76" s="5"/>
      <c r="NL76" s="5"/>
      <c r="NM76" s="5"/>
      <c r="NN76" s="5"/>
      <c r="NO76" s="5"/>
      <c r="NP76" s="5"/>
      <c r="NQ76" s="5"/>
      <c r="NR76" s="5"/>
      <c r="NS76" s="5"/>
      <c r="NT76" s="5"/>
      <c r="NU76" s="5"/>
      <c r="NV76" s="5"/>
      <c r="NW76" s="5"/>
      <c r="NX76" s="5"/>
      <c r="NY76" s="5"/>
      <c r="NZ76" s="5"/>
      <c r="OA76" s="5"/>
      <c r="OB76" s="5"/>
      <c r="OC76" s="5"/>
      <c r="OD76" s="5"/>
      <c r="OE76" s="5"/>
      <c r="OF76" s="5"/>
      <c r="OG76" s="5"/>
      <c r="OH76" s="5"/>
      <c r="OI76" s="5"/>
      <c r="OJ76" s="5"/>
      <c r="OK76" s="5"/>
      <c r="OL76" s="5"/>
      <c r="OM76" s="5"/>
      <c r="ON76" s="5"/>
      <c r="OO76" s="5"/>
      <c r="OP76" s="5"/>
      <c r="OQ76" s="5"/>
      <c r="OR76" s="5"/>
      <c r="OS76" s="5"/>
      <c r="OT76" s="5"/>
      <c r="OU76" s="5"/>
      <c r="OV76" s="5"/>
      <c r="OW76" s="5"/>
      <c r="OX76" s="5"/>
      <c r="OY76" s="5"/>
      <c r="OZ76" s="5"/>
      <c r="PA76" s="5"/>
      <c r="PB76" s="5"/>
      <c r="PC76" s="5"/>
      <c r="PD76" s="5"/>
      <c r="PE76" s="5"/>
      <c r="PF76" s="5"/>
      <c r="PG76" s="5"/>
      <c r="PH76" s="5"/>
      <c r="PI76" s="5"/>
      <c r="PJ76" s="5"/>
      <c r="PK76" s="5"/>
      <c r="PL76" s="5"/>
      <c r="PM76" s="5"/>
      <c r="PN76" s="5"/>
      <c r="PO76" s="5"/>
      <c r="PP76" s="5"/>
      <c r="PQ76" s="5"/>
      <c r="PR76" s="5"/>
      <c r="PS76" s="5"/>
      <c r="PT76" s="5"/>
      <c r="PU76" s="5"/>
      <c r="PV76" s="5"/>
      <c r="PW76" s="5"/>
      <c r="PX76" s="5"/>
      <c r="PY76" s="5"/>
      <c r="PZ76" s="5"/>
      <c r="QA76" s="5"/>
      <c r="QB76" s="5"/>
      <c r="QC76" s="5"/>
      <c r="QD76" s="5"/>
      <c r="QE76" s="5"/>
      <c r="QF76" s="5"/>
      <c r="QG76" s="5"/>
      <c r="QH76" s="5"/>
      <c r="QI76" s="5"/>
      <c r="QJ76" s="5"/>
      <c r="QK76" s="5"/>
      <c r="QL76" s="5"/>
      <c r="QM76" s="5"/>
      <c r="QN76" s="5"/>
      <c r="QO76" s="5"/>
      <c r="QP76" s="5"/>
      <c r="QQ76" s="5"/>
      <c r="QR76" s="5"/>
      <c r="QS76" s="5"/>
      <c r="QT76" s="5"/>
      <c r="QU76" s="5"/>
      <c r="QV76" s="5"/>
      <c r="QW76" s="5"/>
      <c r="QX76" s="5"/>
      <c r="QY76" s="5"/>
      <c r="QZ76" s="5"/>
      <c r="RA76" s="5"/>
      <c r="RB76" s="5"/>
      <c r="RC76" s="5"/>
      <c r="RD76" s="5"/>
      <c r="RE76" s="5"/>
      <c r="RF76" s="5"/>
      <c r="RG76" s="5"/>
      <c r="RH76" s="5"/>
      <c r="RI76" s="5"/>
      <c r="RJ76" s="5"/>
      <c r="RK76" s="5"/>
      <c r="RL76" s="5"/>
      <c r="RM76" s="5"/>
      <c r="RN76" s="5"/>
      <c r="RO76" s="5"/>
      <c r="RP76" s="5"/>
      <c r="RQ76" s="5"/>
      <c r="RR76" s="5"/>
      <c r="RS76" s="5"/>
      <c r="RT76" s="5"/>
      <c r="RU76" s="5"/>
      <c r="RV76" s="5"/>
      <c r="RW76" s="5"/>
      <c r="RX76" s="5"/>
      <c r="RY76" s="5"/>
      <c r="RZ76" s="5"/>
      <c r="SA76" s="5"/>
      <c r="SB76" s="5"/>
      <c r="SC76" s="5"/>
      <c r="SD76" s="5"/>
      <c r="SE76" s="5"/>
      <c r="SF76" s="5"/>
      <c r="SG76" s="5"/>
      <c r="SH76" s="5"/>
      <c r="SI76" s="5"/>
      <c r="SJ76" s="5"/>
      <c r="SK76" s="5"/>
      <c r="SL76" s="5"/>
      <c r="SM76" s="5"/>
      <c r="SN76" s="5"/>
      <c r="SO76" s="5"/>
      <c r="SP76" s="5"/>
      <c r="SQ76" s="5"/>
      <c r="SR76" s="5"/>
      <c r="SS76" s="5"/>
      <c r="ST76" s="5"/>
      <c r="SU76" s="5"/>
      <c r="SV76" s="5"/>
      <c r="SW76" s="5"/>
      <c r="SX76" s="5"/>
      <c r="SY76" s="5"/>
      <c r="SZ76" s="5"/>
      <c r="TA76" s="5"/>
      <c r="TB76" s="5"/>
      <c r="TC76" s="5"/>
      <c r="TD76" s="5"/>
      <c r="TE76" s="5"/>
      <c r="TF76" s="5"/>
      <c r="TG76" s="5"/>
      <c r="TH76" s="5"/>
      <c r="TI76" s="5"/>
      <c r="TJ76" s="5"/>
      <c r="TK76" s="5"/>
      <c r="TL76" s="5"/>
      <c r="TM76" s="5"/>
      <c r="TN76" s="5"/>
      <c r="TO76" s="5"/>
      <c r="TP76" s="5"/>
      <c r="TQ76" s="5"/>
      <c r="TR76" s="5"/>
      <c r="TS76" s="5"/>
      <c r="TT76" s="5"/>
      <c r="TU76" s="5"/>
      <c r="TV76" s="5"/>
      <c r="TW76" s="5"/>
      <c r="TX76" s="5"/>
      <c r="TY76" s="5"/>
      <c r="TZ76" s="5"/>
      <c r="UA76" s="5"/>
      <c r="UB76" s="5"/>
      <c r="UC76" s="5"/>
      <c r="UD76" s="5"/>
      <c r="UE76" s="5"/>
      <c r="UF76" s="5"/>
      <c r="UG76" s="5"/>
      <c r="UH76" s="5"/>
      <c r="UI76" s="5"/>
      <c r="UJ76" s="5"/>
      <c r="UK76" s="5"/>
      <c r="UL76" s="5"/>
      <c r="UM76" s="5"/>
      <c r="UN76" s="5"/>
      <c r="UO76" s="5"/>
      <c r="UP76" s="5"/>
      <c r="UQ76" s="5"/>
      <c r="UR76" s="5"/>
      <c r="US76" s="5"/>
      <c r="UT76" s="5"/>
      <c r="UU76" s="5"/>
      <c r="UV76" s="5"/>
      <c r="UW76" s="5"/>
      <c r="UX76" s="5"/>
      <c r="UY76" s="5"/>
      <c r="UZ76" s="5"/>
      <c r="VA76" s="5"/>
      <c r="VB76" s="5"/>
      <c r="VC76" s="5"/>
      <c r="VD76" s="5"/>
      <c r="VE76" s="5"/>
      <c r="VF76" s="5"/>
      <c r="VG76" s="5"/>
      <c r="VH76" s="5"/>
      <c r="VI76" s="5"/>
      <c r="VJ76" s="5"/>
      <c r="VK76" s="5"/>
      <c r="VL76" s="5"/>
      <c r="VM76" s="5"/>
      <c r="VN76" s="5"/>
      <c r="VO76" s="5"/>
      <c r="VP76" s="5"/>
      <c r="VQ76" s="5"/>
      <c r="VR76" s="5"/>
      <c r="VS76" s="5"/>
      <c r="VT76" s="5"/>
      <c r="VU76" s="5"/>
      <c r="VV76" s="5"/>
      <c r="VW76" s="5"/>
      <c r="VX76" s="5"/>
      <c r="VY76" s="5"/>
      <c r="VZ76" s="5"/>
      <c r="WA76" s="5"/>
      <c r="WB76" s="5"/>
      <c r="WC76" s="5"/>
      <c r="WD76" s="5"/>
      <c r="WE76" s="5"/>
      <c r="WF76" s="5"/>
      <c r="WG76" s="5"/>
      <c r="WH76" s="5"/>
      <c r="WI76" s="5"/>
      <c r="WJ76" s="5"/>
      <c r="WK76" s="5"/>
      <c r="WL76" s="5"/>
      <c r="WM76" s="5"/>
      <c r="WN76" s="5"/>
      <c r="WO76" s="5"/>
      <c r="WP76" s="5"/>
      <c r="WQ76" s="5"/>
      <c r="WR76" s="5"/>
      <c r="WS76" s="5"/>
      <c r="WT76" s="5"/>
      <c r="WU76" s="5"/>
      <c r="WV76" s="5"/>
      <c r="WW76" s="5"/>
      <c r="WX76" s="5"/>
      <c r="WY76" s="5"/>
      <c r="WZ76" s="5"/>
      <c r="XA76" s="5"/>
      <c r="XB76" s="5"/>
      <c r="XC76" s="5"/>
      <c r="XD76" s="5"/>
      <c r="XE76" s="5"/>
      <c r="XF76" s="5"/>
      <c r="XG76" s="5"/>
      <c r="XH76" s="5"/>
      <c r="XI76" s="5"/>
      <c r="XJ76" s="5"/>
      <c r="XK76" s="5"/>
      <c r="XL76" s="5"/>
      <c r="XM76" s="5"/>
      <c r="XN76" s="5"/>
      <c r="XO76" s="5"/>
      <c r="XP76" s="5"/>
      <c r="XQ76" s="5"/>
      <c r="XR76" s="5"/>
      <c r="XS76" s="5"/>
      <c r="XT76" s="5"/>
      <c r="XU76" s="5"/>
      <c r="XV76" s="5"/>
      <c r="XW76" s="5"/>
      <c r="XX76" s="5"/>
      <c r="XY76" s="5"/>
      <c r="XZ76" s="5"/>
      <c r="YA76" s="5"/>
      <c r="YB76" s="5"/>
      <c r="YC76" s="5"/>
      <c r="YD76" s="5"/>
      <c r="YE76" s="5"/>
      <c r="YF76" s="5"/>
      <c r="YG76" s="5"/>
      <c r="YH76" s="5"/>
      <c r="YI76" s="5"/>
      <c r="YJ76" s="5"/>
      <c r="YK76" s="5"/>
      <c r="YL76" s="5"/>
      <c r="YM76" s="5"/>
      <c r="YN76" s="5"/>
      <c r="YO76" s="5"/>
      <c r="YP76" s="5"/>
      <c r="YQ76" s="5"/>
      <c r="YR76" s="5"/>
      <c r="YS76" s="5"/>
      <c r="YT76" s="5"/>
      <c r="YU76" s="5"/>
      <c r="YV76" s="5"/>
      <c r="YW76" s="5"/>
      <c r="YX76" s="5"/>
      <c r="YY76" s="5"/>
      <c r="YZ76" s="5"/>
    </row>
    <row r="77" spans="1:676">
      <c r="A77" s="7">
        <v>67</v>
      </c>
      <c r="B77" s="7" t="s">
        <v>197</v>
      </c>
      <c r="C77" s="10" t="s">
        <v>198</v>
      </c>
      <c r="D77" s="7" t="s">
        <v>129</v>
      </c>
      <c r="E77" s="7" t="s">
        <v>99</v>
      </c>
      <c r="F77" s="7" t="s">
        <v>90</v>
      </c>
      <c r="G77" s="7"/>
      <c r="H77" s="7" t="s">
        <v>43</v>
      </c>
      <c r="I77" s="11">
        <v>2</v>
      </c>
      <c r="J77" s="11">
        <v>3</v>
      </c>
      <c r="K77" s="11">
        <v>0</v>
      </c>
      <c r="L77" s="11">
        <v>3.19</v>
      </c>
      <c r="M77" s="11">
        <v>0</v>
      </c>
      <c r="N77" s="11">
        <v>0</v>
      </c>
      <c r="O77" s="11">
        <v>0.6</v>
      </c>
      <c r="P77" s="11">
        <v>0.83</v>
      </c>
      <c r="Q77" s="11">
        <v>4.62</v>
      </c>
      <c r="R77" s="11">
        <v>0</v>
      </c>
      <c r="S77" s="11">
        <v>4.62</v>
      </c>
      <c r="T77" s="11">
        <v>2</v>
      </c>
      <c r="U77" s="11">
        <v>2.62</v>
      </c>
      <c r="V77" s="11">
        <v>0</v>
      </c>
      <c r="W77" s="13">
        <v>2</v>
      </c>
      <c r="X77" s="13">
        <v>3</v>
      </c>
      <c r="Y77" s="13" t="str">
        <f>MIN(W77,S77)</f>
        <v>0</v>
      </c>
      <c r="Z77" s="13" t="str">
        <f>MIN(X77,(S77-Y77))</f>
        <v>0</v>
      </c>
      <c r="AA77" s="13" t="str">
        <f>S77-SUM(Y77,Z77)</f>
        <v>0</v>
      </c>
      <c r="AB77" s="15"/>
      <c r="AC77" s="15"/>
      <c r="AD77" s="1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  <c r="IW77" s="5"/>
      <c r="IX77" s="5"/>
      <c r="IY77" s="5"/>
      <c r="IZ77" s="5"/>
      <c r="JA77" s="5"/>
      <c r="JB77" s="5"/>
      <c r="JC77" s="5"/>
      <c r="JD77" s="5"/>
      <c r="JE77" s="5"/>
      <c r="JF77" s="5"/>
      <c r="JG77" s="5"/>
      <c r="JH77" s="5"/>
      <c r="JI77" s="5"/>
      <c r="JJ77" s="5"/>
      <c r="JK77" s="5"/>
      <c r="JL77" s="5"/>
      <c r="JM77" s="5"/>
      <c r="JN77" s="5"/>
      <c r="JO77" s="5"/>
      <c r="JP77" s="5"/>
      <c r="JQ77" s="5"/>
      <c r="JR77" s="5"/>
      <c r="JS77" s="5"/>
      <c r="JT77" s="5"/>
      <c r="JU77" s="5"/>
      <c r="JV77" s="5"/>
      <c r="JW77" s="5"/>
      <c r="JX77" s="5"/>
      <c r="JY77" s="5"/>
      <c r="JZ77" s="5"/>
      <c r="KA77" s="5"/>
      <c r="KB77" s="5"/>
      <c r="KC77" s="5"/>
      <c r="KD77" s="5"/>
      <c r="KE77" s="5"/>
      <c r="KF77" s="5"/>
      <c r="KG77" s="5"/>
      <c r="KH77" s="5"/>
      <c r="KI77" s="5"/>
      <c r="KJ77" s="5"/>
      <c r="KK77" s="5"/>
      <c r="KL77" s="5"/>
      <c r="KM77" s="5"/>
      <c r="KN77" s="5"/>
      <c r="KO77" s="5"/>
      <c r="KP77" s="5"/>
      <c r="KQ77" s="5"/>
      <c r="KR77" s="5"/>
      <c r="KS77" s="5"/>
      <c r="KT77" s="5"/>
      <c r="KU77" s="5"/>
      <c r="KV77" s="5"/>
      <c r="KW77" s="5"/>
      <c r="KX77" s="5"/>
      <c r="KY77" s="5"/>
      <c r="KZ77" s="5"/>
      <c r="LA77" s="5"/>
      <c r="LB77" s="5"/>
      <c r="LC77" s="5"/>
      <c r="LD77" s="5"/>
      <c r="LE77" s="5"/>
      <c r="LF77" s="5"/>
      <c r="LG77" s="5"/>
      <c r="LH77" s="5"/>
      <c r="LI77" s="5"/>
      <c r="LJ77" s="5"/>
      <c r="LK77" s="5"/>
      <c r="LL77" s="5"/>
      <c r="LM77" s="5"/>
      <c r="LN77" s="5"/>
      <c r="LO77" s="5"/>
      <c r="LP77" s="5"/>
      <c r="LQ77" s="5"/>
      <c r="LR77" s="5"/>
      <c r="LS77" s="5"/>
      <c r="LT77" s="5"/>
      <c r="LU77" s="5"/>
      <c r="LV77" s="5"/>
      <c r="LW77" s="5"/>
      <c r="LX77" s="5"/>
      <c r="LY77" s="5"/>
      <c r="LZ77" s="5"/>
      <c r="MA77" s="5"/>
      <c r="MB77" s="5"/>
      <c r="MC77" s="5"/>
      <c r="MD77" s="5"/>
      <c r="ME77" s="5"/>
      <c r="MF77" s="5"/>
      <c r="MG77" s="5"/>
      <c r="MH77" s="5"/>
      <c r="MI77" s="5"/>
      <c r="MJ77" s="5"/>
      <c r="MK77" s="5"/>
      <c r="ML77" s="5"/>
      <c r="MM77" s="5"/>
      <c r="MN77" s="5"/>
      <c r="MO77" s="5"/>
      <c r="MP77" s="5"/>
      <c r="MQ77" s="5"/>
      <c r="MR77" s="5"/>
      <c r="MS77" s="5"/>
      <c r="MT77" s="5"/>
      <c r="MU77" s="5"/>
      <c r="MV77" s="5"/>
      <c r="MW77" s="5"/>
      <c r="MX77" s="5"/>
      <c r="MY77" s="5"/>
      <c r="MZ77" s="5"/>
      <c r="NA77" s="5"/>
      <c r="NB77" s="5"/>
      <c r="NC77" s="5"/>
      <c r="ND77" s="5"/>
      <c r="NE77" s="5"/>
      <c r="NF77" s="5"/>
      <c r="NG77" s="5"/>
      <c r="NH77" s="5"/>
      <c r="NI77" s="5"/>
      <c r="NJ77" s="5"/>
      <c r="NK77" s="5"/>
      <c r="NL77" s="5"/>
      <c r="NM77" s="5"/>
      <c r="NN77" s="5"/>
      <c r="NO77" s="5"/>
      <c r="NP77" s="5"/>
      <c r="NQ77" s="5"/>
      <c r="NR77" s="5"/>
      <c r="NS77" s="5"/>
      <c r="NT77" s="5"/>
      <c r="NU77" s="5"/>
      <c r="NV77" s="5"/>
      <c r="NW77" s="5"/>
      <c r="NX77" s="5"/>
      <c r="NY77" s="5"/>
      <c r="NZ77" s="5"/>
      <c r="OA77" s="5"/>
      <c r="OB77" s="5"/>
      <c r="OC77" s="5"/>
      <c r="OD77" s="5"/>
      <c r="OE77" s="5"/>
      <c r="OF77" s="5"/>
      <c r="OG77" s="5"/>
      <c r="OH77" s="5"/>
      <c r="OI77" s="5"/>
      <c r="OJ77" s="5"/>
      <c r="OK77" s="5"/>
      <c r="OL77" s="5"/>
      <c r="OM77" s="5"/>
      <c r="ON77" s="5"/>
      <c r="OO77" s="5"/>
      <c r="OP77" s="5"/>
      <c r="OQ77" s="5"/>
      <c r="OR77" s="5"/>
      <c r="OS77" s="5"/>
      <c r="OT77" s="5"/>
      <c r="OU77" s="5"/>
      <c r="OV77" s="5"/>
      <c r="OW77" s="5"/>
      <c r="OX77" s="5"/>
      <c r="OY77" s="5"/>
      <c r="OZ77" s="5"/>
      <c r="PA77" s="5"/>
      <c r="PB77" s="5"/>
      <c r="PC77" s="5"/>
      <c r="PD77" s="5"/>
      <c r="PE77" s="5"/>
      <c r="PF77" s="5"/>
      <c r="PG77" s="5"/>
      <c r="PH77" s="5"/>
      <c r="PI77" s="5"/>
      <c r="PJ77" s="5"/>
      <c r="PK77" s="5"/>
      <c r="PL77" s="5"/>
      <c r="PM77" s="5"/>
      <c r="PN77" s="5"/>
      <c r="PO77" s="5"/>
      <c r="PP77" s="5"/>
      <c r="PQ77" s="5"/>
      <c r="PR77" s="5"/>
      <c r="PS77" s="5"/>
      <c r="PT77" s="5"/>
      <c r="PU77" s="5"/>
      <c r="PV77" s="5"/>
      <c r="PW77" s="5"/>
      <c r="PX77" s="5"/>
      <c r="PY77" s="5"/>
      <c r="PZ77" s="5"/>
      <c r="QA77" s="5"/>
      <c r="QB77" s="5"/>
      <c r="QC77" s="5"/>
      <c r="QD77" s="5"/>
      <c r="QE77" s="5"/>
      <c r="QF77" s="5"/>
      <c r="QG77" s="5"/>
      <c r="QH77" s="5"/>
      <c r="QI77" s="5"/>
      <c r="QJ77" s="5"/>
      <c r="QK77" s="5"/>
      <c r="QL77" s="5"/>
      <c r="QM77" s="5"/>
      <c r="QN77" s="5"/>
      <c r="QO77" s="5"/>
      <c r="QP77" s="5"/>
      <c r="QQ77" s="5"/>
      <c r="QR77" s="5"/>
      <c r="QS77" s="5"/>
      <c r="QT77" s="5"/>
      <c r="QU77" s="5"/>
      <c r="QV77" s="5"/>
      <c r="QW77" s="5"/>
      <c r="QX77" s="5"/>
      <c r="QY77" s="5"/>
      <c r="QZ77" s="5"/>
      <c r="RA77" s="5"/>
      <c r="RB77" s="5"/>
      <c r="RC77" s="5"/>
      <c r="RD77" s="5"/>
      <c r="RE77" s="5"/>
      <c r="RF77" s="5"/>
      <c r="RG77" s="5"/>
      <c r="RH77" s="5"/>
      <c r="RI77" s="5"/>
      <c r="RJ77" s="5"/>
      <c r="RK77" s="5"/>
      <c r="RL77" s="5"/>
      <c r="RM77" s="5"/>
      <c r="RN77" s="5"/>
      <c r="RO77" s="5"/>
      <c r="RP77" s="5"/>
      <c r="RQ77" s="5"/>
      <c r="RR77" s="5"/>
      <c r="RS77" s="5"/>
      <c r="RT77" s="5"/>
      <c r="RU77" s="5"/>
      <c r="RV77" s="5"/>
      <c r="RW77" s="5"/>
      <c r="RX77" s="5"/>
      <c r="RY77" s="5"/>
      <c r="RZ77" s="5"/>
      <c r="SA77" s="5"/>
      <c r="SB77" s="5"/>
      <c r="SC77" s="5"/>
      <c r="SD77" s="5"/>
      <c r="SE77" s="5"/>
      <c r="SF77" s="5"/>
      <c r="SG77" s="5"/>
      <c r="SH77" s="5"/>
      <c r="SI77" s="5"/>
      <c r="SJ77" s="5"/>
      <c r="SK77" s="5"/>
      <c r="SL77" s="5"/>
      <c r="SM77" s="5"/>
      <c r="SN77" s="5"/>
      <c r="SO77" s="5"/>
      <c r="SP77" s="5"/>
      <c r="SQ77" s="5"/>
      <c r="SR77" s="5"/>
      <c r="SS77" s="5"/>
      <c r="ST77" s="5"/>
      <c r="SU77" s="5"/>
      <c r="SV77" s="5"/>
      <c r="SW77" s="5"/>
      <c r="SX77" s="5"/>
      <c r="SY77" s="5"/>
      <c r="SZ77" s="5"/>
      <c r="TA77" s="5"/>
      <c r="TB77" s="5"/>
      <c r="TC77" s="5"/>
      <c r="TD77" s="5"/>
      <c r="TE77" s="5"/>
      <c r="TF77" s="5"/>
      <c r="TG77" s="5"/>
      <c r="TH77" s="5"/>
      <c r="TI77" s="5"/>
      <c r="TJ77" s="5"/>
      <c r="TK77" s="5"/>
      <c r="TL77" s="5"/>
      <c r="TM77" s="5"/>
      <c r="TN77" s="5"/>
      <c r="TO77" s="5"/>
      <c r="TP77" s="5"/>
      <c r="TQ77" s="5"/>
      <c r="TR77" s="5"/>
      <c r="TS77" s="5"/>
      <c r="TT77" s="5"/>
      <c r="TU77" s="5"/>
      <c r="TV77" s="5"/>
      <c r="TW77" s="5"/>
      <c r="TX77" s="5"/>
      <c r="TY77" s="5"/>
      <c r="TZ77" s="5"/>
      <c r="UA77" s="5"/>
      <c r="UB77" s="5"/>
      <c r="UC77" s="5"/>
      <c r="UD77" s="5"/>
      <c r="UE77" s="5"/>
      <c r="UF77" s="5"/>
      <c r="UG77" s="5"/>
      <c r="UH77" s="5"/>
      <c r="UI77" s="5"/>
      <c r="UJ77" s="5"/>
      <c r="UK77" s="5"/>
      <c r="UL77" s="5"/>
      <c r="UM77" s="5"/>
      <c r="UN77" s="5"/>
      <c r="UO77" s="5"/>
      <c r="UP77" s="5"/>
      <c r="UQ77" s="5"/>
      <c r="UR77" s="5"/>
      <c r="US77" s="5"/>
      <c r="UT77" s="5"/>
      <c r="UU77" s="5"/>
      <c r="UV77" s="5"/>
      <c r="UW77" s="5"/>
      <c r="UX77" s="5"/>
      <c r="UY77" s="5"/>
      <c r="UZ77" s="5"/>
      <c r="VA77" s="5"/>
      <c r="VB77" s="5"/>
      <c r="VC77" s="5"/>
      <c r="VD77" s="5"/>
      <c r="VE77" s="5"/>
      <c r="VF77" s="5"/>
      <c r="VG77" s="5"/>
      <c r="VH77" s="5"/>
      <c r="VI77" s="5"/>
      <c r="VJ77" s="5"/>
      <c r="VK77" s="5"/>
      <c r="VL77" s="5"/>
      <c r="VM77" s="5"/>
      <c r="VN77" s="5"/>
      <c r="VO77" s="5"/>
      <c r="VP77" s="5"/>
      <c r="VQ77" s="5"/>
      <c r="VR77" s="5"/>
      <c r="VS77" s="5"/>
      <c r="VT77" s="5"/>
      <c r="VU77" s="5"/>
      <c r="VV77" s="5"/>
      <c r="VW77" s="5"/>
      <c r="VX77" s="5"/>
      <c r="VY77" s="5"/>
      <c r="VZ77" s="5"/>
      <c r="WA77" s="5"/>
      <c r="WB77" s="5"/>
      <c r="WC77" s="5"/>
      <c r="WD77" s="5"/>
      <c r="WE77" s="5"/>
      <c r="WF77" s="5"/>
      <c r="WG77" s="5"/>
      <c r="WH77" s="5"/>
      <c r="WI77" s="5"/>
      <c r="WJ77" s="5"/>
      <c r="WK77" s="5"/>
      <c r="WL77" s="5"/>
      <c r="WM77" s="5"/>
      <c r="WN77" s="5"/>
      <c r="WO77" s="5"/>
      <c r="WP77" s="5"/>
      <c r="WQ77" s="5"/>
      <c r="WR77" s="5"/>
      <c r="WS77" s="5"/>
      <c r="WT77" s="5"/>
      <c r="WU77" s="5"/>
      <c r="WV77" s="5"/>
      <c r="WW77" s="5"/>
      <c r="WX77" s="5"/>
      <c r="WY77" s="5"/>
      <c r="WZ77" s="5"/>
      <c r="XA77" s="5"/>
      <c r="XB77" s="5"/>
      <c r="XC77" s="5"/>
      <c r="XD77" s="5"/>
      <c r="XE77" s="5"/>
      <c r="XF77" s="5"/>
      <c r="XG77" s="5"/>
      <c r="XH77" s="5"/>
      <c r="XI77" s="5"/>
      <c r="XJ77" s="5"/>
      <c r="XK77" s="5"/>
      <c r="XL77" s="5"/>
      <c r="XM77" s="5"/>
      <c r="XN77" s="5"/>
      <c r="XO77" s="5"/>
      <c r="XP77" s="5"/>
      <c r="XQ77" s="5"/>
      <c r="XR77" s="5"/>
      <c r="XS77" s="5"/>
      <c r="XT77" s="5"/>
      <c r="XU77" s="5"/>
      <c r="XV77" s="5"/>
      <c r="XW77" s="5"/>
      <c r="XX77" s="5"/>
      <c r="XY77" s="5"/>
      <c r="XZ77" s="5"/>
      <c r="YA77" s="5"/>
      <c r="YB77" s="5"/>
      <c r="YC77" s="5"/>
      <c r="YD77" s="5"/>
      <c r="YE77" s="5"/>
      <c r="YF77" s="5"/>
      <c r="YG77" s="5"/>
      <c r="YH77" s="5"/>
      <c r="YI77" s="5"/>
      <c r="YJ77" s="5"/>
      <c r="YK77" s="5"/>
      <c r="YL77" s="5"/>
      <c r="YM77" s="5"/>
      <c r="YN77" s="5"/>
      <c r="YO77" s="5"/>
      <c r="YP77" s="5"/>
      <c r="YQ77" s="5"/>
      <c r="YR77" s="5"/>
      <c r="YS77" s="5"/>
      <c r="YT77" s="5"/>
      <c r="YU77" s="5"/>
      <c r="YV77" s="5"/>
      <c r="YW77" s="5"/>
      <c r="YX77" s="5"/>
      <c r="YY77" s="5"/>
      <c r="YZ77" s="5"/>
    </row>
    <row r="78" spans="1:676">
      <c r="A78" s="7">
        <v>68</v>
      </c>
      <c r="B78" s="7" t="s">
        <v>199</v>
      </c>
      <c r="C78" s="10" t="s">
        <v>200</v>
      </c>
      <c r="D78" s="7" t="s">
        <v>51</v>
      </c>
      <c r="E78" s="7" t="s">
        <v>99</v>
      </c>
      <c r="F78" s="7" t="s">
        <v>90</v>
      </c>
      <c r="G78" s="7"/>
      <c r="H78" s="7" t="s">
        <v>94</v>
      </c>
      <c r="I78" s="11">
        <v>2</v>
      </c>
      <c r="J78" s="11">
        <v>3</v>
      </c>
      <c r="K78" s="11">
        <v>1</v>
      </c>
      <c r="L78" s="11">
        <v>7.769999999999996</v>
      </c>
      <c r="M78" s="11">
        <v>0.4</v>
      </c>
      <c r="N78" s="11">
        <v>0</v>
      </c>
      <c r="O78" s="11">
        <v>0</v>
      </c>
      <c r="P78" s="11">
        <v>0.8</v>
      </c>
      <c r="Q78" s="11">
        <v>9.969999999999997</v>
      </c>
      <c r="R78" s="11">
        <v>0</v>
      </c>
      <c r="S78" s="11">
        <v>9.969999999999997</v>
      </c>
      <c r="T78" s="11">
        <v>2</v>
      </c>
      <c r="U78" s="11">
        <v>3</v>
      </c>
      <c r="V78" s="11">
        <v>4.969999999999997</v>
      </c>
      <c r="W78" s="13">
        <v>2</v>
      </c>
      <c r="X78" s="13">
        <v>3</v>
      </c>
      <c r="Y78" s="13" t="str">
        <f>MIN(W78,S78)</f>
        <v>0</v>
      </c>
      <c r="Z78" s="13" t="str">
        <f>MIN(X78,(S78-Y78))</f>
        <v>0</v>
      </c>
      <c r="AA78" s="13" t="str">
        <f>S78-SUM(Y78,Z78)</f>
        <v>0</v>
      </c>
      <c r="AB78" s="15"/>
      <c r="AC78" s="15"/>
      <c r="AD78" s="1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  <c r="IW78" s="5"/>
      <c r="IX78" s="5"/>
      <c r="IY78" s="5"/>
      <c r="IZ78" s="5"/>
      <c r="JA78" s="5"/>
      <c r="JB78" s="5"/>
      <c r="JC78" s="5"/>
      <c r="JD78" s="5"/>
      <c r="JE78" s="5"/>
      <c r="JF78" s="5"/>
      <c r="JG78" s="5"/>
      <c r="JH78" s="5"/>
      <c r="JI78" s="5"/>
      <c r="JJ78" s="5"/>
      <c r="JK78" s="5"/>
      <c r="JL78" s="5"/>
      <c r="JM78" s="5"/>
      <c r="JN78" s="5"/>
      <c r="JO78" s="5"/>
      <c r="JP78" s="5"/>
      <c r="JQ78" s="5"/>
      <c r="JR78" s="5"/>
      <c r="JS78" s="5"/>
      <c r="JT78" s="5"/>
      <c r="JU78" s="5"/>
      <c r="JV78" s="5"/>
      <c r="JW78" s="5"/>
      <c r="JX78" s="5"/>
      <c r="JY78" s="5"/>
      <c r="JZ78" s="5"/>
      <c r="KA78" s="5"/>
      <c r="KB78" s="5"/>
      <c r="KC78" s="5"/>
      <c r="KD78" s="5"/>
      <c r="KE78" s="5"/>
      <c r="KF78" s="5"/>
      <c r="KG78" s="5"/>
      <c r="KH78" s="5"/>
      <c r="KI78" s="5"/>
      <c r="KJ78" s="5"/>
      <c r="KK78" s="5"/>
      <c r="KL78" s="5"/>
      <c r="KM78" s="5"/>
      <c r="KN78" s="5"/>
      <c r="KO78" s="5"/>
      <c r="KP78" s="5"/>
      <c r="KQ78" s="5"/>
      <c r="KR78" s="5"/>
      <c r="KS78" s="5"/>
      <c r="KT78" s="5"/>
      <c r="KU78" s="5"/>
      <c r="KV78" s="5"/>
      <c r="KW78" s="5"/>
      <c r="KX78" s="5"/>
      <c r="KY78" s="5"/>
      <c r="KZ78" s="5"/>
      <c r="LA78" s="5"/>
      <c r="LB78" s="5"/>
      <c r="LC78" s="5"/>
      <c r="LD78" s="5"/>
      <c r="LE78" s="5"/>
      <c r="LF78" s="5"/>
      <c r="LG78" s="5"/>
      <c r="LH78" s="5"/>
      <c r="LI78" s="5"/>
      <c r="LJ78" s="5"/>
      <c r="LK78" s="5"/>
      <c r="LL78" s="5"/>
      <c r="LM78" s="5"/>
      <c r="LN78" s="5"/>
      <c r="LO78" s="5"/>
      <c r="LP78" s="5"/>
      <c r="LQ78" s="5"/>
      <c r="LR78" s="5"/>
      <c r="LS78" s="5"/>
      <c r="LT78" s="5"/>
      <c r="LU78" s="5"/>
      <c r="LV78" s="5"/>
      <c r="LW78" s="5"/>
      <c r="LX78" s="5"/>
      <c r="LY78" s="5"/>
      <c r="LZ78" s="5"/>
      <c r="MA78" s="5"/>
      <c r="MB78" s="5"/>
      <c r="MC78" s="5"/>
      <c r="MD78" s="5"/>
      <c r="ME78" s="5"/>
      <c r="MF78" s="5"/>
      <c r="MG78" s="5"/>
      <c r="MH78" s="5"/>
      <c r="MI78" s="5"/>
      <c r="MJ78" s="5"/>
      <c r="MK78" s="5"/>
      <c r="ML78" s="5"/>
      <c r="MM78" s="5"/>
      <c r="MN78" s="5"/>
      <c r="MO78" s="5"/>
      <c r="MP78" s="5"/>
      <c r="MQ78" s="5"/>
      <c r="MR78" s="5"/>
      <c r="MS78" s="5"/>
      <c r="MT78" s="5"/>
      <c r="MU78" s="5"/>
      <c r="MV78" s="5"/>
      <c r="MW78" s="5"/>
      <c r="MX78" s="5"/>
      <c r="MY78" s="5"/>
      <c r="MZ78" s="5"/>
      <c r="NA78" s="5"/>
      <c r="NB78" s="5"/>
      <c r="NC78" s="5"/>
      <c r="ND78" s="5"/>
      <c r="NE78" s="5"/>
      <c r="NF78" s="5"/>
      <c r="NG78" s="5"/>
      <c r="NH78" s="5"/>
      <c r="NI78" s="5"/>
      <c r="NJ78" s="5"/>
      <c r="NK78" s="5"/>
      <c r="NL78" s="5"/>
      <c r="NM78" s="5"/>
      <c r="NN78" s="5"/>
      <c r="NO78" s="5"/>
      <c r="NP78" s="5"/>
      <c r="NQ78" s="5"/>
      <c r="NR78" s="5"/>
      <c r="NS78" s="5"/>
      <c r="NT78" s="5"/>
      <c r="NU78" s="5"/>
      <c r="NV78" s="5"/>
      <c r="NW78" s="5"/>
      <c r="NX78" s="5"/>
      <c r="NY78" s="5"/>
      <c r="NZ78" s="5"/>
      <c r="OA78" s="5"/>
      <c r="OB78" s="5"/>
      <c r="OC78" s="5"/>
      <c r="OD78" s="5"/>
      <c r="OE78" s="5"/>
      <c r="OF78" s="5"/>
      <c r="OG78" s="5"/>
      <c r="OH78" s="5"/>
      <c r="OI78" s="5"/>
      <c r="OJ78" s="5"/>
      <c r="OK78" s="5"/>
      <c r="OL78" s="5"/>
      <c r="OM78" s="5"/>
      <c r="ON78" s="5"/>
      <c r="OO78" s="5"/>
      <c r="OP78" s="5"/>
      <c r="OQ78" s="5"/>
      <c r="OR78" s="5"/>
      <c r="OS78" s="5"/>
      <c r="OT78" s="5"/>
      <c r="OU78" s="5"/>
      <c r="OV78" s="5"/>
      <c r="OW78" s="5"/>
      <c r="OX78" s="5"/>
      <c r="OY78" s="5"/>
      <c r="OZ78" s="5"/>
      <c r="PA78" s="5"/>
      <c r="PB78" s="5"/>
      <c r="PC78" s="5"/>
      <c r="PD78" s="5"/>
      <c r="PE78" s="5"/>
      <c r="PF78" s="5"/>
      <c r="PG78" s="5"/>
      <c r="PH78" s="5"/>
      <c r="PI78" s="5"/>
      <c r="PJ78" s="5"/>
      <c r="PK78" s="5"/>
      <c r="PL78" s="5"/>
      <c r="PM78" s="5"/>
      <c r="PN78" s="5"/>
      <c r="PO78" s="5"/>
      <c r="PP78" s="5"/>
      <c r="PQ78" s="5"/>
      <c r="PR78" s="5"/>
      <c r="PS78" s="5"/>
      <c r="PT78" s="5"/>
      <c r="PU78" s="5"/>
      <c r="PV78" s="5"/>
      <c r="PW78" s="5"/>
      <c r="PX78" s="5"/>
      <c r="PY78" s="5"/>
      <c r="PZ78" s="5"/>
      <c r="QA78" s="5"/>
      <c r="QB78" s="5"/>
      <c r="QC78" s="5"/>
      <c r="QD78" s="5"/>
      <c r="QE78" s="5"/>
      <c r="QF78" s="5"/>
      <c r="QG78" s="5"/>
      <c r="QH78" s="5"/>
      <c r="QI78" s="5"/>
      <c r="QJ78" s="5"/>
      <c r="QK78" s="5"/>
      <c r="QL78" s="5"/>
      <c r="QM78" s="5"/>
      <c r="QN78" s="5"/>
      <c r="QO78" s="5"/>
      <c r="QP78" s="5"/>
      <c r="QQ78" s="5"/>
      <c r="QR78" s="5"/>
      <c r="QS78" s="5"/>
      <c r="QT78" s="5"/>
      <c r="QU78" s="5"/>
      <c r="QV78" s="5"/>
      <c r="QW78" s="5"/>
      <c r="QX78" s="5"/>
      <c r="QY78" s="5"/>
      <c r="QZ78" s="5"/>
      <c r="RA78" s="5"/>
      <c r="RB78" s="5"/>
      <c r="RC78" s="5"/>
      <c r="RD78" s="5"/>
      <c r="RE78" s="5"/>
      <c r="RF78" s="5"/>
      <c r="RG78" s="5"/>
      <c r="RH78" s="5"/>
      <c r="RI78" s="5"/>
      <c r="RJ78" s="5"/>
      <c r="RK78" s="5"/>
      <c r="RL78" s="5"/>
      <c r="RM78" s="5"/>
      <c r="RN78" s="5"/>
      <c r="RO78" s="5"/>
      <c r="RP78" s="5"/>
      <c r="RQ78" s="5"/>
      <c r="RR78" s="5"/>
      <c r="RS78" s="5"/>
      <c r="RT78" s="5"/>
      <c r="RU78" s="5"/>
      <c r="RV78" s="5"/>
      <c r="RW78" s="5"/>
      <c r="RX78" s="5"/>
      <c r="RY78" s="5"/>
      <c r="RZ78" s="5"/>
      <c r="SA78" s="5"/>
      <c r="SB78" s="5"/>
      <c r="SC78" s="5"/>
      <c r="SD78" s="5"/>
      <c r="SE78" s="5"/>
      <c r="SF78" s="5"/>
      <c r="SG78" s="5"/>
      <c r="SH78" s="5"/>
      <c r="SI78" s="5"/>
      <c r="SJ78" s="5"/>
      <c r="SK78" s="5"/>
      <c r="SL78" s="5"/>
      <c r="SM78" s="5"/>
      <c r="SN78" s="5"/>
      <c r="SO78" s="5"/>
      <c r="SP78" s="5"/>
      <c r="SQ78" s="5"/>
      <c r="SR78" s="5"/>
      <c r="SS78" s="5"/>
      <c r="ST78" s="5"/>
      <c r="SU78" s="5"/>
      <c r="SV78" s="5"/>
      <c r="SW78" s="5"/>
      <c r="SX78" s="5"/>
      <c r="SY78" s="5"/>
      <c r="SZ78" s="5"/>
      <c r="TA78" s="5"/>
      <c r="TB78" s="5"/>
      <c r="TC78" s="5"/>
      <c r="TD78" s="5"/>
      <c r="TE78" s="5"/>
      <c r="TF78" s="5"/>
      <c r="TG78" s="5"/>
      <c r="TH78" s="5"/>
      <c r="TI78" s="5"/>
      <c r="TJ78" s="5"/>
      <c r="TK78" s="5"/>
      <c r="TL78" s="5"/>
      <c r="TM78" s="5"/>
      <c r="TN78" s="5"/>
      <c r="TO78" s="5"/>
      <c r="TP78" s="5"/>
      <c r="TQ78" s="5"/>
      <c r="TR78" s="5"/>
      <c r="TS78" s="5"/>
      <c r="TT78" s="5"/>
      <c r="TU78" s="5"/>
      <c r="TV78" s="5"/>
      <c r="TW78" s="5"/>
      <c r="TX78" s="5"/>
      <c r="TY78" s="5"/>
      <c r="TZ78" s="5"/>
      <c r="UA78" s="5"/>
      <c r="UB78" s="5"/>
      <c r="UC78" s="5"/>
      <c r="UD78" s="5"/>
      <c r="UE78" s="5"/>
      <c r="UF78" s="5"/>
      <c r="UG78" s="5"/>
      <c r="UH78" s="5"/>
      <c r="UI78" s="5"/>
      <c r="UJ78" s="5"/>
      <c r="UK78" s="5"/>
      <c r="UL78" s="5"/>
      <c r="UM78" s="5"/>
      <c r="UN78" s="5"/>
      <c r="UO78" s="5"/>
      <c r="UP78" s="5"/>
      <c r="UQ78" s="5"/>
      <c r="UR78" s="5"/>
      <c r="US78" s="5"/>
      <c r="UT78" s="5"/>
      <c r="UU78" s="5"/>
      <c r="UV78" s="5"/>
      <c r="UW78" s="5"/>
      <c r="UX78" s="5"/>
      <c r="UY78" s="5"/>
      <c r="UZ78" s="5"/>
      <c r="VA78" s="5"/>
      <c r="VB78" s="5"/>
      <c r="VC78" s="5"/>
      <c r="VD78" s="5"/>
      <c r="VE78" s="5"/>
      <c r="VF78" s="5"/>
      <c r="VG78" s="5"/>
      <c r="VH78" s="5"/>
      <c r="VI78" s="5"/>
      <c r="VJ78" s="5"/>
      <c r="VK78" s="5"/>
      <c r="VL78" s="5"/>
      <c r="VM78" s="5"/>
      <c r="VN78" s="5"/>
      <c r="VO78" s="5"/>
      <c r="VP78" s="5"/>
      <c r="VQ78" s="5"/>
      <c r="VR78" s="5"/>
      <c r="VS78" s="5"/>
      <c r="VT78" s="5"/>
      <c r="VU78" s="5"/>
      <c r="VV78" s="5"/>
      <c r="VW78" s="5"/>
      <c r="VX78" s="5"/>
      <c r="VY78" s="5"/>
      <c r="VZ78" s="5"/>
      <c r="WA78" s="5"/>
      <c r="WB78" s="5"/>
      <c r="WC78" s="5"/>
      <c r="WD78" s="5"/>
      <c r="WE78" s="5"/>
      <c r="WF78" s="5"/>
      <c r="WG78" s="5"/>
      <c r="WH78" s="5"/>
      <c r="WI78" s="5"/>
      <c r="WJ78" s="5"/>
      <c r="WK78" s="5"/>
      <c r="WL78" s="5"/>
      <c r="WM78" s="5"/>
      <c r="WN78" s="5"/>
      <c r="WO78" s="5"/>
      <c r="WP78" s="5"/>
      <c r="WQ78" s="5"/>
      <c r="WR78" s="5"/>
      <c r="WS78" s="5"/>
      <c r="WT78" s="5"/>
      <c r="WU78" s="5"/>
      <c r="WV78" s="5"/>
      <c r="WW78" s="5"/>
      <c r="WX78" s="5"/>
      <c r="WY78" s="5"/>
      <c r="WZ78" s="5"/>
      <c r="XA78" s="5"/>
      <c r="XB78" s="5"/>
      <c r="XC78" s="5"/>
      <c r="XD78" s="5"/>
      <c r="XE78" s="5"/>
      <c r="XF78" s="5"/>
      <c r="XG78" s="5"/>
      <c r="XH78" s="5"/>
      <c r="XI78" s="5"/>
      <c r="XJ78" s="5"/>
      <c r="XK78" s="5"/>
      <c r="XL78" s="5"/>
      <c r="XM78" s="5"/>
      <c r="XN78" s="5"/>
      <c r="XO78" s="5"/>
      <c r="XP78" s="5"/>
      <c r="XQ78" s="5"/>
      <c r="XR78" s="5"/>
      <c r="XS78" s="5"/>
      <c r="XT78" s="5"/>
      <c r="XU78" s="5"/>
      <c r="XV78" s="5"/>
      <c r="XW78" s="5"/>
      <c r="XX78" s="5"/>
      <c r="XY78" s="5"/>
      <c r="XZ78" s="5"/>
      <c r="YA78" s="5"/>
      <c r="YB78" s="5"/>
      <c r="YC78" s="5"/>
      <c r="YD78" s="5"/>
      <c r="YE78" s="5"/>
      <c r="YF78" s="5"/>
      <c r="YG78" s="5"/>
      <c r="YH78" s="5"/>
      <c r="YI78" s="5"/>
      <c r="YJ78" s="5"/>
      <c r="YK78" s="5"/>
      <c r="YL78" s="5"/>
      <c r="YM78" s="5"/>
      <c r="YN78" s="5"/>
      <c r="YO78" s="5"/>
      <c r="YP78" s="5"/>
      <c r="YQ78" s="5"/>
      <c r="YR78" s="5"/>
      <c r="YS78" s="5"/>
      <c r="YT78" s="5"/>
      <c r="YU78" s="5"/>
      <c r="YV78" s="5"/>
      <c r="YW78" s="5"/>
      <c r="YX78" s="5"/>
      <c r="YY78" s="5"/>
      <c r="YZ78" s="5"/>
    </row>
    <row r="79" spans="1:676">
      <c r="A79" s="7">
        <v>69</v>
      </c>
      <c r="B79" s="7" t="s">
        <v>201</v>
      </c>
      <c r="C79" s="10" t="s">
        <v>202</v>
      </c>
      <c r="D79" s="7" t="s">
        <v>54</v>
      </c>
      <c r="E79" s="7" t="s">
        <v>89</v>
      </c>
      <c r="F79" s="7" t="s">
        <v>90</v>
      </c>
      <c r="G79" s="7"/>
      <c r="H79" s="7" t="s">
        <v>43</v>
      </c>
      <c r="I79" s="11">
        <v>2</v>
      </c>
      <c r="J79" s="11">
        <v>3</v>
      </c>
      <c r="K79" s="11">
        <v>0</v>
      </c>
      <c r="L79" s="11">
        <v>4.9</v>
      </c>
      <c r="M79" s="11">
        <v>0.58</v>
      </c>
      <c r="N79" s="11">
        <v>0</v>
      </c>
      <c r="O79" s="11">
        <v>0.7000000000000001</v>
      </c>
      <c r="P79" s="11">
        <v>0</v>
      </c>
      <c r="Q79" s="11">
        <v>6.179999999999999</v>
      </c>
      <c r="R79" s="11">
        <v>0</v>
      </c>
      <c r="S79" s="11">
        <v>6.179999999999999</v>
      </c>
      <c r="T79" s="11">
        <v>2</v>
      </c>
      <c r="U79" s="11">
        <v>3</v>
      </c>
      <c r="V79" s="11">
        <v>1.179999999999999</v>
      </c>
      <c r="W79" s="13">
        <v>2</v>
      </c>
      <c r="X79" s="13">
        <v>3</v>
      </c>
      <c r="Y79" s="13" t="str">
        <f>MIN(W79,S79)</f>
        <v>0</v>
      </c>
      <c r="Z79" s="13" t="str">
        <f>MIN(X79,(S79-Y79))</f>
        <v>0</v>
      </c>
      <c r="AA79" s="13" t="str">
        <f>S79-SUM(Y79,Z79)</f>
        <v>0</v>
      </c>
      <c r="AB79" s="15"/>
      <c r="AC79" s="15"/>
      <c r="AD79" s="1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  <c r="IW79" s="5"/>
      <c r="IX79" s="5"/>
      <c r="IY79" s="5"/>
      <c r="IZ79" s="5"/>
      <c r="JA79" s="5"/>
      <c r="JB79" s="5"/>
      <c r="JC79" s="5"/>
      <c r="JD79" s="5"/>
      <c r="JE79" s="5"/>
      <c r="JF79" s="5"/>
      <c r="JG79" s="5"/>
      <c r="JH79" s="5"/>
      <c r="JI79" s="5"/>
      <c r="JJ79" s="5"/>
      <c r="JK79" s="5"/>
      <c r="JL79" s="5"/>
      <c r="JM79" s="5"/>
      <c r="JN79" s="5"/>
      <c r="JO79" s="5"/>
      <c r="JP79" s="5"/>
      <c r="JQ79" s="5"/>
      <c r="JR79" s="5"/>
      <c r="JS79" s="5"/>
      <c r="JT79" s="5"/>
      <c r="JU79" s="5"/>
      <c r="JV79" s="5"/>
      <c r="JW79" s="5"/>
      <c r="JX79" s="5"/>
      <c r="JY79" s="5"/>
      <c r="JZ79" s="5"/>
      <c r="KA79" s="5"/>
      <c r="KB79" s="5"/>
      <c r="KC79" s="5"/>
      <c r="KD79" s="5"/>
      <c r="KE79" s="5"/>
      <c r="KF79" s="5"/>
      <c r="KG79" s="5"/>
      <c r="KH79" s="5"/>
      <c r="KI79" s="5"/>
      <c r="KJ79" s="5"/>
      <c r="KK79" s="5"/>
      <c r="KL79" s="5"/>
      <c r="KM79" s="5"/>
      <c r="KN79" s="5"/>
      <c r="KO79" s="5"/>
      <c r="KP79" s="5"/>
      <c r="KQ79" s="5"/>
      <c r="KR79" s="5"/>
      <c r="KS79" s="5"/>
      <c r="KT79" s="5"/>
      <c r="KU79" s="5"/>
      <c r="KV79" s="5"/>
      <c r="KW79" s="5"/>
      <c r="KX79" s="5"/>
      <c r="KY79" s="5"/>
      <c r="KZ79" s="5"/>
      <c r="LA79" s="5"/>
      <c r="LB79" s="5"/>
      <c r="LC79" s="5"/>
      <c r="LD79" s="5"/>
      <c r="LE79" s="5"/>
      <c r="LF79" s="5"/>
      <c r="LG79" s="5"/>
      <c r="LH79" s="5"/>
      <c r="LI79" s="5"/>
      <c r="LJ79" s="5"/>
      <c r="LK79" s="5"/>
      <c r="LL79" s="5"/>
      <c r="LM79" s="5"/>
      <c r="LN79" s="5"/>
      <c r="LO79" s="5"/>
      <c r="LP79" s="5"/>
      <c r="LQ79" s="5"/>
      <c r="LR79" s="5"/>
      <c r="LS79" s="5"/>
      <c r="LT79" s="5"/>
      <c r="LU79" s="5"/>
      <c r="LV79" s="5"/>
      <c r="LW79" s="5"/>
      <c r="LX79" s="5"/>
      <c r="LY79" s="5"/>
      <c r="LZ79" s="5"/>
      <c r="MA79" s="5"/>
      <c r="MB79" s="5"/>
      <c r="MC79" s="5"/>
      <c r="MD79" s="5"/>
      <c r="ME79" s="5"/>
      <c r="MF79" s="5"/>
      <c r="MG79" s="5"/>
      <c r="MH79" s="5"/>
      <c r="MI79" s="5"/>
      <c r="MJ79" s="5"/>
      <c r="MK79" s="5"/>
      <c r="ML79" s="5"/>
      <c r="MM79" s="5"/>
      <c r="MN79" s="5"/>
      <c r="MO79" s="5"/>
      <c r="MP79" s="5"/>
      <c r="MQ79" s="5"/>
      <c r="MR79" s="5"/>
      <c r="MS79" s="5"/>
      <c r="MT79" s="5"/>
      <c r="MU79" s="5"/>
      <c r="MV79" s="5"/>
      <c r="MW79" s="5"/>
      <c r="MX79" s="5"/>
      <c r="MY79" s="5"/>
      <c r="MZ79" s="5"/>
      <c r="NA79" s="5"/>
      <c r="NB79" s="5"/>
      <c r="NC79" s="5"/>
      <c r="ND79" s="5"/>
      <c r="NE79" s="5"/>
      <c r="NF79" s="5"/>
      <c r="NG79" s="5"/>
      <c r="NH79" s="5"/>
      <c r="NI79" s="5"/>
      <c r="NJ79" s="5"/>
      <c r="NK79" s="5"/>
      <c r="NL79" s="5"/>
      <c r="NM79" s="5"/>
      <c r="NN79" s="5"/>
      <c r="NO79" s="5"/>
      <c r="NP79" s="5"/>
      <c r="NQ79" s="5"/>
      <c r="NR79" s="5"/>
      <c r="NS79" s="5"/>
      <c r="NT79" s="5"/>
      <c r="NU79" s="5"/>
      <c r="NV79" s="5"/>
      <c r="NW79" s="5"/>
      <c r="NX79" s="5"/>
      <c r="NY79" s="5"/>
      <c r="NZ79" s="5"/>
      <c r="OA79" s="5"/>
      <c r="OB79" s="5"/>
      <c r="OC79" s="5"/>
      <c r="OD79" s="5"/>
      <c r="OE79" s="5"/>
      <c r="OF79" s="5"/>
      <c r="OG79" s="5"/>
      <c r="OH79" s="5"/>
      <c r="OI79" s="5"/>
      <c r="OJ79" s="5"/>
      <c r="OK79" s="5"/>
      <c r="OL79" s="5"/>
      <c r="OM79" s="5"/>
      <c r="ON79" s="5"/>
      <c r="OO79" s="5"/>
      <c r="OP79" s="5"/>
      <c r="OQ79" s="5"/>
      <c r="OR79" s="5"/>
      <c r="OS79" s="5"/>
      <c r="OT79" s="5"/>
      <c r="OU79" s="5"/>
      <c r="OV79" s="5"/>
      <c r="OW79" s="5"/>
      <c r="OX79" s="5"/>
      <c r="OY79" s="5"/>
      <c r="OZ79" s="5"/>
      <c r="PA79" s="5"/>
      <c r="PB79" s="5"/>
      <c r="PC79" s="5"/>
      <c r="PD79" s="5"/>
      <c r="PE79" s="5"/>
      <c r="PF79" s="5"/>
      <c r="PG79" s="5"/>
      <c r="PH79" s="5"/>
      <c r="PI79" s="5"/>
      <c r="PJ79" s="5"/>
      <c r="PK79" s="5"/>
      <c r="PL79" s="5"/>
      <c r="PM79" s="5"/>
      <c r="PN79" s="5"/>
      <c r="PO79" s="5"/>
      <c r="PP79" s="5"/>
      <c r="PQ79" s="5"/>
      <c r="PR79" s="5"/>
      <c r="PS79" s="5"/>
      <c r="PT79" s="5"/>
      <c r="PU79" s="5"/>
      <c r="PV79" s="5"/>
      <c r="PW79" s="5"/>
      <c r="PX79" s="5"/>
      <c r="PY79" s="5"/>
      <c r="PZ79" s="5"/>
      <c r="QA79" s="5"/>
      <c r="QB79" s="5"/>
      <c r="QC79" s="5"/>
      <c r="QD79" s="5"/>
      <c r="QE79" s="5"/>
      <c r="QF79" s="5"/>
      <c r="QG79" s="5"/>
      <c r="QH79" s="5"/>
      <c r="QI79" s="5"/>
      <c r="QJ79" s="5"/>
      <c r="QK79" s="5"/>
      <c r="QL79" s="5"/>
      <c r="QM79" s="5"/>
      <c r="QN79" s="5"/>
      <c r="QO79" s="5"/>
      <c r="QP79" s="5"/>
      <c r="QQ79" s="5"/>
      <c r="QR79" s="5"/>
      <c r="QS79" s="5"/>
      <c r="QT79" s="5"/>
      <c r="QU79" s="5"/>
      <c r="QV79" s="5"/>
      <c r="QW79" s="5"/>
      <c r="QX79" s="5"/>
      <c r="QY79" s="5"/>
      <c r="QZ79" s="5"/>
      <c r="RA79" s="5"/>
      <c r="RB79" s="5"/>
      <c r="RC79" s="5"/>
      <c r="RD79" s="5"/>
      <c r="RE79" s="5"/>
      <c r="RF79" s="5"/>
      <c r="RG79" s="5"/>
      <c r="RH79" s="5"/>
      <c r="RI79" s="5"/>
      <c r="RJ79" s="5"/>
      <c r="RK79" s="5"/>
      <c r="RL79" s="5"/>
      <c r="RM79" s="5"/>
      <c r="RN79" s="5"/>
      <c r="RO79" s="5"/>
      <c r="RP79" s="5"/>
      <c r="RQ79" s="5"/>
      <c r="RR79" s="5"/>
      <c r="RS79" s="5"/>
      <c r="RT79" s="5"/>
      <c r="RU79" s="5"/>
      <c r="RV79" s="5"/>
      <c r="RW79" s="5"/>
      <c r="RX79" s="5"/>
      <c r="RY79" s="5"/>
      <c r="RZ79" s="5"/>
      <c r="SA79" s="5"/>
      <c r="SB79" s="5"/>
      <c r="SC79" s="5"/>
      <c r="SD79" s="5"/>
      <c r="SE79" s="5"/>
      <c r="SF79" s="5"/>
      <c r="SG79" s="5"/>
      <c r="SH79" s="5"/>
      <c r="SI79" s="5"/>
      <c r="SJ79" s="5"/>
      <c r="SK79" s="5"/>
      <c r="SL79" s="5"/>
      <c r="SM79" s="5"/>
      <c r="SN79" s="5"/>
      <c r="SO79" s="5"/>
      <c r="SP79" s="5"/>
      <c r="SQ79" s="5"/>
      <c r="SR79" s="5"/>
      <c r="SS79" s="5"/>
      <c r="ST79" s="5"/>
      <c r="SU79" s="5"/>
      <c r="SV79" s="5"/>
      <c r="SW79" s="5"/>
      <c r="SX79" s="5"/>
      <c r="SY79" s="5"/>
      <c r="SZ79" s="5"/>
      <c r="TA79" s="5"/>
      <c r="TB79" s="5"/>
      <c r="TC79" s="5"/>
      <c r="TD79" s="5"/>
      <c r="TE79" s="5"/>
      <c r="TF79" s="5"/>
      <c r="TG79" s="5"/>
      <c r="TH79" s="5"/>
      <c r="TI79" s="5"/>
      <c r="TJ79" s="5"/>
      <c r="TK79" s="5"/>
      <c r="TL79" s="5"/>
      <c r="TM79" s="5"/>
      <c r="TN79" s="5"/>
      <c r="TO79" s="5"/>
      <c r="TP79" s="5"/>
      <c r="TQ79" s="5"/>
      <c r="TR79" s="5"/>
      <c r="TS79" s="5"/>
      <c r="TT79" s="5"/>
      <c r="TU79" s="5"/>
      <c r="TV79" s="5"/>
      <c r="TW79" s="5"/>
      <c r="TX79" s="5"/>
      <c r="TY79" s="5"/>
      <c r="TZ79" s="5"/>
      <c r="UA79" s="5"/>
      <c r="UB79" s="5"/>
      <c r="UC79" s="5"/>
      <c r="UD79" s="5"/>
      <c r="UE79" s="5"/>
      <c r="UF79" s="5"/>
      <c r="UG79" s="5"/>
      <c r="UH79" s="5"/>
      <c r="UI79" s="5"/>
      <c r="UJ79" s="5"/>
      <c r="UK79" s="5"/>
      <c r="UL79" s="5"/>
      <c r="UM79" s="5"/>
      <c r="UN79" s="5"/>
      <c r="UO79" s="5"/>
      <c r="UP79" s="5"/>
      <c r="UQ79" s="5"/>
      <c r="UR79" s="5"/>
      <c r="US79" s="5"/>
      <c r="UT79" s="5"/>
      <c r="UU79" s="5"/>
      <c r="UV79" s="5"/>
      <c r="UW79" s="5"/>
      <c r="UX79" s="5"/>
      <c r="UY79" s="5"/>
      <c r="UZ79" s="5"/>
      <c r="VA79" s="5"/>
      <c r="VB79" s="5"/>
      <c r="VC79" s="5"/>
      <c r="VD79" s="5"/>
      <c r="VE79" s="5"/>
      <c r="VF79" s="5"/>
      <c r="VG79" s="5"/>
      <c r="VH79" s="5"/>
      <c r="VI79" s="5"/>
      <c r="VJ79" s="5"/>
      <c r="VK79" s="5"/>
      <c r="VL79" s="5"/>
      <c r="VM79" s="5"/>
      <c r="VN79" s="5"/>
      <c r="VO79" s="5"/>
      <c r="VP79" s="5"/>
      <c r="VQ79" s="5"/>
      <c r="VR79" s="5"/>
      <c r="VS79" s="5"/>
      <c r="VT79" s="5"/>
      <c r="VU79" s="5"/>
      <c r="VV79" s="5"/>
      <c r="VW79" s="5"/>
      <c r="VX79" s="5"/>
      <c r="VY79" s="5"/>
      <c r="VZ79" s="5"/>
      <c r="WA79" s="5"/>
      <c r="WB79" s="5"/>
      <c r="WC79" s="5"/>
      <c r="WD79" s="5"/>
      <c r="WE79" s="5"/>
      <c r="WF79" s="5"/>
      <c r="WG79" s="5"/>
      <c r="WH79" s="5"/>
      <c r="WI79" s="5"/>
      <c r="WJ79" s="5"/>
      <c r="WK79" s="5"/>
      <c r="WL79" s="5"/>
      <c r="WM79" s="5"/>
      <c r="WN79" s="5"/>
      <c r="WO79" s="5"/>
      <c r="WP79" s="5"/>
      <c r="WQ79" s="5"/>
      <c r="WR79" s="5"/>
      <c r="WS79" s="5"/>
      <c r="WT79" s="5"/>
      <c r="WU79" s="5"/>
      <c r="WV79" s="5"/>
      <c r="WW79" s="5"/>
      <c r="WX79" s="5"/>
      <c r="WY79" s="5"/>
      <c r="WZ79" s="5"/>
      <c r="XA79" s="5"/>
      <c r="XB79" s="5"/>
      <c r="XC79" s="5"/>
      <c r="XD79" s="5"/>
      <c r="XE79" s="5"/>
      <c r="XF79" s="5"/>
      <c r="XG79" s="5"/>
      <c r="XH79" s="5"/>
      <c r="XI79" s="5"/>
      <c r="XJ79" s="5"/>
      <c r="XK79" s="5"/>
      <c r="XL79" s="5"/>
      <c r="XM79" s="5"/>
      <c r="XN79" s="5"/>
      <c r="XO79" s="5"/>
      <c r="XP79" s="5"/>
      <c r="XQ79" s="5"/>
      <c r="XR79" s="5"/>
      <c r="XS79" s="5"/>
      <c r="XT79" s="5"/>
      <c r="XU79" s="5"/>
      <c r="XV79" s="5"/>
      <c r="XW79" s="5"/>
      <c r="XX79" s="5"/>
      <c r="XY79" s="5"/>
      <c r="XZ79" s="5"/>
      <c r="YA79" s="5"/>
      <c r="YB79" s="5"/>
      <c r="YC79" s="5"/>
      <c r="YD79" s="5"/>
      <c r="YE79" s="5"/>
      <c r="YF79" s="5"/>
      <c r="YG79" s="5"/>
      <c r="YH79" s="5"/>
      <c r="YI79" s="5"/>
      <c r="YJ79" s="5"/>
      <c r="YK79" s="5"/>
      <c r="YL79" s="5"/>
      <c r="YM79" s="5"/>
      <c r="YN79" s="5"/>
      <c r="YO79" s="5"/>
      <c r="YP79" s="5"/>
      <c r="YQ79" s="5"/>
      <c r="YR79" s="5"/>
      <c r="YS79" s="5"/>
      <c r="YT79" s="5"/>
      <c r="YU79" s="5"/>
      <c r="YV79" s="5"/>
      <c r="YW79" s="5"/>
      <c r="YX79" s="5"/>
      <c r="YY79" s="5"/>
      <c r="YZ79" s="5"/>
    </row>
    <row r="80" spans="1:676">
      <c r="A80" s="7">
        <v>70</v>
      </c>
      <c r="B80" s="7" t="s">
        <v>203</v>
      </c>
      <c r="C80" s="10" t="s">
        <v>204</v>
      </c>
      <c r="D80" s="7" t="s">
        <v>40</v>
      </c>
      <c r="E80" s="7" t="s">
        <v>205</v>
      </c>
      <c r="F80" s="7" t="s">
        <v>206</v>
      </c>
      <c r="G80" s="7"/>
      <c r="H80" s="7" t="s">
        <v>43</v>
      </c>
      <c r="I80" s="11">
        <v>2</v>
      </c>
      <c r="J80" s="11">
        <v>3</v>
      </c>
      <c r="K80" s="11">
        <v>0</v>
      </c>
      <c r="L80" s="11">
        <v>3.14</v>
      </c>
      <c r="M80" s="11">
        <v>0.5600000000000001</v>
      </c>
      <c r="N80" s="11">
        <v>0</v>
      </c>
      <c r="O80" s="11">
        <v>0.5</v>
      </c>
      <c r="P80" s="11">
        <v>0</v>
      </c>
      <c r="Q80" s="11">
        <v>4.2</v>
      </c>
      <c r="R80" s="11">
        <v>0</v>
      </c>
      <c r="S80" s="11">
        <v>4.2</v>
      </c>
      <c r="T80" s="11">
        <v>2</v>
      </c>
      <c r="U80" s="11">
        <v>2.2</v>
      </c>
      <c r="V80" s="11">
        <v>0</v>
      </c>
      <c r="W80" s="13">
        <v>2</v>
      </c>
      <c r="X80" s="13">
        <v>3</v>
      </c>
      <c r="Y80" s="13" t="str">
        <f>MIN(W80,S80)</f>
        <v>0</v>
      </c>
      <c r="Z80" s="13" t="str">
        <f>MIN(X80,(S80-Y80))</f>
        <v>0</v>
      </c>
      <c r="AA80" s="13" t="str">
        <f>S80-SUM(Y80,Z80)</f>
        <v>0</v>
      </c>
      <c r="AB80" s="15"/>
      <c r="AC80" s="15"/>
      <c r="AD80" s="1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  <c r="IX80" s="5"/>
      <c r="IY80" s="5"/>
      <c r="IZ80" s="5"/>
      <c r="JA80" s="5"/>
      <c r="JB80" s="5"/>
      <c r="JC80" s="5"/>
      <c r="JD80" s="5"/>
      <c r="JE80" s="5"/>
      <c r="JF80" s="5"/>
      <c r="JG80" s="5"/>
      <c r="JH80" s="5"/>
      <c r="JI80" s="5"/>
      <c r="JJ80" s="5"/>
      <c r="JK80" s="5"/>
      <c r="JL80" s="5"/>
      <c r="JM80" s="5"/>
      <c r="JN80" s="5"/>
      <c r="JO80" s="5"/>
      <c r="JP80" s="5"/>
      <c r="JQ80" s="5"/>
      <c r="JR80" s="5"/>
      <c r="JS80" s="5"/>
      <c r="JT80" s="5"/>
      <c r="JU80" s="5"/>
      <c r="JV80" s="5"/>
      <c r="JW80" s="5"/>
      <c r="JX80" s="5"/>
      <c r="JY80" s="5"/>
      <c r="JZ80" s="5"/>
      <c r="KA80" s="5"/>
      <c r="KB80" s="5"/>
      <c r="KC80" s="5"/>
      <c r="KD80" s="5"/>
      <c r="KE80" s="5"/>
      <c r="KF80" s="5"/>
      <c r="KG80" s="5"/>
      <c r="KH80" s="5"/>
      <c r="KI80" s="5"/>
      <c r="KJ80" s="5"/>
      <c r="KK80" s="5"/>
      <c r="KL80" s="5"/>
      <c r="KM80" s="5"/>
      <c r="KN80" s="5"/>
      <c r="KO80" s="5"/>
      <c r="KP80" s="5"/>
      <c r="KQ80" s="5"/>
      <c r="KR80" s="5"/>
      <c r="KS80" s="5"/>
      <c r="KT80" s="5"/>
      <c r="KU80" s="5"/>
      <c r="KV80" s="5"/>
      <c r="KW80" s="5"/>
      <c r="KX80" s="5"/>
      <c r="KY80" s="5"/>
      <c r="KZ80" s="5"/>
      <c r="LA80" s="5"/>
      <c r="LB80" s="5"/>
      <c r="LC80" s="5"/>
      <c r="LD80" s="5"/>
      <c r="LE80" s="5"/>
      <c r="LF80" s="5"/>
      <c r="LG80" s="5"/>
      <c r="LH80" s="5"/>
      <c r="LI80" s="5"/>
      <c r="LJ80" s="5"/>
      <c r="LK80" s="5"/>
      <c r="LL80" s="5"/>
      <c r="LM80" s="5"/>
      <c r="LN80" s="5"/>
      <c r="LO80" s="5"/>
      <c r="LP80" s="5"/>
      <c r="LQ80" s="5"/>
      <c r="LR80" s="5"/>
      <c r="LS80" s="5"/>
      <c r="LT80" s="5"/>
      <c r="LU80" s="5"/>
      <c r="LV80" s="5"/>
      <c r="LW80" s="5"/>
      <c r="LX80" s="5"/>
      <c r="LY80" s="5"/>
      <c r="LZ80" s="5"/>
      <c r="MA80" s="5"/>
      <c r="MB80" s="5"/>
      <c r="MC80" s="5"/>
      <c r="MD80" s="5"/>
      <c r="ME80" s="5"/>
      <c r="MF80" s="5"/>
      <c r="MG80" s="5"/>
      <c r="MH80" s="5"/>
      <c r="MI80" s="5"/>
      <c r="MJ80" s="5"/>
      <c r="MK80" s="5"/>
      <c r="ML80" s="5"/>
      <c r="MM80" s="5"/>
      <c r="MN80" s="5"/>
      <c r="MO80" s="5"/>
      <c r="MP80" s="5"/>
      <c r="MQ80" s="5"/>
      <c r="MR80" s="5"/>
      <c r="MS80" s="5"/>
      <c r="MT80" s="5"/>
      <c r="MU80" s="5"/>
      <c r="MV80" s="5"/>
      <c r="MW80" s="5"/>
      <c r="MX80" s="5"/>
      <c r="MY80" s="5"/>
      <c r="MZ80" s="5"/>
      <c r="NA80" s="5"/>
      <c r="NB80" s="5"/>
      <c r="NC80" s="5"/>
      <c r="ND80" s="5"/>
      <c r="NE80" s="5"/>
      <c r="NF80" s="5"/>
      <c r="NG80" s="5"/>
      <c r="NH80" s="5"/>
      <c r="NI80" s="5"/>
      <c r="NJ80" s="5"/>
      <c r="NK80" s="5"/>
      <c r="NL80" s="5"/>
      <c r="NM80" s="5"/>
      <c r="NN80" s="5"/>
      <c r="NO80" s="5"/>
      <c r="NP80" s="5"/>
      <c r="NQ80" s="5"/>
      <c r="NR80" s="5"/>
      <c r="NS80" s="5"/>
      <c r="NT80" s="5"/>
      <c r="NU80" s="5"/>
      <c r="NV80" s="5"/>
      <c r="NW80" s="5"/>
      <c r="NX80" s="5"/>
      <c r="NY80" s="5"/>
      <c r="NZ80" s="5"/>
      <c r="OA80" s="5"/>
      <c r="OB80" s="5"/>
      <c r="OC80" s="5"/>
      <c r="OD80" s="5"/>
      <c r="OE80" s="5"/>
      <c r="OF80" s="5"/>
      <c r="OG80" s="5"/>
      <c r="OH80" s="5"/>
      <c r="OI80" s="5"/>
      <c r="OJ80" s="5"/>
      <c r="OK80" s="5"/>
      <c r="OL80" s="5"/>
      <c r="OM80" s="5"/>
      <c r="ON80" s="5"/>
      <c r="OO80" s="5"/>
      <c r="OP80" s="5"/>
      <c r="OQ80" s="5"/>
      <c r="OR80" s="5"/>
      <c r="OS80" s="5"/>
      <c r="OT80" s="5"/>
      <c r="OU80" s="5"/>
      <c r="OV80" s="5"/>
      <c r="OW80" s="5"/>
      <c r="OX80" s="5"/>
      <c r="OY80" s="5"/>
      <c r="OZ80" s="5"/>
      <c r="PA80" s="5"/>
      <c r="PB80" s="5"/>
      <c r="PC80" s="5"/>
      <c r="PD80" s="5"/>
      <c r="PE80" s="5"/>
      <c r="PF80" s="5"/>
      <c r="PG80" s="5"/>
      <c r="PH80" s="5"/>
      <c r="PI80" s="5"/>
      <c r="PJ80" s="5"/>
      <c r="PK80" s="5"/>
      <c r="PL80" s="5"/>
      <c r="PM80" s="5"/>
      <c r="PN80" s="5"/>
      <c r="PO80" s="5"/>
      <c r="PP80" s="5"/>
      <c r="PQ80" s="5"/>
      <c r="PR80" s="5"/>
      <c r="PS80" s="5"/>
      <c r="PT80" s="5"/>
      <c r="PU80" s="5"/>
      <c r="PV80" s="5"/>
      <c r="PW80" s="5"/>
      <c r="PX80" s="5"/>
      <c r="PY80" s="5"/>
      <c r="PZ80" s="5"/>
      <c r="QA80" s="5"/>
      <c r="QB80" s="5"/>
      <c r="QC80" s="5"/>
      <c r="QD80" s="5"/>
      <c r="QE80" s="5"/>
      <c r="QF80" s="5"/>
      <c r="QG80" s="5"/>
      <c r="QH80" s="5"/>
      <c r="QI80" s="5"/>
      <c r="QJ80" s="5"/>
      <c r="QK80" s="5"/>
      <c r="QL80" s="5"/>
      <c r="QM80" s="5"/>
      <c r="QN80" s="5"/>
      <c r="QO80" s="5"/>
      <c r="QP80" s="5"/>
      <c r="QQ80" s="5"/>
      <c r="QR80" s="5"/>
      <c r="QS80" s="5"/>
      <c r="QT80" s="5"/>
      <c r="QU80" s="5"/>
      <c r="QV80" s="5"/>
      <c r="QW80" s="5"/>
      <c r="QX80" s="5"/>
      <c r="QY80" s="5"/>
      <c r="QZ80" s="5"/>
      <c r="RA80" s="5"/>
      <c r="RB80" s="5"/>
      <c r="RC80" s="5"/>
      <c r="RD80" s="5"/>
      <c r="RE80" s="5"/>
      <c r="RF80" s="5"/>
      <c r="RG80" s="5"/>
      <c r="RH80" s="5"/>
      <c r="RI80" s="5"/>
      <c r="RJ80" s="5"/>
      <c r="RK80" s="5"/>
      <c r="RL80" s="5"/>
      <c r="RM80" s="5"/>
      <c r="RN80" s="5"/>
      <c r="RO80" s="5"/>
      <c r="RP80" s="5"/>
      <c r="RQ80" s="5"/>
      <c r="RR80" s="5"/>
      <c r="RS80" s="5"/>
      <c r="RT80" s="5"/>
      <c r="RU80" s="5"/>
      <c r="RV80" s="5"/>
      <c r="RW80" s="5"/>
      <c r="RX80" s="5"/>
      <c r="RY80" s="5"/>
      <c r="RZ80" s="5"/>
      <c r="SA80" s="5"/>
      <c r="SB80" s="5"/>
      <c r="SC80" s="5"/>
      <c r="SD80" s="5"/>
      <c r="SE80" s="5"/>
      <c r="SF80" s="5"/>
      <c r="SG80" s="5"/>
      <c r="SH80" s="5"/>
      <c r="SI80" s="5"/>
      <c r="SJ80" s="5"/>
      <c r="SK80" s="5"/>
      <c r="SL80" s="5"/>
      <c r="SM80" s="5"/>
      <c r="SN80" s="5"/>
      <c r="SO80" s="5"/>
      <c r="SP80" s="5"/>
      <c r="SQ80" s="5"/>
      <c r="SR80" s="5"/>
      <c r="SS80" s="5"/>
      <c r="ST80" s="5"/>
      <c r="SU80" s="5"/>
      <c r="SV80" s="5"/>
      <c r="SW80" s="5"/>
      <c r="SX80" s="5"/>
      <c r="SY80" s="5"/>
      <c r="SZ80" s="5"/>
      <c r="TA80" s="5"/>
      <c r="TB80" s="5"/>
      <c r="TC80" s="5"/>
      <c r="TD80" s="5"/>
      <c r="TE80" s="5"/>
      <c r="TF80" s="5"/>
      <c r="TG80" s="5"/>
      <c r="TH80" s="5"/>
      <c r="TI80" s="5"/>
      <c r="TJ80" s="5"/>
      <c r="TK80" s="5"/>
      <c r="TL80" s="5"/>
      <c r="TM80" s="5"/>
      <c r="TN80" s="5"/>
      <c r="TO80" s="5"/>
      <c r="TP80" s="5"/>
      <c r="TQ80" s="5"/>
      <c r="TR80" s="5"/>
      <c r="TS80" s="5"/>
      <c r="TT80" s="5"/>
      <c r="TU80" s="5"/>
      <c r="TV80" s="5"/>
      <c r="TW80" s="5"/>
      <c r="TX80" s="5"/>
      <c r="TY80" s="5"/>
      <c r="TZ80" s="5"/>
      <c r="UA80" s="5"/>
      <c r="UB80" s="5"/>
      <c r="UC80" s="5"/>
      <c r="UD80" s="5"/>
      <c r="UE80" s="5"/>
      <c r="UF80" s="5"/>
      <c r="UG80" s="5"/>
      <c r="UH80" s="5"/>
      <c r="UI80" s="5"/>
      <c r="UJ80" s="5"/>
      <c r="UK80" s="5"/>
      <c r="UL80" s="5"/>
      <c r="UM80" s="5"/>
      <c r="UN80" s="5"/>
      <c r="UO80" s="5"/>
      <c r="UP80" s="5"/>
      <c r="UQ80" s="5"/>
      <c r="UR80" s="5"/>
      <c r="US80" s="5"/>
      <c r="UT80" s="5"/>
      <c r="UU80" s="5"/>
      <c r="UV80" s="5"/>
      <c r="UW80" s="5"/>
      <c r="UX80" s="5"/>
      <c r="UY80" s="5"/>
      <c r="UZ80" s="5"/>
      <c r="VA80" s="5"/>
      <c r="VB80" s="5"/>
      <c r="VC80" s="5"/>
      <c r="VD80" s="5"/>
      <c r="VE80" s="5"/>
      <c r="VF80" s="5"/>
      <c r="VG80" s="5"/>
      <c r="VH80" s="5"/>
      <c r="VI80" s="5"/>
      <c r="VJ80" s="5"/>
      <c r="VK80" s="5"/>
      <c r="VL80" s="5"/>
      <c r="VM80" s="5"/>
      <c r="VN80" s="5"/>
      <c r="VO80" s="5"/>
      <c r="VP80" s="5"/>
      <c r="VQ80" s="5"/>
      <c r="VR80" s="5"/>
      <c r="VS80" s="5"/>
      <c r="VT80" s="5"/>
      <c r="VU80" s="5"/>
      <c r="VV80" s="5"/>
      <c r="VW80" s="5"/>
      <c r="VX80" s="5"/>
      <c r="VY80" s="5"/>
      <c r="VZ80" s="5"/>
      <c r="WA80" s="5"/>
      <c r="WB80" s="5"/>
      <c r="WC80" s="5"/>
      <c r="WD80" s="5"/>
      <c r="WE80" s="5"/>
      <c r="WF80" s="5"/>
      <c r="WG80" s="5"/>
      <c r="WH80" s="5"/>
      <c r="WI80" s="5"/>
      <c r="WJ80" s="5"/>
      <c r="WK80" s="5"/>
      <c r="WL80" s="5"/>
      <c r="WM80" s="5"/>
      <c r="WN80" s="5"/>
      <c r="WO80" s="5"/>
      <c r="WP80" s="5"/>
      <c r="WQ80" s="5"/>
      <c r="WR80" s="5"/>
      <c r="WS80" s="5"/>
      <c r="WT80" s="5"/>
      <c r="WU80" s="5"/>
      <c r="WV80" s="5"/>
      <c r="WW80" s="5"/>
      <c r="WX80" s="5"/>
      <c r="WY80" s="5"/>
      <c r="WZ80" s="5"/>
      <c r="XA80" s="5"/>
      <c r="XB80" s="5"/>
      <c r="XC80" s="5"/>
      <c r="XD80" s="5"/>
      <c r="XE80" s="5"/>
      <c r="XF80" s="5"/>
      <c r="XG80" s="5"/>
      <c r="XH80" s="5"/>
      <c r="XI80" s="5"/>
      <c r="XJ80" s="5"/>
      <c r="XK80" s="5"/>
      <c r="XL80" s="5"/>
      <c r="XM80" s="5"/>
      <c r="XN80" s="5"/>
      <c r="XO80" s="5"/>
      <c r="XP80" s="5"/>
      <c r="XQ80" s="5"/>
      <c r="XR80" s="5"/>
      <c r="XS80" s="5"/>
      <c r="XT80" s="5"/>
      <c r="XU80" s="5"/>
      <c r="XV80" s="5"/>
      <c r="XW80" s="5"/>
      <c r="XX80" s="5"/>
      <c r="XY80" s="5"/>
      <c r="XZ80" s="5"/>
      <c r="YA80" s="5"/>
      <c r="YB80" s="5"/>
      <c r="YC80" s="5"/>
      <c r="YD80" s="5"/>
      <c r="YE80" s="5"/>
      <c r="YF80" s="5"/>
      <c r="YG80" s="5"/>
      <c r="YH80" s="5"/>
      <c r="YI80" s="5"/>
      <c r="YJ80" s="5"/>
      <c r="YK80" s="5"/>
      <c r="YL80" s="5"/>
      <c r="YM80" s="5"/>
      <c r="YN80" s="5"/>
      <c r="YO80" s="5"/>
      <c r="YP80" s="5"/>
      <c r="YQ80" s="5"/>
      <c r="YR80" s="5"/>
      <c r="YS80" s="5"/>
      <c r="YT80" s="5"/>
      <c r="YU80" s="5"/>
      <c r="YV80" s="5"/>
      <c r="YW80" s="5"/>
      <c r="YX80" s="5"/>
      <c r="YY80" s="5"/>
      <c r="YZ80" s="5"/>
    </row>
    <row r="81" spans="1:676">
      <c r="A81" s="7">
        <v>71</v>
      </c>
      <c r="B81" s="7" t="s">
        <v>207</v>
      </c>
      <c r="C81" s="10" t="s">
        <v>208</v>
      </c>
      <c r="D81" s="7" t="s">
        <v>48</v>
      </c>
      <c r="E81" s="7" t="s">
        <v>209</v>
      </c>
      <c r="F81" s="7" t="s">
        <v>206</v>
      </c>
      <c r="G81" s="7"/>
      <c r="H81" s="7" t="s">
        <v>43</v>
      </c>
      <c r="I81" s="11">
        <v>2</v>
      </c>
      <c r="J81" s="11">
        <v>3</v>
      </c>
      <c r="K81" s="11">
        <v>0</v>
      </c>
      <c r="L81" s="11">
        <v>1.55</v>
      </c>
      <c r="M81" s="11">
        <v>0.24</v>
      </c>
      <c r="N81" s="11">
        <v>0</v>
      </c>
      <c r="O81" s="11">
        <v>0.6</v>
      </c>
      <c r="P81" s="11">
        <v>0</v>
      </c>
      <c r="Q81" s="11">
        <v>2.390000000000001</v>
      </c>
      <c r="R81" s="11">
        <v>0</v>
      </c>
      <c r="S81" s="11">
        <v>2.390000000000001</v>
      </c>
      <c r="T81" s="11">
        <v>2</v>
      </c>
      <c r="U81" s="11">
        <v>0.3900000000000006</v>
      </c>
      <c r="V81" s="11">
        <v>0</v>
      </c>
      <c r="W81" s="13">
        <v>2</v>
      </c>
      <c r="X81" s="13">
        <v>3</v>
      </c>
      <c r="Y81" s="13" t="str">
        <f>MIN(W81,S81)</f>
        <v>0</v>
      </c>
      <c r="Z81" s="13" t="str">
        <f>MIN(X81,(S81-Y81))</f>
        <v>0</v>
      </c>
      <c r="AA81" s="13" t="str">
        <f>S81-SUM(Y81,Z81)</f>
        <v>0</v>
      </c>
      <c r="AB81" s="15"/>
      <c r="AC81" s="15"/>
      <c r="AD81" s="1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  <c r="IX81" s="5"/>
      <c r="IY81" s="5"/>
      <c r="IZ81" s="5"/>
      <c r="JA81" s="5"/>
      <c r="JB81" s="5"/>
      <c r="JC81" s="5"/>
      <c r="JD81" s="5"/>
      <c r="JE81" s="5"/>
      <c r="JF81" s="5"/>
      <c r="JG81" s="5"/>
      <c r="JH81" s="5"/>
      <c r="JI81" s="5"/>
      <c r="JJ81" s="5"/>
      <c r="JK81" s="5"/>
      <c r="JL81" s="5"/>
      <c r="JM81" s="5"/>
      <c r="JN81" s="5"/>
      <c r="JO81" s="5"/>
      <c r="JP81" s="5"/>
      <c r="JQ81" s="5"/>
      <c r="JR81" s="5"/>
      <c r="JS81" s="5"/>
      <c r="JT81" s="5"/>
      <c r="JU81" s="5"/>
      <c r="JV81" s="5"/>
      <c r="JW81" s="5"/>
      <c r="JX81" s="5"/>
      <c r="JY81" s="5"/>
      <c r="JZ81" s="5"/>
      <c r="KA81" s="5"/>
      <c r="KB81" s="5"/>
      <c r="KC81" s="5"/>
      <c r="KD81" s="5"/>
      <c r="KE81" s="5"/>
      <c r="KF81" s="5"/>
      <c r="KG81" s="5"/>
      <c r="KH81" s="5"/>
      <c r="KI81" s="5"/>
      <c r="KJ81" s="5"/>
      <c r="KK81" s="5"/>
      <c r="KL81" s="5"/>
      <c r="KM81" s="5"/>
      <c r="KN81" s="5"/>
      <c r="KO81" s="5"/>
      <c r="KP81" s="5"/>
      <c r="KQ81" s="5"/>
      <c r="KR81" s="5"/>
      <c r="KS81" s="5"/>
      <c r="KT81" s="5"/>
      <c r="KU81" s="5"/>
      <c r="KV81" s="5"/>
      <c r="KW81" s="5"/>
      <c r="KX81" s="5"/>
      <c r="KY81" s="5"/>
      <c r="KZ81" s="5"/>
      <c r="LA81" s="5"/>
      <c r="LB81" s="5"/>
      <c r="LC81" s="5"/>
      <c r="LD81" s="5"/>
      <c r="LE81" s="5"/>
      <c r="LF81" s="5"/>
      <c r="LG81" s="5"/>
      <c r="LH81" s="5"/>
      <c r="LI81" s="5"/>
      <c r="LJ81" s="5"/>
      <c r="LK81" s="5"/>
      <c r="LL81" s="5"/>
      <c r="LM81" s="5"/>
      <c r="LN81" s="5"/>
      <c r="LO81" s="5"/>
      <c r="LP81" s="5"/>
      <c r="LQ81" s="5"/>
      <c r="LR81" s="5"/>
      <c r="LS81" s="5"/>
      <c r="LT81" s="5"/>
      <c r="LU81" s="5"/>
      <c r="LV81" s="5"/>
      <c r="LW81" s="5"/>
      <c r="LX81" s="5"/>
      <c r="LY81" s="5"/>
      <c r="LZ81" s="5"/>
      <c r="MA81" s="5"/>
      <c r="MB81" s="5"/>
      <c r="MC81" s="5"/>
      <c r="MD81" s="5"/>
      <c r="ME81" s="5"/>
      <c r="MF81" s="5"/>
      <c r="MG81" s="5"/>
      <c r="MH81" s="5"/>
      <c r="MI81" s="5"/>
      <c r="MJ81" s="5"/>
      <c r="MK81" s="5"/>
      <c r="ML81" s="5"/>
      <c r="MM81" s="5"/>
      <c r="MN81" s="5"/>
      <c r="MO81" s="5"/>
      <c r="MP81" s="5"/>
      <c r="MQ81" s="5"/>
      <c r="MR81" s="5"/>
      <c r="MS81" s="5"/>
      <c r="MT81" s="5"/>
      <c r="MU81" s="5"/>
      <c r="MV81" s="5"/>
      <c r="MW81" s="5"/>
      <c r="MX81" s="5"/>
      <c r="MY81" s="5"/>
      <c r="MZ81" s="5"/>
      <c r="NA81" s="5"/>
      <c r="NB81" s="5"/>
      <c r="NC81" s="5"/>
      <c r="ND81" s="5"/>
      <c r="NE81" s="5"/>
      <c r="NF81" s="5"/>
      <c r="NG81" s="5"/>
      <c r="NH81" s="5"/>
      <c r="NI81" s="5"/>
      <c r="NJ81" s="5"/>
      <c r="NK81" s="5"/>
      <c r="NL81" s="5"/>
      <c r="NM81" s="5"/>
      <c r="NN81" s="5"/>
      <c r="NO81" s="5"/>
      <c r="NP81" s="5"/>
      <c r="NQ81" s="5"/>
      <c r="NR81" s="5"/>
      <c r="NS81" s="5"/>
      <c r="NT81" s="5"/>
      <c r="NU81" s="5"/>
      <c r="NV81" s="5"/>
      <c r="NW81" s="5"/>
      <c r="NX81" s="5"/>
      <c r="NY81" s="5"/>
      <c r="NZ81" s="5"/>
      <c r="OA81" s="5"/>
      <c r="OB81" s="5"/>
      <c r="OC81" s="5"/>
      <c r="OD81" s="5"/>
      <c r="OE81" s="5"/>
      <c r="OF81" s="5"/>
      <c r="OG81" s="5"/>
      <c r="OH81" s="5"/>
      <c r="OI81" s="5"/>
      <c r="OJ81" s="5"/>
      <c r="OK81" s="5"/>
      <c r="OL81" s="5"/>
      <c r="OM81" s="5"/>
      <c r="ON81" s="5"/>
      <c r="OO81" s="5"/>
      <c r="OP81" s="5"/>
      <c r="OQ81" s="5"/>
      <c r="OR81" s="5"/>
      <c r="OS81" s="5"/>
      <c r="OT81" s="5"/>
      <c r="OU81" s="5"/>
      <c r="OV81" s="5"/>
      <c r="OW81" s="5"/>
      <c r="OX81" s="5"/>
      <c r="OY81" s="5"/>
      <c r="OZ81" s="5"/>
      <c r="PA81" s="5"/>
      <c r="PB81" s="5"/>
      <c r="PC81" s="5"/>
      <c r="PD81" s="5"/>
      <c r="PE81" s="5"/>
      <c r="PF81" s="5"/>
      <c r="PG81" s="5"/>
      <c r="PH81" s="5"/>
      <c r="PI81" s="5"/>
      <c r="PJ81" s="5"/>
      <c r="PK81" s="5"/>
      <c r="PL81" s="5"/>
      <c r="PM81" s="5"/>
      <c r="PN81" s="5"/>
      <c r="PO81" s="5"/>
      <c r="PP81" s="5"/>
      <c r="PQ81" s="5"/>
      <c r="PR81" s="5"/>
      <c r="PS81" s="5"/>
      <c r="PT81" s="5"/>
      <c r="PU81" s="5"/>
      <c r="PV81" s="5"/>
      <c r="PW81" s="5"/>
      <c r="PX81" s="5"/>
      <c r="PY81" s="5"/>
      <c r="PZ81" s="5"/>
      <c r="QA81" s="5"/>
      <c r="QB81" s="5"/>
      <c r="QC81" s="5"/>
      <c r="QD81" s="5"/>
      <c r="QE81" s="5"/>
      <c r="QF81" s="5"/>
      <c r="QG81" s="5"/>
      <c r="QH81" s="5"/>
      <c r="QI81" s="5"/>
      <c r="QJ81" s="5"/>
      <c r="QK81" s="5"/>
      <c r="QL81" s="5"/>
      <c r="QM81" s="5"/>
      <c r="QN81" s="5"/>
      <c r="QO81" s="5"/>
      <c r="QP81" s="5"/>
      <c r="QQ81" s="5"/>
      <c r="QR81" s="5"/>
      <c r="QS81" s="5"/>
      <c r="QT81" s="5"/>
      <c r="QU81" s="5"/>
      <c r="QV81" s="5"/>
      <c r="QW81" s="5"/>
      <c r="QX81" s="5"/>
      <c r="QY81" s="5"/>
      <c r="QZ81" s="5"/>
      <c r="RA81" s="5"/>
      <c r="RB81" s="5"/>
      <c r="RC81" s="5"/>
      <c r="RD81" s="5"/>
      <c r="RE81" s="5"/>
      <c r="RF81" s="5"/>
      <c r="RG81" s="5"/>
      <c r="RH81" s="5"/>
      <c r="RI81" s="5"/>
      <c r="RJ81" s="5"/>
      <c r="RK81" s="5"/>
      <c r="RL81" s="5"/>
      <c r="RM81" s="5"/>
      <c r="RN81" s="5"/>
      <c r="RO81" s="5"/>
      <c r="RP81" s="5"/>
      <c r="RQ81" s="5"/>
      <c r="RR81" s="5"/>
      <c r="RS81" s="5"/>
      <c r="RT81" s="5"/>
      <c r="RU81" s="5"/>
      <c r="RV81" s="5"/>
      <c r="RW81" s="5"/>
      <c r="RX81" s="5"/>
      <c r="RY81" s="5"/>
      <c r="RZ81" s="5"/>
      <c r="SA81" s="5"/>
      <c r="SB81" s="5"/>
      <c r="SC81" s="5"/>
      <c r="SD81" s="5"/>
      <c r="SE81" s="5"/>
      <c r="SF81" s="5"/>
      <c r="SG81" s="5"/>
      <c r="SH81" s="5"/>
      <c r="SI81" s="5"/>
      <c r="SJ81" s="5"/>
      <c r="SK81" s="5"/>
      <c r="SL81" s="5"/>
      <c r="SM81" s="5"/>
      <c r="SN81" s="5"/>
      <c r="SO81" s="5"/>
      <c r="SP81" s="5"/>
      <c r="SQ81" s="5"/>
      <c r="SR81" s="5"/>
      <c r="SS81" s="5"/>
      <c r="ST81" s="5"/>
      <c r="SU81" s="5"/>
      <c r="SV81" s="5"/>
      <c r="SW81" s="5"/>
      <c r="SX81" s="5"/>
      <c r="SY81" s="5"/>
      <c r="SZ81" s="5"/>
      <c r="TA81" s="5"/>
      <c r="TB81" s="5"/>
      <c r="TC81" s="5"/>
      <c r="TD81" s="5"/>
      <c r="TE81" s="5"/>
      <c r="TF81" s="5"/>
      <c r="TG81" s="5"/>
      <c r="TH81" s="5"/>
      <c r="TI81" s="5"/>
      <c r="TJ81" s="5"/>
      <c r="TK81" s="5"/>
      <c r="TL81" s="5"/>
      <c r="TM81" s="5"/>
      <c r="TN81" s="5"/>
      <c r="TO81" s="5"/>
      <c r="TP81" s="5"/>
      <c r="TQ81" s="5"/>
      <c r="TR81" s="5"/>
      <c r="TS81" s="5"/>
      <c r="TT81" s="5"/>
      <c r="TU81" s="5"/>
      <c r="TV81" s="5"/>
      <c r="TW81" s="5"/>
      <c r="TX81" s="5"/>
      <c r="TY81" s="5"/>
      <c r="TZ81" s="5"/>
      <c r="UA81" s="5"/>
      <c r="UB81" s="5"/>
      <c r="UC81" s="5"/>
      <c r="UD81" s="5"/>
      <c r="UE81" s="5"/>
      <c r="UF81" s="5"/>
      <c r="UG81" s="5"/>
      <c r="UH81" s="5"/>
      <c r="UI81" s="5"/>
      <c r="UJ81" s="5"/>
      <c r="UK81" s="5"/>
      <c r="UL81" s="5"/>
      <c r="UM81" s="5"/>
      <c r="UN81" s="5"/>
      <c r="UO81" s="5"/>
      <c r="UP81" s="5"/>
      <c r="UQ81" s="5"/>
      <c r="UR81" s="5"/>
      <c r="US81" s="5"/>
      <c r="UT81" s="5"/>
      <c r="UU81" s="5"/>
      <c r="UV81" s="5"/>
      <c r="UW81" s="5"/>
      <c r="UX81" s="5"/>
      <c r="UY81" s="5"/>
      <c r="UZ81" s="5"/>
      <c r="VA81" s="5"/>
      <c r="VB81" s="5"/>
      <c r="VC81" s="5"/>
      <c r="VD81" s="5"/>
      <c r="VE81" s="5"/>
      <c r="VF81" s="5"/>
      <c r="VG81" s="5"/>
      <c r="VH81" s="5"/>
      <c r="VI81" s="5"/>
      <c r="VJ81" s="5"/>
      <c r="VK81" s="5"/>
      <c r="VL81" s="5"/>
      <c r="VM81" s="5"/>
      <c r="VN81" s="5"/>
      <c r="VO81" s="5"/>
      <c r="VP81" s="5"/>
      <c r="VQ81" s="5"/>
      <c r="VR81" s="5"/>
      <c r="VS81" s="5"/>
      <c r="VT81" s="5"/>
      <c r="VU81" s="5"/>
      <c r="VV81" s="5"/>
      <c r="VW81" s="5"/>
      <c r="VX81" s="5"/>
      <c r="VY81" s="5"/>
      <c r="VZ81" s="5"/>
      <c r="WA81" s="5"/>
      <c r="WB81" s="5"/>
      <c r="WC81" s="5"/>
      <c r="WD81" s="5"/>
      <c r="WE81" s="5"/>
      <c r="WF81" s="5"/>
      <c r="WG81" s="5"/>
      <c r="WH81" s="5"/>
      <c r="WI81" s="5"/>
      <c r="WJ81" s="5"/>
      <c r="WK81" s="5"/>
      <c r="WL81" s="5"/>
      <c r="WM81" s="5"/>
      <c r="WN81" s="5"/>
      <c r="WO81" s="5"/>
      <c r="WP81" s="5"/>
      <c r="WQ81" s="5"/>
      <c r="WR81" s="5"/>
      <c r="WS81" s="5"/>
      <c r="WT81" s="5"/>
      <c r="WU81" s="5"/>
      <c r="WV81" s="5"/>
      <c r="WW81" s="5"/>
      <c r="WX81" s="5"/>
      <c r="WY81" s="5"/>
      <c r="WZ81" s="5"/>
      <c r="XA81" s="5"/>
      <c r="XB81" s="5"/>
      <c r="XC81" s="5"/>
      <c r="XD81" s="5"/>
      <c r="XE81" s="5"/>
      <c r="XF81" s="5"/>
      <c r="XG81" s="5"/>
      <c r="XH81" s="5"/>
      <c r="XI81" s="5"/>
      <c r="XJ81" s="5"/>
      <c r="XK81" s="5"/>
      <c r="XL81" s="5"/>
      <c r="XM81" s="5"/>
      <c r="XN81" s="5"/>
      <c r="XO81" s="5"/>
      <c r="XP81" s="5"/>
      <c r="XQ81" s="5"/>
      <c r="XR81" s="5"/>
      <c r="XS81" s="5"/>
      <c r="XT81" s="5"/>
      <c r="XU81" s="5"/>
      <c r="XV81" s="5"/>
      <c r="XW81" s="5"/>
      <c r="XX81" s="5"/>
      <c r="XY81" s="5"/>
      <c r="XZ81" s="5"/>
      <c r="YA81" s="5"/>
      <c r="YB81" s="5"/>
      <c r="YC81" s="5"/>
      <c r="YD81" s="5"/>
      <c r="YE81" s="5"/>
      <c r="YF81" s="5"/>
      <c r="YG81" s="5"/>
      <c r="YH81" s="5"/>
      <c r="YI81" s="5"/>
      <c r="YJ81" s="5"/>
      <c r="YK81" s="5"/>
      <c r="YL81" s="5"/>
      <c r="YM81" s="5"/>
      <c r="YN81" s="5"/>
      <c r="YO81" s="5"/>
      <c r="YP81" s="5"/>
      <c r="YQ81" s="5"/>
      <c r="YR81" s="5"/>
      <c r="YS81" s="5"/>
      <c r="YT81" s="5"/>
      <c r="YU81" s="5"/>
      <c r="YV81" s="5"/>
      <c r="YW81" s="5"/>
      <c r="YX81" s="5"/>
      <c r="YY81" s="5"/>
      <c r="YZ81" s="5"/>
    </row>
    <row r="82" spans="1:676">
      <c r="A82" s="7">
        <v>72</v>
      </c>
      <c r="B82" s="7" t="s">
        <v>210</v>
      </c>
      <c r="C82" s="10" t="s">
        <v>211</v>
      </c>
      <c r="D82" s="7" t="s">
        <v>54</v>
      </c>
      <c r="E82" s="7" t="s">
        <v>205</v>
      </c>
      <c r="F82" s="7" t="s">
        <v>206</v>
      </c>
      <c r="G82" s="7"/>
      <c r="H82" s="7" t="s">
        <v>43</v>
      </c>
      <c r="I82" s="11">
        <v>2</v>
      </c>
      <c r="J82" s="11">
        <v>3</v>
      </c>
      <c r="K82" s="11">
        <v>0</v>
      </c>
      <c r="L82" s="11">
        <v>7.129999999999998</v>
      </c>
      <c r="M82" s="11">
        <v>0.08</v>
      </c>
      <c r="N82" s="11">
        <v>0</v>
      </c>
      <c r="O82" s="11">
        <v>0.7000000000000001</v>
      </c>
      <c r="P82" s="11">
        <v>0</v>
      </c>
      <c r="Q82" s="11">
        <v>7.909999999999998</v>
      </c>
      <c r="R82" s="11">
        <v>0</v>
      </c>
      <c r="S82" s="11">
        <v>7.909999999999998</v>
      </c>
      <c r="T82" s="11">
        <v>2</v>
      </c>
      <c r="U82" s="11">
        <v>3</v>
      </c>
      <c r="V82" s="11">
        <v>2.909999999999998</v>
      </c>
      <c r="W82" s="13">
        <v>2</v>
      </c>
      <c r="X82" s="13">
        <v>3</v>
      </c>
      <c r="Y82" s="13" t="str">
        <f>MIN(W82,S82)</f>
        <v>0</v>
      </c>
      <c r="Z82" s="13" t="str">
        <f>MIN(X82,(S82-Y82))</f>
        <v>0</v>
      </c>
      <c r="AA82" s="13" t="str">
        <f>S82-SUM(Y82,Z82)</f>
        <v>0</v>
      </c>
      <c r="AB82" s="15"/>
      <c r="AC82" s="15"/>
      <c r="AD82" s="1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  <c r="IW82" s="5"/>
      <c r="IX82" s="5"/>
      <c r="IY82" s="5"/>
      <c r="IZ82" s="5"/>
      <c r="JA82" s="5"/>
      <c r="JB82" s="5"/>
      <c r="JC82" s="5"/>
      <c r="JD82" s="5"/>
      <c r="JE82" s="5"/>
      <c r="JF82" s="5"/>
      <c r="JG82" s="5"/>
      <c r="JH82" s="5"/>
      <c r="JI82" s="5"/>
      <c r="JJ82" s="5"/>
      <c r="JK82" s="5"/>
      <c r="JL82" s="5"/>
      <c r="JM82" s="5"/>
      <c r="JN82" s="5"/>
      <c r="JO82" s="5"/>
      <c r="JP82" s="5"/>
      <c r="JQ82" s="5"/>
      <c r="JR82" s="5"/>
      <c r="JS82" s="5"/>
      <c r="JT82" s="5"/>
      <c r="JU82" s="5"/>
      <c r="JV82" s="5"/>
      <c r="JW82" s="5"/>
      <c r="JX82" s="5"/>
      <c r="JY82" s="5"/>
      <c r="JZ82" s="5"/>
      <c r="KA82" s="5"/>
      <c r="KB82" s="5"/>
      <c r="KC82" s="5"/>
      <c r="KD82" s="5"/>
      <c r="KE82" s="5"/>
      <c r="KF82" s="5"/>
      <c r="KG82" s="5"/>
      <c r="KH82" s="5"/>
      <c r="KI82" s="5"/>
      <c r="KJ82" s="5"/>
      <c r="KK82" s="5"/>
      <c r="KL82" s="5"/>
      <c r="KM82" s="5"/>
      <c r="KN82" s="5"/>
      <c r="KO82" s="5"/>
      <c r="KP82" s="5"/>
      <c r="KQ82" s="5"/>
      <c r="KR82" s="5"/>
      <c r="KS82" s="5"/>
      <c r="KT82" s="5"/>
      <c r="KU82" s="5"/>
      <c r="KV82" s="5"/>
      <c r="KW82" s="5"/>
      <c r="KX82" s="5"/>
      <c r="KY82" s="5"/>
      <c r="KZ82" s="5"/>
      <c r="LA82" s="5"/>
      <c r="LB82" s="5"/>
      <c r="LC82" s="5"/>
      <c r="LD82" s="5"/>
      <c r="LE82" s="5"/>
      <c r="LF82" s="5"/>
      <c r="LG82" s="5"/>
      <c r="LH82" s="5"/>
      <c r="LI82" s="5"/>
      <c r="LJ82" s="5"/>
      <c r="LK82" s="5"/>
      <c r="LL82" s="5"/>
      <c r="LM82" s="5"/>
      <c r="LN82" s="5"/>
      <c r="LO82" s="5"/>
      <c r="LP82" s="5"/>
      <c r="LQ82" s="5"/>
      <c r="LR82" s="5"/>
      <c r="LS82" s="5"/>
      <c r="LT82" s="5"/>
      <c r="LU82" s="5"/>
      <c r="LV82" s="5"/>
      <c r="LW82" s="5"/>
      <c r="LX82" s="5"/>
      <c r="LY82" s="5"/>
      <c r="LZ82" s="5"/>
      <c r="MA82" s="5"/>
      <c r="MB82" s="5"/>
      <c r="MC82" s="5"/>
      <c r="MD82" s="5"/>
      <c r="ME82" s="5"/>
      <c r="MF82" s="5"/>
      <c r="MG82" s="5"/>
      <c r="MH82" s="5"/>
      <c r="MI82" s="5"/>
      <c r="MJ82" s="5"/>
      <c r="MK82" s="5"/>
      <c r="ML82" s="5"/>
      <c r="MM82" s="5"/>
      <c r="MN82" s="5"/>
      <c r="MO82" s="5"/>
      <c r="MP82" s="5"/>
      <c r="MQ82" s="5"/>
      <c r="MR82" s="5"/>
      <c r="MS82" s="5"/>
      <c r="MT82" s="5"/>
      <c r="MU82" s="5"/>
      <c r="MV82" s="5"/>
      <c r="MW82" s="5"/>
      <c r="MX82" s="5"/>
      <c r="MY82" s="5"/>
      <c r="MZ82" s="5"/>
      <c r="NA82" s="5"/>
      <c r="NB82" s="5"/>
      <c r="NC82" s="5"/>
      <c r="ND82" s="5"/>
      <c r="NE82" s="5"/>
      <c r="NF82" s="5"/>
      <c r="NG82" s="5"/>
      <c r="NH82" s="5"/>
      <c r="NI82" s="5"/>
      <c r="NJ82" s="5"/>
      <c r="NK82" s="5"/>
      <c r="NL82" s="5"/>
      <c r="NM82" s="5"/>
      <c r="NN82" s="5"/>
      <c r="NO82" s="5"/>
      <c r="NP82" s="5"/>
      <c r="NQ82" s="5"/>
      <c r="NR82" s="5"/>
      <c r="NS82" s="5"/>
      <c r="NT82" s="5"/>
      <c r="NU82" s="5"/>
      <c r="NV82" s="5"/>
      <c r="NW82" s="5"/>
      <c r="NX82" s="5"/>
      <c r="NY82" s="5"/>
      <c r="NZ82" s="5"/>
      <c r="OA82" s="5"/>
      <c r="OB82" s="5"/>
      <c r="OC82" s="5"/>
      <c r="OD82" s="5"/>
      <c r="OE82" s="5"/>
      <c r="OF82" s="5"/>
      <c r="OG82" s="5"/>
      <c r="OH82" s="5"/>
      <c r="OI82" s="5"/>
      <c r="OJ82" s="5"/>
      <c r="OK82" s="5"/>
      <c r="OL82" s="5"/>
      <c r="OM82" s="5"/>
      <c r="ON82" s="5"/>
      <c r="OO82" s="5"/>
      <c r="OP82" s="5"/>
      <c r="OQ82" s="5"/>
      <c r="OR82" s="5"/>
      <c r="OS82" s="5"/>
      <c r="OT82" s="5"/>
      <c r="OU82" s="5"/>
      <c r="OV82" s="5"/>
      <c r="OW82" s="5"/>
      <c r="OX82" s="5"/>
      <c r="OY82" s="5"/>
      <c r="OZ82" s="5"/>
      <c r="PA82" s="5"/>
      <c r="PB82" s="5"/>
      <c r="PC82" s="5"/>
      <c r="PD82" s="5"/>
      <c r="PE82" s="5"/>
      <c r="PF82" s="5"/>
      <c r="PG82" s="5"/>
      <c r="PH82" s="5"/>
      <c r="PI82" s="5"/>
      <c r="PJ82" s="5"/>
      <c r="PK82" s="5"/>
      <c r="PL82" s="5"/>
      <c r="PM82" s="5"/>
      <c r="PN82" s="5"/>
      <c r="PO82" s="5"/>
      <c r="PP82" s="5"/>
      <c r="PQ82" s="5"/>
      <c r="PR82" s="5"/>
      <c r="PS82" s="5"/>
      <c r="PT82" s="5"/>
      <c r="PU82" s="5"/>
      <c r="PV82" s="5"/>
      <c r="PW82" s="5"/>
      <c r="PX82" s="5"/>
      <c r="PY82" s="5"/>
      <c r="PZ82" s="5"/>
      <c r="QA82" s="5"/>
      <c r="QB82" s="5"/>
      <c r="QC82" s="5"/>
      <c r="QD82" s="5"/>
      <c r="QE82" s="5"/>
      <c r="QF82" s="5"/>
      <c r="QG82" s="5"/>
      <c r="QH82" s="5"/>
      <c r="QI82" s="5"/>
      <c r="QJ82" s="5"/>
      <c r="QK82" s="5"/>
      <c r="QL82" s="5"/>
      <c r="QM82" s="5"/>
      <c r="QN82" s="5"/>
      <c r="QO82" s="5"/>
      <c r="QP82" s="5"/>
      <c r="QQ82" s="5"/>
      <c r="QR82" s="5"/>
      <c r="QS82" s="5"/>
      <c r="QT82" s="5"/>
      <c r="QU82" s="5"/>
      <c r="QV82" s="5"/>
      <c r="QW82" s="5"/>
      <c r="QX82" s="5"/>
      <c r="QY82" s="5"/>
      <c r="QZ82" s="5"/>
      <c r="RA82" s="5"/>
      <c r="RB82" s="5"/>
      <c r="RC82" s="5"/>
      <c r="RD82" s="5"/>
      <c r="RE82" s="5"/>
      <c r="RF82" s="5"/>
      <c r="RG82" s="5"/>
      <c r="RH82" s="5"/>
      <c r="RI82" s="5"/>
      <c r="RJ82" s="5"/>
      <c r="RK82" s="5"/>
      <c r="RL82" s="5"/>
      <c r="RM82" s="5"/>
      <c r="RN82" s="5"/>
      <c r="RO82" s="5"/>
      <c r="RP82" s="5"/>
      <c r="RQ82" s="5"/>
      <c r="RR82" s="5"/>
      <c r="RS82" s="5"/>
      <c r="RT82" s="5"/>
      <c r="RU82" s="5"/>
      <c r="RV82" s="5"/>
      <c r="RW82" s="5"/>
      <c r="RX82" s="5"/>
      <c r="RY82" s="5"/>
      <c r="RZ82" s="5"/>
      <c r="SA82" s="5"/>
      <c r="SB82" s="5"/>
      <c r="SC82" s="5"/>
      <c r="SD82" s="5"/>
      <c r="SE82" s="5"/>
      <c r="SF82" s="5"/>
      <c r="SG82" s="5"/>
      <c r="SH82" s="5"/>
      <c r="SI82" s="5"/>
      <c r="SJ82" s="5"/>
      <c r="SK82" s="5"/>
      <c r="SL82" s="5"/>
      <c r="SM82" s="5"/>
      <c r="SN82" s="5"/>
      <c r="SO82" s="5"/>
      <c r="SP82" s="5"/>
      <c r="SQ82" s="5"/>
      <c r="SR82" s="5"/>
      <c r="SS82" s="5"/>
      <c r="ST82" s="5"/>
      <c r="SU82" s="5"/>
      <c r="SV82" s="5"/>
      <c r="SW82" s="5"/>
      <c r="SX82" s="5"/>
      <c r="SY82" s="5"/>
      <c r="SZ82" s="5"/>
      <c r="TA82" s="5"/>
      <c r="TB82" s="5"/>
      <c r="TC82" s="5"/>
      <c r="TD82" s="5"/>
      <c r="TE82" s="5"/>
      <c r="TF82" s="5"/>
      <c r="TG82" s="5"/>
      <c r="TH82" s="5"/>
      <c r="TI82" s="5"/>
      <c r="TJ82" s="5"/>
      <c r="TK82" s="5"/>
      <c r="TL82" s="5"/>
      <c r="TM82" s="5"/>
      <c r="TN82" s="5"/>
      <c r="TO82" s="5"/>
      <c r="TP82" s="5"/>
      <c r="TQ82" s="5"/>
      <c r="TR82" s="5"/>
      <c r="TS82" s="5"/>
      <c r="TT82" s="5"/>
      <c r="TU82" s="5"/>
      <c r="TV82" s="5"/>
      <c r="TW82" s="5"/>
      <c r="TX82" s="5"/>
      <c r="TY82" s="5"/>
      <c r="TZ82" s="5"/>
      <c r="UA82" s="5"/>
      <c r="UB82" s="5"/>
      <c r="UC82" s="5"/>
      <c r="UD82" s="5"/>
      <c r="UE82" s="5"/>
      <c r="UF82" s="5"/>
      <c r="UG82" s="5"/>
      <c r="UH82" s="5"/>
      <c r="UI82" s="5"/>
      <c r="UJ82" s="5"/>
      <c r="UK82" s="5"/>
      <c r="UL82" s="5"/>
      <c r="UM82" s="5"/>
      <c r="UN82" s="5"/>
      <c r="UO82" s="5"/>
      <c r="UP82" s="5"/>
      <c r="UQ82" s="5"/>
      <c r="UR82" s="5"/>
      <c r="US82" s="5"/>
      <c r="UT82" s="5"/>
      <c r="UU82" s="5"/>
      <c r="UV82" s="5"/>
      <c r="UW82" s="5"/>
      <c r="UX82" s="5"/>
      <c r="UY82" s="5"/>
      <c r="UZ82" s="5"/>
      <c r="VA82" s="5"/>
      <c r="VB82" s="5"/>
      <c r="VC82" s="5"/>
      <c r="VD82" s="5"/>
      <c r="VE82" s="5"/>
      <c r="VF82" s="5"/>
      <c r="VG82" s="5"/>
      <c r="VH82" s="5"/>
      <c r="VI82" s="5"/>
      <c r="VJ82" s="5"/>
      <c r="VK82" s="5"/>
      <c r="VL82" s="5"/>
      <c r="VM82" s="5"/>
      <c r="VN82" s="5"/>
      <c r="VO82" s="5"/>
      <c r="VP82" s="5"/>
      <c r="VQ82" s="5"/>
      <c r="VR82" s="5"/>
      <c r="VS82" s="5"/>
      <c r="VT82" s="5"/>
      <c r="VU82" s="5"/>
      <c r="VV82" s="5"/>
      <c r="VW82" s="5"/>
      <c r="VX82" s="5"/>
      <c r="VY82" s="5"/>
      <c r="VZ82" s="5"/>
      <c r="WA82" s="5"/>
      <c r="WB82" s="5"/>
      <c r="WC82" s="5"/>
      <c r="WD82" s="5"/>
      <c r="WE82" s="5"/>
      <c r="WF82" s="5"/>
      <c r="WG82" s="5"/>
      <c r="WH82" s="5"/>
      <c r="WI82" s="5"/>
      <c r="WJ82" s="5"/>
      <c r="WK82" s="5"/>
      <c r="WL82" s="5"/>
      <c r="WM82" s="5"/>
      <c r="WN82" s="5"/>
      <c r="WO82" s="5"/>
      <c r="WP82" s="5"/>
      <c r="WQ82" s="5"/>
      <c r="WR82" s="5"/>
      <c r="WS82" s="5"/>
      <c r="WT82" s="5"/>
      <c r="WU82" s="5"/>
      <c r="WV82" s="5"/>
      <c r="WW82" s="5"/>
      <c r="WX82" s="5"/>
      <c r="WY82" s="5"/>
      <c r="WZ82" s="5"/>
      <c r="XA82" s="5"/>
      <c r="XB82" s="5"/>
      <c r="XC82" s="5"/>
      <c r="XD82" s="5"/>
      <c r="XE82" s="5"/>
      <c r="XF82" s="5"/>
      <c r="XG82" s="5"/>
      <c r="XH82" s="5"/>
      <c r="XI82" s="5"/>
      <c r="XJ82" s="5"/>
      <c r="XK82" s="5"/>
      <c r="XL82" s="5"/>
      <c r="XM82" s="5"/>
      <c r="XN82" s="5"/>
      <c r="XO82" s="5"/>
      <c r="XP82" s="5"/>
      <c r="XQ82" s="5"/>
      <c r="XR82" s="5"/>
      <c r="XS82" s="5"/>
      <c r="XT82" s="5"/>
      <c r="XU82" s="5"/>
      <c r="XV82" s="5"/>
      <c r="XW82" s="5"/>
      <c r="XX82" s="5"/>
      <c r="XY82" s="5"/>
      <c r="XZ82" s="5"/>
      <c r="YA82" s="5"/>
      <c r="YB82" s="5"/>
      <c r="YC82" s="5"/>
      <c r="YD82" s="5"/>
      <c r="YE82" s="5"/>
      <c r="YF82" s="5"/>
      <c r="YG82" s="5"/>
      <c r="YH82" s="5"/>
      <c r="YI82" s="5"/>
      <c r="YJ82" s="5"/>
      <c r="YK82" s="5"/>
      <c r="YL82" s="5"/>
      <c r="YM82" s="5"/>
      <c r="YN82" s="5"/>
      <c r="YO82" s="5"/>
      <c r="YP82" s="5"/>
      <c r="YQ82" s="5"/>
      <c r="YR82" s="5"/>
      <c r="YS82" s="5"/>
      <c r="YT82" s="5"/>
      <c r="YU82" s="5"/>
      <c r="YV82" s="5"/>
      <c r="YW82" s="5"/>
      <c r="YX82" s="5"/>
      <c r="YY82" s="5"/>
      <c r="YZ82" s="5"/>
    </row>
    <row r="83" spans="1:676">
      <c r="A83" s="7">
        <v>73</v>
      </c>
      <c r="B83" s="7" t="s">
        <v>212</v>
      </c>
      <c r="C83" s="10" t="s">
        <v>213</v>
      </c>
      <c r="D83" s="7" t="s">
        <v>48</v>
      </c>
      <c r="E83" s="7" t="s">
        <v>205</v>
      </c>
      <c r="F83" s="7" t="s">
        <v>206</v>
      </c>
      <c r="G83" s="7"/>
      <c r="H83" s="7" t="s">
        <v>43</v>
      </c>
      <c r="I83" s="11">
        <v>2</v>
      </c>
      <c r="J83" s="11">
        <v>3</v>
      </c>
      <c r="K83" s="11">
        <v>0</v>
      </c>
      <c r="L83" s="11">
        <v>0.63</v>
      </c>
      <c r="M83" s="11">
        <v>0</v>
      </c>
      <c r="N83" s="11">
        <v>0</v>
      </c>
      <c r="O83" s="11">
        <v>0.6</v>
      </c>
      <c r="P83" s="11">
        <v>1</v>
      </c>
      <c r="Q83" s="11">
        <v>2.23</v>
      </c>
      <c r="R83" s="11">
        <v>0</v>
      </c>
      <c r="S83" s="11">
        <v>2.23</v>
      </c>
      <c r="T83" s="11">
        <v>2</v>
      </c>
      <c r="U83" s="11">
        <v>0.2300000000000004</v>
      </c>
      <c r="V83" s="11">
        <v>0</v>
      </c>
      <c r="W83" s="13">
        <v>2</v>
      </c>
      <c r="X83" s="13">
        <v>3</v>
      </c>
      <c r="Y83" s="13" t="str">
        <f>MIN(W83,S83)</f>
        <v>0</v>
      </c>
      <c r="Z83" s="13" t="str">
        <f>MIN(X83,(S83-Y83))</f>
        <v>0</v>
      </c>
      <c r="AA83" s="13" t="str">
        <f>S83-SUM(Y83,Z83)</f>
        <v>0</v>
      </c>
      <c r="AB83" s="15"/>
      <c r="AC83" s="15"/>
      <c r="AD83" s="1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  <c r="IX83" s="5"/>
      <c r="IY83" s="5"/>
      <c r="IZ83" s="5"/>
      <c r="JA83" s="5"/>
      <c r="JB83" s="5"/>
      <c r="JC83" s="5"/>
      <c r="JD83" s="5"/>
      <c r="JE83" s="5"/>
      <c r="JF83" s="5"/>
      <c r="JG83" s="5"/>
      <c r="JH83" s="5"/>
      <c r="JI83" s="5"/>
      <c r="JJ83" s="5"/>
      <c r="JK83" s="5"/>
      <c r="JL83" s="5"/>
      <c r="JM83" s="5"/>
      <c r="JN83" s="5"/>
      <c r="JO83" s="5"/>
      <c r="JP83" s="5"/>
      <c r="JQ83" s="5"/>
      <c r="JR83" s="5"/>
      <c r="JS83" s="5"/>
      <c r="JT83" s="5"/>
      <c r="JU83" s="5"/>
      <c r="JV83" s="5"/>
      <c r="JW83" s="5"/>
      <c r="JX83" s="5"/>
      <c r="JY83" s="5"/>
      <c r="JZ83" s="5"/>
      <c r="KA83" s="5"/>
      <c r="KB83" s="5"/>
      <c r="KC83" s="5"/>
      <c r="KD83" s="5"/>
      <c r="KE83" s="5"/>
      <c r="KF83" s="5"/>
      <c r="KG83" s="5"/>
      <c r="KH83" s="5"/>
      <c r="KI83" s="5"/>
      <c r="KJ83" s="5"/>
      <c r="KK83" s="5"/>
      <c r="KL83" s="5"/>
      <c r="KM83" s="5"/>
      <c r="KN83" s="5"/>
      <c r="KO83" s="5"/>
      <c r="KP83" s="5"/>
      <c r="KQ83" s="5"/>
      <c r="KR83" s="5"/>
      <c r="KS83" s="5"/>
      <c r="KT83" s="5"/>
      <c r="KU83" s="5"/>
      <c r="KV83" s="5"/>
      <c r="KW83" s="5"/>
      <c r="KX83" s="5"/>
      <c r="KY83" s="5"/>
      <c r="KZ83" s="5"/>
      <c r="LA83" s="5"/>
      <c r="LB83" s="5"/>
      <c r="LC83" s="5"/>
      <c r="LD83" s="5"/>
      <c r="LE83" s="5"/>
      <c r="LF83" s="5"/>
      <c r="LG83" s="5"/>
      <c r="LH83" s="5"/>
      <c r="LI83" s="5"/>
      <c r="LJ83" s="5"/>
      <c r="LK83" s="5"/>
      <c r="LL83" s="5"/>
      <c r="LM83" s="5"/>
      <c r="LN83" s="5"/>
      <c r="LO83" s="5"/>
      <c r="LP83" s="5"/>
      <c r="LQ83" s="5"/>
      <c r="LR83" s="5"/>
      <c r="LS83" s="5"/>
      <c r="LT83" s="5"/>
      <c r="LU83" s="5"/>
      <c r="LV83" s="5"/>
      <c r="LW83" s="5"/>
      <c r="LX83" s="5"/>
      <c r="LY83" s="5"/>
      <c r="LZ83" s="5"/>
      <c r="MA83" s="5"/>
      <c r="MB83" s="5"/>
      <c r="MC83" s="5"/>
      <c r="MD83" s="5"/>
      <c r="ME83" s="5"/>
      <c r="MF83" s="5"/>
      <c r="MG83" s="5"/>
      <c r="MH83" s="5"/>
      <c r="MI83" s="5"/>
      <c r="MJ83" s="5"/>
      <c r="MK83" s="5"/>
      <c r="ML83" s="5"/>
      <c r="MM83" s="5"/>
      <c r="MN83" s="5"/>
      <c r="MO83" s="5"/>
      <c r="MP83" s="5"/>
      <c r="MQ83" s="5"/>
      <c r="MR83" s="5"/>
      <c r="MS83" s="5"/>
      <c r="MT83" s="5"/>
      <c r="MU83" s="5"/>
      <c r="MV83" s="5"/>
      <c r="MW83" s="5"/>
      <c r="MX83" s="5"/>
      <c r="MY83" s="5"/>
      <c r="MZ83" s="5"/>
      <c r="NA83" s="5"/>
      <c r="NB83" s="5"/>
      <c r="NC83" s="5"/>
      <c r="ND83" s="5"/>
      <c r="NE83" s="5"/>
      <c r="NF83" s="5"/>
      <c r="NG83" s="5"/>
      <c r="NH83" s="5"/>
      <c r="NI83" s="5"/>
      <c r="NJ83" s="5"/>
      <c r="NK83" s="5"/>
      <c r="NL83" s="5"/>
      <c r="NM83" s="5"/>
      <c r="NN83" s="5"/>
      <c r="NO83" s="5"/>
      <c r="NP83" s="5"/>
      <c r="NQ83" s="5"/>
      <c r="NR83" s="5"/>
      <c r="NS83" s="5"/>
      <c r="NT83" s="5"/>
      <c r="NU83" s="5"/>
      <c r="NV83" s="5"/>
      <c r="NW83" s="5"/>
      <c r="NX83" s="5"/>
      <c r="NY83" s="5"/>
      <c r="NZ83" s="5"/>
      <c r="OA83" s="5"/>
      <c r="OB83" s="5"/>
      <c r="OC83" s="5"/>
      <c r="OD83" s="5"/>
      <c r="OE83" s="5"/>
      <c r="OF83" s="5"/>
      <c r="OG83" s="5"/>
      <c r="OH83" s="5"/>
      <c r="OI83" s="5"/>
      <c r="OJ83" s="5"/>
      <c r="OK83" s="5"/>
      <c r="OL83" s="5"/>
      <c r="OM83" s="5"/>
      <c r="ON83" s="5"/>
      <c r="OO83" s="5"/>
      <c r="OP83" s="5"/>
      <c r="OQ83" s="5"/>
      <c r="OR83" s="5"/>
      <c r="OS83" s="5"/>
      <c r="OT83" s="5"/>
      <c r="OU83" s="5"/>
      <c r="OV83" s="5"/>
      <c r="OW83" s="5"/>
      <c r="OX83" s="5"/>
      <c r="OY83" s="5"/>
      <c r="OZ83" s="5"/>
      <c r="PA83" s="5"/>
      <c r="PB83" s="5"/>
      <c r="PC83" s="5"/>
      <c r="PD83" s="5"/>
      <c r="PE83" s="5"/>
      <c r="PF83" s="5"/>
      <c r="PG83" s="5"/>
      <c r="PH83" s="5"/>
      <c r="PI83" s="5"/>
      <c r="PJ83" s="5"/>
      <c r="PK83" s="5"/>
      <c r="PL83" s="5"/>
      <c r="PM83" s="5"/>
      <c r="PN83" s="5"/>
      <c r="PO83" s="5"/>
      <c r="PP83" s="5"/>
      <c r="PQ83" s="5"/>
      <c r="PR83" s="5"/>
      <c r="PS83" s="5"/>
      <c r="PT83" s="5"/>
      <c r="PU83" s="5"/>
      <c r="PV83" s="5"/>
      <c r="PW83" s="5"/>
      <c r="PX83" s="5"/>
      <c r="PY83" s="5"/>
      <c r="PZ83" s="5"/>
      <c r="QA83" s="5"/>
      <c r="QB83" s="5"/>
      <c r="QC83" s="5"/>
      <c r="QD83" s="5"/>
      <c r="QE83" s="5"/>
      <c r="QF83" s="5"/>
      <c r="QG83" s="5"/>
      <c r="QH83" s="5"/>
      <c r="QI83" s="5"/>
      <c r="QJ83" s="5"/>
      <c r="QK83" s="5"/>
      <c r="QL83" s="5"/>
      <c r="QM83" s="5"/>
      <c r="QN83" s="5"/>
      <c r="QO83" s="5"/>
      <c r="QP83" s="5"/>
      <c r="QQ83" s="5"/>
      <c r="QR83" s="5"/>
      <c r="QS83" s="5"/>
      <c r="QT83" s="5"/>
      <c r="QU83" s="5"/>
      <c r="QV83" s="5"/>
      <c r="QW83" s="5"/>
      <c r="QX83" s="5"/>
      <c r="QY83" s="5"/>
      <c r="QZ83" s="5"/>
      <c r="RA83" s="5"/>
      <c r="RB83" s="5"/>
      <c r="RC83" s="5"/>
      <c r="RD83" s="5"/>
      <c r="RE83" s="5"/>
      <c r="RF83" s="5"/>
      <c r="RG83" s="5"/>
      <c r="RH83" s="5"/>
      <c r="RI83" s="5"/>
      <c r="RJ83" s="5"/>
      <c r="RK83" s="5"/>
      <c r="RL83" s="5"/>
      <c r="RM83" s="5"/>
      <c r="RN83" s="5"/>
      <c r="RO83" s="5"/>
      <c r="RP83" s="5"/>
      <c r="RQ83" s="5"/>
      <c r="RR83" s="5"/>
      <c r="RS83" s="5"/>
      <c r="RT83" s="5"/>
      <c r="RU83" s="5"/>
      <c r="RV83" s="5"/>
      <c r="RW83" s="5"/>
      <c r="RX83" s="5"/>
      <c r="RY83" s="5"/>
      <c r="RZ83" s="5"/>
      <c r="SA83" s="5"/>
      <c r="SB83" s="5"/>
      <c r="SC83" s="5"/>
      <c r="SD83" s="5"/>
      <c r="SE83" s="5"/>
      <c r="SF83" s="5"/>
      <c r="SG83" s="5"/>
      <c r="SH83" s="5"/>
      <c r="SI83" s="5"/>
      <c r="SJ83" s="5"/>
      <c r="SK83" s="5"/>
      <c r="SL83" s="5"/>
      <c r="SM83" s="5"/>
      <c r="SN83" s="5"/>
      <c r="SO83" s="5"/>
      <c r="SP83" s="5"/>
      <c r="SQ83" s="5"/>
      <c r="SR83" s="5"/>
      <c r="SS83" s="5"/>
      <c r="ST83" s="5"/>
      <c r="SU83" s="5"/>
      <c r="SV83" s="5"/>
      <c r="SW83" s="5"/>
      <c r="SX83" s="5"/>
      <c r="SY83" s="5"/>
      <c r="SZ83" s="5"/>
      <c r="TA83" s="5"/>
      <c r="TB83" s="5"/>
      <c r="TC83" s="5"/>
      <c r="TD83" s="5"/>
      <c r="TE83" s="5"/>
      <c r="TF83" s="5"/>
      <c r="TG83" s="5"/>
      <c r="TH83" s="5"/>
      <c r="TI83" s="5"/>
      <c r="TJ83" s="5"/>
      <c r="TK83" s="5"/>
      <c r="TL83" s="5"/>
      <c r="TM83" s="5"/>
      <c r="TN83" s="5"/>
      <c r="TO83" s="5"/>
      <c r="TP83" s="5"/>
      <c r="TQ83" s="5"/>
      <c r="TR83" s="5"/>
      <c r="TS83" s="5"/>
      <c r="TT83" s="5"/>
      <c r="TU83" s="5"/>
      <c r="TV83" s="5"/>
      <c r="TW83" s="5"/>
      <c r="TX83" s="5"/>
      <c r="TY83" s="5"/>
      <c r="TZ83" s="5"/>
      <c r="UA83" s="5"/>
      <c r="UB83" s="5"/>
      <c r="UC83" s="5"/>
      <c r="UD83" s="5"/>
      <c r="UE83" s="5"/>
      <c r="UF83" s="5"/>
      <c r="UG83" s="5"/>
      <c r="UH83" s="5"/>
      <c r="UI83" s="5"/>
      <c r="UJ83" s="5"/>
      <c r="UK83" s="5"/>
      <c r="UL83" s="5"/>
      <c r="UM83" s="5"/>
      <c r="UN83" s="5"/>
      <c r="UO83" s="5"/>
      <c r="UP83" s="5"/>
      <c r="UQ83" s="5"/>
      <c r="UR83" s="5"/>
      <c r="US83" s="5"/>
      <c r="UT83" s="5"/>
      <c r="UU83" s="5"/>
      <c r="UV83" s="5"/>
      <c r="UW83" s="5"/>
      <c r="UX83" s="5"/>
      <c r="UY83" s="5"/>
      <c r="UZ83" s="5"/>
      <c r="VA83" s="5"/>
      <c r="VB83" s="5"/>
      <c r="VC83" s="5"/>
      <c r="VD83" s="5"/>
      <c r="VE83" s="5"/>
      <c r="VF83" s="5"/>
      <c r="VG83" s="5"/>
      <c r="VH83" s="5"/>
      <c r="VI83" s="5"/>
      <c r="VJ83" s="5"/>
      <c r="VK83" s="5"/>
      <c r="VL83" s="5"/>
      <c r="VM83" s="5"/>
      <c r="VN83" s="5"/>
      <c r="VO83" s="5"/>
      <c r="VP83" s="5"/>
      <c r="VQ83" s="5"/>
      <c r="VR83" s="5"/>
      <c r="VS83" s="5"/>
      <c r="VT83" s="5"/>
      <c r="VU83" s="5"/>
      <c r="VV83" s="5"/>
      <c r="VW83" s="5"/>
      <c r="VX83" s="5"/>
      <c r="VY83" s="5"/>
      <c r="VZ83" s="5"/>
      <c r="WA83" s="5"/>
      <c r="WB83" s="5"/>
      <c r="WC83" s="5"/>
      <c r="WD83" s="5"/>
      <c r="WE83" s="5"/>
      <c r="WF83" s="5"/>
      <c r="WG83" s="5"/>
      <c r="WH83" s="5"/>
      <c r="WI83" s="5"/>
      <c r="WJ83" s="5"/>
      <c r="WK83" s="5"/>
      <c r="WL83" s="5"/>
      <c r="WM83" s="5"/>
      <c r="WN83" s="5"/>
      <c r="WO83" s="5"/>
      <c r="WP83" s="5"/>
      <c r="WQ83" s="5"/>
      <c r="WR83" s="5"/>
      <c r="WS83" s="5"/>
      <c r="WT83" s="5"/>
      <c r="WU83" s="5"/>
      <c r="WV83" s="5"/>
      <c r="WW83" s="5"/>
      <c r="WX83" s="5"/>
      <c r="WY83" s="5"/>
      <c r="WZ83" s="5"/>
      <c r="XA83" s="5"/>
      <c r="XB83" s="5"/>
      <c r="XC83" s="5"/>
      <c r="XD83" s="5"/>
      <c r="XE83" s="5"/>
      <c r="XF83" s="5"/>
      <c r="XG83" s="5"/>
      <c r="XH83" s="5"/>
      <c r="XI83" s="5"/>
      <c r="XJ83" s="5"/>
      <c r="XK83" s="5"/>
      <c r="XL83" s="5"/>
      <c r="XM83" s="5"/>
      <c r="XN83" s="5"/>
      <c r="XO83" s="5"/>
      <c r="XP83" s="5"/>
      <c r="XQ83" s="5"/>
      <c r="XR83" s="5"/>
      <c r="XS83" s="5"/>
      <c r="XT83" s="5"/>
      <c r="XU83" s="5"/>
      <c r="XV83" s="5"/>
      <c r="XW83" s="5"/>
      <c r="XX83" s="5"/>
      <c r="XY83" s="5"/>
      <c r="XZ83" s="5"/>
      <c r="YA83" s="5"/>
      <c r="YB83" s="5"/>
      <c r="YC83" s="5"/>
      <c r="YD83" s="5"/>
      <c r="YE83" s="5"/>
      <c r="YF83" s="5"/>
      <c r="YG83" s="5"/>
      <c r="YH83" s="5"/>
      <c r="YI83" s="5"/>
      <c r="YJ83" s="5"/>
      <c r="YK83" s="5"/>
      <c r="YL83" s="5"/>
      <c r="YM83" s="5"/>
      <c r="YN83" s="5"/>
      <c r="YO83" s="5"/>
      <c r="YP83" s="5"/>
      <c r="YQ83" s="5"/>
      <c r="YR83" s="5"/>
      <c r="YS83" s="5"/>
      <c r="YT83" s="5"/>
      <c r="YU83" s="5"/>
      <c r="YV83" s="5"/>
      <c r="YW83" s="5"/>
      <c r="YX83" s="5"/>
      <c r="YY83" s="5"/>
      <c r="YZ83" s="5"/>
    </row>
    <row r="84" spans="1:676">
      <c r="A84" s="7">
        <v>74</v>
      </c>
      <c r="B84" s="7" t="s">
        <v>214</v>
      </c>
      <c r="C84" s="10" t="s">
        <v>215</v>
      </c>
      <c r="D84" s="7" t="s">
        <v>129</v>
      </c>
      <c r="E84" s="7" t="s">
        <v>209</v>
      </c>
      <c r="F84" s="7" t="s">
        <v>206</v>
      </c>
      <c r="G84" s="7"/>
      <c r="H84" s="7" t="s">
        <v>43</v>
      </c>
      <c r="I84" s="11">
        <v>2</v>
      </c>
      <c r="J84" s="11">
        <v>3</v>
      </c>
      <c r="K84" s="11">
        <v>0</v>
      </c>
      <c r="L84" s="11">
        <v>3.33</v>
      </c>
      <c r="M84" s="11">
        <v>0.5</v>
      </c>
      <c r="N84" s="11">
        <v>0</v>
      </c>
      <c r="O84" s="11">
        <v>0.6</v>
      </c>
      <c r="P84" s="11">
        <v>1.63</v>
      </c>
      <c r="Q84" s="11">
        <v>6.06</v>
      </c>
      <c r="R84" s="11">
        <v>0</v>
      </c>
      <c r="S84" s="11">
        <v>6.06</v>
      </c>
      <c r="T84" s="11">
        <v>2</v>
      </c>
      <c r="U84" s="11">
        <v>3</v>
      </c>
      <c r="V84" s="11">
        <v>1.06</v>
      </c>
      <c r="W84" s="13">
        <v>2</v>
      </c>
      <c r="X84" s="13">
        <v>3</v>
      </c>
      <c r="Y84" s="13" t="str">
        <f>MIN(W84,S84)</f>
        <v>0</v>
      </c>
      <c r="Z84" s="13" t="str">
        <f>MIN(X84,(S84-Y84))</f>
        <v>0</v>
      </c>
      <c r="AA84" s="13" t="str">
        <f>S84-SUM(Y84,Z84)</f>
        <v>0</v>
      </c>
      <c r="AB84" s="15"/>
      <c r="AC84" s="15"/>
      <c r="AD84" s="1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  <c r="IW84" s="5"/>
      <c r="IX84" s="5"/>
      <c r="IY84" s="5"/>
      <c r="IZ84" s="5"/>
      <c r="JA84" s="5"/>
      <c r="JB84" s="5"/>
      <c r="JC84" s="5"/>
      <c r="JD84" s="5"/>
      <c r="JE84" s="5"/>
      <c r="JF84" s="5"/>
      <c r="JG84" s="5"/>
      <c r="JH84" s="5"/>
      <c r="JI84" s="5"/>
      <c r="JJ84" s="5"/>
      <c r="JK84" s="5"/>
      <c r="JL84" s="5"/>
      <c r="JM84" s="5"/>
      <c r="JN84" s="5"/>
      <c r="JO84" s="5"/>
      <c r="JP84" s="5"/>
      <c r="JQ84" s="5"/>
      <c r="JR84" s="5"/>
      <c r="JS84" s="5"/>
      <c r="JT84" s="5"/>
      <c r="JU84" s="5"/>
      <c r="JV84" s="5"/>
      <c r="JW84" s="5"/>
      <c r="JX84" s="5"/>
      <c r="JY84" s="5"/>
      <c r="JZ84" s="5"/>
      <c r="KA84" s="5"/>
      <c r="KB84" s="5"/>
      <c r="KC84" s="5"/>
      <c r="KD84" s="5"/>
      <c r="KE84" s="5"/>
      <c r="KF84" s="5"/>
      <c r="KG84" s="5"/>
      <c r="KH84" s="5"/>
      <c r="KI84" s="5"/>
      <c r="KJ84" s="5"/>
      <c r="KK84" s="5"/>
      <c r="KL84" s="5"/>
      <c r="KM84" s="5"/>
      <c r="KN84" s="5"/>
      <c r="KO84" s="5"/>
      <c r="KP84" s="5"/>
      <c r="KQ84" s="5"/>
      <c r="KR84" s="5"/>
      <c r="KS84" s="5"/>
      <c r="KT84" s="5"/>
      <c r="KU84" s="5"/>
      <c r="KV84" s="5"/>
      <c r="KW84" s="5"/>
      <c r="KX84" s="5"/>
      <c r="KY84" s="5"/>
      <c r="KZ84" s="5"/>
      <c r="LA84" s="5"/>
      <c r="LB84" s="5"/>
      <c r="LC84" s="5"/>
      <c r="LD84" s="5"/>
      <c r="LE84" s="5"/>
      <c r="LF84" s="5"/>
      <c r="LG84" s="5"/>
      <c r="LH84" s="5"/>
      <c r="LI84" s="5"/>
      <c r="LJ84" s="5"/>
      <c r="LK84" s="5"/>
      <c r="LL84" s="5"/>
      <c r="LM84" s="5"/>
      <c r="LN84" s="5"/>
      <c r="LO84" s="5"/>
      <c r="LP84" s="5"/>
      <c r="LQ84" s="5"/>
      <c r="LR84" s="5"/>
      <c r="LS84" s="5"/>
      <c r="LT84" s="5"/>
      <c r="LU84" s="5"/>
      <c r="LV84" s="5"/>
      <c r="LW84" s="5"/>
      <c r="LX84" s="5"/>
      <c r="LY84" s="5"/>
      <c r="LZ84" s="5"/>
      <c r="MA84" s="5"/>
      <c r="MB84" s="5"/>
      <c r="MC84" s="5"/>
      <c r="MD84" s="5"/>
      <c r="ME84" s="5"/>
      <c r="MF84" s="5"/>
      <c r="MG84" s="5"/>
      <c r="MH84" s="5"/>
      <c r="MI84" s="5"/>
      <c r="MJ84" s="5"/>
      <c r="MK84" s="5"/>
      <c r="ML84" s="5"/>
      <c r="MM84" s="5"/>
      <c r="MN84" s="5"/>
      <c r="MO84" s="5"/>
      <c r="MP84" s="5"/>
      <c r="MQ84" s="5"/>
      <c r="MR84" s="5"/>
      <c r="MS84" s="5"/>
      <c r="MT84" s="5"/>
      <c r="MU84" s="5"/>
      <c r="MV84" s="5"/>
      <c r="MW84" s="5"/>
      <c r="MX84" s="5"/>
      <c r="MY84" s="5"/>
      <c r="MZ84" s="5"/>
      <c r="NA84" s="5"/>
      <c r="NB84" s="5"/>
      <c r="NC84" s="5"/>
      <c r="ND84" s="5"/>
      <c r="NE84" s="5"/>
      <c r="NF84" s="5"/>
      <c r="NG84" s="5"/>
      <c r="NH84" s="5"/>
      <c r="NI84" s="5"/>
      <c r="NJ84" s="5"/>
      <c r="NK84" s="5"/>
      <c r="NL84" s="5"/>
      <c r="NM84" s="5"/>
      <c r="NN84" s="5"/>
      <c r="NO84" s="5"/>
      <c r="NP84" s="5"/>
      <c r="NQ84" s="5"/>
      <c r="NR84" s="5"/>
      <c r="NS84" s="5"/>
      <c r="NT84" s="5"/>
      <c r="NU84" s="5"/>
      <c r="NV84" s="5"/>
      <c r="NW84" s="5"/>
      <c r="NX84" s="5"/>
      <c r="NY84" s="5"/>
      <c r="NZ84" s="5"/>
      <c r="OA84" s="5"/>
      <c r="OB84" s="5"/>
      <c r="OC84" s="5"/>
      <c r="OD84" s="5"/>
      <c r="OE84" s="5"/>
      <c r="OF84" s="5"/>
      <c r="OG84" s="5"/>
      <c r="OH84" s="5"/>
      <c r="OI84" s="5"/>
      <c r="OJ84" s="5"/>
      <c r="OK84" s="5"/>
      <c r="OL84" s="5"/>
      <c r="OM84" s="5"/>
      <c r="ON84" s="5"/>
      <c r="OO84" s="5"/>
      <c r="OP84" s="5"/>
      <c r="OQ84" s="5"/>
      <c r="OR84" s="5"/>
      <c r="OS84" s="5"/>
      <c r="OT84" s="5"/>
      <c r="OU84" s="5"/>
      <c r="OV84" s="5"/>
      <c r="OW84" s="5"/>
      <c r="OX84" s="5"/>
      <c r="OY84" s="5"/>
      <c r="OZ84" s="5"/>
      <c r="PA84" s="5"/>
      <c r="PB84" s="5"/>
      <c r="PC84" s="5"/>
      <c r="PD84" s="5"/>
      <c r="PE84" s="5"/>
      <c r="PF84" s="5"/>
      <c r="PG84" s="5"/>
      <c r="PH84" s="5"/>
      <c r="PI84" s="5"/>
      <c r="PJ84" s="5"/>
      <c r="PK84" s="5"/>
      <c r="PL84" s="5"/>
      <c r="PM84" s="5"/>
      <c r="PN84" s="5"/>
      <c r="PO84" s="5"/>
      <c r="PP84" s="5"/>
      <c r="PQ84" s="5"/>
      <c r="PR84" s="5"/>
      <c r="PS84" s="5"/>
      <c r="PT84" s="5"/>
      <c r="PU84" s="5"/>
      <c r="PV84" s="5"/>
      <c r="PW84" s="5"/>
      <c r="PX84" s="5"/>
      <c r="PY84" s="5"/>
      <c r="PZ84" s="5"/>
      <c r="QA84" s="5"/>
      <c r="QB84" s="5"/>
      <c r="QC84" s="5"/>
      <c r="QD84" s="5"/>
      <c r="QE84" s="5"/>
      <c r="QF84" s="5"/>
      <c r="QG84" s="5"/>
      <c r="QH84" s="5"/>
      <c r="QI84" s="5"/>
      <c r="QJ84" s="5"/>
      <c r="QK84" s="5"/>
      <c r="QL84" s="5"/>
      <c r="QM84" s="5"/>
      <c r="QN84" s="5"/>
      <c r="QO84" s="5"/>
      <c r="QP84" s="5"/>
      <c r="QQ84" s="5"/>
      <c r="QR84" s="5"/>
      <c r="QS84" s="5"/>
      <c r="QT84" s="5"/>
      <c r="QU84" s="5"/>
      <c r="QV84" s="5"/>
      <c r="QW84" s="5"/>
      <c r="QX84" s="5"/>
      <c r="QY84" s="5"/>
      <c r="QZ84" s="5"/>
      <c r="RA84" s="5"/>
      <c r="RB84" s="5"/>
      <c r="RC84" s="5"/>
      <c r="RD84" s="5"/>
      <c r="RE84" s="5"/>
      <c r="RF84" s="5"/>
      <c r="RG84" s="5"/>
      <c r="RH84" s="5"/>
      <c r="RI84" s="5"/>
      <c r="RJ84" s="5"/>
      <c r="RK84" s="5"/>
      <c r="RL84" s="5"/>
      <c r="RM84" s="5"/>
      <c r="RN84" s="5"/>
      <c r="RO84" s="5"/>
      <c r="RP84" s="5"/>
      <c r="RQ84" s="5"/>
      <c r="RR84" s="5"/>
      <c r="RS84" s="5"/>
      <c r="RT84" s="5"/>
      <c r="RU84" s="5"/>
      <c r="RV84" s="5"/>
      <c r="RW84" s="5"/>
      <c r="RX84" s="5"/>
      <c r="RY84" s="5"/>
      <c r="RZ84" s="5"/>
      <c r="SA84" s="5"/>
      <c r="SB84" s="5"/>
      <c r="SC84" s="5"/>
      <c r="SD84" s="5"/>
      <c r="SE84" s="5"/>
      <c r="SF84" s="5"/>
      <c r="SG84" s="5"/>
      <c r="SH84" s="5"/>
      <c r="SI84" s="5"/>
      <c r="SJ84" s="5"/>
      <c r="SK84" s="5"/>
      <c r="SL84" s="5"/>
      <c r="SM84" s="5"/>
      <c r="SN84" s="5"/>
      <c r="SO84" s="5"/>
      <c r="SP84" s="5"/>
      <c r="SQ84" s="5"/>
      <c r="SR84" s="5"/>
      <c r="SS84" s="5"/>
      <c r="ST84" s="5"/>
      <c r="SU84" s="5"/>
      <c r="SV84" s="5"/>
      <c r="SW84" s="5"/>
      <c r="SX84" s="5"/>
      <c r="SY84" s="5"/>
      <c r="SZ84" s="5"/>
      <c r="TA84" s="5"/>
      <c r="TB84" s="5"/>
      <c r="TC84" s="5"/>
      <c r="TD84" s="5"/>
      <c r="TE84" s="5"/>
      <c r="TF84" s="5"/>
      <c r="TG84" s="5"/>
      <c r="TH84" s="5"/>
      <c r="TI84" s="5"/>
      <c r="TJ84" s="5"/>
      <c r="TK84" s="5"/>
      <c r="TL84" s="5"/>
      <c r="TM84" s="5"/>
      <c r="TN84" s="5"/>
      <c r="TO84" s="5"/>
      <c r="TP84" s="5"/>
      <c r="TQ84" s="5"/>
      <c r="TR84" s="5"/>
      <c r="TS84" s="5"/>
      <c r="TT84" s="5"/>
      <c r="TU84" s="5"/>
      <c r="TV84" s="5"/>
      <c r="TW84" s="5"/>
      <c r="TX84" s="5"/>
      <c r="TY84" s="5"/>
      <c r="TZ84" s="5"/>
      <c r="UA84" s="5"/>
      <c r="UB84" s="5"/>
      <c r="UC84" s="5"/>
      <c r="UD84" s="5"/>
      <c r="UE84" s="5"/>
      <c r="UF84" s="5"/>
      <c r="UG84" s="5"/>
      <c r="UH84" s="5"/>
      <c r="UI84" s="5"/>
      <c r="UJ84" s="5"/>
      <c r="UK84" s="5"/>
      <c r="UL84" s="5"/>
      <c r="UM84" s="5"/>
      <c r="UN84" s="5"/>
      <c r="UO84" s="5"/>
      <c r="UP84" s="5"/>
      <c r="UQ84" s="5"/>
      <c r="UR84" s="5"/>
      <c r="US84" s="5"/>
      <c r="UT84" s="5"/>
      <c r="UU84" s="5"/>
      <c r="UV84" s="5"/>
      <c r="UW84" s="5"/>
      <c r="UX84" s="5"/>
      <c r="UY84" s="5"/>
      <c r="UZ84" s="5"/>
      <c r="VA84" s="5"/>
      <c r="VB84" s="5"/>
      <c r="VC84" s="5"/>
      <c r="VD84" s="5"/>
      <c r="VE84" s="5"/>
      <c r="VF84" s="5"/>
      <c r="VG84" s="5"/>
      <c r="VH84" s="5"/>
      <c r="VI84" s="5"/>
      <c r="VJ84" s="5"/>
      <c r="VK84" s="5"/>
      <c r="VL84" s="5"/>
      <c r="VM84" s="5"/>
      <c r="VN84" s="5"/>
      <c r="VO84" s="5"/>
      <c r="VP84" s="5"/>
      <c r="VQ84" s="5"/>
      <c r="VR84" s="5"/>
      <c r="VS84" s="5"/>
      <c r="VT84" s="5"/>
      <c r="VU84" s="5"/>
      <c r="VV84" s="5"/>
      <c r="VW84" s="5"/>
      <c r="VX84" s="5"/>
      <c r="VY84" s="5"/>
      <c r="VZ84" s="5"/>
      <c r="WA84" s="5"/>
      <c r="WB84" s="5"/>
      <c r="WC84" s="5"/>
      <c r="WD84" s="5"/>
      <c r="WE84" s="5"/>
      <c r="WF84" s="5"/>
      <c r="WG84" s="5"/>
      <c r="WH84" s="5"/>
      <c r="WI84" s="5"/>
      <c r="WJ84" s="5"/>
      <c r="WK84" s="5"/>
      <c r="WL84" s="5"/>
      <c r="WM84" s="5"/>
      <c r="WN84" s="5"/>
      <c r="WO84" s="5"/>
      <c r="WP84" s="5"/>
      <c r="WQ84" s="5"/>
      <c r="WR84" s="5"/>
      <c r="WS84" s="5"/>
      <c r="WT84" s="5"/>
      <c r="WU84" s="5"/>
      <c r="WV84" s="5"/>
      <c r="WW84" s="5"/>
      <c r="WX84" s="5"/>
      <c r="WY84" s="5"/>
      <c r="WZ84" s="5"/>
      <c r="XA84" s="5"/>
      <c r="XB84" s="5"/>
      <c r="XC84" s="5"/>
      <c r="XD84" s="5"/>
      <c r="XE84" s="5"/>
      <c r="XF84" s="5"/>
      <c r="XG84" s="5"/>
      <c r="XH84" s="5"/>
      <c r="XI84" s="5"/>
      <c r="XJ84" s="5"/>
      <c r="XK84" s="5"/>
      <c r="XL84" s="5"/>
      <c r="XM84" s="5"/>
      <c r="XN84" s="5"/>
      <c r="XO84" s="5"/>
      <c r="XP84" s="5"/>
      <c r="XQ84" s="5"/>
      <c r="XR84" s="5"/>
      <c r="XS84" s="5"/>
      <c r="XT84" s="5"/>
      <c r="XU84" s="5"/>
      <c r="XV84" s="5"/>
      <c r="XW84" s="5"/>
      <c r="XX84" s="5"/>
      <c r="XY84" s="5"/>
      <c r="XZ84" s="5"/>
      <c r="YA84" s="5"/>
      <c r="YB84" s="5"/>
      <c r="YC84" s="5"/>
      <c r="YD84" s="5"/>
      <c r="YE84" s="5"/>
      <c r="YF84" s="5"/>
      <c r="YG84" s="5"/>
      <c r="YH84" s="5"/>
      <c r="YI84" s="5"/>
      <c r="YJ84" s="5"/>
      <c r="YK84" s="5"/>
      <c r="YL84" s="5"/>
      <c r="YM84" s="5"/>
      <c r="YN84" s="5"/>
      <c r="YO84" s="5"/>
      <c r="YP84" s="5"/>
      <c r="YQ84" s="5"/>
      <c r="YR84" s="5"/>
      <c r="YS84" s="5"/>
      <c r="YT84" s="5"/>
      <c r="YU84" s="5"/>
      <c r="YV84" s="5"/>
      <c r="YW84" s="5"/>
      <c r="YX84" s="5"/>
      <c r="YY84" s="5"/>
      <c r="YZ84" s="5"/>
    </row>
    <row r="85" spans="1:676">
      <c r="A85" s="7">
        <v>75</v>
      </c>
      <c r="B85" s="7" t="s">
        <v>216</v>
      </c>
      <c r="C85" s="10" t="s">
        <v>217</v>
      </c>
      <c r="D85" s="7" t="s">
        <v>60</v>
      </c>
      <c r="E85" s="7" t="s">
        <v>218</v>
      </c>
      <c r="F85" s="7" t="s">
        <v>206</v>
      </c>
      <c r="G85" s="7"/>
      <c r="H85" s="7" t="s">
        <v>43</v>
      </c>
      <c r="I85" s="11">
        <v>2</v>
      </c>
      <c r="J85" s="11">
        <v>3</v>
      </c>
      <c r="K85" s="11">
        <v>0</v>
      </c>
      <c r="L85" s="11">
        <v>4.65</v>
      </c>
      <c r="M85" s="11">
        <v>0.24</v>
      </c>
      <c r="N85" s="11">
        <v>0</v>
      </c>
      <c r="O85" s="11">
        <v>0.44</v>
      </c>
      <c r="P85" s="11">
        <v>0</v>
      </c>
      <c r="Q85" s="11">
        <v>5.330000000000001</v>
      </c>
      <c r="R85" s="11">
        <v>0</v>
      </c>
      <c r="S85" s="11">
        <v>5.330000000000001</v>
      </c>
      <c r="T85" s="11">
        <v>2</v>
      </c>
      <c r="U85" s="11">
        <v>3</v>
      </c>
      <c r="V85" s="11">
        <v>0.330000000000001</v>
      </c>
      <c r="W85" s="13">
        <v>2</v>
      </c>
      <c r="X85" s="13">
        <v>3</v>
      </c>
      <c r="Y85" s="13" t="str">
        <f>MIN(W85,S85)</f>
        <v>0</v>
      </c>
      <c r="Z85" s="13" t="str">
        <f>MIN(X85,(S85-Y85))</f>
        <v>0</v>
      </c>
      <c r="AA85" s="13" t="str">
        <f>S85-SUM(Y85,Z85)</f>
        <v>0</v>
      </c>
      <c r="AB85" s="15"/>
      <c r="AC85" s="15"/>
      <c r="AD85" s="1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  <c r="IX85" s="5"/>
      <c r="IY85" s="5"/>
      <c r="IZ85" s="5"/>
      <c r="JA85" s="5"/>
      <c r="JB85" s="5"/>
      <c r="JC85" s="5"/>
      <c r="JD85" s="5"/>
      <c r="JE85" s="5"/>
      <c r="JF85" s="5"/>
      <c r="JG85" s="5"/>
      <c r="JH85" s="5"/>
      <c r="JI85" s="5"/>
      <c r="JJ85" s="5"/>
      <c r="JK85" s="5"/>
      <c r="JL85" s="5"/>
      <c r="JM85" s="5"/>
      <c r="JN85" s="5"/>
      <c r="JO85" s="5"/>
      <c r="JP85" s="5"/>
      <c r="JQ85" s="5"/>
      <c r="JR85" s="5"/>
      <c r="JS85" s="5"/>
      <c r="JT85" s="5"/>
      <c r="JU85" s="5"/>
      <c r="JV85" s="5"/>
      <c r="JW85" s="5"/>
      <c r="JX85" s="5"/>
      <c r="JY85" s="5"/>
      <c r="JZ85" s="5"/>
      <c r="KA85" s="5"/>
      <c r="KB85" s="5"/>
      <c r="KC85" s="5"/>
      <c r="KD85" s="5"/>
      <c r="KE85" s="5"/>
      <c r="KF85" s="5"/>
      <c r="KG85" s="5"/>
      <c r="KH85" s="5"/>
      <c r="KI85" s="5"/>
      <c r="KJ85" s="5"/>
      <c r="KK85" s="5"/>
      <c r="KL85" s="5"/>
      <c r="KM85" s="5"/>
      <c r="KN85" s="5"/>
      <c r="KO85" s="5"/>
      <c r="KP85" s="5"/>
      <c r="KQ85" s="5"/>
      <c r="KR85" s="5"/>
      <c r="KS85" s="5"/>
      <c r="KT85" s="5"/>
      <c r="KU85" s="5"/>
      <c r="KV85" s="5"/>
      <c r="KW85" s="5"/>
      <c r="KX85" s="5"/>
      <c r="KY85" s="5"/>
      <c r="KZ85" s="5"/>
      <c r="LA85" s="5"/>
      <c r="LB85" s="5"/>
      <c r="LC85" s="5"/>
      <c r="LD85" s="5"/>
      <c r="LE85" s="5"/>
      <c r="LF85" s="5"/>
      <c r="LG85" s="5"/>
      <c r="LH85" s="5"/>
      <c r="LI85" s="5"/>
      <c r="LJ85" s="5"/>
      <c r="LK85" s="5"/>
      <c r="LL85" s="5"/>
      <c r="LM85" s="5"/>
      <c r="LN85" s="5"/>
      <c r="LO85" s="5"/>
      <c r="LP85" s="5"/>
      <c r="LQ85" s="5"/>
      <c r="LR85" s="5"/>
      <c r="LS85" s="5"/>
      <c r="LT85" s="5"/>
      <c r="LU85" s="5"/>
      <c r="LV85" s="5"/>
      <c r="LW85" s="5"/>
      <c r="LX85" s="5"/>
      <c r="LY85" s="5"/>
      <c r="LZ85" s="5"/>
      <c r="MA85" s="5"/>
      <c r="MB85" s="5"/>
      <c r="MC85" s="5"/>
      <c r="MD85" s="5"/>
      <c r="ME85" s="5"/>
      <c r="MF85" s="5"/>
      <c r="MG85" s="5"/>
      <c r="MH85" s="5"/>
      <c r="MI85" s="5"/>
      <c r="MJ85" s="5"/>
      <c r="MK85" s="5"/>
      <c r="ML85" s="5"/>
      <c r="MM85" s="5"/>
      <c r="MN85" s="5"/>
      <c r="MO85" s="5"/>
      <c r="MP85" s="5"/>
      <c r="MQ85" s="5"/>
      <c r="MR85" s="5"/>
      <c r="MS85" s="5"/>
      <c r="MT85" s="5"/>
      <c r="MU85" s="5"/>
      <c r="MV85" s="5"/>
      <c r="MW85" s="5"/>
      <c r="MX85" s="5"/>
      <c r="MY85" s="5"/>
      <c r="MZ85" s="5"/>
      <c r="NA85" s="5"/>
      <c r="NB85" s="5"/>
      <c r="NC85" s="5"/>
      <c r="ND85" s="5"/>
      <c r="NE85" s="5"/>
      <c r="NF85" s="5"/>
      <c r="NG85" s="5"/>
      <c r="NH85" s="5"/>
      <c r="NI85" s="5"/>
      <c r="NJ85" s="5"/>
      <c r="NK85" s="5"/>
      <c r="NL85" s="5"/>
      <c r="NM85" s="5"/>
      <c r="NN85" s="5"/>
      <c r="NO85" s="5"/>
      <c r="NP85" s="5"/>
      <c r="NQ85" s="5"/>
      <c r="NR85" s="5"/>
      <c r="NS85" s="5"/>
      <c r="NT85" s="5"/>
      <c r="NU85" s="5"/>
      <c r="NV85" s="5"/>
      <c r="NW85" s="5"/>
      <c r="NX85" s="5"/>
      <c r="NY85" s="5"/>
      <c r="NZ85" s="5"/>
      <c r="OA85" s="5"/>
      <c r="OB85" s="5"/>
      <c r="OC85" s="5"/>
      <c r="OD85" s="5"/>
      <c r="OE85" s="5"/>
      <c r="OF85" s="5"/>
      <c r="OG85" s="5"/>
      <c r="OH85" s="5"/>
      <c r="OI85" s="5"/>
      <c r="OJ85" s="5"/>
      <c r="OK85" s="5"/>
      <c r="OL85" s="5"/>
      <c r="OM85" s="5"/>
      <c r="ON85" s="5"/>
      <c r="OO85" s="5"/>
      <c r="OP85" s="5"/>
      <c r="OQ85" s="5"/>
      <c r="OR85" s="5"/>
      <c r="OS85" s="5"/>
      <c r="OT85" s="5"/>
      <c r="OU85" s="5"/>
      <c r="OV85" s="5"/>
      <c r="OW85" s="5"/>
      <c r="OX85" s="5"/>
      <c r="OY85" s="5"/>
      <c r="OZ85" s="5"/>
      <c r="PA85" s="5"/>
      <c r="PB85" s="5"/>
      <c r="PC85" s="5"/>
      <c r="PD85" s="5"/>
      <c r="PE85" s="5"/>
      <c r="PF85" s="5"/>
      <c r="PG85" s="5"/>
      <c r="PH85" s="5"/>
      <c r="PI85" s="5"/>
      <c r="PJ85" s="5"/>
      <c r="PK85" s="5"/>
      <c r="PL85" s="5"/>
      <c r="PM85" s="5"/>
      <c r="PN85" s="5"/>
      <c r="PO85" s="5"/>
      <c r="PP85" s="5"/>
      <c r="PQ85" s="5"/>
      <c r="PR85" s="5"/>
      <c r="PS85" s="5"/>
      <c r="PT85" s="5"/>
      <c r="PU85" s="5"/>
      <c r="PV85" s="5"/>
      <c r="PW85" s="5"/>
      <c r="PX85" s="5"/>
      <c r="PY85" s="5"/>
      <c r="PZ85" s="5"/>
      <c r="QA85" s="5"/>
      <c r="QB85" s="5"/>
      <c r="QC85" s="5"/>
      <c r="QD85" s="5"/>
      <c r="QE85" s="5"/>
      <c r="QF85" s="5"/>
      <c r="QG85" s="5"/>
      <c r="QH85" s="5"/>
      <c r="QI85" s="5"/>
      <c r="QJ85" s="5"/>
      <c r="QK85" s="5"/>
      <c r="QL85" s="5"/>
      <c r="QM85" s="5"/>
      <c r="QN85" s="5"/>
      <c r="QO85" s="5"/>
      <c r="QP85" s="5"/>
      <c r="QQ85" s="5"/>
      <c r="QR85" s="5"/>
      <c r="QS85" s="5"/>
      <c r="QT85" s="5"/>
      <c r="QU85" s="5"/>
      <c r="QV85" s="5"/>
      <c r="QW85" s="5"/>
      <c r="QX85" s="5"/>
      <c r="QY85" s="5"/>
      <c r="QZ85" s="5"/>
      <c r="RA85" s="5"/>
      <c r="RB85" s="5"/>
      <c r="RC85" s="5"/>
      <c r="RD85" s="5"/>
      <c r="RE85" s="5"/>
      <c r="RF85" s="5"/>
      <c r="RG85" s="5"/>
      <c r="RH85" s="5"/>
      <c r="RI85" s="5"/>
      <c r="RJ85" s="5"/>
      <c r="RK85" s="5"/>
      <c r="RL85" s="5"/>
      <c r="RM85" s="5"/>
      <c r="RN85" s="5"/>
      <c r="RO85" s="5"/>
      <c r="RP85" s="5"/>
      <c r="RQ85" s="5"/>
      <c r="RR85" s="5"/>
      <c r="RS85" s="5"/>
      <c r="RT85" s="5"/>
      <c r="RU85" s="5"/>
      <c r="RV85" s="5"/>
      <c r="RW85" s="5"/>
      <c r="RX85" s="5"/>
      <c r="RY85" s="5"/>
      <c r="RZ85" s="5"/>
      <c r="SA85" s="5"/>
      <c r="SB85" s="5"/>
      <c r="SC85" s="5"/>
      <c r="SD85" s="5"/>
      <c r="SE85" s="5"/>
      <c r="SF85" s="5"/>
      <c r="SG85" s="5"/>
      <c r="SH85" s="5"/>
      <c r="SI85" s="5"/>
      <c r="SJ85" s="5"/>
      <c r="SK85" s="5"/>
      <c r="SL85" s="5"/>
      <c r="SM85" s="5"/>
      <c r="SN85" s="5"/>
      <c r="SO85" s="5"/>
      <c r="SP85" s="5"/>
      <c r="SQ85" s="5"/>
      <c r="SR85" s="5"/>
      <c r="SS85" s="5"/>
      <c r="ST85" s="5"/>
      <c r="SU85" s="5"/>
      <c r="SV85" s="5"/>
      <c r="SW85" s="5"/>
      <c r="SX85" s="5"/>
      <c r="SY85" s="5"/>
      <c r="SZ85" s="5"/>
      <c r="TA85" s="5"/>
      <c r="TB85" s="5"/>
      <c r="TC85" s="5"/>
      <c r="TD85" s="5"/>
      <c r="TE85" s="5"/>
      <c r="TF85" s="5"/>
      <c r="TG85" s="5"/>
      <c r="TH85" s="5"/>
      <c r="TI85" s="5"/>
      <c r="TJ85" s="5"/>
      <c r="TK85" s="5"/>
      <c r="TL85" s="5"/>
      <c r="TM85" s="5"/>
      <c r="TN85" s="5"/>
      <c r="TO85" s="5"/>
      <c r="TP85" s="5"/>
      <c r="TQ85" s="5"/>
      <c r="TR85" s="5"/>
      <c r="TS85" s="5"/>
      <c r="TT85" s="5"/>
      <c r="TU85" s="5"/>
      <c r="TV85" s="5"/>
      <c r="TW85" s="5"/>
      <c r="TX85" s="5"/>
      <c r="TY85" s="5"/>
      <c r="TZ85" s="5"/>
      <c r="UA85" s="5"/>
      <c r="UB85" s="5"/>
      <c r="UC85" s="5"/>
      <c r="UD85" s="5"/>
      <c r="UE85" s="5"/>
      <c r="UF85" s="5"/>
      <c r="UG85" s="5"/>
      <c r="UH85" s="5"/>
      <c r="UI85" s="5"/>
      <c r="UJ85" s="5"/>
      <c r="UK85" s="5"/>
      <c r="UL85" s="5"/>
      <c r="UM85" s="5"/>
      <c r="UN85" s="5"/>
      <c r="UO85" s="5"/>
      <c r="UP85" s="5"/>
      <c r="UQ85" s="5"/>
      <c r="UR85" s="5"/>
      <c r="US85" s="5"/>
      <c r="UT85" s="5"/>
      <c r="UU85" s="5"/>
      <c r="UV85" s="5"/>
      <c r="UW85" s="5"/>
      <c r="UX85" s="5"/>
      <c r="UY85" s="5"/>
      <c r="UZ85" s="5"/>
      <c r="VA85" s="5"/>
      <c r="VB85" s="5"/>
      <c r="VC85" s="5"/>
      <c r="VD85" s="5"/>
      <c r="VE85" s="5"/>
      <c r="VF85" s="5"/>
      <c r="VG85" s="5"/>
      <c r="VH85" s="5"/>
      <c r="VI85" s="5"/>
      <c r="VJ85" s="5"/>
      <c r="VK85" s="5"/>
      <c r="VL85" s="5"/>
      <c r="VM85" s="5"/>
      <c r="VN85" s="5"/>
      <c r="VO85" s="5"/>
      <c r="VP85" s="5"/>
      <c r="VQ85" s="5"/>
      <c r="VR85" s="5"/>
      <c r="VS85" s="5"/>
      <c r="VT85" s="5"/>
      <c r="VU85" s="5"/>
      <c r="VV85" s="5"/>
      <c r="VW85" s="5"/>
      <c r="VX85" s="5"/>
      <c r="VY85" s="5"/>
      <c r="VZ85" s="5"/>
      <c r="WA85" s="5"/>
      <c r="WB85" s="5"/>
      <c r="WC85" s="5"/>
      <c r="WD85" s="5"/>
      <c r="WE85" s="5"/>
      <c r="WF85" s="5"/>
      <c r="WG85" s="5"/>
      <c r="WH85" s="5"/>
      <c r="WI85" s="5"/>
      <c r="WJ85" s="5"/>
      <c r="WK85" s="5"/>
      <c r="WL85" s="5"/>
      <c r="WM85" s="5"/>
      <c r="WN85" s="5"/>
      <c r="WO85" s="5"/>
      <c r="WP85" s="5"/>
      <c r="WQ85" s="5"/>
      <c r="WR85" s="5"/>
      <c r="WS85" s="5"/>
      <c r="WT85" s="5"/>
      <c r="WU85" s="5"/>
      <c r="WV85" s="5"/>
      <c r="WW85" s="5"/>
      <c r="WX85" s="5"/>
      <c r="WY85" s="5"/>
      <c r="WZ85" s="5"/>
      <c r="XA85" s="5"/>
      <c r="XB85" s="5"/>
      <c r="XC85" s="5"/>
      <c r="XD85" s="5"/>
      <c r="XE85" s="5"/>
      <c r="XF85" s="5"/>
      <c r="XG85" s="5"/>
      <c r="XH85" s="5"/>
      <c r="XI85" s="5"/>
      <c r="XJ85" s="5"/>
      <c r="XK85" s="5"/>
      <c r="XL85" s="5"/>
      <c r="XM85" s="5"/>
      <c r="XN85" s="5"/>
      <c r="XO85" s="5"/>
      <c r="XP85" s="5"/>
      <c r="XQ85" s="5"/>
      <c r="XR85" s="5"/>
      <c r="XS85" s="5"/>
      <c r="XT85" s="5"/>
      <c r="XU85" s="5"/>
      <c r="XV85" s="5"/>
      <c r="XW85" s="5"/>
      <c r="XX85" s="5"/>
      <c r="XY85" s="5"/>
      <c r="XZ85" s="5"/>
      <c r="YA85" s="5"/>
      <c r="YB85" s="5"/>
      <c r="YC85" s="5"/>
      <c r="YD85" s="5"/>
      <c r="YE85" s="5"/>
      <c r="YF85" s="5"/>
      <c r="YG85" s="5"/>
      <c r="YH85" s="5"/>
      <c r="YI85" s="5"/>
      <c r="YJ85" s="5"/>
      <c r="YK85" s="5"/>
      <c r="YL85" s="5"/>
      <c r="YM85" s="5"/>
      <c r="YN85" s="5"/>
      <c r="YO85" s="5"/>
      <c r="YP85" s="5"/>
      <c r="YQ85" s="5"/>
      <c r="YR85" s="5"/>
      <c r="YS85" s="5"/>
      <c r="YT85" s="5"/>
      <c r="YU85" s="5"/>
      <c r="YV85" s="5"/>
      <c r="YW85" s="5"/>
      <c r="YX85" s="5"/>
      <c r="YY85" s="5"/>
      <c r="YZ85" s="5"/>
    </row>
    <row r="86" spans="1:676">
      <c r="A86" s="7">
        <v>76</v>
      </c>
      <c r="B86" s="7" t="s">
        <v>219</v>
      </c>
      <c r="C86" s="10" t="s">
        <v>220</v>
      </c>
      <c r="D86" s="7" t="s">
        <v>60</v>
      </c>
      <c r="E86" s="7" t="s">
        <v>205</v>
      </c>
      <c r="F86" s="7" t="s">
        <v>206</v>
      </c>
      <c r="G86" s="7"/>
      <c r="H86" s="7" t="s">
        <v>43</v>
      </c>
      <c r="I86" s="11">
        <v>2</v>
      </c>
      <c r="J86" s="11">
        <v>3</v>
      </c>
      <c r="K86" s="11">
        <v>0</v>
      </c>
      <c r="L86" s="11">
        <v>5.260000000000002</v>
      </c>
      <c r="M86" s="11">
        <v>0.08</v>
      </c>
      <c r="N86" s="11">
        <v>0</v>
      </c>
      <c r="O86" s="11">
        <v>0.6</v>
      </c>
      <c r="P86" s="11">
        <v>1.83</v>
      </c>
      <c r="Q86" s="11">
        <v>7.77</v>
      </c>
      <c r="R86" s="11">
        <v>0</v>
      </c>
      <c r="S86" s="11">
        <v>7.77</v>
      </c>
      <c r="T86" s="11">
        <v>2</v>
      </c>
      <c r="U86" s="11">
        <v>3</v>
      </c>
      <c r="V86" s="11">
        <v>2.77</v>
      </c>
      <c r="W86" s="13">
        <v>2</v>
      </c>
      <c r="X86" s="13">
        <v>3</v>
      </c>
      <c r="Y86" s="13" t="str">
        <f>MIN(W86,S86)</f>
        <v>0</v>
      </c>
      <c r="Z86" s="13" t="str">
        <f>MIN(X86,(S86-Y86))</f>
        <v>0</v>
      </c>
      <c r="AA86" s="13" t="str">
        <f>S86-SUM(Y86,Z86)</f>
        <v>0</v>
      </c>
      <c r="AB86" s="15"/>
      <c r="AC86" s="15"/>
      <c r="AD86" s="1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/>
      <c r="IP86" s="5"/>
      <c r="IQ86" s="5"/>
      <c r="IR86" s="5"/>
      <c r="IS86" s="5"/>
      <c r="IT86" s="5"/>
      <c r="IU86" s="5"/>
      <c r="IV86" s="5"/>
      <c r="IW86" s="5"/>
      <c r="IX86" s="5"/>
      <c r="IY86" s="5"/>
      <c r="IZ86" s="5"/>
      <c r="JA86" s="5"/>
      <c r="JB86" s="5"/>
      <c r="JC86" s="5"/>
      <c r="JD86" s="5"/>
      <c r="JE86" s="5"/>
      <c r="JF86" s="5"/>
      <c r="JG86" s="5"/>
      <c r="JH86" s="5"/>
      <c r="JI86" s="5"/>
      <c r="JJ86" s="5"/>
      <c r="JK86" s="5"/>
      <c r="JL86" s="5"/>
      <c r="JM86" s="5"/>
      <c r="JN86" s="5"/>
      <c r="JO86" s="5"/>
      <c r="JP86" s="5"/>
      <c r="JQ86" s="5"/>
      <c r="JR86" s="5"/>
      <c r="JS86" s="5"/>
      <c r="JT86" s="5"/>
      <c r="JU86" s="5"/>
      <c r="JV86" s="5"/>
      <c r="JW86" s="5"/>
      <c r="JX86" s="5"/>
      <c r="JY86" s="5"/>
      <c r="JZ86" s="5"/>
      <c r="KA86" s="5"/>
      <c r="KB86" s="5"/>
      <c r="KC86" s="5"/>
      <c r="KD86" s="5"/>
      <c r="KE86" s="5"/>
      <c r="KF86" s="5"/>
      <c r="KG86" s="5"/>
      <c r="KH86" s="5"/>
      <c r="KI86" s="5"/>
      <c r="KJ86" s="5"/>
      <c r="KK86" s="5"/>
      <c r="KL86" s="5"/>
      <c r="KM86" s="5"/>
      <c r="KN86" s="5"/>
      <c r="KO86" s="5"/>
      <c r="KP86" s="5"/>
      <c r="KQ86" s="5"/>
      <c r="KR86" s="5"/>
      <c r="KS86" s="5"/>
      <c r="KT86" s="5"/>
      <c r="KU86" s="5"/>
      <c r="KV86" s="5"/>
      <c r="KW86" s="5"/>
      <c r="KX86" s="5"/>
      <c r="KY86" s="5"/>
      <c r="KZ86" s="5"/>
      <c r="LA86" s="5"/>
      <c r="LB86" s="5"/>
      <c r="LC86" s="5"/>
      <c r="LD86" s="5"/>
      <c r="LE86" s="5"/>
      <c r="LF86" s="5"/>
      <c r="LG86" s="5"/>
      <c r="LH86" s="5"/>
      <c r="LI86" s="5"/>
      <c r="LJ86" s="5"/>
      <c r="LK86" s="5"/>
      <c r="LL86" s="5"/>
      <c r="LM86" s="5"/>
      <c r="LN86" s="5"/>
      <c r="LO86" s="5"/>
      <c r="LP86" s="5"/>
      <c r="LQ86" s="5"/>
      <c r="LR86" s="5"/>
      <c r="LS86" s="5"/>
      <c r="LT86" s="5"/>
      <c r="LU86" s="5"/>
      <c r="LV86" s="5"/>
      <c r="LW86" s="5"/>
      <c r="LX86" s="5"/>
      <c r="LY86" s="5"/>
      <c r="LZ86" s="5"/>
      <c r="MA86" s="5"/>
      <c r="MB86" s="5"/>
      <c r="MC86" s="5"/>
      <c r="MD86" s="5"/>
      <c r="ME86" s="5"/>
      <c r="MF86" s="5"/>
      <c r="MG86" s="5"/>
      <c r="MH86" s="5"/>
      <c r="MI86" s="5"/>
      <c r="MJ86" s="5"/>
      <c r="MK86" s="5"/>
      <c r="ML86" s="5"/>
      <c r="MM86" s="5"/>
      <c r="MN86" s="5"/>
      <c r="MO86" s="5"/>
      <c r="MP86" s="5"/>
      <c r="MQ86" s="5"/>
      <c r="MR86" s="5"/>
      <c r="MS86" s="5"/>
      <c r="MT86" s="5"/>
      <c r="MU86" s="5"/>
      <c r="MV86" s="5"/>
      <c r="MW86" s="5"/>
      <c r="MX86" s="5"/>
      <c r="MY86" s="5"/>
      <c r="MZ86" s="5"/>
      <c r="NA86" s="5"/>
      <c r="NB86" s="5"/>
      <c r="NC86" s="5"/>
      <c r="ND86" s="5"/>
      <c r="NE86" s="5"/>
      <c r="NF86" s="5"/>
      <c r="NG86" s="5"/>
      <c r="NH86" s="5"/>
      <c r="NI86" s="5"/>
      <c r="NJ86" s="5"/>
      <c r="NK86" s="5"/>
      <c r="NL86" s="5"/>
      <c r="NM86" s="5"/>
      <c r="NN86" s="5"/>
      <c r="NO86" s="5"/>
      <c r="NP86" s="5"/>
      <c r="NQ86" s="5"/>
      <c r="NR86" s="5"/>
      <c r="NS86" s="5"/>
      <c r="NT86" s="5"/>
      <c r="NU86" s="5"/>
      <c r="NV86" s="5"/>
      <c r="NW86" s="5"/>
      <c r="NX86" s="5"/>
      <c r="NY86" s="5"/>
      <c r="NZ86" s="5"/>
      <c r="OA86" s="5"/>
      <c r="OB86" s="5"/>
      <c r="OC86" s="5"/>
      <c r="OD86" s="5"/>
      <c r="OE86" s="5"/>
      <c r="OF86" s="5"/>
      <c r="OG86" s="5"/>
      <c r="OH86" s="5"/>
      <c r="OI86" s="5"/>
      <c r="OJ86" s="5"/>
      <c r="OK86" s="5"/>
      <c r="OL86" s="5"/>
      <c r="OM86" s="5"/>
      <c r="ON86" s="5"/>
      <c r="OO86" s="5"/>
      <c r="OP86" s="5"/>
      <c r="OQ86" s="5"/>
      <c r="OR86" s="5"/>
      <c r="OS86" s="5"/>
      <c r="OT86" s="5"/>
      <c r="OU86" s="5"/>
      <c r="OV86" s="5"/>
      <c r="OW86" s="5"/>
      <c r="OX86" s="5"/>
      <c r="OY86" s="5"/>
      <c r="OZ86" s="5"/>
      <c r="PA86" s="5"/>
      <c r="PB86" s="5"/>
      <c r="PC86" s="5"/>
      <c r="PD86" s="5"/>
      <c r="PE86" s="5"/>
      <c r="PF86" s="5"/>
      <c r="PG86" s="5"/>
      <c r="PH86" s="5"/>
      <c r="PI86" s="5"/>
      <c r="PJ86" s="5"/>
      <c r="PK86" s="5"/>
      <c r="PL86" s="5"/>
      <c r="PM86" s="5"/>
      <c r="PN86" s="5"/>
      <c r="PO86" s="5"/>
      <c r="PP86" s="5"/>
      <c r="PQ86" s="5"/>
      <c r="PR86" s="5"/>
      <c r="PS86" s="5"/>
      <c r="PT86" s="5"/>
      <c r="PU86" s="5"/>
      <c r="PV86" s="5"/>
      <c r="PW86" s="5"/>
      <c r="PX86" s="5"/>
      <c r="PY86" s="5"/>
      <c r="PZ86" s="5"/>
      <c r="QA86" s="5"/>
      <c r="QB86" s="5"/>
      <c r="QC86" s="5"/>
      <c r="QD86" s="5"/>
      <c r="QE86" s="5"/>
      <c r="QF86" s="5"/>
      <c r="QG86" s="5"/>
      <c r="QH86" s="5"/>
      <c r="QI86" s="5"/>
      <c r="QJ86" s="5"/>
      <c r="QK86" s="5"/>
      <c r="QL86" s="5"/>
      <c r="QM86" s="5"/>
      <c r="QN86" s="5"/>
      <c r="QO86" s="5"/>
      <c r="QP86" s="5"/>
      <c r="QQ86" s="5"/>
      <c r="QR86" s="5"/>
      <c r="QS86" s="5"/>
      <c r="QT86" s="5"/>
      <c r="QU86" s="5"/>
      <c r="QV86" s="5"/>
      <c r="QW86" s="5"/>
      <c r="QX86" s="5"/>
      <c r="QY86" s="5"/>
      <c r="QZ86" s="5"/>
      <c r="RA86" s="5"/>
      <c r="RB86" s="5"/>
      <c r="RC86" s="5"/>
      <c r="RD86" s="5"/>
      <c r="RE86" s="5"/>
      <c r="RF86" s="5"/>
      <c r="RG86" s="5"/>
      <c r="RH86" s="5"/>
      <c r="RI86" s="5"/>
      <c r="RJ86" s="5"/>
      <c r="RK86" s="5"/>
      <c r="RL86" s="5"/>
      <c r="RM86" s="5"/>
      <c r="RN86" s="5"/>
      <c r="RO86" s="5"/>
      <c r="RP86" s="5"/>
      <c r="RQ86" s="5"/>
      <c r="RR86" s="5"/>
      <c r="RS86" s="5"/>
      <c r="RT86" s="5"/>
      <c r="RU86" s="5"/>
      <c r="RV86" s="5"/>
      <c r="RW86" s="5"/>
      <c r="RX86" s="5"/>
      <c r="RY86" s="5"/>
      <c r="RZ86" s="5"/>
      <c r="SA86" s="5"/>
      <c r="SB86" s="5"/>
      <c r="SC86" s="5"/>
      <c r="SD86" s="5"/>
      <c r="SE86" s="5"/>
      <c r="SF86" s="5"/>
      <c r="SG86" s="5"/>
      <c r="SH86" s="5"/>
      <c r="SI86" s="5"/>
      <c r="SJ86" s="5"/>
      <c r="SK86" s="5"/>
      <c r="SL86" s="5"/>
      <c r="SM86" s="5"/>
      <c r="SN86" s="5"/>
      <c r="SO86" s="5"/>
      <c r="SP86" s="5"/>
      <c r="SQ86" s="5"/>
      <c r="SR86" s="5"/>
      <c r="SS86" s="5"/>
      <c r="ST86" s="5"/>
      <c r="SU86" s="5"/>
      <c r="SV86" s="5"/>
      <c r="SW86" s="5"/>
      <c r="SX86" s="5"/>
      <c r="SY86" s="5"/>
      <c r="SZ86" s="5"/>
      <c r="TA86" s="5"/>
      <c r="TB86" s="5"/>
      <c r="TC86" s="5"/>
      <c r="TD86" s="5"/>
      <c r="TE86" s="5"/>
      <c r="TF86" s="5"/>
      <c r="TG86" s="5"/>
      <c r="TH86" s="5"/>
      <c r="TI86" s="5"/>
      <c r="TJ86" s="5"/>
      <c r="TK86" s="5"/>
      <c r="TL86" s="5"/>
      <c r="TM86" s="5"/>
      <c r="TN86" s="5"/>
      <c r="TO86" s="5"/>
      <c r="TP86" s="5"/>
      <c r="TQ86" s="5"/>
      <c r="TR86" s="5"/>
      <c r="TS86" s="5"/>
      <c r="TT86" s="5"/>
      <c r="TU86" s="5"/>
      <c r="TV86" s="5"/>
      <c r="TW86" s="5"/>
      <c r="TX86" s="5"/>
      <c r="TY86" s="5"/>
      <c r="TZ86" s="5"/>
      <c r="UA86" s="5"/>
      <c r="UB86" s="5"/>
      <c r="UC86" s="5"/>
      <c r="UD86" s="5"/>
      <c r="UE86" s="5"/>
      <c r="UF86" s="5"/>
      <c r="UG86" s="5"/>
      <c r="UH86" s="5"/>
      <c r="UI86" s="5"/>
      <c r="UJ86" s="5"/>
      <c r="UK86" s="5"/>
      <c r="UL86" s="5"/>
      <c r="UM86" s="5"/>
      <c r="UN86" s="5"/>
      <c r="UO86" s="5"/>
      <c r="UP86" s="5"/>
      <c r="UQ86" s="5"/>
      <c r="UR86" s="5"/>
      <c r="US86" s="5"/>
      <c r="UT86" s="5"/>
      <c r="UU86" s="5"/>
      <c r="UV86" s="5"/>
      <c r="UW86" s="5"/>
      <c r="UX86" s="5"/>
      <c r="UY86" s="5"/>
      <c r="UZ86" s="5"/>
      <c r="VA86" s="5"/>
      <c r="VB86" s="5"/>
      <c r="VC86" s="5"/>
      <c r="VD86" s="5"/>
      <c r="VE86" s="5"/>
      <c r="VF86" s="5"/>
      <c r="VG86" s="5"/>
      <c r="VH86" s="5"/>
      <c r="VI86" s="5"/>
      <c r="VJ86" s="5"/>
      <c r="VK86" s="5"/>
      <c r="VL86" s="5"/>
      <c r="VM86" s="5"/>
      <c r="VN86" s="5"/>
      <c r="VO86" s="5"/>
      <c r="VP86" s="5"/>
      <c r="VQ86" s="5"/>
      <c r="VR86" s="5"/>
      <c r="VS86" s="5"/>
      <c r="VT86" s="5"/>
      <c r="VU86" s="5"/>
      <c r="VV86" s="5"/>
      <c r="VW86" s="5"/>
      <c r="VX86" s="5"/>
      <c r="VY86" s="5"/>
      <c r="VZ86" s="5"/>
      <c r="WA86" s="5"/>
      <c r="WB86" s="5"/>
      <c r="WC86" s="5"/>
      <c r="WD86" s="5"/>
      <c r="WE86" s="5"/>
      <c r="WF86" s="5"/>
      <c r="WG86" s="5"/>
      <c r="WH86" s="5"/>
      <c r="WI86" s="5"/>
      <c r="WJ86" s="5"/>
      <c r="WK86" s="5"/>
      <c r="WL86" s="5"/>
      <c r="WM86" s="5"/>
      <c r="WN86" s="5"/>
      <c r="WO86" s="5"/>
      <c r="WP86" s="5"/>
      <c r="WQ86" s="5"/>
      <c r="WR86" s="5"/>
      <c r="WS86" s="5"/>
      <c r="WT86" s="5"/>
      <c r="WU86" s="5"/>
      <c r="WV86" s="5"/>
      <c r="WW86" s="5"/>
      <c r="WX86" s="5"/>
      <c r="WY86" s="5"/>
      <c r="WZ86" s="5"/>
      <c r="XA86" s="5"/>
      <c r="XB86" s="5"/>
      <c r="XC86" s="5"/>
      <c r="XD86" s="5"/>
      <c r="XE86" s="5"/>
      <c r="XF86" s="5"/>
      <c r="XG86" s="5"/>
      <c r="XH86" s="5"/>
      <c r="XI86" s="5"/>
      <c r="XJ86" s="5"/>
      <c r="XK86" s="5"/>
      <c r="XL86" s="5"/>
      <c r="XM86" s="5"/>
      <c r="XN86" s="5"/>
      <c r="XO86" s="5"/>
      <c r="XP86" s="5"/>
      <c r="XQ86" s="5"/>
      <c r="XR86" s="5"/>
      <c r="XS86" s="5"/>
      <c r="XT86" s="5"/>
      <c r="XU86" s="5"/>
      <c r="XV86" s="5"/>
      <c r="XW86" s="5"/>
      <c r="XX86" s="5"/>
      <c r="XY86" s="5"/>
      <c r="XZ86" s="5"/>
      <c r="YA86" s="5"/>
      <c r="YB86" s="5"/>
      <c r="YC86" s="5"/>
      <c r="YD86" s="5"/>
      <c r="YE86" s="5"/>
      <c r="YF86" s="5"/>
      <c r="YG86" s="5"/>
      <c r="YH86" s="5"/>
      <c r="YI86" s="5"/>
      <c r="YJ86" s="5"/>
      <c r="YK86" s="5"/>
      <c r="YL86" s="5"/>
      <c r="YM86" s="5"/>
      <c r="YN86" s="5"/>
      <c r="YO86" s="5"/>
      <c r="YP86" s="5"/>
      <c r="YQ86" s="5"/>
      <c r="YR86" s="5"/>
      <c r="YS86" s="5"/>
      <c r="YT86" s="5"/>
      <c r="YU86" s="5"/>
      <c r="YV86" s="5"/>
      <c r="YW86" s="5"/>
      <c r="YX86" s="5"/>
      <c r="YY86" s="5"/>
      <c r="YZ86" s="5"/>
    </row>
    <row r="87" spans="1:676">
      <c r="A87" s="7">
        <v>77</v>
      </c>
      <c r="B87" s="7" t="s">
        <v>221</v>
      </c>
      <c r="C87" s="10" t="s">
        <v>222</v>
      </c>
      <c r="D87" s="7" t="s">
        <v>48</v>
      </c>
      <c r="E87" s="7" t="s">
        <v>209</v>
      </c>
      <c r="F87" s="7" t="s">
        <v>206</v>
      </c>
      <c r="G87" s="7"/>
      <c r="H87" s="7" t="s">
        <v>43</v>
      </c>
      <c r="I87" s="11">
        <v>2</v>
      </c>
      <c r="J87" s="11">
        <v>3</v>
      </c>
      <c r="K87" s="11">
        <v>0</v>
      </c>
      <c r="L87" s="11">
        <v>2.59</v>
      </c>
      <c r="M87" s="11">
        <v>0.32</v>
      </c>
      <c r="N87" s="11">
        <v>0</v>
      </c>
      <c r="O87" s="11">
        <v>0.6</v>
      </c>
      <c r="P87" s="11">
        <v>0</v>
      </c>
      <c r="Q87" s="11">
        <v>3.510000000000001</v>
      </c>
      <c r="R87" s="11">
        <v>0</v>
      </c>
      <c r="S87" s="11">
        <v>3.510000000000001</v>
      </c>
      <c r="T87" s="11">
        <v>2</v>
      </c>
      <c r="U87" s="11">
        <v>1.510000000000001</v>
      </c>
      <c r="V87" s="11">
        <v>0</v>
      </c>
      <c r="W87" s="13">
        <v>2</v>
      </c>
      <c r="X87" s="13">
        <v>3</v>
      </c>
      <c r="Y87" s="13" t="str">
        <f>MIN(W87,S87)</f>
        <v>0</v>
      </c>
      <c r="Z87" s="13" t="str">
        <f>MIN(X87,(S87-Y87))</f>
        <v>0</v>
      </c>
      <c r="AA87" s="13" t="str">
        <f>S87-SUM(Y87,Z87)</f>
        <v>0</v>
      </c>
      <c r="AB87" s="15"/>
      <c r="AC87" s="15"/>
      <c r="AD87" s="1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  <c r="FH87" s="5"/>
      <c r="FI87" s="5"/>
      <c r="FJ87" s="5"/>
      <c r="FK87" s="5"/>
      <c r="FL87" s="5"/>
      <c r="FM87" s="5"/>
      <c r="FN87" s="5"/>
      <c r="FO87" s="5"/>
      <c r="FP87" s="5"/>
      <c r="FQ87" s="5"/>
      <c r="FR87" s="5"/>
      <c r="FS87" s="5"/>
      <c r="FT87" s="5"/>
      <c r="FU87" s="5"/>
      <c r="FV87" s="5"/>
      <c r="FW87" s="5"/>
      <c r="FX87" s="5"/>
      <c r="FY87" s="5"/>
      <c r="FZ87" s="5"/>
      <c r="GA87" s="5"/>
      <c r="GB87" s="5"/>
      <c r="GC87" s="5"/>
      <c r="GD87" s="5"/>
      <c r="GE87" s="5"/>
      <c r="GF87" s="5"/>
      <c r="GG87" s="5"/>
      <c r="GH87" s="5"/>
      <c r="GI87" s="5"/>
      <c r="GJ87" s="5"/>
      <c r="GK87" s="5"/>
      <c r="GL87" s="5"/>
      <c r="GM87" s="5"/>
      <c r="GN87" s="5"/>
      <c r="GO87" s="5"/>
      <c r="GP87" s="5"/>
      <c r="GQ87" s="5"/>
      <c r="GR87" s="5"/>
      <c r="GS87" s="5"/>
      <c r="GT87" s="5"/>
      <c r="GU87" s="5"/>
      <c r="GV87" s="5"/>
      <c r="GW87" s="5"/>
      <c r="GX87" s="5"/>
      <c r="GY87" s="5"/>
      <c r="GZ87" s="5"/>
      <c r="HA87" s="5"/>
      <c r="HB87" s="5"/>
      <c r="HC87" s="5"/>
      <c r="HD87" s="5"/>
      <c r="HE87" s="5"/>
      <c r="HF87" s="5"/>
      <c r="HG87" s="5"/>
      <c r="HH87" s="5"/>
      <c r="HI87" s="5"/>
      <c r="HJ87" s="5"/>
      <c r="HK87" s="5"/>
      <c r="HL87" s="5"/>
      <c r="HM87" s="5"/>
      <c r="HN87" s="5"/>
      <c r="HO87" s="5"/>
      <c r="HP87" s="5"/>
      <c r="HQ87" s="5"/>
      <c r="HR87" s="5"/>
      <c r="HS87" s="5"/>
      <c r="HT87" s="5"/>
      <c r="HU87" s="5"/>
      <c r="HV87" s="5"/>
      <c r="HW87" s="5"/>
      <c r="HX87" s="5"/>
      <c r="HY87" s="5"/>
      <c r="HZ87" s="5"/>
      <c r="IA87" s="5"/>
      <c r="IB87" s="5"/>
      <c r="IC87" s="5"/>
      <c r="ID87" s="5"/>
      <c r="IE87" s="5"/>
      <c r="IF87" s="5"/>
      <c r="IG87" s="5"/>
      <c r="IH87" s="5"/>
      <c r="II87" s="5"/>
      <c r="IJ87" s="5"/>
      <c r="IK87" s="5"/>
      <c r="IL87" s="5"/>
      <c r="IM87" s="5"/>
      <c r="IN87" s="5"/>
      <c r="IO87" s="5"/>
      <c r="IP87" s="5"/>
      <c r="IQ87" s="5"/>
      <c r="IR87" s="5"/>
      <c r="IS87" s="5"/>
      <c r="IT87" s="5"/>
      <c r="IU87" s="5"/>
      <c r="IV87" s="5"/>
      <c r="IW87" s="5"/>
      <c r="IX87" s="5"/>
      <c r="IY87" s="5"/>
      <c r="IZ87" s="5"/>
      <c r="JA87" s="5"/>
      <c r="JB87" s="5"/>
      <c r="JC87" s="5"/>
      <c r="JD87" s="5"/>
      <c r="JE87" s="5"/>
      <c r="JF87" s="5"/>
      <c r="JG87" s="5"/>
      <c r="JH87" s="5"/>
      <c r="JI87" s="5"/>
      <c r="JJ87" s="5"/>
      <c r="JK87" s="5"/>
      <c r="JL87" s="5"/>
      <c r="JM87" s="5"/>
      <c r="JN87" s="5"/>
      <c r="JO87" s="5"/>
      <c r="JP87" s="5"/>
      <c r="JQ87" s="5"/>
      <c r="JR87" s="5"/>
      <c r="JS87" s="5"/>
      <c r="JT87" s="5"/>
      <c r="JU87" s="5"/>
      <c r="JV87" s="5"/>
      <c r="JW87" s="5"/>
      <c r="JX87" s="5"/>
      <c r="JY87" s="5"/>
      <c r="JZ87" s="5"/>
      <c r="KA87" s="5"/>
      <c r="KB87" s="5"/>
      <c r="KC87" s="5"/>
      <c r="KD87" s="5"/>
      <c r="KE87" s="5"/>
      <c r="KF87" s="5"/>
      <c r="KG87" s="5"/>
      <c r="KH87" s="5"/>
      <c r="KI87" s="5"/>
      <c r="KJ87" s="5"/>
      <c r="KK87" s="5"/>
      <c r="KL87" s="5"/>
      <c r="KM87" s="5"/>
      <c r="KN87" s="5"/>
      <c r="KO87" s="5"/>
      <c r="KP87" s="5"/>
      <c r="KQ87" s="5"/>
      <c r="KR87" s="5"/>
      <c r="KS87" s="5"/>
      <c r="KT87" s="5"/>
      <c r="KU87" s="5"/>
      <c r="KV87" s="5"/>
      <c r="KW87" s="5"/>
      <c r="KX87" s="5"/>
      <c r="KY87" s="5"/>
      <c r="KZ87" s="5"/>
      <c r="LA87" s="5"/>
      <c r="LB87" s="5"/>
      <c r="LC87" s="5"/>
      <c r="LD87" s="5"/>
      <c r="LE87" s="5"/>
      <c r="LF87" s="5"/>
      <c r="LG87" s="5"/>
      <c r="LH87" s="5"/>
      <c r="LI87" s="5"/>
      <c r="LJ87" s="5"/>
      <c r="LK87" s="5"/>
      <c r="LL87" s="5"/>
      <c r="LM87" s="5"/>
      <c r="LN87" s="5"/>
      <c r="LO87" s="5"/>
      <c r="LP87" s="5"/>
      <c r="LQ87" s="5"/>
      <c r="LR87" s="5"/>
      <c r="LS87" s="5"/>
      <c r="LT87" s="5"/>
      <c r="LU87" s="5"/>
      <c r="LV87" s="5"/>
      <c r="LW87" s="5"/>
      <c r="LX87" s="5"/>
      <c r="LY87" s="5"/>
      <c r="LZ87" s="5"/>
      <c r="MA87" s="5"/>
      <c r="MB87" s="5"/>
      <c r="MC87" s="5"/>
      <c r="MD87" s="5"/>
      <c r="ME87" s="5"/>
      <c r="MF87" s="5"/>
      <c r="MG87" s="5"/>
      <c r="MH87" s="5"/>
      <c r="MI87" s="5"/>
      <c r="MJ87" s="5"/>
      <c r="MK87" s="5"/>
      <c r="ML87" s="5"/>
      <c r="MM87" s="5"/>
      <c r="MN87" s="5"/>
      <c r="MO87" s="5"/>
      <c r="MP87" s="5"/>
      <c r="MQ87" s="5"/>
      <c r="MR87" s="5"/>
      <c r="MS87" s="5"/>
      <c r="MT87" s="5"/>
      <c r="MU87" s="5"/>
      <c r="MV87" s="5"/>
      <c r="MW87" s="5"/>
      <c r="MX87" s="5"/>
      <c r="MY87" s="5"/>
      <c r="MZ87" s="5"/>
      <c r="NA87" s="5"/>
      <c r="NB87" s="5"/>
      <c r="NC87" s="5"/>
      <c r="ND87" s="5"/>
      <c r="NE87" s="5"/>
      <c r="NF87" s="5"/>
      <c r="NG87" s="5"/>
      <c r="NH87" s="5"/>
      <c r="NI87" s="5"/>
      <c r="NJ87" s="5"/>
      <c r="NK87" s="5"/>
      <c r="NL87" s="5"/>
      <c r="NM87" s="5"/>
      <c r="NN87" s="5"/>
      <c r="NO87" s="5"/>
      <c r="NP87" s="5"/>
      <c r="NQ87" s="5"/>
      <c r="NR87" s="5"/>
      <c r="NS87" s="5"/>
      <c r="NT87" s="5"/>
      <c r="NU87" s="5"/>
      <c r="NV87" s="5"/>
      <c r="NW87" s="5"/>
      <c r="NX87" s="5"/>
      <c r="NY87" s="5"/>
      <c r="NZ87" s="5"/>
      <c r="OA87" s="5"/>
      <c r="OB87" s="5"/>
      <c r="OC87" s="5"/>
      <c r="OD87" s="5"/>
      <c r="OE87" s="5"/>
      <c r="OF87" s="5"/>
      <c r="OG87" s="5"/>
      <c r="OH87" s="5"/>
      <c r="OI87" s="5"/>
      <c r="OJ87" s="5"/>
      <c r="OK87" s="5"/>
      <c r="OL87" s="5"/>
      <c r="OM87" s="5"/>
      <c r="ON87" s="5"/>
      <c r="OO87" s="5"/>
      <c r="OP87" s="5"/>
      <c r="OQ87" s="5"/>
      <c r="OR87" s="5"/>
      <c r="OS87" s="5"/>
      <c r="OT87" s="5"/>
      <c r="OU87" s="5"/>
      <c r="OV87" s="5"/>
      <c r="OW87" s="5"/>
      <c r="OX87" s="5"/>
      <c r="OY87" s="5"/>
      <c r="OZ87" s="5"/>
      <c r="PA87" s="5"/>
      <c r="PB87" s="5"/>
      <c r="PC87" s="5"/>
      <c r="PD87" s="5"/>
      <c r="PE87" s="5"/>
      <c r="PF87" s="5"/>
      <c r="PG87" s="5"/>
      <c r="PH87" s="5"/>
      <c r="PI87" s="5"/>
      <c r="PJ87" s="5"/>
      <c r="PK87" s="5"/>
      <c r="PL87" s="5"/>
      <c r="PM87" s="5"/>
      <c r="PN87" s="5"/>
      <c r="PO87" s="5"/>
      <c r="PP87" s="5"/>
      <c r="PQ87" s="5"/>
      <c r="PR87" s="5"/>
      <c r="PS87" s="5"/>
      <c r="PT87" s="5"/>
      <c r="PU87" s="5"/>
      <c r="PV87" s="5"/>
      <c r="PW87" s="5"/>
      <c r="PX87" s="5"/>
      <c r="PY87" s="5"/>
      <c r="PZ87" s="5"/>
      <c r="QA87" s="5"/>
      <c r="QB87" s="5"/>
      <c r="QC87" s="5"/>
      <c r="QD87" s="5"/>
      <c r="QE87" s="5"/>
      <c r="QF87" s="5"/>
      <c r="QG87" s="5"/>
      <c r="QH87" s="5"/>
      <c r="QI87" s="5"/>
      <c r="QJ87" s="5"/>
      <c r="QK87" s="5"/>
      <c r="QL87" s="5"/>
      <c r="QM87" s="5"/>
      <c r="QN87" s="5"/>
      <c r="QO87" s="5"/>
      <c r="QP87" s="5"/>
      <c r="QQ87" s="5"/>
      <c r="QR87" s="5"/>
      <c r="QS87" s="5"/>
      <c r="QT87" s="5"/>
      <c r="QU87" s="5"/>
      <c r="QV87" s="5"/>
      <c r="QW87" s="5"/>
      <c r="QX87" s="5"/>
      <c r="QY87" s="5"/>
      <c r="QZ87" s="5"/>
      <c r="RA87" s="5"/>
      <c r="RB87" s="5"/>
      <c r="RC87" s="5"/>
      <c r="RD87" s="5"/>
      <c r="RE87" s="5"/>
      <c r="RF87" s="5"/>
      <c r="RG87" s="5"/>
      <c r="RH87" s="5"/>
      <c r="RI87" s="5"/>
      <c r="RJ87" s="5"/>
      <c r="RK87" s="5"/>
      <c r="RL87" s="5"/>
      <c r="RM87" s="5"/>
      <c r="RN87" s="5"/>
      <c r="RO87" s="5"/>
      <c r="RP87" s="5"/>
      <c r="RQ87" s="5"/>
      <c r="RR87" s="5"/>
      <c r="RS87" s="5"/>
      <c r="RT87" s="5"/>
      <c r="RU87" s="5"/>
      <c r="RV87" s="5"/>
      <c r="RW87" s="5"/>
      <c r="RX87" s="5"/>
      <c r="RY87" s="5"/>
      <c r="RZ87" s="5"/>
      <c r="SA87" s="5"/>
      <c r="SB87" s="5"/>
      <c r="SC87" s="5"/>
      <c r="SD87" s="5"/>
      <c r="SE87" s="5"/>
      <c r="SF87" s="5"/>
      <c r="SG87" s="5"/>
      <c r="SH87" s="5"/>
      <c r="SI87" s="5"/>
      <c r="SJ87" s="5"/>
      <c r="SK87" s="5"/>
      <c r="SL87" s="5"/>
      <c r="SM87" s="5"/>
      <c r="SN87" s="5"/>
      <c r="SO87" s="5"/>
      <c r="SP87" s="5"/>
      <c r="SQ87" s="5"/>
      <c r="SR87" s="5"/>
      <c r="SS87" s="5"/>
      <c r="ST87" s="5"/>
      <c r="SU87" s="5"/>
      <c r="SV87" s="5"/>
      <c r="SW87" s="5"/>
      <c r="SX87" s="5"/>
      <c r="SY87" s="5"/>
      <c r="SZ87" s="5"/>
      <c r="TA87" s="5"/>
      <c r="TB87" s="5"/>
      <c r="TC87" s="5"/>
      <c r="TD87" s="5"/>
      <c r="TE87" s="5"/>
      <c r="TF87" s="5"/>
      <c r="TG87" s="5"/>
      <c r="TH87" s="5"/>
      <c r="TI87" s="5"/>
      <c r="TJ87" s="5"/>
      <c r="TK87" s="5"/>
      <c r="TL87" s="5"/>
      <c r="TM87" s="5"/>
      <c r="TN87" s="5"/>
      <c r="TO87" s="5"/>
      <c r="TP87" s="5"/>
      <c r="TQ87" s="5"/>
      <c r="TR87" s="5"/>
      <c r="TS87" s="5"/>
      <c r="TT87" s="5"/>
      <c r="TU87" s="5"/>
      <c r="TV87" s="5"/>
      <c r="TW87" s="5"/>
      <c r="TX87" s="5"/>
      <c r="TY87" s="5"/>
      <c r="TZ87" s="5"/>
      <c r="UA87" s="5"/>
      <c r="UB87" s="5"/>
      <c r="UC87" s="5"/>
      <c r="UD87" s="5"/>
      <c r="UE87" s="5"/>
      <c r="UF87" s="5"/>
      <c r="UG87" s="5"/>
      <c r="UH87" s="5"/>
      <c r="UI87" s="5"/>
      <c r="UJ87" s="5"/>
      <c r="UK87" s="5"/>
      <c r="UL87" s="5"/>
      <c r="UM87" s="5"/>
      <c r="UN87" s="5"/>
      <c r="UO87" s="5"/>
      <c r="UP87" s="5"/>
      <c r="UQ87" s="5"/>
      <c r="UR87" s="5"/>
      <c r="US87" s="5"/>
      <c r="UT87" s="5"/>
      <c r="UU87" s="5"/>
      <c r="UV87" s="5"/>
      <c r="UW87" s="5"/>
      <c r="UX87" s="5"/>
      <c r="UY87" s="5"/>
      <c r="UZ87" s="5"/>
      <c r="VA87" s="5"/>
      <c r="VB87" s="5"/>
      <c r="VC87" s="5"/>
      <c r="VD87" s="5"/>
      <c r="VE87" s="5"/>
      <c r="VF87" s="5"/>
      <c r="VG87" s="5"/>
      <c r="VH87" s="5"/>
      <c r="VI87" s="5"/>
      <c r="VJ87" s="5"/>
      <c r="VK87" s="5"/>
      <c r="VL87" s="5"/>
      <c r="VM87" s="5"/>
      <c r="VN87" s="5"/>
      <c r="VO87" s="5"/>
      <c r="VP87" s="5"/>
      <c r="VQ87" s="5"/>
      <c r="VR87" s="5"/>
      <c r="VS87" s="5"/>
      <c r="VT87" s="5"/>
      <c r="VU87" s="5"/>
      <c r="VV87" s="5"/>
      <c r="VW87" s="5"/>
      <c r="VX87" s="5"/>
      <c r="VY87" s="5"/>
      <c r="VZ87" s="5"/>
      <c r="WA87" s="5"/>
      <c r="WB87" s="5"/>
      <c r="WC87" s="5"/>
      <c r="WD87" s="5"/>
      <c r="WE87" s="5"/>
      <c r="WF87" s="5"/>
      <c r="WG87" s="5"/>
      <c r="WH87" s="5"/>
      <c r="WI87" s="5"/>
      <c r="WJ87" s="5"/>
      <c r="WK87" s="5"/>
      <c r="WL87" s="5"/>
      <c r="WM87" s="5"/>
      <c r="WN87" s="5"/>
      <c r="WO87" s="5"/>
      <c r="WP87" s="5"/>
      <c r="WQ87" s="5"/>
      <c r="WR87" s="5"/>
      <c r="WS87" s="5"/>
      <c r="WT87" s="5"/>
      <c r="WU87" s="5"/>
      <c r="WV87" s="5"/>
      <c r="WW87" s="5"/>
      <c r="WX87" s="5"/>
      <c r="WY87" s="5"/>
      <c r="WZ87" s="5"/>
      <c r="XA87" s="5"/>
      <c r="XB87" s="5"/>
      <c r="XC87" s="5"/>
      <c r="XD87" s="5"/>
      <c r="XE87" s="5"/>
      <c r="XF87" s="5"/>
      <c r="XG87" s="5"/>
      <c r="XH87" s="5"/>
      <c r="XI87" s="5"/>
      <c r="XJ87" s="5"/>
      <c r="XK87" s="5"/>
      <c r="XL87" s="5"/>
      <c r="XM87" s="5"/>
      <c r="XN87" s="5"/>
      <c r="XO87" s="5"/>
      <c r="XP87" s="5"/>
      <c r="XQ87" s="5"/>
      <c r="XR87" s="5"/>
      <c r="XS87" s="5"/>
      <c r="XT87" s="5"/>
      <c r="XU87" s="5"/>
      <c r="XV87" s="5"/>
      <c r="XW87" s="5"/>
      <c r="XX87" s="5"/>
      <c r="XY87" s="5"/>
      <c r="XZ87" s="5"/>
      <c r="YA87" s="5"/>
      <c r="YB87" s="5"/>
      <c r="YC87" s="5"/>
      <c r="YD87" s="5"/>
      <c r="YE87" s="5"/>
      <c r="YF87" s="5"/>
      <c r="YG87" s="5"/>
      <c r="YH87" s="5"/>
      <c r="YI87" s="5"/>
      <c r="YJ87" s="5"/>
      <c r="YK87" s="5"/>
      <c r="YL87" s="5"/>
      <c r="YM87" s="5"/>
      <c r="YN87" s="5"/>
      <c r="YO87" s="5"/>
      <c r="YP87" s="5"/>
      <c r="YQ87" s="5"/>
      <c r="YR87" s="5"/>
      <c r="YS87" s="5"/>
      <c r="YT87" s="5"/>
      <c r="YU87" s="5"/>
      <c r="YV87" s="5"/>
      <c r="YW87" s="5"/>
      <c r="YX87" s="5"/>
      <c r="YY87" s="5"/>
      <c r="YZ87" s="5"/>
    </row>
    <row r="88" spans="1:676">
      <c r="A88" s="7">
        <v>78</v>
      </c>
      <c r="B88" s="7" t="s">
        <v>223</v>
      </c>
      <c r="C88" s="10" t="s">
        <v>224</v>
      </c>
      <c r="D88" s="7" t="s">
        <v>54</v>
      </c>
      <c r="E88" s="7" t="s">
        <v>209</v>
      </c>
      <c r="F88" s="7" t="s">
        <v>206</v>
      </c>
      <c r="G88" s="7"/>
      <c r="H88" s="7" t="s">
        <v>43</v>
      </c>
      <c r="I88" s="11">
        <v>2</v>
      </c>
      <c r="J88" s="11">
        <v>3</v>
      </c>
      <c r="K88" s="11">
        <v>0</v>
      </c>
      <c r="L88" s="11">
        <v>5.419999999999998</v>
      </c>
      <c r="M88" s="11">
        <v>0.32</v>
      </c>
      <c r="N88" s="11">
        <v>0</v>
      </c>
      <c r="O88" s="11">
        <v>0.7000000000000001</v>
      </c>
      <c r="P88" s="11">
        <v>0</v>
      </c>
      <c r="Q88" s="11">
        <v>6.439999999999999</v>
      </c>
      <c r="R88" s="11">
        <v>0</v>
      </c>
      <c r="S88" s="11">
        <v>6.439999999999999</v>
      </c>
      <c r="T88" s="11">
        <v>2</v>
      </c>
      <c r="U88" s="11">
        <v>3</v>
      </c>
      <c r="V88" s="11">
        <v>1.439999999999999</v>
      </c>
      <c r="W88" s="13">
        <v>2</v>
      </c>
      <c r="X88" s="13">
        <v>3</v>
      </c>
      <c r="Y88" s="13" t="str">
        <f>MIN(W88,S88)</f>
        <v>0</v>
      </c>
      <c r="Z88" s="13" t="str">
        <f>MIN(X88,(S88-Y88))</f>
        <v>0</v>
      </c>
      <c r="AA88" s="13" t="str">
        <f>S88-SUM(Y88,Z88)</f>
        <v>0</v>
      </c>
      <c r="AB88" s="15"/>
      <c r="AC88" s="15"/>
      <c r="AD88" s="1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  <c r="FA88" s="5"/>
      <c r="FB88" s="5"/>
      <c r="FC88" s="5"/>
      <c r="FD88" s="5"/>
      <c r="FE88" s="5"/>
      <c r="FF88" s="5"/>
      <c r="FG88" s="5"/>
      <c r="FH88" s="5"/>
      <c r="FI88" s="5"/>
      <c r="FJ88" s="5"/>
      <c r="FK88" s="5"/>
      <c r="FL88" s="5"/>
      <c r="FM88" s="5"/>
      <c r="FN88" s="5"/>
      <c r="FO88" s="5"/>
      <c r="FP88" s="5"/>
      <c r="FQ88" s="5"/>
      <c r="FR88" s="5"/>
      <c r="FS88" s="5"/>
      <c r="FT88" s="5"/>
      <c r="FU88" s="5"/>
      <c r="FV88" s="5"/>
      <c r="FW88" s="5"/>
      <c r="FX88" s="5"/>
      <c r="FY88" s="5"/>
      <c r="FZ88" s="5"/>
      <c r="GA88" s="5"/>
      <c r="GB88" s="5"/>
      <c r="GC88" s="5"/>
      <c r="GD88" s="5"/>
      <c r="GE88" s="5"/>
      <c r="GF88" s="5"/>
      <c r="GG88" s="5"/>
      <c r="GH88" s="5"/>
      <c r="GI88" s="5"/>
      <c r="GJ88" s="5"/>
      <c r="GK88" s="5"/>
      <c r="GL88" s="5"/>
      <c r="GM88" s="5"/>
      <c r="GN88" s="5"/>
      <c r="GO88" s="5"/>
      <c r="GP88" s="5"/>
      <c r="GQ88" s="5"/>
      <c r="GR88" s="5"/>
      <c r="GS88" s="5"/>
      <c r="GT88" s="5"/>
      <c r="GU88" s="5"/>
      <c r="GV88" s="5"/>
      <c r="GW88" s="5"/>
      <c r="GX88" s="5"/>
      <c r="GY88" s="5"/>
      <c r="GZ88" s="5"/>
      <c r="HA88" s="5"/>
      <c r="HB88" s="5"/>
      <c r="HC88" s="5"/>
      <c r="HD88" s="5"/>
      <c r="HE88" s="5"/>
      <c r="HF88" s="5"/>
      <c r="HG88" s="5"/>
      <c r="HH88" s="5"/>
      <c r="HI88" s="5"/>
      <c r="HJ88" s="5"/>
      <c r="HK88" s="5"/>
      <c r="HL88" s="5"/>
      <c r="HM88" s="5"/>
      <c r="HN88" s="5"/>
      <c r="HO88" s="5"/>
      <c r="HP88" s="5"/>
      <c r="HQ88" s="5"/>
      <c r="HR88" s="5"/>
      <c r="HS88" s="5"/>
      <c r="HT88" s="5"/>
      <c r="HU88" s="5"/>
      <c r="HV88" s="5"/>
      <c r="HW88" s="5"/>
      <c r="HX88" s="5"/>
      <c r="HY88" s="5"/>
      <c r="HZ88" s="5"/>
      <c r="IA88" s="5"/>
      <c r="IB88" s="5"/>
      <c r="IC88" s="5"/>
      <c r="ID88" s="5"/>
      <c r="IE88" s="5"/>
      <c r="IF88" s="5"/>
      <c r="IG88" s="5"/>
      <c r="IH88" s="5"/>
      <c r="II88" s="5"/>
      <c r="IJ88" s="5"/>
      <c r="IK88" s="5"/>
      <c r="IL88" s="5"/>
      <c r="IM88" s="5"/>
      <c r="IN88" s="5"/>
      <c r="IO88" s="5"/>
      <c r="IP88" s="5"/>
      <c r="IQ88" s="5"/>
      <c r="IR88" s="5"/>
      <c r="IS88" s="5"/>
      <c r="IT88" s="5"/>
      <c r="IU88" s="5"/>
      <c r="IV88" s="5"/>
      <c r="IW88" s="5"/>
      <c r="IX88" s="5"/>
      <c r="IY88" s="5"/>
      <c r="IZ88" s="5"/>
      <c r="JA88" s="5"/>
      <c r="JB88" s="5"/>
      <c r="JC88" s="5"/>
      <c r="JD88" s="5"/>
      <c r="JE88" s="5"/>
      <c r="JF88" s="5"/>
      <c r="JG88" s="5"/>
      <c r="JH88" s="5"/>
      <c r="JI88" s="5"/>
      <c r="JJ88" s="5"/>
      <c r="JK88" s="5"/>
      <c r="JL88" s="5"/>
      <c r="JM88" s="5"/>
      <c r="JN88" s="5"/>
      <c r="JO88" s="5"/>
      <c r="JP88" s="5"/>
      <c r="JQ88" s="5"/>
      <c r="JR88" s="5"/>
      <c r="JS88" s="5"/>
      <c r="JT88" s="5"/>
      <c r="JU88" s="5"/>
      <c r="JV88" s="5"/>
      <c r="JW88" s="5"/>
      <c r="JX88" s="5"/>
      <c r="JY88" s="5"/>
      <c r="JZ88" s="5"/>
      <c r="KA88" s="5"/>
      <c r="KB88" s="5"/>
      <c r="KC88" s="5"/>
      <c r="KD88" s="5"/>
      <c r="KE88" s="5"/>
      <c r="KF88" s="5"/>
      <c r="KG88" s="5"/>
      <c r="KH88" s="5"/>
      <c r="KI88" s="5"/>
      <c r="KJ88" s="5"/>
      <c r="KK88" s="5"/>
      <c r="KL88" s="5"/>
      <c r="KM88" s="5"/>
      <c r="KN88" s="5"/>
      <c r="KO88" s="5"/>
      <c r="KP88" s="5"/>
      <c r="KQ88" s="5"/>
      <c r="KR88" s="5"/>
      <c r="KS88" s="5"/>
      <c r="KT88" s="5"/>
      <c r="KU88" s="5"/>
      <c r="KV88" s="5"/>
      <c r="KW88" s="5"/>
      <c r="KX88" s="5"/>
      <c r="KY88" s="5"/>
      <c r="KZ88" s="5"/>
      <c r="LA88" s="5"/>
      <c r="LB88" s="5"/>
      <c r="LC88" s="5"/>
      <c r="LD88" s="5"/>
      <c r="LE88" s="5"/>
      <c r="LF88" s="5"/>
      <c r="LG88" s="5"/>
      <c r="LH88" s="5"/>
      <c r="LI88" s="5"/>
      <c r="LJ88" s="5"/>
      <c r="LK88" s="5"/>
      <c r="LL88" s="5"/>
      <c r="LM88" s="5"/>
      <c r="LN88" s="5"/>
      <c r="LO88" s="5"/>
      <c r="LP88" s="5"/>
      <c r="LQ88" s="5"/>
      <c r="LR88" s="5"/>
      <c r="LS88" s="5"/>
      <c r="LT88" s="5"/>
      <c r="LU88" s="5"/>
      <c r="LV88" s="5"/>
      <c r="LW88" s="5"/>
      <c r="LX88" s="5"/>
      <c r="LY88" s="5"/>
      <c r="LZ88" s="5"/>
      <c r="MA88" s="5"/>
      <c r="MB88" s="5"/>
      <c r="MC88" s="5"/>
      <c r="MD88" s="5"/>
      <c r="ME88" s="5"/>
      <c r="MF88" s="5"/>
      <c r="MG88" s="5"/>
      <c r="MH88" s="5"/>
      <c r="MI88" s="5"/>
      <c r="MJ88" s="5"/>
      <c r="MK88" s="5"/>
      <c r="ML88" s="5"/>
      <c r="MM88" s="5"/>
      <c r="MN88" s="5"/>
      <c r="MO88" s="5"/>
      <c r="MP88" s="5"/>
      <c r="MQ88" s="5"/>
      <c r="MR88" s="5"/>
      <c r="MS88" s="5"/>
      <c r="MT88" s="5"/>
      <c r="MU88" s="5"/>
      <c r="MV88" s="5"/>
      <c r="MW88" s="5"/>
      <c r="MX88" s="5"/>
      <c r="MY88" s="5"/>
      <c r="MZ88" s="5"/>
      <c r="NA88" s="5"/>
      <c r="NB88" s="5"/>
      <c r="NC88" s="5"/>
      <c r="ND88" s="5"/>
      <c r="NE88" s="5"/>
      <c r="NF88" s="5"/>
      <c r="NG88" s="5"/>
      <c r="NH88" s="5"/>
      <c r="NI88" s="5"/>
      <c r="NJ88" s="5"/>
      <c r="NK88" s="5"/>
      <c r="NL88" s="5"/>
      <c r="NM88" s="5"/>
      <c r="NN88" s="5"/>
      <c r="NO88" s="5"/>
      <c r="NP88" s="5"/>
      <c r="NQ88" s="5"/>
      <c r="NR88" s="5"/>
      <c r="NS88" s="5"/>
      <c r="NT88" s="5"/>
      <c r="NU88" s="5"/>
      <c r="NV88" s="5"/>
      <c r="NW88" s="5"/>
      <c r="NX88" s="5"/>
      <c r="NY88" s="5"/>
      <c r="NZ88" s="5"/>
      <c r="OA88" s="5"/>
      <c r="OB88" s="5"/>
      <c r="OC88" s="5"/>
      <c r="OD88" s="5"/>
      <c r="OE88" s="5"/>
      <c r="OF88" s="5"/>
      <c r="OG88" s="5"/>
      <c r="OH88" s="5"/>
      <c r="OI88" s="5"/>
      <c r="OJ88" s="5"/>
      <c r="OK88" s="5"/>
      <c r="OL88" s="5"/>
      <c r="OM88" s="5"/>
      <c r="ON88" s="5"/>
      <c r="OO88" s="5"/>
      <c r="OP88" s="5"/>
      <c r="OQ88" s="5"/>
      <c r="OR88" s="5"/>
      <c r="OS88" s="5"/>
      <c r="OT88" s="5"/>
      <c r="OU88" s="5"/>
      <c r="OV88" s="5"/>
      <c r="OW88" s="5"/>
      <c r="OX88" s="5"/>
      <c r="OY88" s="5"/>
      <c r="OZ88" s="5"/>
      <c r="PA88" s="5"/>
      <c r="PB88" s="5"/>
      <c r="PC88" s="5"/>
      <c r="PD88" s="5"/>
      <c r="PE88" s="5"/>
      <c r="PF88" s="5"/>
      <c r="PG88" s="5"/>
      <c r="PH88" s="5"/>
      <c r="PI88" s="5"/>
      <c r="PJ88" s="5"/>
      <c r="PK88" s="5"/>
      <c r="PL88" s="5"/>
      <c r="PM88" s="5"/>
      <c r="PN88" s="5"/>
      <c r="PO88" s="5"/>
      <c r="PP88" s="5"/>
      <c r="PQ88" s="5"/>
      <c r="PR88" s="5"/>
      <c r="PS88" s="5"/>
      <c r="PT88" s="5"/>
      <c r="PU88" s="5"/>
      <c r="PV88" s="5"/>
      <c r="PW88" s="5"/>
      <c r="PX88" s="5"/>
      <c r="PY88" s="5"/>
      <c r="PZ88" s="5"/>
      <c r="QA88" s="5"/>
      <c r="QB88" s="5"/>
      <c r="QC88" s="5"/>
      <c r="QD88" s="5"/>
      <c r="QE88" s="5"/>
      <c r="QF88" s="5"/>
      <c r="QG88" s="5"/>
      <c r="QH88" s="5"/>
      <c r="QI88" s="5"/>
      <c r="QJ88" s="5"/>
      <c r="QK88" s="5"/>
      <c r="QL88" s="5"/>
      <c r="QM88" s="5"/>
      <c r="QN88" s="5"/>
      <c r="QO88" s="5"/>
      <c r="QP88" s="5"/>
      <c r="QQ88" s="5"/>
      <c r="QR88" s="5"/>
      <c r="QS88" s="5"/>
      <c r="QT88" s="5"/>
      <c r="QU88" s="5"/>
      <c r="QV88" s="5"/>
      <c r="QW88" s="5"/>
      <c r="QX88" s="5"/>
      <c r="QY88" s="5"/>
      <c r="QZ88" s="5"/>
      <c r="RA88" s="5"/>
      <c r="RB88" s="5"/>
      <c r="RC88" s="5"/>
      <c r="RD88" s="5"/>
      <c r="RE88" s="5"/>
      <c r="RF88" s="5"/>
      <c r="RG88" s="5"/>
      <c r="RH88" s="5"/>
      <c r="RI88" s="5"/>
      <c r="RJ88" s="5"/>
      <c r="RK88" s="5"/>
      <c r="RL88" s="5"/>
      <c r="RM88" s="5"/>
      <c r="RN88" s="5"/>
      <c r="RO88" s="5"/>
      <c r="RP88" s="5"/>
      <c r="RQ88" s="5"/>
      <c r="RR88" s="5"/>
      <c r="RS88" s="5"/>
      <c r="RT88" s="5"/>
      <c r="RU88" s="5"/>
      <c r="RV88" s="5"/>
      <c r="RW88" s="5"/>
      <c r="RX88" s="5"/>
      <c r="RY88" s="5"/>
      <c r="RZ88" s="5"/>
      <c r="SA88" s="5"/>
      <c r="SB88" s="5"/>
      <c r="SC88" s="5"/>
      <c r="SD88" s="5"/>
      <c r="SE88" s="5"/>
      <c r="SF88" s="5"/>
      <c r="SG88" s="5"/>
      <c r="SH88" s="5"/>
      <c r="SI88" s="5"/>
      <c r="SJ88" s="5"/>
      <c r="SK88" s="5"/>
      <c r="SL88" s="5"/>
      <c r="SM88" s="5"/>
      <c r="SN88" s="5"/>
      <c r="SO88" s="5"/>
      <c r="SP88" s="5"/>
      <c r="SQ88" s="5"/>
      <c r="SR88" s="5"/>
      <c r="SS88" s="5"/>
      <c r="ST88" s="5"/>
      <c r="SU88" s="5"/>
      <c r="SV88" s="5"/>
      <c r="SW88" s="5"/>
      <c r="SX88" s="5"/>
      <c r="SY88" s="5"/>
      <c r="SZ88" s="5"/>
      <c r="TA88" s="5"/>
      <c r="TB88" s="5"/>
      <c r="TC88" s="5"/>
      <c r="TD88" s="5"/>
      <c r="TE88" s="5"/>
      <c r="TF88" s="5"/>
      <c r="TG88" s="5"/>
      <c r="TH88" s="5"/>
      <c r="TI88" s="5"/>
      <c r="TJ88" s="5"/>
      <c r="TK88" s="5"/>
      <c r="TL88" s="5"/>
      <c r="TM88" s="5"/>
      <c r="TN88" s="5"/>
      <c r="TO88" s="5"/>
      <c r="TP88" s="5"/>
      <c r="TQ88" s="5"/>
      <c r="TR88" s="5"/>
      <c r="TS88" s="5"/>
      <c r="TT88" s="5"/>
      <c r="TU88" s="5"/>
      <c r="TV88" s="5"/>
      <c r="TW88" s="5"/>
      <c r="TX88" s="5"/>
      <c r="TY88" s="5"/>
      <c r="TZ88" s="5"/>
      <c r="UA88" s="5"/>
      <c r="UB88" s="5"/>
      <c r="UC88" s="5"/>
      <c r="UD88" s="5"/>
      <c r="UE88" s="5"/>
      <c r="UF88" s="5"/>
      <c r="UG88" s="5"/>
      <c r="UH88" s="5"/>
      <c r="UI88" s="5"/>
      <c r="UJ88" s="5"/>
      <c r="UK88" s="5"/>
      <c r="UL88" s="5"/>
      <c r="UM88" s="5"/>
      <c r="UN88" s="5"/>
      <c r="UO88" s="5"/>
      <c r="UP88" s="5"/>
      <c r="UQ88" s="5"/>
      <c r="UR88" s="5"/>
      <c r="US88" s="5"/>
      <c r="UT88" s="5"/>
      <c r="UU88" s="5"/>
      <c r="UV88" s="5"/>
      <c r="UW88" s="5"/>
      <c r="UX88" s="5"/>
      <c r="UY88" s="5"/>
      <c r="UZ88" s="5"/>
      <c r="VA88" s="5"/>
      <c r="VB88" s="5"/>
      <c r="VC88" s="5"/>
      <c r="VD88" s="5"/>
      <c r="VE88" s="5"/>
      <c r="VF88" s="5"/>
      <c r="VG88" s="5"/>
      <c r="VH88" s="5"/>
      <c r="VI88" s="5"/>
      <c r="VJ88" s="5"/>
      <c r="VK88" s="5"/>
      <c r="VL88" s="5"/>
      <c r="VM88" s="5"/>
      <c r="VN88" s="5"/>
      <c r="VO88" s="5"/>
      <c r="VP88" s="5"/>
      <c r="VQ88" s="5"/>
      <c r="VR88" s="5"/>
      <c r="VS88" s="5"/>
      <c r="VT88" s="5"/>
      <c r="VU88" s="5"/>
      <c r="VV88" s="5"/>
      <c r="VW88" s="5"/>
      <c r="VX88" s="5"/>
      <c r="VY88" s="5"/>
      <c r="VZ88" s="5"/>
      <c r="WA88" s="5"/>
      <c r="WB88" s="5"/>
      <c r="WC88" s="5"/>
      <c r="WD88" s="5"/>
      <c r="WE88" s="5"/>
      <c r="WF88" s="5"/>
      <c r="WG88" s="5"/>
      <c r="WH88" s="5"/>
      <c r="WI88" s="5"/>
      <c r="WJ88" s="5"/>
      <c r="WK88" s="5"/>
      <c r="WL88" s="5"/>
      <c r="WM88" s="5"/>
      <c r="WN88" s="5"/>
      <c r="WO88" s="5"/>
      <c r="WP88" s="5"/>
      <c r="WQ88" s="5"/>
      <c r="WR88" s="5"/>
      <c r="WS88" s="5"/>
      <c r="WT88" s="5"/>
      <c r="WU88" s="5"/>
      <c r="WV88" s="5"/>
      <c r="WW88" s="5"/>
      <c r="WX88" s="5"/>
      <c r="WY88" s="5"/>
      <c r="WZ88" s="5"/>
      <c r="XA88" s="5"/>
      <c r="XB88" s="5"/>
      <c r="XC88" s="5"/>
      <c r="XD88" s="5"/>
      <c r="XE88" s="5"/>
      <c r="XF88" s="5"/>
      <c r="XG88" s="5"/>
      <c r="XH88" s="5"/>
      <c r="XI88" s="5"/>
      <c r="XJ88" s="5"/>
      <c r="XK88" s="5"/>
      <c r="XL88" s="5"/>
      <c r="XM88" s="5"/>
      <c r="XN88" s="5"/>
      <c r="XO88" s="5"/>
      <c r="XP88" s="5"/>
      <c r="XQ88" s="5"/>
      <c r="XR88" s="5"/>
      <c r="XS88" s="5"/>
      <c r="XT88" s="5"/>
      <c r="XU88" s="5"/>
      <c r="XV88" s="5"/>
      <c r="XW88" s="5"/>
      <c r="XX88" s="5"/>
      <c r="XY88" s="5"/>
      <c r="XZ88" s="5"/>
      <c r="YA88" s="5"/>
      <c r="YB88" s="5"/>
      <c r="YC88" s="5"/>
      <c r="YD88" s="5"/>
      <c r="YE88" s="5"/>
      <c r="YF88" s="5"/>
      <c r="YG88" s="5"/>
      <c r="YH88" s="5"/>
      <c r="YI88" s="5"/>
      <c r="YJ88" s="5"/>
      <c r="YK88" s="5"/>
      <c r="YL88" s="5"/>
      <c r="YM88" s="5"/>
      <c r="YN88" s="5"/>
      <c r="YO88" s="5"/>
      <c r="YP88" s="5"/>
      <c r="YQ88" s="5"/>
      <c r="YR88" s="5"/>
      <c r="YS88" s="5"/>
      <c r="YT88" s="5"/>
      <c r="YU88" s="5"/>
      <c r="YV88" s="5"/>
      <c r="YW88" s="5"/>
      <c r="YX88" s="5"/>
      <c r="YY88" s="5"/>
      <c r="YZ88" s="5"/>
    </row>
    <row r="89" spans="1:676">
      <c r="A89" s="7">
        <v>79</v>
      </c>
      <c r="B89" s="7" t="s">
        <v>225</v>
      </c>
      <c r="C89" s="10" t="s">
        <v>226</v>
      </c>
      <c r="D89" s="7" t="s">
        <v>54</v>
      </c>
      <c r="E89" s="7" t="s">
        <v>205</v>
      </c>
      <c r="F89" s="7" t="s">
        <v>206</v>
      </c>
      <c r="G89" s="7"/>
      <c r="H89" s="7" t="s">
        <v>43</v>
      </c>
      <c r="I89" s="11">
        <v>2</v>
      </c>
      <c r="J89" s="11">
        <v>3</v>
      </c>
      <c r="K89" s="11">
        <v>0</v>
      </c>
      <c r="L89" s="11">
        <v>4.899999999999999</v>
      </c>
      <c r="M89" s="11">
        <v>0.49</v>
      </c>
      <c r="N89" s="11">
        <v>0</v>
      </c>
      <c r="O89" s="11">
        <v>0.7000000000000001</v>
      </c>
      <c r="P89" s="11">
        <v>0</v>
      </c>
      <c r="Q89" s="11">
        <v>6.089999999999998</v>
      </c>
      <c r="R89" s="11">
        <v>0</v>
      </c>
      <c r="S89" s="11">
        <v>6.089999999999998</v>
      </c>
      <c r="T89" s="11">
        <v>2</v>
      </c>
      <c r="U89" s="11">
        <v>3</v>
      </c>
      <c r="V89" s="11">
        <v>1.089999999999998</v>
      </c>
      <c r="W89" s="13">
        <v>2</v>
      </c>
      <c r="X89" s="13">
        <v>3</v>
      </c>
      <c r="Y89" s="13" t="str">
        <f>MIN(W89,S89)</f>
        <v>0</v>
      </c>
      <c r="Z89" s="13" t="str">
        <f>MIN(X89,(S89-Y89))</f>
        <v>0</v>
      </c>
      <c r="AA89" s="13" t="str">
        <f>S89-SUM(Y89,Z89)</f>
        <v>0</v>
      </c>
      <c r="AB89" s="15"/>
      <c r="AC89" s="15"/>
      <c r="AD89" s="1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5"/>
      <c r="EB89" s="5"/>
      <c r="EC89" s="5"/>
      <c r="ED89" s="5"/>
      <c r="EE89" s="5"/>
      <c r="EF89" s="5"/>
      <c r="EG89" s="5"/>
      <c r="EH89" s="5"/>
      <c r="EI89" s="5"/>
      <c r="EJ89" s="5"/>
      <c r="EK89" s="5"/>
      <c r="EL89" s="5"/>
      <c r="EM89" s="5"/>
      <c r="EN89" s="5"/>
      <c r="EO89" s="5"/>
      <c r="EP89" s="5"/>
      <c r="EQ89" s="5"/>
      <c r="ER89" s="5"/>
      <c r="ES89" s="5"/>
      <c r="ET89" s="5"/>
      <c r="EU89" s="5"/>
      <c r="EV89" s="5"/>
      <c r="EW89" s="5"/>
      <c r="EX89" s="5"/>
      <c r="EY89" s="5"/>
      <c r="EZ89" s="5"/>
      <c r="FA89" s="5"/>
      <c r="FB89" s="5"/>
      <c r="FC89" s="5"/>
      <c r="FD89" s="5"/>
      <c r="FE89" s="5"/>
      <c r="FF89" s="5"/>
      <c r="FG89" s="5"/>
      <c r="FH89" s="5"/>
      <c r="FI89" s="5"/>
      <c r="FJ89" s="5"/>
      <c r="FK89" s="5"/>
      <c r="FL89" s="5"/>
      <c r="FM89" s="5"/>
      <c r="FN89" s="5"/>
      <c r="FO89" s="5"/>
      <c r="FP89" s="5"/>
      <c r="FQ89" s="5"/>
      <c r="FR89" s="5"/>
      <c r="FS89" s="5"/>
      <c r="FT89" s="5"/>
      <c r="FU89" s="5"/>
      <c r="FV89" s="5"/>
      <c r="FW89" s="5"/>
      <c r="FX89" s="5"/>
      <c r="FY89" s="5"/>
      <c r="FZ89" s="5"/>
      <c r="GA89" s="5"/>
      <c r="GB89" s="5"/>
      <c r="GC89" s="5"/>
      <c r="GD89" s="5"/>
      <c r="GE89" s="5"/>
      <c r="GF89" s="5"/>
      <c r="GG89" s="5"/>
      <c r="GH89" s="5"/>
      <c r="GI89" s="5"/>
      <c r="GJ89" s="5"/>
      <c r="GK89" s="5"/>
      <c r="GL89" s="5"/>
      <c r="GM89" s="5"/>
      <c r="GN89" s="5"/>
      <c r="GO89" s="5"/>
      <c r="GP89" s="5"/>
      <c r="GQ89" s="5"/>
      <c r="GR89" s="5"/>
      <c r="GS89" s="5"/>
      <c r="GT89" s="5"/>
      <c r="GU89" s="5"/>
      <c r="GV89" s="5"/>
      <c r="GW89" s="5"/>
      <c r="GX89" s="5"/>
      <c r="GY89" s="5"/>
      <c r="GZ89" s="5"/>
      <c r="HA89" s="5"/>
      <c r="HB89" s="5"/>
      <c r="HC89" s="5"/>
      <c r="HD89" s="5"/>
      <c r="HE89" s="5"/>
      <c r="HF89" s="5"/>
      <c r="HG89" s="5"/>
      <c r="HH89" s="5"/>
      <c r="HI89" s="5"/>
      <c r="HJ89" s="5"/>
      <c r="HK89" s="5"/>
      <c r="HL89" s="5"/>
      <c r="HM89" s="5"/>
      <c r="HN89" s="5"/>
      <c r="HO89" s="5"/>
      <c r="HP89" s="5"/>
      <c r="HQ89" s="5"/>
      <c r="HR89" s="5"/>
      <c r="HS89" s="5"/>
      <c r="HT89" s="5"/>
      <c r="HU89" s="5"/>
      <c r="HV89" s="5"/>
      <c r="HW89" s="5"/>
      <c r="HX89" s="5"/>
      <c r="HY89" s="5"/>
      <c r="HZ89" s="5"/>
      <c r="IA89" s="5"/>
      <c r="IB89" s="5"/>
      <c r="IC89" s="5"/>
      <c r="ID89" s="5"/>
      <c r="IE89" s="5"/>
      <c r="IF89" s="5"/>
      <c r="IG89" s="5"/>
      <c r="IH89" s="5"/>
      <c r="II89" s="5"/>
      <c r="IJ89" s="5"/>
      <c r="IK89" s="5"/>
      <c r="IL89" s="5"/>
      <c r="IM89" s="5"/>
      <c r="IN89" s="5"/>
      <c r="IO89" s="5"/>
      <c r="IP89" s="5"/>
      <c r="IQ89" s="5"/>
      <c r="IR89" s="5"/>
      <c r="IS89" s="5"/>
      <c r="IT89" s="5"/>
      <c r="IU89" s="5"/>
      <c r="IV89" s="5"/>
      <c r="IW89" s="5"/>
      <c r="IX89" s="5"/>
      <c r="IY89" s="5"/>
      <c r="IZ89" s="5"/>
      <c r="JA89" s="5"/>
      <c r="JB89" s="5"/>
      <c r="JC89" s="5"/>
      <c r="JD89" s="5"/>
      <c r="JE89" s="5"/>
      <c r="JF89" s="5"/>
      <c r="JG89" s="5"/>
      <c r="JH89" s="5"/>
      <c r="JI89" s="5"/>
      <c r="JJ89" s="5"/>
      <c r="JK89" s="5"/>
      <c r="JL89" s="5"/>
      <c r="JM89" s="5"/>
      <c r="JN89" s="5"/>
      <c r="JO89" s="5"/>
      <c r="JP89" s="5"/>
      <c r="JQ89" s="5"/>
      <c r="JR89" s="5"/>
      <c r="JS89" s="5"/>
      <c r="JT89" s="5"/>
      <c r="JU89" s="5"/>
      <c r="JV89" s="5"/>
      <c r="JW89" s="5"/>
      <c r="JX89" s="5"/>
      <c r="JY89" s="5"/>
      <c r="JZ89" s="5"/>
      <c r="KA89" s="5"/>
      <c r="KB89" s="5"/>
      <c r="KC89" s="5"/>
      <c r="KD89" s="5"/>
      <c r="KE89" s="5"/>
      <c r="KF89" s="5"/>
      <c r="KG89" s="5"/>
      <c r="KH89" s="5"/>
      <c r="KI89" s="5"/>
      <c r="KJ89" s="5"/>
      <c r="KK89" s="5"/>
      <c r="KL89" s="5"/>
      <c r="KM89" s="5"/>
      <c r="KN89" s="5"/>
      <c r="KO89" s="5"/>
      <c r="KP89" s="5"/>
      <c r="KQ89" s="5"/>
      <c r="KR89" s="5"/>
      <c r="KS89" s="5"/>
      <c r="KT89" s="5"/>
      <c r="KU89" s="5"/>
      <c r="KV89" s="5"/>
      <c r="KW89" s="5"/>
      <c r="KX89" s="5"/>
      <c r="KY89" s="5"/>
      <c r="KZ89" s="5"/>
      <c r="LA89" s="5"/>
      <c r="LB89" s="5"/>
      <c r="LC89" s="5"/>
      <c r="LD89" s="5"/>
      <c r="LE89" s="5"/>
      <c r="LF89" s="5"/>
      <c r="LG89" s="5"/>
      <c r="LH89" s="5"/>
      <c r="LI89" s="5"/>
      <c r="LJ89" s="5"/>
      <c r="LK89" s="5"/>
      <c r="LL89" s="5"/>
      <c r="LM89" s="5"/>
      <c r="LN89" s="5"/>
      <c r="LO89" s="5"/>
      <c r="LP89" s="5"/>
      <c r="LQ89" s="5"/>
      <c r="LR89" s="5"/>
      <c r="LS89" s="5"/>
      <c r="LT89" s="5"/>
      <c r="LU89" s="5"/>
      <c r="LV89" s="5"/>
      <c r="LW89" s="5"/>
      <c r="LX89" s="5"/>
      <c r="LY89" s="5"/>
      <c r="LZ89" s="5"/>
      <c r="MA89" s="5"/>
      <c r="MB89" s="5"/>
      <c r="MC89" s="5"/>
      <c r="MD89" s="5"/>
      <c r="ME89" s="5"/>
      <c r="MF89" s="5"/>
      <c r="MG89" s="5"/>
      <c r="MH89" s="5"/>
      <c r="MI89" s="5"/>
      <c r="MJ89" s="5"/>
      <c r="MK89" s="5"/>
      <c r="ML89" s="5"/>
      <c r="MM89" s="5"/>
      <c r="MN89" s="5"/>
      <c r="MO89" s="5"/>
      <c r="MP89" s="5"/>
      <c r="MQ89" s="5"/>
      <c r="MR89" s="5"/>
      <c r="MS89" s="5"/>
      <c r="MT89" s="5"/>
      <c r="MU89" s="5"/>
      <c r="MV89" s="5"/>
      <c r="MW89" s="5"/>
      <c r="MX89" s="5"/>
      <c r="MY89" s="5"/>
      <c r="MZ89" s="5"/>
      <c r="NA89" s="5"/>
      <c r="NB89" s="5"/>
      <c r="NC89" s="5"/>
      <c r="ND89" s="5"/>
      <c r="NE89" s="5"/>
      <c r="NF89" s="5"/>
      <c r="NG89" s="5"/>
      <c r="NH89" s="5"/>
      <c r="NI89" s="5"/>
      <c r="NJ89" s="5"/>
      <c r="NK89" s="5"/>
      <c r="NL89" s="5"/>
      <c r="NM89" s="5"/>
      <c r="NN89" s="5"/>
      <c r="NO89" s="5"/>
      <c r="NP89" s="5"/>
      <c r="NQ89" s="5"/>
      <c r="NR89" s="5"/>
      <c r="NS89" s="5"/>
      <c r="NT89" s="5"/>
      <c r="NU89" s="5"/>
      <c r="NV89" s="5"/>
      <c r="NW89" s="5"/>
      <c r="NX89" s="5"/>
      <c r="NY89" s="5"/>
      <c r="NZ89" s="5"/>
      <c r="OA89" s="5"/>
      <c r="OB89" s="5"/>
      <c r="OC89" s="5"/>
      <c r="OD89" s="5"/>
      <c r="OE89" s="5"/>
      <c r="OF89" s="5"/>
      <c r="OG89" s="5"/>
      <c r="OH89" s="5"/>
      <c r="OI89" s="5"/>
      <c r="OJ89" s="5"/>
      <c r="OK89" s="5"/>
      <c r="OL89" s="5"/>
      <c r="OM89" s="5"/>
      <c r="ON89" s="5"/>
      <c r="OO89" s="5"/>
      <c r="OP89" s="5"/>
      <c r="OQ89" s="5"/>
      <c r="OR89" s="5"/>
      <c r="OS89" s="5"/>
      <c r="OT89" s="5"/>
      <c r="OU89" s="5"/>
      <c r="OV89" s="5"/>
      <c r="OW89" s="5"/>
      <c r="OX89" s="5"/>
      <c r="OY89" s="5"/>
      <c r="OZ89" s="5"/>
      <c r="PA89" s="5"/>
      <c r="PB89" s="5"/>
      <c r="PC89" s="5"/>
      <c r="PD89" s="5"/>
      <c r="PE89" s="5"/>
      <c r="PF89" s="5"/>
      <c r="PG89" s="5"/>
      <c r="PH89" s="5"/>
      <c r="PI89" s="5"/>
      <c r="PJ89" s="5"/>
      <c r="PK89" s="5"/>
      <c r="PL89" s="5"/>
      <c r="PM89" s="5"/>
      <c r="PN89" s="5"/>
      <c r="PO89" s="5"/>
      <c r="PP89" s="5"/>
      <c r="PQ89" s="5"/>
      <c r="PR89" s="5"/>
      <c r="PS89" s="5"/>
      <c r="PT89" s="5"/>
      <c r="PU89" s="5"/>
      <c r="PV89" s="5"/>
      <c r="PW89" s="5"/>
      <c r="PX89" s="5"/>
      <c r="PY89" s="5"/>
      <c r="PZ89" s="5"/>
      <c r="QA89" s="5"/>
      <c r="QB89" s="5"/>
      <c r="QC89" s="5"/>
      <c r="QD89" s="5"/>
      <c r="QE89" s="5"/>
      <c r="QF89" s="5"/>
      <c r="QG89" s="5"/>
      <c r="QH89" s="5"/>
      <c r="QI89" s="5"/>
      <c r="QJ89" s="5"/>
      <c r="QK89" s="5"/>
      <c r="QL89" s="5"/>
      <c r="QM89" s="5"/>
      <c r="QN89" s="5"/>
      <c r="QO89" s="5"/>
      <c r="QP89" s="5"/>
      <c r="QQ89" s="5"/>
      <c r="QR89" s="5"/>
      <c r="QS89" s="5"/>
      <c r="QT89" s="5"/>
      <c r="QU89" s="5"/>
      <c r="QV89" s="5"/>
      <c r="QW89" s="5"/>
      <c r="QX89" s="5"/>
      <c r="QY89" s="5"/>
      <c r="QZ89" s="5"/>
      <c r="RA89" s="5"/>
      <c r="RB89" s="5"/>
      <c r="RC89" s="5"/>
      <c r="RD89" s="5"/>
      <c r="RE89" s="5"/>
      <c r="RF89" s="5"/>
      <c r="RG89" s="5"/>
      <c r="RH89" s="5"/>
      <c r="RI89" s="5"/>
      <c r="RJ89" s="5"/>
      <c r="RK89" s="5"/>
      <c r="RL89" s="5"/>
      <c r="RM89" s="5"/>
      <c r="RN89" s="5"/>
      <c r="RO89" s="5"/>
      <c r="RP89" s="5"/>
      <c r="RQ89" s="5"/>
      <c r="RR89" s="5"/>
      <c r="RS89" s="5"/>
      <c r="RT89" s="5"/>
      <c r="RU89" s="5"/>
      <c r="RV89" s="5"/>
      <c r="RW89" s="5"/>
      <c r="RX89" s="5"/>
      <c r="RY89" s="5"/>
      <c r="RZ89" s="5"/>
      <c r="SA89" s="5"/>
      <c r="SB89" s="5"/>
      <c r="SC89" s="5"/>
      <c r="SD89" s="5"/>
      <c r="SE89" s="5"/>
      <c r="SF89" s="5"/>
      <c r="SG89" s="5"/>
      <c r="SH89" s="5"/>
      <c r="SI89" s="5"/>
      <c r="SJ89" s="5"/>
      <c r="SK89" s="5"/>
      <c r="SL89" s="5"/>
      <c r="SM89" s="5"/>
      <c r="SN89" s="5"/>
      <c r="SO89" s="5"/>
      <c r="SP89" s="5"/>
      <c r="SQ89" s="5"/>
      <c r="SR89" s="5"/>
      <c r="SS89" s="5"/>
      <c r="ST89" s="5"/>
      <c r="SU89" s="5"/>
      <c r="SV89" s="5"/>
      <c r="SW89" s="5"/>
      <c r="SX89" s="5"/>
      <c r="SY89" s="5"/>
      <c r="SZ89" s="5"/>
      <c r="TA89" s="5"/>
      <c r="TB89" s="5"/>
      <c r="TC89" s="5"/>
      <c r="TD89" s="5"/>
      <c r="TE89" s="5"/>
      <c r="TF89" s="5"/>
      <c r="TG89" s="5"/>
      <c r="TH89" s="5"/>
      <c r="TI89" s="5"/>
      <c r="TJ89" s="5"/>
      <c r="TK89" s="5"/>
      <c r="TL89" s="5"/>
      <c r="TM89" s="5"/>
      <c r="TN89" s="5"/>
      <c r="TO89" s="5"/>
      <c r="TP89" s="5"/>
      <c r="TQ89" s="5"/>
      <c r="TR89" s="5"/>
      <c r="TS89" s="5"/>
      <c r="TT89" s="5"/>
      <c r="TU89" s="5"/>
      <c r="TV89" s="5"/>
      <c r="TW89" s="5"/>
      <c r="TX89" s="5"/>
      <c r="TY89" s="5"/>
      <c r="TZ89" s="5"/>
      <c r="UA89" s="5"/>
      <c r="UB89" s="5"/>
      <c r="UC89" s="5"/>
      <c r="UD89" s="5"/>
      <c r="UE89" s="5"/>
      <c r="UF89" s="5"/>
      <c r="UG89" s="5"/>
      <c r="UH89" s="5"/>
      <c r="UI89" s="5"/>
      <c r="UJ89" s="5"/>
      <c r="UK89" s="5"/>
      <c r="UL89" s="5"/>
      <c r="UM89" s="5"/>
      <c r="UN89" s="5"/>
      <c r="UO89" s="5"/>
      <c r="UP89" s="5"/>
      <c r="UQ89" s="5"/>
      <c r="UR89" s="5"/>
      <c r="US89" s="5"/>
      <c r="UT89" s="5"/>
      <c r="UU89" s="5"/>
      <c r="UV89" s="5"/>
      <c r="UW89" s="5"/>
      <c r="UX89" s="5"/>
      <c r="UY89" s="5"/>
      <c r="UZ89" s="5"/>
      <c r="VA89" s="5"/>
      <c r="VB89" s="5"/>
      <c r="VC89" s="5"/>
      <c r="VD89" s="5"/>
      <c r="VE89" s="5"/>
      <c r="VF89" s="5"/>
      <c r="VG89" s="5"/>
      <c r="VH89" s="5"/>
      <c r="VI89" s="5"/>
      <c r="VJ89" s="5"/>
      <c r="VK89" s="5"/>
      <c r="VL89" s="5"/>
      <c r="VM89" s="5"/>
      <c r="VN89" s="5"/>
      <c r="VO89" s="5"/>
      <c r="VP89" s="5"/>
      <c r="VQ89" s="5"/>
      <c r="VR89" s="5"/>
      <c r="VS89" s="5"/>
      <c r="VT89" s="5"/>
      <c r="VU89" s="5"/>
      <c r="VV89" s="5"/>
      <c r="VW89" s="5"/>
      <c r="VX89" s="5"/>
      <c r="VY89" s="5"/>
      <c r="VZ89" s="5"/>
      <c r="WA89" s="5"/>
      <c r="WB89" s="5"/>
      <c r="WC89" s="5"/>
      <c r="WD89" s="5"/>
      <c r="WE89" s="5"/>
      <c r="WF89" s="5"/>
      <c r="WG89" s="5"/>
      <c r="WH89" s="5"/>
      <c r="WI89" s="5"/>
      <c r="WJ89" s="5"/>
      <c r="WK89" s="5"/>
      <c r="WL89" s="5"/>
      <c r="WM89" s="5"/>
      <c r="WN89" s="5"/>
      <c r="WO89" s="5"/>
      <c r="WP89" s="5"/>
      <c r="WQ89" s="5"/>
      <c r="WR89" s="5"/>
      <c r="WS89" s="5"/>
      <c r="WT89" s="5"/>
      <c r="WU89" s="5"/>
      <c r="WV89" s="5"/>
      <c r="WW89" s="5"/>
      <c r="WX89" s="5"/>
      <c r="WY89" s="5"/>
      <c r="WZ89" s="5"/>
      <c r="XA89" s="5"/>
      <c r="XB89" s="5"/>
      <c r="XC89" s="5"/>
      <c r="XD89" s="5"/>
      <c r="XE89" s="5"/>
      <c r="XF89" s="5"/>
      <c r="XG89" s="5"/>
      <c r="XH89" s="5"/>
      <c r="XI89" s="5"/>
      <c r="XJ89" s="5"/>
      <c r="XK89" s="5"/>
      <c r="XL89" s="5"/>
      <c r="XM89" s="5"/>
      <c r="XN89" s="5"/>
      <c r="XO89" s="5"/>
      <c r="XP89" s="5"/>
      <c r="XQ89" s="5"/>
      <c r="XR89" s="5"/>
      <c r="XS89" s="5"/>
      <c r="XT89" s="5"/>
      <c r="XU89" s="5"/>
      <c r="XV89" s="5"/>
      <c r="XW89" s="5"/>
      <c r="XX89" s="5"/>
      <c r="XY89" s="5"/>
      <c r="XZ89" s="5"/>
      <c r="YA89" s="5"/>
      <c r="YB89" s="5"/>
      <c r="YC89" s="5"/>
      <c r="YD89" s="5"/>
      <c r="YE89" s="5"/>
      <c r="YF89" s="5"/>
      <c r="YG89" s="5"/>
      <c r="YH89" s="5"/>
      <c r="YI89" s="5"/>
      <c r="YJ89" s="5"/>
      <c r="YK89" s="5"/>
      <c r="YL89" s="5"/>
      <c r="YM89" s="5"/>
      <c r="YN89" s="5"/>
      <c r="YO89" s="5"/>
      <c r="YP89" s="5"/>
      <c r="YQ89" s="5"/>
      <c r="YR89" s="5"/>
      <c r="YS89" s="5"/>
      <c r="YT89" s="5"/>
      <c r="YU89" s="5"/>
      <c r="YV89" s="5"/>
      <c r="YW89" s="5"/>
      <c r="YX89" s="5"/>
      <c r="YY89" s="5"/>
      <c r="YZ89" s="5"/>
    </row>
    <row r="90" spans="1:676">
      <c r="A90" s="7">
        <v>80</v>
      </c>
      <c r="B90" s="7" t="s">
        <v>227</v>
      </c>
      <c r="C90" s="10" t="s">
        <v>228</v>
      </c>
      <c r="D90" s="7" t="s">
        <v>48</v>
      </c>
      <c r="E90" s="7" t="s">
        <v>205</v>
      </c>
      <c r="F90" s="7" t="s">
        <v>206</v>
      </c>
      <c r="G90" s="7"/>
      <c r="H90" s="7" t="s">
        <v>43</v>
      </c>
      <c r="I90" s="11">
        <v>2</v>
      </c>
      <c r="J90" s="11">
        <v>3</v>
      </c>
      <c r="K90" s="11">
        <v>0</v>
      </c>
      <c r="L90" s="11">
        <v>2.15</v>
      </c>
      <c r="M90" s="11">
        <v>0.24</v>
      </c>
      <c r="N90" s="11">
        <v>0</v>
      </c>
      <c r="O90" s="11">
        <v>1.04</v>
      </c>
      <c r="P90" s="11">
        <v>0</v>
      </c>
      <c r="Q90" s="11">
        <v>3.43</v>
      </c>
      <c r="R90" s="11">
        <v>0</v>
      </c>
      <c r="S90" s="11">
        <v>3.43</v>
      </c>
      <c r="T90" s="11">
        <v>2</v>
      </c>
      <c r="U90" s="11">
        <v>1.43</v>
      </c>
      <c r="V90" s="11">
        <v>0</v>
      </c>
      <c r="W90" s="13">
        <v>2</v>
      </c>
      <c r="X90" s="13">
        <v>3</v>
      </c>
      <c r="Y90" s="13" t="str">
        <f>MIN(W90,S90)</f>
        <v>0</v>
      </c>
      <c r="Z90" s="13" t="str">
        <f>MIN(X90,(S90-Y90))</f>
        <v>0</v>
      </c>
      <c r="AA90" s="13" t="str">
        <f>S90-SUM(Y90,Z90)</f>
        <v>0</v>
      </c>
      <c r="AB90" s="15"/>
      <c r="AC90" s="15"/>
      <c r="AD90" s="1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5"/>
      <c r="EB90" s="5"/>
      <c r="EC90" s="5"/>
      <c r="ED90" s="5"/>
      <c r="EE90" s="5"/>
      <c r="EF90" s="5"/>
      <c r="EG90" s="5"/>
      <c r="EH90" s="5"/>
      <c r="EI90" s="5"/>
      <c r="EJ90" s="5"/>
      <c r="EK90" s="5"/>
      <c r="EL90" s="5"/>
      <c r="EM90" s="5"/>
      <c r="EN90" s="5"/>
      <c r="EO90" s="5"/>
      <c r="EP90" s="5"/>
      <c r="EQ90" s="5"/>
      <c r="ER90" s="5"/>
      <c r="ES90" s="5"/>
      <c r="ET90" s="5"/>
      <c r="EU90" s="5"/>
      <c r="EV90" s="5"/>
      <c r="EW90" s="5"/>
      <c r="EX90" s="5"/>
      <c r="EY90" s="5"/>
      <c r="EZ90" s="5"/>
      <c r="FA90" s="5"/>
      <c r="FB90" s="5"/>
      <c r="FC90" s="5"/>
      <c r="FD90" s="5"/>
      <c r="FE90" s="5"/>
      <c r="FF90" s="5"/>
      <c r="FG90" s="5"/>
      <c r="FH90" s="5"/>
      <c r="FI90" s="5"/>
      <c r="FJ90" s="5"/>
      <c r="FK90" s="5"/>
      <c r="FL90" s="5"/>
      <c r="FM90" s="5"/>
      <c r="FN90" s="5"/>
      <c r="FO90" s="5"/>
      <c r="FP90" s="5"/>
      <c r="FQ90" s="5"/>
      <c r="FR90" s="5"/>
      <c r="FS90" s="5"/>
      <c r="FT90" s="5"/>
      <c r="FU90" s="5"/>
      <c r="FV90" s="5"/>
      <c r="FW90" s="5"/>
      <c r="FX90" s="5"/>
      <c r="FY90" s="5"/>
      <c r="FZ90" s="5"/>
      <c r="GA90" s="5"/>
      <c r="GB90" s="5"/>
      <c r="GC90" s="5"/>
      <c r="GD90" s="5"/>
      <c r="GE90" s="5"/>
      <c r="GF90" s="5"/>
      <c r="GG90" s="5"/>
      <c r="GH90" s="5"/>
      <c r="GI90" s="5"/>
      <c r="GJ90" s="5"/>
      <c r="GK90" s="5"/>
      <c r="GL90" s="5"/>
      <c r="GM90" s="5"/>
      <c r="GN90" s="5"/>
      <c r="GO90" s="5"/>
      <c r="GP90" s="5"/>
      <c r="GQ90" s="5"/>
      <c r="GR90" s="5"/>
      <c r="GS90" s="5"/>
      <c r="GT90" s="5"/>
      <c r="GU90" s="5"/>
      <c r="GV90" s="5"/>
      <c r="GW90" s="5"/>
      <c r="GX90" s="5"/>
      <c r="GY90" s="5"/>
      <c r="GZ90" s="5"/>
      <c r="HA90" s="5"/>
      <c r="HB90" s="5"/>
      <c r="HC90" s="5"/>
      <c r="HD90" s="5"/>
      <c r="HE90" s="5"/>
      <c r="HF90" s="5"/>
      <c r="HG90" s="5"/>
      <c r="HH90" s="5"/>
      <c r="HI90" s="5"/>
      <c r="HJ90" s="5"/>
      <c r="HK90" s="5"/>
      <c r="HL90" s="5"/>
      <c r="HM90" s="5"/>
      <c r="HN90" s="5"/>
      <c r="HO90" s="5"/>
      <c r="HP90" s="5"/>
      <c r="HQ90" s="5"/>
      <c r="HR90" s="5"/>
      <c r="HS90" s="5"/>
      <c r="HT90" s="5"/>
      <c r="HU90" s="5"/>
      <c r="HV90" s="5"/>
      <c r="HW90" s="5"/>
      <c r="HX90" s="5"/>
      <c r="HY90" s="5"/>
      <c r="HZ90" s="5"/>
      <c r="IA90" s="5"/>
      <c r="IB90" s="5"/>
      <c r="IC90" s="5"/>
      <c r="ID90" s="5"/>
      <c r="IE90" s="5"/>
      <c r="IF90" s="5"/>
      <c r="IG90" s="5"/>
      <c r="IH90" s="5"/>
      <c r="II90" s="5"/>
      <c r="IJ90" s="5"/>
      <c r="IK90" s="5"/>
      <c r="IL90" s="5"/>
      <c r="IM90" s="5"/>
      <c r="IN90" s="5"/>
      <c r="IO90" s="5"/>
      <c r="IP90" s="5"/>
      <c r="IQ90" s="5"/>
      <c r="IR90" s="5"/>
      <c r="IS90" s="5"/>
      <c r="IT90" s="5"/>
      <c r="IU90" s="5"/>
      <c r="IV90" s="5"/>
      <c r="IW90" s="5"/>
      <c r="IX90" s="5"/>
      <c r="IY90" s="5"/>
      <c r="IZ90" s="5"/>
      <c r="JA90" s="5"/>
      <c r="JB90" s="5"/>
      <c r="JC90" s="5"/>
      <c r="JD90" s="5"/>
      <c r="JE90" s="5"/>
      <c r="JF90" s="5"/>
      <c r="JG90" s="5"/>
      <c r="JH90" s="5"/>
      <c r="JI90" s="5"/>
      <c r="JJ90" s="5"/>
      <c r="JK90" s="5"/>
      <c r="JL90" s="5"/>
      <c r="JM90" s="5"/>
      <c r="JN90" s="5"/>
      <c r="JO90" s="5"/>
      <c r="JP90" s="5"/>
      <c r="JQ90" s="5"/>
      <c r="JR90" s="5"/>
      <c r="JS90" s="5"/>
      <c r="JT90" s="5"/>
      <c r="JU90" s="5"/>
      <c r="JV90" s="5"/>
      <c r="JW90" s="5"/>
      <c r="JX90" s="5"/>
      <c r="JY90" s="5"/>
      <c r="JZ90" s="5"/>
      <c r="KA90" s="5"/>
      <c r="KB90" s="5"/>
      <c r="KC90" s="5"/>
      <c r="KD90" s="5"/>
      <c r="KE90" s="5"/>
      <c r="KF90" s="5"/>
      <c r="KG90" s="5"/>
      <c r="KH90" s="5"/>
      <c r="KI90" s="5"/>
      <c r="KJ90" s="5"/>
      <c r="KK90" s="5"/>
      <c r="KL90" s="5"/>
      <c r="KM90" s="5"/>
      <c r="KN90" s="5"/>
      <c r="KO90" s="5"/>
      <c r="KP90" s="5"/>
      <c r="KQ90" s="5"/>
      <c r="KR90" s="5"/>
      <c r="KS90" s="5"/>
      <c r="KT90" s="5"/>
      <c r="KU90" s="5"/>
      <c r="KV90" s="5"/>
      <c r="KW90" s="5"/>
      <c r="KX90" s="5"/>
      <c r="KY90" s="5"/>
      <c r="KZ90" s="5"/>
      <c r="LA90" s="5"/>
      <c r="LB90" s="5"/>
      <c r="LC90" s="5"/>
      <c r="LD90" s="5"/>
      <c r="LE90" s="5"/>
      <c r="LF90" s="5"/>
      <c r="LG90" s="5"/>
      <c r="LH90" s="5"/>
      <c r="LI90" s="5"/>
      <c r="LJ90" s="5"/>
      <c r="LK90" s="5"/>
      <c r="LL90" s="5"/>
      <c r="LM90" s="5"/>
      <c r="LN90" s="5"/>
      <c r="LO90" s="5"/>
      <c r="LP90" s="5"/>
      <c r="LQ90" s="5"/>
      <c r="LR90" s="5"/>
      <c r="LS90" s="5"/>
      <c r="LT90" s="5"/>
      <c r="LU90" s="5"/>
      <c r="LV90" s="5"/>
      <c r="LW90" s="5"/>
      <c r="LX90" s="5"/>
      <c r="LY90" s="5"/>
      <c r="LZ90" s="5"/>
      <c r="MA90" s="5"/>
      <c r="MB90" s="5"/>
      <c r="MC90" s="5"/>
      <c r="MD90" s="5"/>
      <c r="ME90" s="5"/>
      <c r="MF90" s="5"/>
      <c r="MG90" s="5"/>
      <c r="MH90" s="5"/>
      <c r="MI90" s="5"/>
      <c r="MJ90" s="5"/>
      <c r="MK90" s="5"/>
      <c r="ML90" s="5"/>
      <c r="MM90" s="5"/>
      <c r="MN90" s="5"/>
      <c r="MO90" s="5"/>
      <c r="MP90" s="5"/>
      <c r="MQ90" s="5"/>
      <c r="MR90" s="5"/>
      <c r="MS90" s="5"/>
      <c r="MT90" s="5"/>
      <c r="MU90" s="5"/>
      <c r="MV90" s="5"/>
      <c r="MW90" s="5"/>
      <c r="MX90" s="5"/>
      <c r="MY90" s="5"/>
      <c r="MZ90" s="5"/>
      <c r="NA90" s="5"/>
      <c r="NB90" s="5"/>
      <c r="NC90" s="5"/>
      <c r="ND90" s="5"/>
      <c r="NE90" s="5"/>
      <c r="NF90" s="5"/>
      <c r="NG90" s="5"/>
      <c r="NH90" s="5"/>
      <c r="NI90" s="5"/>
      <c r="NJ90" s="5"/>
      <c r="NK90" s="5"/>
      <c r="NL90" s="5"/>
      <c r="NM90" s="5"/>
      <c r="NN90" s="5"/>
      <c r="NO90" s="5"/>
      <c r="NP90" s="5"/>
      <c r="NQ90" s="5"/>
      <c r="NR90" s="5"/>
      <c r="NS90" s="5"/>
      <c r="NT90" s="5"/>
      <c r="NU90" s="5"/>
      <c r="NV90" s="5"/>
      <c r="NW90" s="5"/>
      <c r="NX90" s="5"/>
      <c r="NY90" s="5"/>
      <c r="NZ90" s="5"/>
      <c r="OA90" s="5"/>
      <c r="OB90" s="5"/>
      <c r="OC90" s="5"/>
      <c r="OD90" s="5"/>
      <c r="OE90" s="5"/>
      <c r="OF90" s="5"/>
      <c r="OG90" s="5"/>
      <c r="OH90" s="5"/>
      <c r="OI90" s="5"/>
      <c r="OJ90" s="5"/>
      <c r="OK90" s="5"/>
      <c r="OL90" s="5"/>
      <c r="OM90" s="5"/>
      <c r="ON90" s="5"/>
      <c r="OO90" s="5"/>
      <c r="OP90" s="5"/>
      <c r="OQ90" s="5"/>
      <c r="OR90" s="5"/>
      <c r="OS90" s="5"/>
      <c r="OT90" s="5"/>
      <c r="OU90" s="5"/>
      <c r="OV90" s="5"/>
      <c r="OW90" s="5"/>
      <c r="OX90" s="5"/>
      <c r="OY90" s="5"/>
      <c r="OZ90" s="5"/>
      <c r="PA90" s="5"/>
      <c r="PB90" s="5"/>
      <c r="PC90" s="5"/>
      <c r="PD90" s="5"/>
      <c r="PE90" s="5"/>
      <c r="PF90" s="5"/>
      <c r="PG90" s="5"/>
      <c r="PH90" s="5"/>
      <c r="PI90" s="5"/>
      <c r="PJ90" s="5"/>
      <c r="PK90" s="5"/>
      <c r="PL90" s="5"/>
      <c r="PM90" s="5"/>
      <c r="PN90" s="5"/>
      <c r="PO90" s="5"/>
      <c r="PP90" s="5"/>
      <c r="PQ90" s="5"/>
      <c r="PR90" s="5"/>
      <c r="PS90" s="5"/>
      <c r="PT90" s="5"/>
      <c r="PU90" s="5"/>
      <c r="PV90" s="5"/>
      <c r="PW90" s="5"/>
      <c r="PX90" s="5"/>
      <c r="PY90" s="5"/>
      <c r="PZ90" s="5"/>
      <c r="QA90" s="5"/>
      <c r="QB90" s="5"/>
      <c r="QC90" s="5"/>
      <c r="QD90" s="5"/>
      <c r="QE90" s="5"/>
      <c r="QF90" s="5"/>
      <c r="QG90" s="5"/>
      <c r="QH90" s="5"/>
      <c r="QI90" s="5"/>
      <c r="QJ90" s="5"/>
      <c r="QK90" s="5"/>
      <c r="QL90" s="5"/>
      <c r="QM90" s="5"/>
      <c r="QN90" s="5"/>
      <c r="QO90" s="5"/>
      <c r="QP90" s="5"/>
      <c r="QQ90" s="5"/>
      <c r="QR90" s="5"/>
      <c r="QS90" s="5"/>
      <c r="QT90" s="5"/>
      <c r="QU90" s="5"/>
      <c r="QV90" s="5"/>
      <c r="QW90" s="5"/>
      <c r="QX90" s="5"/>
      <c r="QY90" s="5"/>
      <c r="QZ90" s="5"/>
      <c r="RA90" s="5"/>
      <c r="RB90" s="5"/>
      <c r="RC90" s="5"/>
      <c r="RD90" s="5"/>
      <c r="RE90" s="5"/>
      <c r="RF90" s="5"/>
      <c r="RG90" s="5"/>
      <c r="RH90" s="5"/>
      <c r="RI90" s="5"/>
      <c r="RJ90" s="5"/>
      <c r="RK90" s="5"/>
      <c r="RL90" s="5"/>
      <c r="RM90" s="5"/>
      <c r="RN90" s="5"/>
      <c r="RO90" s="5"/>
      <c r="RP90" s="5"/>
      <c r="RQ90" s="5"/>
      <c r="RR90" s="5"/>
      <c r="RS90" s="5"/>
      <c r="RT90" s="5"/>
      <c r="RU90" s="5"/>
      <c r="RV90" s="5"/>
      <c r="RW90" s="5"/>
      <c r="RX90" s="5"/>
      <c r="RY90" s="5"/>
      <c r="RZ90" s="5"/>
      <c r="SA90" s="5"/>
      <c r="SB90" s="5"/>
      <c r="SC90" s="5"/>
      <c r="SD90" s="5"/>
      <c r="SE90" s="5"/>
      <c r="SF90" s="5"/>
      <c r="SG90" s="5"/>
      <c r="SH90" s="5"/>
      <c r="SI90" s="5"/>
      <c r="SJ90" s="5"/>
      <c r="SK90" s="5"/>
      <c r="SL90" s="5"/>
      <c r="SM90" s="5"/>
      <c r="SN90" s="5"/>
      <c r="SO90" s="5"/>
      <c r="SP90" s="5"/>
      <c r="SQ90" s="5"/>
      <c r="SR90" s="5"/>
      <c r="SS90" s="5"/>
      <c r="ST90" s="5"/>
      <c r="SU90" s="5"/>
      <c r="SV90" s="5"/>
      <c r="SW90" s="5"/>
      <c r="SX90" s="5"/>
      <c r="SY90" s="5"/>
      <c r="SZ90" s="5"/>
      <c r="TA90" s="5"/>
      <c r="TB90" s="5"/>
      <c r="TC90" s="5"/>
      <c r="TD90" s="5"/>
      <c r="TE90" s="5"/>
      <c r="TF90" s="5"/>
      <c r="TG90" s="5"/>
      <c r="TH90" s="5"/>
      <c r="TI90" s="5"/>
      <c r="TJ90" s="5"/>
      <c r="TK90" s="5"/>
      <c r="TL90" s="5"/>
      <c r="TM90" s="5"/>
      <c r="TN90" s="5"/>
      <c r="TO90" s="5"/>
      <c r="TP90" s="5"/>
      <c r="TQ90" s="5"/>
      <c r="TR90" s="5"/>
      <c r="TS90" s="5"/>
      <c r="TT90" s="5"/>
      <c r="TU90" s="5"/>
      <c r="TV90" s="5"/>
      <c r="TW90" s="5"/>
      <c r="TX90" s="5"/>
      <c r="TY90" s="5"/>
      <c r="TZ90" s="5"/>
      <c r="UA90" s="5"/>
      <c r="UB90" s="5"/>
      <c r="UC90" s="5"/>
      <c r="UD90" s="5"/>
      <c r="UE90" s="5"/>
      <c r="UF90" s="5"/>
      <c r="UG90" s="5"/>
      <c r="UH90" s="5"/>
      <c r="UI90" s="5"/>
      <c r="UJ90" s="5"/>
      <c r="UK90" s="5"/>
      <c r="UL90" s="5"/>
      <c r="UM90" s="5"/>
      <c r="UN90" s="5"/>
      <c r="UO90" s="5"/>
      <c r="UP90" s="5"/>
      <c r="UQ90" s="5"/>
      <c r="UR90" s="5"/>
      <c r="US90" s="5"/>
      <c r="UT90" s="5"/>
      <c r="UU90" s="5"/>
      <c r="UV90" s="5"/>
      <c r="UW90" s="5"/>
      <c r="UX90" s="5"/>
      <c r="UY90" s="5"/>
      <c r="UZ90" s="5"/>
      <c r="VA90" s="5"/>
      <c r="VB90" s="5"/>
      <c r="VC90" s="5"/>
      <c r="VD90" s="5"/>
      <c r="VE90" s="5"/>
      <c r="VF90" s="5"/>
      <c r="VG90" s="5"/>
      <c r="VH90" s="5"/>
      <c r="VI90" s="5"/>
      <c r="VJ90" s="5"/>
      <c r="VK90" s="5"/>
      <c r="VL90" s="5"/>
      <c r="VM90" s="5"/>
      <c r="VN90" s="5"/>
      <c r="VO90" s="5"/>
      <c r="VP90" s="5"/>
      <c r="VQ90" s="5"/>
      <c r="VR90" s="5"/>
      <c r="VS90" s="5"/>
      <c r="VT90" s="5"/>
      <c r="VU90" s="5"/>
      <c r="VV90" s="5"/>
      <c r="VW90" s="5"/>
      <c r="VX90" s="5"/>
      <c r="VY90" s="5"/>
      <c r="VZ90" s="5"/>
      <c r="WA90" s="5"/>
      <c r="WB90" s="5"/>
      <c r="WC90" s="5"/>
      <c r="WD90" s="5"/>
      <c r="WE90" s="5"/>
      <c r="WF90" s="5"/>
      <c r="WG90" s="5"/>
      <c r="WH90" s="5"/>
      <c r="WI90" s="5"/>
      <c r="WJ90" s="5"/>
      <c r="WK90" s="5"/>
      <c r="WL90" s="5"/>
      <c r="WM90" s="5"/>
      <c r="WN90" s="5"/>
      <c r="WO90" s="5"/>
      <c r="WP90" s="5"/>
      <c r="WQ90" s="5"/>
      <c r="WR90" s="5"/>
      <c r="WS90" s="5"/>
      <c r="WT90" s="5"/>
      <c r="WU90" s="5"/>
      <c r="WV90" s="5"/>
      <c r="WW90" s="5"/>
      <c r="WX90" s="5"/>
      <c r="WY90" s="5"/>
      <c r="WZ90" s="5"/>
      <c r="XA90" s="5"/>
      <c r="XB90" s="5"/>
      <c r="XC90" s="5"/>
      <c r="XD90" s="5"/>
      <c r="XE90" s="5"/>
      <c r="XF90" s="5"/>
      <c r="XG90" s="5"/>
      <c r="XH90" s="5"/>
      <c r="XI90" s="5"/>
      <c r="XJ90" s="5"/>
      <c r="XK90" s="5"/>
      <c r="XL90" s="5"/>
      <c r="XM90" s="5"/>
      <c r="XN90" s="5"/>
      <c r="XO90" s="5"/>
      <c r="XP90" s="5"/>
      <c r="XQ90" s="5"/>
      <c r="XR90" s="5"/>
      <c r="XS90" s="5"/>
      <c r="XT90" s="5"/>
      <c r="XU90" s="5"/>
      <c r="XV90" s="5"/>
      <c r="XW90" s="5"/>
      <c r="XX90" s="5"/>
      <c r="XY90" s="5"/>
      <c r="XZ90" s="5"/>
      <c r="YA90" s="5"/>
      <c r="YB90" s="5"/>
      <c r="YC90" s="5"/>
      <c r="YD90" s="5"/>
      <c r="YE90" s="5"/>
      <c r="YF90" s="5"/>
      <c r="YG90" s="5"/>
      <c r="YH90" s="5"/>
      <c r="YI90" s="5"/>
      <c r="YJ90" s="5"/>
      <c r="YK90" s="5"/>
      <c r="YL90" s="5"/>
      <c r="YM90" s="5"/>
      <c r="YN90" s="5"/>
      <c r="YO90" s="5"/>
      <c r="YP90" s="5"/>
      <c r="YQ90" s="5"/>
      <c r="YR90" s="5"/>
      <c r="YS90" s="5"/>
      <c r="YT90" s="5"/>
      <c r="YU90" s="5"/>
      <c r="YV90" s="5"/>
      <c r="YW90" s="5"/>
      <c r="YX90" s="5"/>
      <c r="YY90" s="5"/>
      <c r="YZ90" s="5"/>
    </row>
    <row r="91" spans="1:676">
      <c r="A91" s="7">
        <v>81</v>
      </c>
      <c r="B91" s="7" t="s">
        <v>229</v>
      </c>
      <c r="C91" s="10" t="s">
        <v>230</v>
      </c>
      <c r="D91" s="7" t="s">
        <v>51</v>
      </c>
      <c r="E91" s="7" t="s">
        <v>99</v>
      </c>
      <c r="F91" s="7" t="s">
        <v>231</v>
      </c>
      <c r="G91" s="7"/>
      <c r="H91" s="7" t="s">
        <v>43</v>
      </c>
      <c r="I91" s="11">
        <v>2</v>
      </c>
      <c r="J91" s="11">
        <v>3</v>
      </c>
      <c r="K91" s="11">
        <v>0</v>
      </c>
      <c r="L91" s="11">
        <v>3.14</v>
      </c>
      <c r="M91" s="11">
        <v>0.32</v>
      </c>
      <c r="N91" s="11">
        <v>0</v>
      </c>
      <c r="O91" s="11">
        <v>0.7000000000000001</v>
      </c>
      <c r="P91" s="11">
        <v>0</v>
      </c>
      <c r="Q91" s="11">
        <v>4.16</v>
      </c>
      <c r="R91" s="11">
        <v>0</v>
      </c>
      <c r="S91" s="11">
        <v>4.16</v>
      </c>
      <c r="T91" s="11">
        <v>2</v>
      </c>
      <c r="U91" s="11">
        <v>2.16</v>
      </c>
      <c r="V91" s="11">
        <v>0</v>
      </c>
      <c r="W91" s="13">
        <v>2</v>
      </c>
      <c r="X91" s="13">
        <v>3</v>
      </c>
      <c r="Y91" s="13" t="str">
        <f>MIN(W91,S91)</f>
        <v>0</v>
      </c>
      <c r="Z91" s="13" t="str">
        <f>MIN(X91,(S91-Y91))</f>
        <v>0</v>
      </c>
      <c r="AA91" s="13" t="str">
        <f>S91-SUM(Y91,Z91)</f>
        <v>0</v>
      </c>
      <c r="AB91" s="15"/>
      <c r="AC91" s="15"/>
      <c r="AD91" s="1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  <c r="GM91" s="5"/>
      <c r="GN91" s="5"/>
      <c r="GO91" s="5"/>
      <c r="GP91" s="5"/>
      <c r="GQ91" s="5"/>
      <c r="GR91" s="5"/>
      <c r="GS91" s="5"/>
      <c r="GT91" s="5"/>
      <c r="GU91" s="5"/>
      <c r="GV91" s="5"/>
      <c r="GW91" s="5"/>
      <c r="GX91" s="5"/>
      <c r="GY91" s="5"/>
      <c r="GZ91" s="5"/>
      <c r="HA91" s="5"/>
      <c r="HB91" s="5"/>
      <c r="HC91" s="5"/>
      <c r="HD91" s="5"/>
      <c r="HE91" s="5"/>
      <c r="HF91" s="5"/>
      <c r="HG91" s="5"/>
      <c r="HH91" s="5"/>
      <c r="HI91" s="5"/>
      <c r="HJ91" s="5"/>
      <c r="HK91" s="5"/>
      <c r="HL91" s="5"/>
      <c r="HM91" s="5"/>
      <c r="HN91" s="5"/>
      <c r="HO91" s="5"/>
      <c r="HP91" s="5"/>
      <c r="HQ91" s="5"/>
      <c r="HR91" s="5"/>
      <c r="HS91" s="5"/>
      <c r="HT91" s="5"/>
      <c r="HU91" s="5"/>
      <c r="HV91" s="5"/>
      <c r="HW91" s="5"/>
      <c r="HX91" s="5"/>
      <c r="HY91" s="5"/>
      <c r="HZ91" s="5"/>
      <c r="IA91" s="5"/>
      <c r="IB91" s="5"/>
      <c r="IC91" s="5"/>
      <c r="ID91" s="5"/>
      <c r="IE91" s="5"/>
      <c r="IF91" s="5"/>
      <c r="IG91" s="5"/>
      <c r="IH91" s="5"/>
      <c r="II91" s="5"/>
      <c r="IJ91" s="5"/>
      <c r="IK91" s="5"/>
      <c r="IL91" s="5"/>
      <c r="IM91" s="5"/>
      <c r="IN91" s="5"/>
      <c r="IO91" s="5"/>
      <c r="IP91" s="5"/>
      <c r="IQ91" s="5"/>
      <c r="IR91" s="5"/>
      <c r="IS91" s="5"/>
      <c r="IT91" s="5"/>
      <c r="IU91" s="5"/>
      <c r="IV91" s="5"/>
      <c r="IW91" s="5"/>
      <c r="IX91" s="5"/>
      <c r="IY91" s="5"/>
      <c r="IZ91" s="5"/>
      <c r="JA91" s="5"/>
      <c r="JB91" s="5"/>
      <c r="JC91" s="5"/>
      <c r="JD91" s="5"/>
      <c r="JE91" s="5"/>
      <c r="JF91" s="5"/>
      <c r="JG91" s="5"/>
      <c r="JH91" s="5"/>
      <c r="JI91" s="5"/>
      <c r="JJ91" s="5"/>
      <c r="JK91" s="5"/>
      <c r="JL91" s="5"/>
      <c r="JM91" s="5"/>
      <c r="JN91" s="5"/>
      <c r="JO91" s="5"/>
      <c r="JP91" s="5"/>
      <c r="JQ91" s="5"/>
      <c r="JR91" s="5"/>
      <c r="JS91" s="5"/>
      <c r="JT91" s="5"/>
      <c r="JU91" s="5"/>
      <c r="JV91" s="5"/>
      <c r="JW91" s="5"/>
      <c r="JX91" s="5"/>
      <c r="JY91" s="5"/>
      <c r="JZ91" s="5"/>
      <c r="KA91" s="5"/>
      <c r="KB91" s="5"/>
      <c r="KC91" s="5"/>
      <c r="KD91" s="5"/>
      <c r="KE91" s="5"/>
      <c r="KF91" s="5"/>
      <c r="KG91" s="5"/>
      <c r="KH91" s="5"/>
      <c r="KI91" s="5"/>
      <c r="KJ91" s="5"/>
      <c r="KK91" s="5"/>
      <c r="KL91" s="5"/>
      <c r="KM91" s="5"/>
      <c r="KN91" s="5"/>
      <c r="KO91" s="5"/>
      <c r="KP91" s="5"/>
      <c r="KQ91" s="5"/>
      <c r="KR91" s="5"/>
      <c r="KS91" s="5"/>
      <c r="KT91" s="5"/>
      <c r="KU91" s="5"/>
      <c r="KV91" s="5"/>
      <c r="KW91" s="5"/>
      <c r="KX91" s="5"/>
      <c r="KY91" s="5"/>
      <c r="KZ91" s="5"/>
      <c r="LA91" s="5"/>
      <c r="LB91" s="5"/>
      <c r="LC91" s="5"/>
      <c r="LD91" s="5"/>
      <c r="LE91" s="5"/>
      <c r="LF91" s="5"/>
      <c r="LG91" s="5"/>
      <c r="LH91" s="5"/>
      <c r="LI91" s="5"/>
      <c r="LJ91" s="5"/>
      <c r="LK91" s="5"/>
      <c r="LL91" s="5"/>
      <c r="LM91" s="5"/>
      <c r="LN91" s="5"/>
      <c r="LO91" s="5"/>
      <c r="LP91" s="5"/>
      <c r="LQ91" s="5"/>
      <c r="LR91" s="5"/>
      <c r="LS91" s="5"/>
      <c r="LT91" s="5"/>
      <c r="LU91" s="5"/>
      <c r="LV91" s="5"/>
      <c r="LW91" s="5"/>
      <c r="LX91" s="5"/>
      <c r="LY91" s="5"/>
      <c r="LZ91" s="5"/>
      <c r="MA91" s="5"/>
      <c r="MB91" s="5"/>
      <c r="MC91" s="5"/>
      <c r="MD91" s="5"/>
      <c r="ME91" s="5"/>
      <c r="MF91" s="5"/>
      <c r="MG91" s="5"/>
      <c r="MH91" s="5"/>
      <c r="MI91" s="5"/>
      <c r="MJ91" s="5"/>
      <c r="MK91" s="5"/>
      <c r="ML91" s="5"/>
      <c r="MM91" s="5"/>
      <c r="MN91" s="5"/>
      <c r="MO91" s="5"/>
      <c r="MP91" s="5"/>
      <c r="MQ91" s="5"/>
      <c r="MR91" s="5"/>
      <c r="MS91" s="5"/>
      <c r="MT91" s="5"/>
      <c r="MU91" s="5"/>
      <c r="MV91" s="5"/>
      <c r="MW91" s="5"/>
      <c r="MX91" s="5"/>
      <c r="MY91" s="5"/>
      <c r="MZ91" s="5"/>
      <c r="NA91" s="5"/>
      <c r="NB91" s="5"/>
      <c r="NC91" s="5"/>
      <c r="ND91" s="5"/>
      <c r="NE91" s="5"/>
      <c r="NF91" s="5"/>
      <c r="NG91" s="5"/>
      <c r="NH91" s="5"/>
      <c r="NI91" s="5"/>
      <c r="NJ91" s="5"/>
      <c r="NK91" s="5"/>
      <c r="NL91" s="5"/>
      <c r="NM91" s="5"/>
      <c r="NN91" s="5"/>
      <c r="NO91" s="5"/>
      <c r="NP91" s="5"/>
      <c r="NQ91" s="5"/>
      <c r="NR91" s="5"/>
      <c r="NS91" s="5"/>
      <c r="NT91" s="5"/>
      <c r="NU91" s="5"/>
      <c r="NV91" s="5"/>
      <c r="NW91" s="5"/>
      <c r="NX91" s="5"/>
      <c r="NY91" s="5"/>
      <c r="NZ91" s="5"/>
      <c r="OA91" s="5"/>
      <c r="OB91" s="5"/>
      <c r="OC91" s="5"/>
      <c r="OD91" s="5"/>
      <c r="OE91" s="5"/>
      <c r="OF91" s="5"/>
      <c r="OG91" s="5"/>
      <c r="OH91" s="5"/>
      <c r="OI91" s="5"/>
      <c r="OJ91" s="5"/>
      <c r="OK91" s="5"/>
      <c r="OL91" s="5"/>
      <c r="OM91" s="5"/>
      <c r="ON91" s="5"/>
      <c r="OO91" s="5"/>
      <c r="OP91" s="5"/>
      <c r="OQ91" s="5"/>
      <c r="OR91" s="5"/>
      <c r="OS91" s="5"/>
      <c r="OT91" s="5"/>
      <c r="OU91" s="5"/>
      <c r="OV91" s="5"/>
      <c r="OW91" s="5"/>
      <c r="OX91" s="5"/>
      <c r="OY91" s="5"/>
      <c r="OZ91" s="5"/>
      <c r="PA91" s="5"/>
      <c r="PB91" s="5"/>
      <c r="PC91" s="5"/>
      <c r="PD91" s="5"/>
      <c r="PE91" s="5"/>
      <c r="PF91" s="5"/>
      <c r="PG91" s="5"/>
      <c r="PH91" s="5"/>
      <c r="PI91" s="5"/>
      <c r="PJ91" s="5"/>
      <c r="PK91" s="5"/>
      <c r="PL91" s="5"/>
      <c r="PM91" s="5"/>
      <c r="PN91" s="5"/>
      <c r="PO91" s="5"/>
      <c r="PP91" s="5"/>
      <c r="PQ91" s="5"/>
      <c r="PR91" s="5"/>
      <c r="PS91" s="5"/>
      <c r="PT91" s="5"/>
      <c r="PU91" s="5"/>
      <c r="PV91" s="5"/>
      <c r="PW91" s="5"/>
      <c r="PX91" s="5"/>
      <c r="PY91" s="5"/>
      <c r="PZ91" s="5"/>
      <c r="QA91" s="5"/>
      <c r="QB91" s="5"/>
      <c r="QC91" s="5"/>
      <c r="QD91" s="5"/>
      <c r="QE91" s="5"/>
      <c r="QF91" s="5"/>
      <c r="QG91" s="5"/>
      <c r="QH91" s="5"/>
      <c r="QI91" s="5"/>
      <c r="QJ91" s="5"/>
      <c r="QK91" s="5"/>
      <c r="QL91" s="5"/>
      <c r="QM91" s="5"/>
      <c r="QN91" s="5"/>
      <c r="QO91" s="5"/>
      <c r="QP91" s="5"/>
      <c r="QQ91" s="5"/>
      <c r="QR91" s="5"/>
      <c r="QS91" s="5"/>
      <c r="QT91" s="5"/>
      <c r="QU91" s="5"/>
      <c r="QV91" s="5"/>
      <c r="QW91" s="5"/>
      <c r="QX91" s="5"/>
      <c r="QY91" s="5"/>
      <c r="QZ91" s="5"/>
      <c r="RA91" s="5"/>
      <c r="RB91" s="5"/>
      <c r="RC91" s="5"/>
      <c r="RD91" s="5"/>
      <c r="RE91" s="5"/>
      <c r="RF91" s="5"/>
      <c r="RG91" s="5"/>
      <c r="RH91" s="5"/>
      <c r="RI91" s="5"/>
      <c r="RJ91" s="5"/>
      <c r="RK91" s="5"/>
      <c r="RL91" s="5"/>
      <c r="RM91" s="5"/>
      <c r="RN91" s="5"/>
      <c r="RO91" s="5"/>
      <c r="RP91" s="5"/>
      <c r="RQ91" s="5"/>
      <c r="RR91" s="5"/>
      <c r="RS91" s="5"/>
      <c r="RT91" s="5"/>
      <c r="RU91" s="5"/>
      <c r="RV91" s="5"/>
      <c r="RW91" s="5"/>
      <c r="RX91" s="5"/>
      <c r="RY91" s="5"/>
      <c r="RZ91" s="5"/>
      <c r="SA91" s="5"/>
      <c r="SB91" s="5"/>
      <c r="SC91" s="5"/>
      <c r="SD91" s="5"/>
      <c r="SE91" s="5"/>
      <c r="SF91" s="5"/>
      <c r="SG91" s="5"/>
      <c r="SH91" s="5"/>
      <c r="SI91" s="5"/>
      <c r="SJ91" s="5"/>
      <c r="SK91" s="5"/>
      <c r="SL91" s="5"/>
      <c r="SM91" s="5"/>
      <c r="SN91" s="5"/>
      <c r="SO91" s="5"/>
      <c r="SP91" s="5"/>
      <c r="SQ91" s="5"/>
      <c r="SR91" s="5"/>
      <c r="SS91" s="5"/>
      <c r="ST91" s="5"/>
      <c r="SU91" s="5"/>
      <c r="SV91" s="5"/>
      <c r="SW91" s="5"/>
      <c r="SX91" s="5"/>
      <c r="SY91" s="5"/>
      <c r="SZ91" s="5"/>
      <c r="TA91" s="5"/>
      <c r="TB91" s="5"/>
      <c r="TC91" s="5"/>
      <c r="TD91" s="5"/>
      <c r="TE91" s="5"/>
      <c r="TF91" s="5"/>
      <c r="TG91" s="5"/>
      <c r="TH91" s="5"/>
      <c r="TI91" s="5"/>
      <c r="TJ91" s="5"/>
      <c r="TK91" s="5"/>
      <c r="TL91" s="5"/>
      <c r="TM91" s="5"/>
      <c r="TN91" s="5"/>
      <c r="TO91" s="5"/>
      <c r="TP91" s="5"/>
      <c r="TQ91" s="5"/>
      <c r="TR91" s="5"/>
      <c r="TS91" s="5"/>
      <c r="TT91" s="5"/>
      <c r="TU91" s="5"/>
      <c r="TV91" s="5"/>
      <c r="TW91" s="5"/>
      <c r="TX91" s="5"/>
      <c r="TY91" s="5"/>
      <c r="TZ91" s="5"/>
      <c r="UA91" s="5"/>
      <c r="UB91" s="5"/>
      <c r="UC91" s="5"/>
      <c r="UD91" s="5"/>
      <c r="UE91" s="5"/>
      <c r="UF91" s="5"/>
      <c r="UG91" s="5"/>
      <c r="UH91" s="5"/>
      <c r="UI91" s="5"/>
      <c r="UJ91" s="5"/>
      <c r="UK91" s="5"/>
      <c r="UL91" s="5"/>
      <c r="UM91" s="5"/>
      <c r="UN91" s="5"/>
      <c r="UO91" s="5"/>
      <c r="UP91" s="5"/>
      <c r="UQ91" s="5"/>
      <c r="UR91" s="5"/>
      <c r="US91" s="5"/>
      <c r="UT91" s="5"/>
      <c r="UU91" s="5"/>
      <c r="UV91" s="5"/>
      <c r="UW91" s="5"/>
      <c r="UX91" s="5"/>
      <c r="UY91" s="5"/>
      <c r="UZ91" s="5"/>
      <c r="VA91" s="5"/>
      <c r="VB91" s="5"/>
      <c r="VC91" s="5"/>
      <c r="VD91" s="5"/>
      <c r="VE91" s="5"/>
      <c r="VF91" s="5"/>
      <c r="VG91" s="5"/>
      <c r="VH91" s="5"/>
      <c r="VI91" s="5"/>
      <c r="VJ91" s="5"/>
      <c r="VK91" s="5"/>
      <c r="VL91" s="5"/>
      <c r="VM91" s="5"/>
      <c r="VN91" s="5"/>
      <c r="VO91" s="5"/>
      <c r="VP91" s="5"/>
      <c r="VQ91" s="5"/>
      <c r="VR91" s="5"/>
      <c r="VS91" s="5"/>
      <c r="VT91" s="5"/>
      <c r="VU91" s="5"/>
      <c r="VV91" s="5"/>
      <c r="VW91" s="5"/>
      <c r="VX91" s="5"/>
      <c r="VY91" s="5"/>
      <c r="VZ91" s="5"/>
      <c r="WA91" s="5"/>
      <c r="WB91" s="5"/>
      <c r="WC91" s="5"/>
      <c r="WD91" s="5"/>
      <c r="WE91" s="5"/>
      <c r="WF91" s="5"/>
      <c r="WG91" s="5"/>
      <c r="WH91" s="5"/>
      <c r="WI91" s="5"/>
      <c r="WJ91" s="5"/>
      <c r="WK91" s="5"/>
      <c r="WL91" s="5"/>
      <c r="WM91" s="5"/>
      <c r="WN91" s="5"/>
      <c r="WO91" s="5"/>
      <c r="WP91" s="5"/>
      <c r="WQ91" s="5"/>
      <c r="WR91" s="5"/>
      <c r="WS91" s="5"/>
      <c r="WT91" s="5"/>
      <c r="WU91" s="5"/>
      <c r="WV91" s="5"/>
      <c r="WW91" s="5"/>
      <c r="WX91" s="5"/>
      <c r="WY91" s="5"/>
      <c r="WZ91" s="5"/>
      <c r="XA91" s="5"/>
      <c r="XB91" s="5"/>
      <c r="XC91" s="5"/>
      <c r="XD91" s="5"/>
      <c r="XE91" s="5"/>
      <c r="XF91" s="5"/>
      <c r="XG91" s="5"/>
      <c r="XH91" s="5"/>
      <c r="XI91" s="5"/>
      <c r="XJ91" s="5"/>
      <c r="XK91" s="5"/>
      <c r="XL91" s="5"/>
      <c r="XM91" s="5"/>
      <c r="XN91" s="5"/>
      <c r="XO91" s="5"/>
      <c r="XP91" s="5"/>
      <c r="XQ91" s="5"/>
      <c r="XR91" s="5"/>
      <c r="XS91" s="5"/>
      <c r="XT91" s="5"/>
      <c r="XU91" s="5"/>
      <c r="XV91" s="5"/>
      <c r="XW91" s="5"/>
      <c r="XX91" s="5"/>
      <c r="XY91" s="5"/>
      <c r="XZ91" s="5"/>
      <c r="YA91" s="5"/>
      <c r="YB91" s="5"/>
      <c r="YC91" s="5"/>
      <c r="YD91" s="5"/>
      <c r="YE91" s="5"/>
      <c r="YF91" s="5"/>
      <c r="YG91" s="5"/>
      <c r="YH91" s="5"/>
      <c r="YI91" s="5"/>
      <c r="YJ91" s="5"/>
      <c r="YK91" s="5"/>
      <c r="YL91" s="5"/>
      <c r="YM91" s="5"/>
      <c r="YN91" s="5"/>
      <c r="YO91" s="5"/>
      <c r="YP91" s="5"/>
      <c r="YQ91" s="5"/>
      <c r="YR91" s="5"/>
      <c r="YS91" s="5"/>
      <c r="YT91" s="5"/>
      <c r="YU91" s="5"/>
      <c r="YV91" s="5"/>
      <c r="YW91" s="5"/>
      <c r="YX91" s="5"/>
      <c r="YY91" s="5"/>
      <c r="YZ91" s="5"/>
    </row>
    <row r="92" spans="1:676">
      <c r="A92" s="7">
        <v>82</v>
      </c>
      <c r="B92" s="7" t="s">
        <v>232</v>
      </c>
      <c r="C92" s="10" t="s">
        <v>233</v>
      </c>
      <c r="D92" s="7" t="s">
        <v>129</v>
      </c>
      <c r="E92" s="7" t="s">
        <v>209</v>
      </c>
      <c r="F92" s="7" t="s">
        <v>206</v>
      </c>
      <c r="G92" s="7"/>
      <c r="H92" s="7" t="s">
        <v>234</v>
      </c>
      <c r="I92" s="11">
        <v>2</v>
      </c>
      <c r="J92" s="11">
        <v>3</v>
      </c>
      <c r="K92" s="11">
        <v>1</v>
      </c>
      <c r="L92" s="11">
        <v>3.360000000000001</v>
      </c>
      <c r="M92" s="11">
        <v>0</v>
      </c>
      <c r="N92" s="11">
        <v>0</v>
      </c>
      <c r="O92" s="11">
        <v>0.6</v>
      </c>
      <c r="P92" s="11">
        <v>0.8</v>
      </c>
      <c r="Q92" s="11">
        <v>5.760000000000001</v>
      </c>
      <c r="R92" s="11">
        <v>0</v>
      </c>
      <c r="S92" s="11">
        <v>5.760000000000001</v>
      </c>
      <c r="T92" s="11">
        <v>2</v>
      </c>
      <c r="U92" s="11">
        <v>3</v>
      </c>
      <c r="V92" s="11">
        <v>0.7600000000000007</v>
      </c>
      <c r="W92" s="13">
        <v>2</v>
      </c>
      <c r="X92" s="13">
        <v>3</v>
      </c>
      <c r="Y92" s="13" t="str">
        <f>MIN(W92,S92)</f>
        <v>0</v>
      </c>
      <c r="Z92" s="13" t="str">
        <f>MIN(X92,(S92-Y92))</f>
        <v>0</v>
      </c>
      <c r="AA92" s="13" t="str">
        <f>S92-SUM(Y92,Z92)</f>
        <v>0</v>
      </c>
      <c r="AB92" s="15"/>
      <c r="AC92" s="15"/>
      <c r="AD92" s="1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5"/>
      <c r="EA92" s="5"/>
      <c r="EB92" s="5"/>
      <c r="EC92" s="5"/>
      <c r="ED92" s="5"/>
      <c r="EE92" s="5"/>
      <c r="EF92" s="5"/>
      <c r="EG92" s="5"/>
      <c r="EH92" s="5"/>
      <c r="EI92" s="5"/>
      <c r="EJ92" s="5"/>
      <c r="EK92" s="5"/>
      <c r="EL92" s="5"/>
      <c r="EM92" s="5"/>
      <c r="EN92" s="5"/>
      <c r="EO92" s="5"/>
      <c r="EP92" s="5"/>
      <c r="EQ92" s="5"/>
      <c r="ER92" s="5"/>
      <c r="ES92" s="5"/>
      <c r="ET92" s="5"/>
      <c r="EU92" s="5"/>
      <c r="EV92" s="5"/>
      <c r="EW92" s="5"/>
      <c r="EX92" s="5"/>
      <c r="EY92" s="5"/>
      <c r="EZ92" s="5"/>
      <c r="FA92" s="5"/>
      <c r="FB92" s="5"/>
      <c r="FC92" s="5"/>
      <c r="FD92" s="5"/>
      <c r="FE92" s="5"/>
      <c r="FF92" s="5"/>
      <c r="FG92" s="5"/>
      <c r="FH92" s="5"/>
      <c r="FI92" s="5"/>
      <c r="FJ92" s="5"/>
      <c r="FK92" s="5"/>
      <c r="FL92" s="5"/>
      <c r="FM92" s="5"/>
      <c r="FN92" s="5"/>
      <c r="FO92" s="5"/>
      <c r="FP92" s="5"/>
      <c r="FQ92" s="5"/>
      <c r="FR92" s="5"/>
      <c r="FS92" s="5"/>
      <c r="FT92" s="5"/>
      <c r="FU92" s="5"/>
      <c r="FV92" s="5"/>
      <c r="FW92" s="5"/>
      <c r="FX92" s="5"/>
      <c r="FY92" s="5"/>
      <c r="FZ92" s="5"/>
      <c r="GA92" s="5"/>
      <c r="GB92" s="5"/>
      <c r="GC92" s="5"/>
      <c r="GD92" s="5"/>
      <c r="GE92" s="5"/>
      <c r="GF92" s="5"/>
      <c r="GG92" s="5"/>
      <c r="GH92" s="5"/>
      <c r="GI92" s="5"/>
      <c r="GJ92" s="5"/>
      <c r="GK92" s="5"/>
      <c r="GL92" s="5"/>
      <c r="GM92" s="5"/>
      <c r="GN92" s="5"/>
      <c r="GO92" s="5"/>
      <c r="GP92" s="5"/>
      <c r="GQ92" s="5"/>
      <c r="GR92" s="5"/>
      <c r="GS92" s="5"/>
      <c r="GT92" s="5"/>
      <c r="GU92" s="5"/>
      <c r="GV92" s="5"/>
      <c r="GW92" s="5"/>
      <c r="GX92" s="5"/>
      <c r="GY92" s="5"/>
      <c r="GZ92" s="5"/>
      <c r="HA92" s="5"/>
      <c r="HB92" s="5"/>
      <c r="HC92" s="5"/>
      <c r="HD92" s="5"/>
      <c r="HE92" s="5"/>
      <c r="HF92" s="5"/>
      <c r="HG92" s="5"/>
      <c r="HH92" s="5"/>
      <c r="HI92" s="5"/>
      <c r="HJ92" s="5"/>
      <c r="HK92" s="5"/>
      <c r="HL92" s="5"/>
      <c r="HM92" s="5"/>
      <c r="HN92" s="5"/>
      <c r="HO92" s="5"/>
      <c r="HP92" s="5"/>
      <c r="HQ92" s="5"/>
      <c r="HR92" s="5"/>
      <c r="HS92" s="5"/>
      <c r="HT92" s="5"/>
      <c r="HU92" s="5"/>
      <c r="HV92" s="5"/>
      <c r="HW92" s="5"/>
      <c r="HX92" s="5"/>
      <c r="HY92" s="5"/>
      <c r="HZ92" s="5"/>
      <c r="IA92" s="5"/>
      <c r="IB92" s="5"/>
      <c r="IC92" s="5"/>
      <c r="ID92" s="5"/>
      <c r="IE92" s="5"/>
      <c r="IF92" s="5"/>
      <c r="IG92" s="5"/>
      <c r="IH92" s="5"/>
      <c r="II92" s="5"/>
      <c r="IJ92" s="5"/>
      <c r="IK92" s="5"/>
      <c r="IL92" s="5"/>
      <c r="IM92" s="5"/>
      <c r="IN92" s="5"/>
      <c r="IO92" s="5"/>
      <c r="IP92" s="5"/>
      <c r="IQ92" s="5"/>
      <c r="IR92" s="5"/>
      <c r="IS92" s="5"/>
      <c r="IT92" s="5"/>
      <c r="IU92" s="5"/>
      <c r="IV92" s="5"/>
      <c r="IW92" s="5"/>
      <c r="IX92" s="5"/>
      <c r="IY92" s="5"/>
      <c r="IZ92" s="5"/>
      <c r="JA92" s="5"/>
      <c r="JB92" s="5"/>
      <c r="JC92" s="5"/>
      <c r="JD92" s="5"/>
      <c r="JE92" s="5"/>
      <c r="JF92" s="5"/>
      <c r="JG92" s="5"/>
      <c r="JH92" s="5"/>
      <c r="JI92" s="5"/>
      <c r="JJ92" s="5"/>
      <c r="JK92" s="5"/>
      <c r="JL92" s="5"/>
      <c r="JM92" s="5"/>
      <c r="JN92" s="5"/>
      <c r="JO92" s="5"/>
      <c r="JP92" s="5"/>
      <c r="JQ92" s="5"/>
      <c r="JR92" s="5"/>
      <c r="JS92" s="5"/>
      <c r="JT92" s="5"/>
      <c r="JU92" s="5"/>
      <c r="JV92" s="5"/>
      <c r="JW92" s="5"/>
      <c r="JX92" s="5"/>
      <c r="JY92" s="5"/>
      <c r="JZ92" s="5"/>
      <c r="KA92" s="5"/>
      <c r="KB92" s="5"/>
      <c r="KC92" s="5"/>
      <c r="KD92" s="5"/>
      <c r="KE92" s="5"/>
      <c r="KF92" s="5"/>
      <c r="KG92" s="5"/>
      <c r="KH92" s="5"/>
      <c r="KI92" s="5"/>
      <c r="KJ92" s="5"/>
      <c r="KK92" s="5"/>
      <c r="KL92" s="5"/>
      <c r="KM92" s="5"/>
      <c r="KN92" s="5"/>
      <c r="KO92" s="5"/>
      <c r="KP92" s="5"/>
      <c r="KQ92" s="5"/>
      <c r="KR92" s="5"/>
      <c r="KS92" s="5"/>
      <c r="KT92" s="5"/>
      <c r="KU92" s="5"/>
      <c r="KV92" s="5"/>
      <c r="KW92" s="5"/>
      <c r="KX92" s="5"/>
      <c r="KY92" s="5"/>
      <c r="KZ92" s="5"/>
      <c r="LA92" s="5"/>
      <c r="LB92" s="5"/>
      <c r="LC92" s="5"/>
      <c r="LD92" s="5"/>
      <c r="LE92" s="5"/>
      <c r="LF92" s="5"/>
      <c r="LG92" s="5"/>
      <c r="LH92" s="5"/>
      <c r="LI92" s="5"/>
      <c r="LJ92" s="5"/>
      <c r="LK92" s="5"/>
      <c r="LL92" s="5"/>
      <c r="LM92" s="5"/>
      <c r="LN92" s="5"/>
      <c r="LO92" s="5"/>
      <c r="LP92" s="5"/>
      <c r="LQ92" s="5"/>
      <c r="LR92" s="5"/>
      <c r="LS92" s="5"/>
      <c r="LT92" s="5"/>
      <c r="LU92" s="5"/>
      <c r="LV92" s="5"/>
      <c r="LW92" s="5"/>
      <c r="LX92" s="5"/>
      <c r="LY92" s="5"/>
      <c r="LZ92" s="5"/>
      <c r="MA92" s="5"/>
      <c r="MB92" s="5"/>
      <c r="MC92" s="5"/>
      <c r="MD92" s="5"/>
      <c r="ME92" s="5"/>
      <c r="MF92" s="5"/>
      <c r="MG92" s="5"/>
      <c r="MH92" s="5"/>
      <c r="MI92" s="5"/>
      <c r="MJ92" s="5"/>
      <c r="MK92" s="5"/>
      <c r="ML92" s="5"/>
      <c r="MM92" s="5"/>
      <c r="MN92" s="5"/>
      <c r="MO92" s="5"/>
      <c r="MP92" s="5"/>
      <c r="MQ92" s="5"/>
      <c r="MR92" s="5"/>
      <c r="MS92" s="5"/>
      <c r="MT92" s="5"/>
      <c r="MU92" s="5"/>
      <c r="MV92" s="5"/>
      <c r="MW92" s="5"/>
      <c r="MX92" s="5"/>
      <c r="MY92" s="5"/>
      <c r="MZ92" s="5"/>
      <c r="NA92" s="5"/>
      <c r="NB92" s="5"/>
      <c r="NC92" s="5"/>
      <c r="ND92" s="5"/>
      <c r="NE92" s="5"/>
      <c r="NF92" s="5"/>
      <c r="NG92" s="5"/>
      <c r="NH92" s="5"/>
      <c r="NI92" s="5"/>
      <c r="NJ92" s="5"/>
      <c r="NK92" s="5"/>
      <c r="NL92" s="5"/>
      <c r="NM92" s="5"/>
      <c r="NN92" s="5"/>
      <c r="NO92" s="5"/>
      <c r="NP92" s="5"/>
      <c r="NQ92" s="5"/>
      <c r="NR92" s="5"/>
      <c r="NS92" s="5"/>
      <c r="NT92" s="5"/>
      <c r="NU92" s="5"/>
      <c r="NV92" s="5"/>
      <c r="NW92" s="5"/>
      <c r="NX92" s="5"/>
      <c r="NY92" s="5"/>
      <c r="NZ92" s="5"/>
      <c r="OA92" s="5"/>
      <c r="OB92" s="5"/>
      <c r="OC92" s="5"/>
      <c r="OD92" s="5"/>
      <c r="OE92" s="5"/>
      <c r="OF92" s="5"/>
      <c r="OG92" s="5"/>
      <c r="OH92" s="5"/>
      <c r="OI92" s="5"/>
      <c r="OJ92" s="5"/>
      <c r="OK92" s="5"/>
      <c r="OL92" s="5"/>
      <c r="OM92" s="5"/>
      <c r="ON92" s="5"/>
      <c r="OO92" s="5"/>
      <c r="OP92" s="5"/>
      <c r="OQ92" s="5"/>
      <c r="OR92" s="5"/>
      <c r="OS92" s="5"/>
      <c r="OT92" s="5"/>
      <c r="OU92" s="5"/>
      <c r="OV92" s="5"/>
      <c r="OW92" s="5"/>
      <c r="OX92" s="5"/>
      <c r="OY92" s="5"/>
      <c r="OZ92" s="5"/>
      <c r="PA92" s="5"/>
      <c r="PB92" s="5"/>
      <c r="PC92" s="5"/>
      <c r="PD92" s="5"/>
      <c r="PE92" s="5"/>
      <c r="PF92" s="5"/>
      <c r="PG92" s="5"/>
      <c r="PH92" s="5"/>
      <c r="PI92" s="5"/>
      <c r="PJ92" s="5"/>
      <c r="PK92" s="5"/>
      <c r="PL92" s="5"/>
      <c r="PM92" s="5"/>
      <c r="PN92" s="5"/>
      <c r="PO92" s="5"/>
      <c r="PP92" s="5"/>
      <c r="PQ92" s="5"/>
      <c r="PR92" s="5"/>
      <c r="PS92" s="5"/>
      <c r="PT92" s="5"/>
      <c r="PU92" s="5"/>
      <c r="PV92" s="5"/>
      <c r="PW92" s="5"/>
      <c r="PX92" s="5"/>
      <c r="PY92" s="5"/>
      <c r="PZ92" s="5"/>
      <c r="QA92" s="5"/>
      <c r="QB92" s="5"/>
      <c r="QC92" s="5"/>
      <c r="QD92" s="5"/>
      <c r="QE92" s="5"/>
      <c r="QF92" s="5"/>
      <c r="QG92" s="5"/>
      <c r="QH92" s="5"/>
      <c r="QI92" s="5"/>
      <c r="QJ92" s="5"/>
      <c r="QK92" s="5"/>
      <c r="QL92" s="5"/>
      <c r="QM92" s="5"/>
      <c r="QN92" s="5"/>
      <c r="QO92" s="5"/>
      <c r="QP92" s="5"/>
      <c r="QQ92" s="5"/>
      <c r="QR92" s="5"/>
      <c r="QS92" s="5"/>
      <c r="QT92" s="5"/>
      <c r="QU92" s="5"/>
      <c r="QV92" s="5"/>
      <c r="QW92" s="5"/>
      <c r="QX92" s="5"/>
      <c r="QY92" s="5"/>
      <c r="QZ92" s="5"/>
      <c r="RA92" s="5"/>
      <c r="RB92" s="5"/>
      <c r="RC92" s="5"/>
      <c r="RD92" s="5"/>
      <c r="RE92" s="5"/>
      <c r="RF92" s="5"/>
      <c r="RG92" s="5"/>
      <c r="RH92" s="5"/>
      <c r="RI92" s="5"/>
      <c r="RJ92" s="5"/>
      <c r="RK92" s="5"/>
      <c r="RL92" s="5"/>
      <c r="RM92" s="5"/>
      <c r="RN92" s="5"/>
      <c r="RO92" s="5"/>
      <c r="RP92" s="5"/>
      <c r="RQ92" s="5"/>
      <c r="RR92" s="5"/>
      <c r="RS92" s="5"/>
      <c r="RT92" s="5"/>
      <c r="RU92" s="5"/>
      <c r="RV92" s="5"/>
      <c r="RW92" s="5"/>
      <c r="RX92" s="5"/>
      <c r="RY92" s="5"/>
      <c r="RZ92" s="5"/>
      <c r="SA92" s="5"/>
      <c r="SB92" s="5"/>
      <c r="SC92" s="5"/>
      <c r="SD92" s="5"/>
      <c r="SE92" s="5"/>
      <c r="SF92" s="5"/>
      <c r="SG92" s="5"/>
      <c r="SH92" s="5"/>
      <c r="SI92" s="5"/>
      <c r="SJ92" s="5"/>
      <c r="SK92" s="5"/>
      <c r="SL92" s="5"/>
      <c r="SM92" s="5"/>
      <c r="SN92" s="5"/>
      <c r="SO92" s="5"/>
      <c r="SP92" s="5"/>
      <c r="SQ92" s="5"/>
      <c r="SR92" s="5"/>
      <c r="SS92" s="5"/>
      <c r="ST92" s="5"/>
      <c r="SU92" s="5"/>
      <c r="SV92" s="5"/>
      <c r="SW92" s="5"/>
      <c r="SX92" s="5"/>
      <c r="SY92" s="5"/>
      <c r="SZ92" s="5"/>
      <c r="TA92" s="5"/>
      <c r="TB92" s="5"/>
      <c r="TC92" s="5"/>
      <c r="TD92" s="5"/>
      <c r="TE92" s="5"/>
      <c r="TF92" s="5"/>
      <c r="TG92" s="5"/>
      <c r="TH92" s="5"/>
      <c r="TI92" s="5"/>
      <c r="TJ92" s="5"/>
      <c r="TK92" s="5"/>
      <c r="TL92" s="5"/>
      <c r="TM92" s="5"/>
      <c r="TN92" s="5"/>
      <c r="TO92" s="5"/>
      <c r="TP92" s="5"/>
      <c r="TQ92" s="5"/>
      <c r="TR92" s="5"/>
      <c r="TS92" s="5"/>
      <c r="TT92" s="5"/>
      <c r="TU92" s="5"/>
      <c r="TV92" s="5"/>
      <c r="TW92" s="5"/>
      <c r="TX92" s="5"/>
      <c r="TY92" s="5"/>
      <c r="TZ92" s="5"/>
      <c r="UA92" s="5"/>
      <c r="UB92" s="5"/>
      <c r="UC92" s="5"/>
      <c r="UD92" s="5"/>
      <c r="UE92" s="5"/>
      <c r="UF92" s="5"/>
      <c r="UG92" s="5"/>
      <c r="UH92" s="5"/>
      <c r="UI92" s="5"/>
      <c r="UJ92" s="5"/>
      <c r="UK92" s="5"/>
      <c r="UL92" s="5"/>
      <c r="UM92" s="5"/>
      <c r="UN92" s="5"/>
      <c r="UO92" s="5"/>
      <c r="UP92" s="5"/>
      <c r="UQ92" s="5"/>
      <c r="UR92" s="5"/>
      <c r="US92" s="5"/>
      <c r="UT92" s="5"/>
      <c r="UU92" s="5"/>
      <c r="UV92" s="5"/>
      <c r="UW92" s="5"/>
      <c r="UX92" s="5"/>
      <c r="UY92" s="5"/>
      <c r="UZ92" s="5"/>
      <c r="VA92" s="5"/>
      <c r="VB92" s="5"/>
      <c r="VC92" s="5"/>
      <c r="VD92" s="5"/>
      <c r="VE92" s="5"/>
      <c r="VF92" s="5"/>
      <c r="VG92" s="5"/>
      <c r="VH92" s="5"/>
      <c r="VI92" s="5"/>
      <c r="VJ92" s="5"/>
      <c r="VK92" s="5"/>
      <c r="VL92" s="5"/>
      <c r="VM92" s="5"/>
      <c r="VN92" s="5"/>
      <c r="VO92" s="5"/>
      <c r="VP92" s="5"/>
      <c r="VQ92" s="5"/>
      <c r="VR92" s="5"/>
      <c r="VS92" s="5"/>
      <c r="VT92" s="5"/>
      <c r="VU92" s="5"/>
      <c r="VV92" s="5"/>
      <c r="VW92" s="5"/>
      <c r="VX92" s="5"/>
      <c r="VY92" s="5"/>
      <c r="VZ92" s="5"/>
      <c r="WA92" s="5"/>
      <c r="WB92" s="5"/>
      <c r="WC92" s="5"/>
      <c r="WD92" s="5"/>
      <c r="WE92" s="5"/>
      <c r="WF92" s="5"/>
      <c r="WG92" s="5"/>
      <c r="WH92" s="5"/>
      <c r="WI92" s="5"/>
      <c r="WJ92" s="5"/>
      <c r="WK92" s="5"/>
      <c r="WL92" s="5"/>
      <c r="WM92" s="5"/>
      <c r="WN92" s="5"/>
      <c r="WO92" s="5"/>
      <c r="WP92" s="5"/>
      <c r="WQ92" s="5"/>
      <c r="WR92" s="5"/>
      <c r="WS92" s="5"/>
      <c r="WT92" s="5"/>
      <c r="WU92" s="5"/>
      <c r="WV92" s="5"/>
      <c r="WW92" s="5"/>
      <c r="WX92" s="5"/>
      <c r="WY92" s="5"/>
      <c r="WZ92" s="5"/>
      <c r="XA92" s="5"/>
      <c r="XB92" s="5"/>
      <c r="XC92" s="5"/>
      <c r="XD92" s="5"/>
      <c r="XE92" s="5"/>
      <c r="XF92" s="5"/>
      <c r="XG92" s="5"/>
      <c r="XH92" s="5"/>
      <c r="XI92" s="5"/>
      <c r="XJ92" s="5"/>
      <c r="XK92" s="5"/>
      <c r="XL92" s="5"/>
      <c r="XM92" s="5"/>
      <c r="XN92" s="5"/>
      <c r="XO92" s="5"/>
      <c r="XP92" s="5"/>
      <c r="XQ92" s="5"/>
      <c r="XR92" s="5"/>
      <c r="XS92" s="5"/>
      <c r="XT92" s="5"/>
      <c r="XU92" s="5"/>
      <c r="XV92" s="5"/>
      <c r="XW92" s="5"/>
      <c r="XX92" s="5"/>
      <c r="XY92" s="5"/>
      <c r="XZ92" s="5"/>
      <c r="YA92" s="5"/>
      <c r="YB92" s="5"/>
      <c r="YC92" s="5"/>
      <c r="YD92" s="5"/>
      <c r="YE92" s="5"/>
      <c r="YF92" s="5"/>
      <c r="YG92" s="5"/>
      <c r="YH92" s="5"/>
      <c r="YI92" s="5"/>
      <c r="YJ92" s="5"/>
      <c r="YK92" s="5"/>
      <c r="YL92" s="5"/>
      <c r="YM92" s="5"/>
      <c r="YN92" s="5"/>
      <c r="YO92" s="5"/>
      <c r="YP92" s="5"/>
      <c r="YQ92" s="5"/>
      <c r="YR92" s="5"/>
      <c r="YS92" s="5"/>
      <c r="YT92" s="5"/>
      <c r="YU92" s="5"/>
      <c r="YV92" s="5"/>
      <c r="YW92" s="5"/>
      <c r="YX92" s="5"/>
      <c r="YY92" s="5"/>
      <c r="YZ92" s="5"/>
    </row>
    <row r="93" spans="1:676">
      <c r="A93" s="7">
        <v>83</v>
      </c>
      <c r="B93" s="7" t="s">
        <v>235</v>
      </c>
      <c r="C93" s="10" t="s">
        <v>236</v>
      </c>
      <c r="D93" s="7" t="s">
        <v>129</v>
      </c>
      <c r="E93" s="7" t="s">
        <v>209</v>
      </c>
      <c r="F93" s="7" t="s">
        <v>206</v>
      </c>
      <c r="G93" s="7"/>
      <c r="H93" s="7" t="s">
        <v>43</v>
      </c>
      <c r="I93" s="11">
        <v>2</v>
      </c>
      <c r="J93" s="11">
        <v>3</v>
      </c>
      <c r="K93" s="11">
        <v>0</v>
      </c>
      <c r="L93" s="11">
        <v>4.510000000000001</v>
      </c>
      <c r="M93" s="11">
        <v>0.74</v>
      </c>
      <c r="N93" s="11">
        <v>0</v>
      </c>
      <c r="O93" s="11">
        <v>0.6</v>
      </c>
      <c r="P93" s="11">
        <v>0</v>
      </c>
      <c r="Q93" s="11">
        <v>5.850000000000001</v>
      </c>
      <c r="R93" s="11">
        <v>0</v>
      </c>
      <c r="S93" s="11">
        <v>5.850000000000001</v>
      </c>
      <c r="T93" s="11">
        <v>2</v>
      </c>
      <c r="U93" s="11">
        <v>3</v>
      </c>
      <c r="V93" s="11">
        <v>0.8500000000000005</v>
      </c>
      <c r="W93" s="13">
        <v>2</v>
      </c>
      <c r="X93" s="13">
        <v>3</v>
      </c>
      <c r="Y93" s="13" t="str">
        <f>MIN(W93,S93)</f>
        <v>0</v>
      </c>
      <c r="Z93" s="13" t="str">
        <f>MIN(X93,(S93-Y93))</f>
        <v>0</v>
      </c>
      <c r="AA93" s="13" t="str">
        <f>S93-SUM(Y93,Z93)</f>
        <v>0</v>
      </c>
      <c r="AB93" s="15"/>
      <c r="AC93" s="15"/>
      <c r="AD93" s="1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  <c r="CZ93" s="5"/>
      <c r="DA93" s="5"/>
      <c r="DB93" s="5"/>
      <c r="DC93" s="5"/>
      <c r="DD93" s="5"/>
      <c r="DE93" s="5"/>
      <c r="DF93" s="5"/>
      <c r="DG93" s="5"/>
      <c r="DH93" s="5"/>
      <c r="DI93" s="5"/>
      <c r="DJ93" s="5"/>
      <c r="DK93" s="5"/>
      <c r="DL93" s="5"/>
      <c r="DM93" s="5"/>
      <c r="DN93" s="5"/>
      <c r="DO93" s="5"/>
      <c r="DP93" s="5"/>
      <c r="DQ93" s="5"/>
      <c r="DR93" s="5"/>
      <c r="DS93" s="5"/>
      <c r="DT93" s="5"/>
      <c r="DU93" s="5"/>
      <c r="DV93" s="5"/>
      <c r="DW93" s="5"/>
      <c r="DX93" s="5"/>
      <c r="DY93" s="5"/>
      <c r="DZ93" s="5"/>
      <c r="EA93" s="5"/>
      <c r="EB93" s="5"/>
      <c r="EC93" s="5"/>
      <c r="ED93" s="5"/>
      <c r="EE93" s="5"/>
      <c r="EF93" s="5"/>
      <c r="EG93" s="5"/>
      <c r="EH93" s="5"/>
      <c r="EI93" s="5"/>
      <c r="EJ93" s="5"/>
      <c r="EK93" s="5"/>
      <c r="EL93" s="5"/>
      <c r="EM93" s="5"/>
      <c r="EN93" s="5"/>
      <c r="EO93" s="5"/>
      <c r="EP93" s="5"/>
      <c r="EQ93" s="5"/>
      <c r="ER93" s="5"/>
      <c r="ES93" s="5"/>
      <c r="ET93" s="5"/>
      <c r="EU93" s="5"/>
      <c r="EV93" s="5"/>
      <c r="EW93" s="5"/>
      <c r="EX93" s="5"/>
      <c r="EY93" s="5"/>
      <c r="EZ93" s="5"/>
      <c r="FA93" s="5"/>
      <c r="FB93" s="5"/>
      <c r="FC93" s="5"/>
      <c r="FD93" s="5"/>
      <c r="FE93" s="5"/>
      <c r="FF93" s="5"/>
      <c r="FG93" s="5"/>
      <c r="FH93" s="5"/>
      <c r="FI93" s="5"/>
      <c r="FJ93" s="5"/>
      <c r="FK93" s="5"/>
      <c r="FL93" s="5"/>
      <c r="FM93" s="5"/>
      <c r="FN93" s="5"/>
      <c r="FO93" s="5"/>
      <c r="FP93" s="5"/>
      <c r="FQ93" s="5"/>
      <c r="FR93" s="5"/>
      <c r="FS93" s="5"/>
      <c r="FT93" s="5"/>
      <c r="FU93" s="5"/>
      <c r="FV93" s="5"/>
      <c r="FW93" s="5"/>
      <c r="FX93" s="5"/>
      <c r="FY93" s="5"/>
      <c r="FZ93" s="5"/>
      <c r="GA93" s="5"/>
      <c r="GB93" s="5"/>
      <c r="GC93" s="5"/>
      <c r="GD93" s="5"/>
      <c r="GE93" s="5"/>
      <c r="GF93" s="5"/>
      <c r="GG93" s="5"/>
      <c r="GH93" s="5"/>
      <c r="GI93" s="5"/>
      <c r="GJ93" s="5"/>
      <c r="GK93" s="5"/>
      <c r="GL93" s="5"/>
      <c r="GM93" s="5"/>
      <c r="GN93" s="5"/>
      <c r="GO93" s="5"/>
      <c r="GP93" s="5"/>
      <c r="GQ93" s="5"/>
      <c r="GR93" s="5"/>
      <c r="GS93" s="5"/>
      <c r="GT93" s="5"/>
      <c r="GU93" s="5"/>
      <c r="GV93" s="5"/>
      <c r="GW93" s="5"/>
      <c r="GX93" s="5"/>
      <c r="GY93" s="5"/>
      <c r="GZ93" s="5"/>
      <c r="HA93" s="5"/>
      <c r="HB93" s="5"/>
      <c r="HC93" s="5"/>
      <c r="HD93" s="5"/>
      <c r="HE93" s="5"/>
      <c r="HF93" s="5"/>
      <c r="HG93" s="5"/>
      <c r="HH93" s="5"/>
      <c r="HI93" s="5"/>
      <c r="HJ93" s="5"/>
      <c r="HK93" s="5"/>
      <c r="HL93" s="5"/>
      <c r="HM93" s="5"/>
      <c r="HN93" s="5"/>
      <c r="HO93" s="5"/>
      <c r="HP93" s="5"/>
      <c r="HQ93" s="5"/>
      <c r="HR93" s="5"/>
      <c r="HS93" s="5"/>
      <c r="HT93" s="5"/>
      <c r="HU93" s="5"/>
      <c r="HV93" s="5"/>
      <c r="HW93" s="5"/>
      <c r="HX93" s="5"/>
      <c r="HY93" s="5"/>
      <c r="HZ93" s="5"/>
      <c r="IA93" s="5"/>
      <c r="IB93" s="5"/>
      <c r="IC93" s="5"/>
      <c r="ID93" s="5"/>
      <c r="IE93" s="5"/>
      <c r="IF93" s="5"/>
      <c r="IG93" s="5"/>
      <c r="IH93" s="5"/>
      <c r="II93" s="5"/>
      <c r="IJ93" s="5"/>
      <c r="IK93" s="5"/>
      <c r="IL93" s="5"/>
      <c r="IM93" s="5"/>
      <c r="IN93" s="5"/>
      <c r="IO93" s="5"/>
      <c r="IP93" s="5"/>
      <c r="IQ93" s="5"/>
      <c r="IR93" s="5"/>
      <c r="IS93" s="5"/>
      <c r="IT93" s="5"/>
      <c r="IU93" s="5"/>
      <c r="IV93" s="5"/>
      <c r="IW93" s="5"/>
      <c r="IX93" s="5"/>
      <c r="IY93" s="5"/>
      <c r="IZ93" s="5"/>
      <c r="JA93" s="5"/>
      <c r="JB93" s="5"/>
      <c r="JC93" s="5"/>
      <c r="JD93" s="5"/>
      <c r="JE93" s="5"/>
      <c r="JF93" s="5"/>
      <c r="JG93" s="5"/>
      <c r="JH93" s="5"/>
      <c r="JI93" s="5"/>
      <c r="JJ93" s="5"/>
      <c r="JK93" s="5"/>
      <c r="JL93" s="5"/>
      <c r="JM93" s="5"/>
      <c r="JN93" s="5"/>
      <c r="JO93" s="5"/>
      <c r="JP93" s="5"/>
      <c r="JQ93" s="5"/>
      <c r="JR93" s="5"/>
      <c r="JS93" s="5"/>
      <c r="JT93" s="5"/>
      <c r="JU93" s="5"/>
      <c r="JV93" s="5"/>
      <c r="JW93" s="5"/>
      <c r="JX93" s="5"/>
      <c r="JY93" s="5"/>
      <c r="JZ93" s="5"/>
      <c r="KA93" s="5"/>
      <c r="KB93" s="5"/>
      <c r="KC93" s="5"/>
      <c r="KD93" s="5"/>
      <c r="KE93" s="5"/>
      <c r="KF93" s="5"/>
      <c r="KG93" s="5"/>
      <c r="KH93" s="5"/>
      <c r="KI93" s="5"/>
      <c r="KJ93" s="5"/>
      <c r="KK93" s="5"/>
      <c r="KL93" s="5"/>
      <c r="KM93" s="5"/>
      <c r="KN93" s="5"/>
      <c r="KO93" s="5"/>
      <c r="KP93" s="5"/>
      <c r="KQ93" s="5"/>
      <c r="KR93" s="5"/>
      <c r="KS93" s="5"/>
      <c r="KT93" s="5"/>
      <c r="KU93" s="5"/>
      <c r="KV93" s="5"/>
      <c r="KW93" s="5"/>
      <c r="KX93" s="5"/>
      <c r="KY93" s="5"/>
      <c r="KZ93" s="5"/>
      <c r="LA93" s="5"/>
      <c r="LB93" s="5"/>
      <c r="LC93" s="5"/>
      <c r="LD93" s="5"/>
      <c r="LE93" s="5"/>
      <c r="LF93" s="5"/>
      <c r="LG93" s="5"/>
      <c r="LH93" s="5"/>
      <c r="LI93" s="5"/>
      <c r="LJ93" s="5"/>
      <c r="LK93" s="5"/>
      <c r="LL93" s="5"/>
      <c r="LM93" s="5"/>
      <c r="LN93" s="5"/>
      <c r="LO93" s="5"/>
      <c r="LP93" s="5"/>
      <c r="LQ93" s="5"/>
      <c r="LR93" s="5"/>
      <c r="LS93" s="5"/>
      <c r="LT93" s="5"/>
      <c r="LU93" s="5"/>
      <c r="LV93" s="5"/>
      <c r="LW93" s="5"/>
      <c r="LX93" s="5"/>
      <c r="LY93" s="5"/>
      <c r="LZ93" s="5"/>
      <c r="MA93" s="5"/>
      <c r="MB93" s="5"/>
      <c r="MC93" s="5"/>
      <c r="MD93" s="5"/>
      <c r="ME93" s="5"/>
      <c r="MF93" s="5"/>
      <c r="MG93" s="5"/>
      <c r="MH93" s="5"/>
      <c r="MI93" s="5"/>
      <c r="MJ93" s="5"/>
      <c r="MK93" s="5"/>
      <c r="ML93" s="5"/>
      <c r="MM93" s="5"/>
      <c r="MN93" s="5"/>
      <c r="MO93" s="5"/>
      <c r="MP93" s="5"/>
      <c r="MQ93" s="5"/>
      <c r="MR93" s="5"/>
      <c r="MS93" s="5"/>
      <c r="MT93" s="5"/>
      <c r="MU93" s="5"/>
      <c r="MV93" s="5"/>
      <c r="MW93" s="5"/>
      <c r="MX93" s="5"/>
      <c r="MY93" s="5"/>
      <c r="MZ93" s="5"/>
      <c r="NA93" s="5"/>
      <c r="NB93" s="5"/>
      <c r="NC93" s="5"/>
      <c r="ND93" s="5"/>
      <c r="NE93" s="5"/>
      <c r="NF93" s="5"/>
      <c r="NG93" s="5"/>
      <c r="NH93" s="5"/>
      <c r="NI93" s="5"/>
      <c r="NJ93" s="5"/>
      <c r="NK93" s="5"/>
      <c r="NL93" s="5"/>
      <c r="NM93" s="5"/>
      <c r="NN93" s="5"/>
      <c r="NO93" s="5"/>
      <c r="NP93" s="5"/>
      <c r="NQ93" s="5"/>
      <c r="NR93" s="5"/>
      <c r="NS93" s="5"/>
      <c r="NT93" s="5"/>
      <c r="NU93" s="5"/>
      <c r="NV93" s="5"/>
      <c r="NW93" s="5"/>
      <c r="NX93" s="5"/>
      <c r="NY93" s="5"/>
      <c r="NZ93" s="5"/>
      <c r="OA93" s="5"/>
      <c r="OB93" s="5"/>
      <c r="OC93" s="5"/>
      <c r="OD93" s="5"/>
      <c r="OE93" s="5"/>
      <c r="OF93" s="5"/>
      <c r="OG93" s="5"/>
      <c r="OH93" s="5"/>
      <c r="OI93" s="5"/>
      <c r="OJ93" s="5"/>
      <c r="OK93" s="5"/>
      <c r="OL93" s="5"/>
      <c r="OM93" s="5"/>
      <c r="ON93" s="5"/>
      <c r="OO93" s="5"/>
      <c r="OP93" s="5"/>
      <c r="OQ93" s="5"/>
      <c r="OR93" s="5"/>
      <c r="OS93" s="5"/>
      <c r="OT93" s="5"/>
      <c r="OU93" s="5"/>
      <c r="OV93" s="5"/>
      <c r="OW93" s="5"/>
      <c r="OX93" s="5"/>
      <c r="OY93" s="5"/>
      <c r="OZ93" s="5"/>
      <c r="PA93" s="5"/>
      <c r="PB93" s="5"/>
      <c r="PC93" s="5"/>
      <c r="PD93" s="5"/>
      <c r="PE93" s="5"/>
      <c r="PF93" s="5"/>
      <c r="PG93" s="5"/>
      <c r="PH93" s="5"/>
      <c r="PI93" s="5"/>
      <c r="PJ93" s="5"/>
      <c r="PK93" s="5"/>
      <c r="PL93" s="5"/>
      <c r="PM93" s="5"/>
      <c r="PN93" s="5"/>
      <c r="PO93" s="5"/>
      <c r="PP93" s="5"/>
      <c r="PQ93" s="5"/>
      <c r="PR93" s="5"/>
      <c r="PS93" s="5"/>
      <c r="PT93" s="5"/>
      <c r="PU93" s="5"/>
      <c r="PV93" s="5"/>
      <c r="PW93" s="5"/>
      <c r="PX93" s="5"/>
      <c r="PY93" s="5"/>
      <c r="PZ93" s="5"/>
      <c r="QA93" s="5"/>
      <c r="QB93" s="5"/>
      <c r="QC93" s="5"/>
      <c r="QD93" s="5"/>
      <c r="QE93" s="5"/>
      <c r="QF93" s="5"/>
      <c r="QG93" s="5"/>
      <c r="QH93" s="5"/>
      <c r="QI93" s="5"/>
      <c r="QJ93" s="5"/>
      <c r="QK93" s="5"/>
      <c r="QL93" s="5"/>
      <c r="QM93" s="5"/>
      <c r="QN93" s="5"/>
      <c r="QO93" s="5"/>
      <c r="QP93" s="5"/>
      <c r="QQ93" s="5"/>
      <c r="QR93" s="5"/>
      <c r="QS93" s="5"/>
      <c r="QT93" s="5"/>
      <c r="QU93" s="5"/>
      <c r="QV93" s="5"/>
      <c r="QW93" s="5"/>
      <c r="QX93" s="5"/>
      <c r="QY93" s="5"/>
      <c r="QZ93" s="5"/>
      <c r="RA93" s="5"/>
      <c r="RB93" s="5"/>
      <c r="RC93" s="5"/>
      <c r="RD93" s="5"/>
      <c r="RE93" s="5"/>
      <c r="RF93" s="5"/>
      <c r="RG93" s="5"/>
      <c r="RH93" s="5"/>
      <c r="RI93" s="5"/>
      <c r="RJ93" s="5"/>
      <c r="RK93" s="5"/>
      <c r="RL93" s="5"/>
      <c r="RM93" s="5"/>
      <c r="RN93" s="5"/>
      <c r="RO93" s="5"/>
      <c r="RP93" s="5"/>
      <c r="RQ93" s="5"/>
      <c r="RR93" s="5"/>
      <c r="RS93" s="5"/>
      <c r="RT93" s="5"/>
      <c r="RU93" s="5"/>
      <c r="RV93" s="5"/>
      <c r="RW93" s="5"/>
      <c r="RX93" s="5"/>
      <c r="RY93" s="5"/>
      <c r="RZ93" s="5"/>
      <c r="SA93" s="5"/>
      <c r="SB93" s="5"/>
      <c r="SC93" s="5"/>
      <c r="SD93" s="5"/>
      <c r="SE93" s="5"/>
      <c r="SF93" s="5"/>
      <c r="SG93" s="5"/>
      <c r="SH93" s="5"/>
      <c r="SI93" s="5"/>
      <c r="SJ93" s="5"/>
      <c r="SK93" s="5"/>
      <c r="SL93" s="5"/>
      <c r="SM93" s="5"/>
      <c r="SN93" s="5"/>
      <c r="SO93" s="5"/>
      <c r="SP93" s="5"/>
      <c r="SQ93" s="5"/>
      <c r="SR93" s="5"/>
      <c r="SS93" s="5"/>
      <c r="ST93" s="5"/>
      <c r="SU93" s="5"/>
      <c r="SV93" s="5"/>
      <c r="SW93" s="5"/>
      <c r="SX93" s="5"/>
      <c r="SY93" s="5"/>
      <c r="SZ93" s="5"/>
      <c r="TA93" s="5"/>
      <c r="TB93" s="5"/>
      <c r="TC93" s="5"/>
      <c r="TD93" s="5"/>
      <c r="TE93" s="5"/>
      <c r="TF93" s="5"/>
      <c r="TG93" s="5"/>
      <c r="TH93" s="5"/>
      <c r="TI93" s="5"/>
      <c r="TJ93" s="5"/>
      <c r="TK93" s="5"/>
      <c r="TL93" s="5"/>
      <c r="TM93" s="5"/>
      <c r="TN93" s="5"/>
      <c r="TO93" s="5"/>
      <c r="TP93" s="5"/>
      <c r="TQ93" s="5"/>
      <c r="TR93" s="5"/>
      <c r="TS93" s="5"/>
      <c r="TT93" s="5"/>
      <c r="TU93" s="5"/>
      <c r="TV93" s="5"/>
      <c r="TW93" s="5"/>
      <c r="TX93" s="5"/>
      <c r="TY93" s="5"/>
      <c r="TZ93" s="5"/>
      <c r="UA93" s="5"/>
      <c r="UB93" s="5"/>
      <c r="UC93" s="5"/>
      <c r="UD93" s="5"/>
      <c r="UE93" s="5"/>
      <c r="UF93" s="5"/>
      <c r="UG93" s="5"/>
      <c r="UH93" s="5"/>
      <c r="UI93" s="5"/>
      <c r="UJ93" s="5"/>
      <c r="UK93" s="5"/>
      <c r="UL93" s="5"/>
      <c r="UM93" s="5"/>
      <c r="UN93" s="5"/>
      <c r="UO93" s="5"/>
      <c r="UP93" s="5"/>
      <c r="UQ93" s="5"/>
      <c r="UR93" s="5"/>
      <c r="US93" s="5"/>
      <c r="UT93" s="5"/>
      <c r="UU93" s="5"/>
      <c r="UV93" s="5"/>
      <c r="UW93" s="5"/>
      <c r="UX93" s="5"/>
      <c r="UY93" s="5"/>
      <c r="UZ93" s="5"/>
      <c r="VA93" s="5"/>
      <c r="VB93" s="5"/>
      <c r="VC93" s="5"/>
      <c r="VD93" s="5"/>
      <c r="VE93" s="5"/>
      <c r="VF93" s="5"/>
      <c r="VG93" s="5"/>
      <c r="VH93" s="5"/>
      <c r="VI93" s="5"/>
      <c r="VJ93" s="5"/>
      <c r="VK93" s="5"/>
      <c r="VL93" s="5"/>
      <c r="VM93" s="5"/>
      <c r="VN93" s="5"/>
      <c r="VO93" s="5"/>
      <c r="VP93" s="5"/>
      <c r="VQ93" s="5"/>
      <c r="VR93" s="5"/>
      <c r="VS93" s="5"/>
      <c r="VT93" s="5"/>
      <c r="VU93" s="5"/>
      <c r="VV93" s="5"/>
      <c r="VW93" s="5"/>
      <c r="VX93" s="5"/>
      <c r="VY93" s="5"/>
      <c r="VZ93" s="5"/>
      <c r="WA93" s="5"/>
      <c r="WB93" s="5"/>
      <c r="WC93" s="5"/>
      <c r="WD93" s="5"/>
      <c r="WE93" s="5"/>
      <c r="WF93" s="5"/>
      <c r="WG93" s="5"/>
      <c r="WH93" s="5"/>
      <c r="WI93" s="5"/>
      <c r="WJ93" s="5"/>
      <c r="WK93" s="5"/>
      <c r="WL93" s="5"/>
      <c r="WM93" s="5"/>
      <c r="WN93" s="5"/>
      <c r="WO93" s="5"/>
      <c r="WP93" s="5"/>
      <c r="WQ93" s="5"/>
      <c r="WR93" s="5"/>
      <c r="WS93" s="5"/>
      <c r="WT93" s="5"/>
      <c r="WU93" s="5"/>
      <c r="WV93" s="5"/>
      <c r="WW93" s="5"/>
      <c r="WX93" s="5"/>
      <c r="WY93" s="5"/>
      <c r="WZ93" s="5"/>
      <c r="XA93" s="5"/>
      <c r="XB93" s="5"/>
      <c r="XC93" s="5"/>
      <c r="XD93" s="5"/>
      <c r="XE93" s="5"/>
      <c r="XF93" s="5"/>
      <c r="XG93" s="5"/>
      <c r="XH93" s="5"/>
      <c r="XI93" s="5"/>
      <c r="XJ93" s="5"/>
      <c r="XK93" s="5"/>
      <c r="XL93" s="5"/>
      <c r="XM93" s="5"/>
      <c r="XN93" s="5"/>
      <c r="XO93" s="5"/>
      <c r="XP93" s="5"/>
      <c r="XQ93" s="5"/>
      <c r="XR93" s="5"/>
      <c r="XS93" s="5"/>
      <c r="XT93" s="5"/>
      <c r="XU93" s="5"/>
      <c r="XV93" s="5"/>
      <c r="XW93" s="5"/>
      <c r="XX93" s="5"/>
      <c r="XY93" s="5"/>
      <c r="XZ93" s="5"/>
      <c r="YA93" s="5"/>
      <c r="YB93" s="5"/>
      <c r="YC93" s="5"/>
      <c r="YD93" s="5"/>
      <c r="YE93" s="5"/>
      <c r="YF93" s="5"/>
      <c r="YG93" s="5"/>
      <c r="YH93" s="5"/>
      <c r="YI93" s="5"/>
      <c r="YJ93" s="5"/>
      <c r="YK93" s="5"/>
      <c r="YL93" s="5"/>
      <c r="YM93" s="5"/>
      <c r="YN93" s="5"/>
      <c r="YO93" s="5"/>
      <c r="YP93" s="5"/>
      <c r="YQ93" s="5"/>
      <c r="YR93" s="5"/>
      <c r="YS93" s="5"/>
      <c r="YT93" s="5"/>
      <c r="YU93" s="5"/>
      <c r="YV93" s="5"/>
      <c r="YW93" s="5"/>
      <c r="YX93" s="5"/>
      <c r="YY93" s="5"/>
      <c r="YZ93" s="5"/>
    </row>
    <row r="94" spans="1:676">
      <c r="A94" s="7">
        <v>84</v>
      </c>
      <c r="B94" s="7" t="s">
        <v>237</v>
      </c>
      <c r="C94" s="10" t="s">
        <v>238</v>
      </c>
      <c r="D94" s="7" t="s">
        <v>51</v>
      </c>
      <c r="E94" s="7" t="s">
        <v>205</v>
      </c>
      <c r="F94" s="7" t="s">
        <v>206</v>
      </c>
      <c r="G94" s="7"/>
      <c r="H94" s="7" t="s">
        <v>43</v>
      </c>
      <c r="I94" s="11">
        <v>2</v>
      </c>
      <c r="J94" s="11">
        <v>3</v>
      </c>
      <c r="K94" s="11">
        <v>0</v>
      </c>
      <c r="L94" s="11">
        <v>5.339999999999998</v>
      </c>
      <c r="M94" s="11">
        <v>0.32</v>
      </c>
      <c r="N94" s="11">
        <v>0</v>
      </c>
      <c r="O94" s="11">
        <v>0</v>
      </c>
      <c r="P94" s="11">
        <v>0</v>
      </c>
      <c r="Q94" s="11">
        <v>5.659999999999998</v>
      </c>
      <c r="R94" s="11">
        <v>0</v>
      </c>
      <c r="S94" s="11">
        <v>5.659999999999998</v>
      </c>
      <c r="T94" s="11">
        <v>2</v>
      </c>
      <c r="U94" s="11">
        <v>3</v>
      </c>
      <c r="V94" s="11">
        <v>0.6599999999999984</v>
      </c>
      <c r="W94" s="13">
        <v>2</v>
      </c>
      <c r="X94" s="13">
        <v>3</v>
      </c>
      <c r="Y94" s="13" t="str">
        <f>MIN(W94,S94)</f>
        <v>0</v>
      </c>
      <c r="Z94" s="13" t="str">
        <f>MIN(X94,(S94-Y94))</f>
        <v>0</v>
      </c>
      <c r="AA94" s="13" t="str">
        <f>S94-SUM(Y94,Z94)</f>
        <v>0</v>
      </c>
      <c r="AB94" s="15"/>
      <c r="AC94" s="15"/>
      <c r="AD94" s="1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  <c r="DA94" s="5"/>
      <c r="DB94" s="5"/>
      <c r="DC94" s="5"/>
      <c r="DD94" s="5"/>
      <c r="DE94" s="5"/>
      <c r="DF94" s="5"/>
      <c r="DG94" s="5"/>
      <c r="DH94" s="5"/>
      <c r="DI94" s="5"/>
      <c r="DJ94" s="5"/>
      <c r="DK94" s="5"/>
      <c r="DL94" s="5"/>
      <c r="DM94" s="5"/>
      <c r="DN94" s="5"/>
      <c r="DO94" s="5"/>
      <c r="DP94" s="5"/>
      <c r="DQ94" s="5"/>
      <c r="DR94" s="5"/>
      <c r="DS94" s="5"/>
      <c r="DT94" s="5"/>
      <c r="DU94" s="5"/>
      <c r="DV94" s="5"/>
      <c r="DW94" s="5"/>
      <c r="DX94" s="5"/>
      <c r="DY94" s="5"/>
      <c r="DZ94" s="5"/>
      <c r="EA94" s="5"/>
      <c r="EB94" s="5"/>
      <c r="EC94" s="5"/>
      <c r="ED94" s="5"/>
      <c r="EE94" s="5"/>
      <c r="EF94" s="5"/>
      <c r="EG94" s="5"/>
      <c r="EH94" s="5"/>
      <c r="EI94" s="5"/>
      <c r="EJ94" s="5"/>
      <c r="EK94" s="5"/>
      <c r="EL94" s="5"/>
      <c r="EM94" s="5"/>
      <c r="EN94" s="5"/>
      <c r="EO94" s="5"/>
      <c r="EP94" s="5"/>
      <c r="EQ94" s="5"/>
      <c r="ER94" s="5"/>
      <c r="ES94" s="5"/>
      <c r="ET94" s="5"/>
      <c r="EU94" s="5"/>
      <c r="EV94" s="5"/>
      <c r="EW94" s="5"/>
      <c r="EX94" s="5"/>
      <c r="EY94" s="5"/>
      <c r="EZ94" s="5"/>
      <c r="FA94" s="5"/>
      <c r="FB94" s="5"/>
      <c r="FC94" s="5"/>
      <c r="FD94" s="5"/>
      <c r="FE94" s="5"/>
      <c r="FF94" s="5"/>
      <c r="FG94" s="5"/>
      <c r="FH94" s="5"/>
      <c r="FI94" s="5"/>
      <c r="FJ94" s="5"/>
      <c r="FK94" s="5"/>
      <c r="FL94" s="5"/>
      <c r="FM94" s="5"/>
      <c r="FN94" s="5"/>
      <c r="FO94" s="5"/>
      <c r="FP94" s="5"/>
      <c r="FQ94" s="5"/>
      <c r="FR94" s="5"/>
      <c r="FS94" s="5"/>
      <c r="FT94" s="5"/>
      <c r="FU94" s="5"/>
      <c r="FV94" s="5"/>
      <c r="FW94" s="5"/>
      <c r="FX94" s="5"/>
      <c r="FY94" s="5"/>
      <c r="FZ94" s="5"/>
      <c r="GA94" s="5"/>
      <c r="GB94" s="5"/>
      <c r="GC94" s="5"/>
      <c r="GD94" s="5"/>
      <c r="GE94" s="5"/>
      <c r="GF94" s="5"/>
      <c r="GG94" s="5"/>
      <c r="GH94" s="5"/>
      <c r="GI94" s="5"/>
      <c r="GJ94" s="5"/>
      <c r="GK94" s="5"/>
      <c r="GL94" s="5"/>
      <c r="GM94" s="5"/>
      <c r="GN94" s="5"/>
      <c r="GO94" s="5"/>
      <c r="GP94" s="5"/>
      <c r="GQ94" s="5"/>
      <c r="GR94" s="5"/>
      <c r="GS94" s="5"/>
      <c r="GT94" s="5"/>
      <c r="GU94" s="5"/>
      <c r="GV94" s="5"/>
      <c r="GW94" s="5"/>
      <c r="GX94" s="5"/>
      <c r="GY94" s="5"/>
      <c r="GZ94" s="5"/>
      <c r="HA94" s="5"/>
      <c r="HB94" s="5"/>
      <c r="HC94" s="5"/>
      <c r="HD94" s="5"/>
      <c r="HE94" s="5"/>
      <c r="HF94" s="5"/>
      <c r="HG94" s="5"/>
      <c r="HH94" s="5"/>
      <c r="HI94" s="5"/>
      <c r="HJ94" s="5"/>
      <c r="HK94" s="5"/>
      <c r="HL94" s="5"/>
      <c r="HM94" s="5"/>
      <c r="HN94" s="5"/>
      <c r="HO94" s="5"/>
      <c r="HP94" s="5"/>
      <c r="HQ94" s="5"/>
      <c r="HR94" s="5"/>
      <c r="HS94" s="5"/>
      <c r="HT94" s="5"/>
      <c r="HU94" s="5"/>
      <c r="HV94" s="5"/>
      <c r="HW94" s="5"/>
      <c r="HX94" s="5"/>
      <c r="HY94" s="5"/>
      <c r="HZ94" s="5"/>
      <c r="IA94" s="5"/>
      <c r="IB94" s="5"/>
      <c r="IC94" s="5"/>
      <c r="ID94" s="5"/>
      <c r="IE94" s="5"/>
      <c r="IF94" s="5"/>
      <c r="IG94" s="5"/>
      <c r="IH94" s="5"/>
      <c r="II94" s="5"/>
      <c r="IJ94" s="5"/>
      <c r="IK94" s="5"/>
      <c r="IL94" s="5"/>
      <c r="IM94" s="5"/>
      <c r="IN94" s="5"/>
      <c r="IO94" s="5"/>
      <c r="IP94" s="5"/>
      <c r="IQ94" s="5"/>
      <c r="IR94" s="5"/>
      <c r="IS94" s="5"/>
      <c r="IT94" s="5"/>
      <c r="IU94" s="5"/>
      <c r="IV94" s="5"/>
      <c r="IW94" s="5"/>
      <c r="IX94" s="5"/>
      <c r="IY94" s="5"/>
      <c r="IZ94" s="5"/>
      <c r="JA94" s="5"/>
      <c r="JB94" s="5"/>
      <c r="JC94" s="5"/>
      <c r="JD94" s="5"/>
      <c r="JE94" s="5"/>
      <c r="JF94" s="5"/>
      <c r="JG94" s="5"/>
      <c r="JH94" s="5"/>
      <c r="JI94" s="5"/>
      <c r="JJ94" s="5"/>
      <c r="JK94" s="5"/>
      <c r="JL94" s="5"/>
      <c r="JM94" s="5"/>
      <c r="JN94" s="5"/>
      <c r="JO94" s="5"/>
      <c r="JP94" s="5"/>
      <c r="JQ94" s="5"/>
      <c r="JR94" s="5"/>
      <c r="JS94" s="5"/>
      <c r="JT94" s="5"/>
      <c r="JU94" s="5"/>
      <c r="JV94" s="5"/>
      <c r="JW94" s="5"/>
      <c r="JX94" s="5"/>
      <c r="JY94" s="5"/>
      <c r="JZ94" s="5"/>
      <c r="KA94" s="5"/>
      <c r="KB94" s="5"/>
      <c r="KC94" s="5"/>
      <c r="KD94" s="5"/>
      <c r="KE94" s="5"/>
      <c r="KF94" s="5"/>
      <c r="KG94" s="5"/>
      <c r="KH94" s="5"/>
      <c r="KI94" s="5"/>
      <c r="KJ94" s="5"/>
      <c r="KK94" s="5"/>
      <c r="KL94" s="5"/>
      <c r="KM94" s="5"/>
      <c r="KN94" s="5"/>
      <c r="KO94" s="5"/>
      <c r="KP94" s="5"/>
      <c r="KQ94" s="5"/>
      <c r="KR94" s="5"/>
      <c r="KS94" s="5"/>
      <c r="KT94" s="5"/>
      <c r="KU94" s="5"/>
      <c r="KV94" s="5"/>
      <c r="KW94" s="5"/>
      <c r="KX94" s="5"/>
      <c r="KY94" s="5"/>
      <c r="KZ94" s="5"/>
      <c r="LA94" s="5"/>
      <c r="LB94" s="5"/>
      <c r="LC94" s="5"/>
      <c r="LD94" s="5"/>
      <c r="LE94" s="5"/>
      <c r="LF94" s="5"/>
      <c r="LG94" s="5"/>
      <c r="LH94" s="5"/>
      <c r="LI94" s="5"/>
      <c r="LJ94" s="5"/>
      <c r="LK94" s="5"/>
      <c r="LL94" s="5"/>
      <c r="LM94" s="5"/>
      <c r="LN94" s="5"/>
      <c r="LO94" s="5"/>
      <c r="LP94" s="5"/>
      <c r="LQ94" s="5"/>
      <c r="LR94" s="5"/>
      <c r="LS94" s="5"/>
      <c r="LT94" s="5"/>
      <c r="LU94" s="5"/>
      <c r="LV94" s="5"/>
      <c r="LW94" s="5"/>
      <c r="LX94" s="5"/>
      <c r="LY94" s="5"/>
      <c r="LZ94" s="5"/>
      <c r="MA94" s="5"/>
      <c r="MB94" s="5"/>
      <c r="MC94" s="5"/>
      <c r="MD94" s="5"/>
      <c r="ME94" s="5"/>
      <c r="MF94" s="5"/>
      <c r="MG94" s="5"/>
      <c r="MH94" s="5"/>
      <c r="MI94" s="5"/>
      <c r="MJ94" s="5"/>
      <c r="MK94" s="5"/>
      <c r="ML94" s="5"/>
      <c r="MM94" s="5"/>
      <c r="MN94" s="5"/>
      <c r="MO94" s="5"/>
      <c r="MP94" s="5"/>
      <c r="MQ94" s="5"/>
      <c r="MR94" s="5"/>
      <c r="MS94" s="5"/>
      <c r="MT94" s="5"/>
      <c r="MU94" s="5"/>
      <c r="MV94" s="5"/>
      <c r="MW94" s="5"/>
      <c r="MX94" s="5"/>
      <c r="MY94" s="5"/>
      <c r="MZ94" s="5"/>
      <c r="NA94" s="5"/>
      <c r="NB94" s="5"/>
      <c r="NC94" s="5"/>
      <c r="ND94" s="5"/>
      <c r="NE94" s="5"/>
      <c r="NF94" s="5"/>
      <c r="NG94" s="5"/>
      <c r="NH94" s="5"/>
      <c r="NI94" s="5"/>
      <c r="NJ94" s="5"/>
      <c r="NK94" s="5"/>
      <c r="NL94" s="5"/>
      <c r="NM94" s="5"/>
      <c r="NN94" s="5"/>
      <c r="NO94" s="5"/>
      <c r="NP94" s="5"/>
      <c r="NQ94" s="5"/>
      <c r="NR94" s="5"/>
      <c r="NS94" s="5"/>
      <c r="NT94" s="5"/>
      <c r="NU94" s="5"/>
      <c r="NV94" s="5"/>
      <c r="NW94" s="5"/>
      <c r="NX94" s="5"/>
      <c r="NY94" s="5"/>
      <c r="NZ94" s="5"/>
      <c r="OA94" s="5"/>
      <c r="OB94" s="5"/>
      <c r="OC94" s="5"/>
      <c r="OD94" s="5"/>
      <c r="OE94" s="5"/>
      <c r="OF94" s="5"/>
      <c r="OG94" s="5"/>
      <c r="OH94" s="5"/>
      <c r="OI94" s="5"/>
      <c r="OJ94" s="5"/>
      <c r="OK94" s="5"/>
      <c r="OL94" s="5"/>
      <c r="OM94" s="5"/>
      <c r="ON94" s="5"/>
      <c r="OO94" s="5"/>
      <c r="OP94" s="5"/>
      <c r="OQ94" s="5"/>
      <c r="OR94" s="5"/>
      <c r="OS94" s="5"/>
      <c r="OT94" s="5"/>
      <c r="OU94" s="5"/>
      <c r="OV94" s="5"/>
      <c r="OW94" s="5"/>
      <c r="OX94" s="5"/>
      <c r="OY94" s="5"/>
      <c r="OZ94" s="5"/>
      <c r="PA94" s="5"/>
      <c r="PB94" s="5"/>
      <c r="PC94" s="5"/>
      <c r="PD94" s="5"/>
      <c r="PE94" s="5"/>
      <c r="PF94" s="5"/>
      <c r="PG94" s="5"/>
      <c r="PH94" s="5"/>
      <c r="PI94" s="5"/>
      <c r="PJ94" s="5"/>
      <c r="PK94" s="5"/>
      <c r="PL94" s="5"/>
      <c r="PM94" s="5"/>
      <c r="PN94" s="5"/>
      <c r="PO94" s="5"/>
      <c r="PP94" s="5"/>
      <c r="PQ94" s="5"/>
      <c r="PR94" s="5"/>
      <c r="PS94" s="5"/>
      <c r="PT94" s="5"/>
      <c r="PU94" s="5"/>
      <c r="PV94" s="5"/>
      <c r="PW94" s="5"/>
      <c r="PX94" s="5"/>
      <c r="PY94" s="5"/>
      <c r="PZ94" s="5"/>
      <c r="QA94" s="5"/>
      <c r="QB94" s="5"/>
      <c r="QC94" s="5"/>
      <c r="QD94" s="5"/>
      <c r="QE94" s="5"/>
      <c r="QF94" s="5"/>
      <c r="QG94" s="5"/>
      <c r="QH94" s="5"/>
      <c r="QI94" s="5"/>
      <c r="QJ94" s="5"/>
      <c r="QK94" s="5"/>
      <c r="QL94" s="5"/>
      <c r="QM94" s="5"/>
      <c r="QN94" s="5"/>
      <c r="QO94" s="5"/>
      <c r="QP94" s="5"/>
      <c r="QQ94" s="5"/>
      <c r="QR94" s="5"/>
      <c r="QS94" s="5"/>
      <c r="QT94" s="5"/>
      <c r="QU94" s="5"/>
      <c r="QV94" s="5"/>
      <c r="QW94" s="5"/>
      <c r="QX94" s="5"/>
      <c r="QY94" s="5"/>
      <c r="QZ94" s="5"/>
      <c r="RA94" s="5"/>
      <c r="RB94" s="5"/>
      <c r="RC94" s="5"/>
      <c r="RD94" s="5"/>
      <c r="RE94" s="5"/>
      <c r="RF94" s="5"/>
      <c r="RG94" s="5"/>
      <c r="RH94" s="5"/>
      <c r="RI94" s="5"/>
      <c r="RJ94" s="5"/>
      <c r="RK94" s="5"/>
      <c r="RL94" s="5"/>
      <c r="RM94" s="5"/>
      <c r="RN94" s="5"/>
      <c r="RO94" s="5"/>
      <c r="RP94" s="5"/>
      <c r="RQ94" s="5"/>
      <c r="RR94" s="5"/>
      <c r="RS94" s="5"/>
      <c r="RT94" s="5"/>
      <c r="RU94" s="5"/>
      <c r="RV94" s="5"/>
      <c r="RW94" s="5"/>
      <c r="RX94" s="5"/>
      <c r="RY94" s="5"/>
      <c r="RZ94" s="5"/>
      <c r="SA94" s="5"/>
      <c r="SB94" s="5"/>
      <c r="SC94" s="5"/>
      <c r="SD94" s="5"/>
      <c r="SE94" s="5"/>
      <c r="SF94" s="5"/>
      <c r="SG94" s="5"/>
      <c r="SH94" s="5"/>
      <c r="SI94" s="5"/>
      <c r="SJ94" s="5"/>
      <c r="SK94" s="5"/>
      <c r="SL94" s="5"/>
      <c r="SM94" s="5"/>
      <c r="SN94" s="5"/>
      <c r="SO94" s="5"/>
      <c r="SP94" s="5"/>
      <c r="SQ94" s="5"/>
      <c r="SR94" s="5"/>
      <c r="SS94" s="5"/>
      <c r="ST94" s="5"/>
      <c r="SU94" s="5"/>
      <c r="SV94" s="5"/>
      <c r="SW94" s="5"/>
      <c r="SX94" s="5"/>
      <c r="SY94" s="5"/>
      <c r="SZ94" s="5"/>
      <c r="TA94" s="5"/>
      <c r="TB94" s="5"/>
      <c r="TC94" s="5"/>
      <c r="TD94" s="5"/>
      <c r="TE94" s="5"/>
      <c r="TF94" s="5"/>
      <c r="TG94" s="5"/>
      <c r="TH94" s="5"/>
      <c r="TI94" s="5"/>
      <c r="TJ94" s="5"/>
      <c r="TK94" s="5"/>
      <c r="TL94" s="5"/>
      <c r="TM94" s="5"/>
      <c r="TN94" s="5"/>
      <c r="TO94" s="5"/>
      <c r="TP94" s="5"/>
      <c r="TQ94" s="5"/>
      <c r="TR94" s="5"/>
      <c r="TS94" s="5"/>
      <c r="TT94" s="5"/>
      <c r="TU94" s="5"/>
      <c r="TV94" s="5"/>
      <c r="TW94" s="5"/>
      <c r="TX94" s="5"/>
      <c r="TY94" s="5"/>
      <c r="TZ94" s="5"/>
      <c r="UA94" s="5"/>
      <c r="UB94" s="5"/>
      <c r="UC94" s="5"/>
      <c r="UD94" s="5"/>
      <c r="UE94" s="5"/>
      <c r="UF94" s="5"/>
      <c r="UG94" s="5"/>
      <c r="UH94" s="5"/>
      <c r="UI94" s="5"/>
      <c r="UJ94" s="5"/>
      <c r="UK94" s="5"/>
      <c r="UL94" s="5"/>
      <c r="UM94" s="5"/>
      <c r="UN94" s="5"/>
      <c r="UO94" s="5"/>
      <c r="UP94" s="5"/>
      <c r="UQ94" s="5"/>
      <c r="UR94" s="5"/>
      <c r="US94" s="5"/>
      <c r="UT94" s="5"/>
      <c r="UU94" s="5"/>
      <c r="UV94" s="5"/>
      <c r="UW94" s="5"/>
      <c r="UX94" s="5"/>
      <c r="UY94" s="5"/>
      <c r="UZ94" s="5"/>
      <c r="VA94" s="5"/>
      <c r="VB94" s="5"/>
      <c r="VC94" s="5"/>
      <c r="VD94" s="5"/>
      <c r="VE94" s="5"/>
      <c r="VF94" s="5"/>
      <c r="VG94" s="5"/>
      <c r="VH94" s="5"/>
      <c r="VI94" s="5"/>
      <c r="VJ94" s="5"/>
      <c r="VK94" s="5"/>
      <c r="VL94" s="5"/>
      <c r="VM94" s="5"/>
      <c r="VN94" s="5"/>
      <c r="VO94" s="5"/>
      <c r="VP94" s="5"/>
      <c r="VQ94" s="5"/>
      <c r="VR94" s="5"/>
      <c r="VS94" s="5"/>
      <c r="VT94" s="5"/>
      <c r="VU94" s="5"/>
      <c r="VV94" s="5"/>
      <c r="VW94" s="5"/>
      <c r="VX94" s="5"/>
      <c r="VY94" s="5"/>
      <c r="VZ94" s="5"/>
      <c r="WA94" s="5"/>
      <c r="WB94" s="5"/>
      <c r="WC94" s="5"/>
      <c r="WD94" s="5"/>
      <c r="WE94" s="5"/>
      <c r="WF94" s="5"/>
      <c r="WG94" s="5"/>
      <c r="WH94" s="5"/>
      <c r="WI94" s="5"/>
      <c r="WJ94" s="5"/>
      <c r="WK94" s="5"/>
      <c r="WL94" s="5"/>
      <c r="WM94" s="5"/>
      <c r="WN94" s="5"/>
      <c r="WO94" s="5"/>
      <c r="WP94" s="5"/>
      <c r="WQ94" s="5"/>
      <c r="WR94" s="5"/>
      <c r="WS94" s="5"/>
      <c r="WT94" s="5"/>
      <c r="WU94" s="5"/>
      <c r="WV94" s="5"/>
      <c r="WW94" s="5"/>
      <c r="WX94" s="5"/>
      <c r="WY94" s="5"/>
      <c r="WZ94" s="5"/>
      <c r="XA94" s="5"/>
      <c r="XB94" s="5"/>
      <c r="XC94" s="5"/>
      <c r="XD94" s="5"/>
      <c r="XE94" s="5"/>
      <c r="XF94" s="5"/>
      <c r="XG94" s="5"/>
      <c r="XH94" s="5"/>
      <c r="XI94" s="5"/>
      <c r="XJ94" s="5"/>
      <c r="XK94" s="5"/>
      <c r="XL94" s="5"/>
      <c r="XM94" s="5"/>
      <c r="XN94" s="5"/>
      <c r="XO94" s="5"/>
      <c r="XP94" s="5"/>
      <c r="XQ94" s="5"/>
      <c r="XR94" s="5"/>
      <c r="XS94" s="5"/>
      <c r="XT94" s="5"/>
      <c r="XU94" s="5"/>
      <c r="XV94" s="5"/>
      <c r="XW94" s="5"/>
      <c r="XX94" s="5"/>
      <c r="XY94" s="5"/>
      <c r="XZ94" s="5"/>
      <c r="YA94" s="5"/>
      <c r="YB94" s="5"/>
      <c r="YC94" s="5"/>
      <c r="YD94" s="5"/>
      <c r="YE94" s="5"/>
      <c r="YF94" s="5"/>
      <c r="YG94" s="5"/>
      <c r="YH94" s="5"/>
      <c r="YI94" s="5"/>
      <c r="YJ94" s="5"/>
      <c r="YK94" s="5"/>
      <c r="YL94" s="5"/>
      <c r="YM94" s="5"/>
      <c r="YN94" s="5"/>
      <c r="YO94" s="5"/>
      <c r="YP94" s="5"/>
      <c r="YQ94" s="5"/>
      <c r="YR94" s="5"/>
      <c r="YS94" s="5"/>
      <c r="YT94" s="5"/>
      <c r="YU94" s="5"/>
      <c r="YV94" s="5"/>
      <c r="YW94" s="5"/>
      <c r="YX94" s="5"/>
      <c r="YY94" s="5"/>
      <c r="YZ94" s="5"/>
    </row>
    <row r="95" spans="1:676">
      <c r="A95" s="7">
        <v>85</v>
      </c>
      <c r="B95" s="7" t="s">
        <v>239</v>
      </c>
      <c r="C95" s="10" t="s">
        <v>240</v>
      </c>
      <c r="D95" s="7" t="s">
        <v>60</v>
      </c>
      <c r="E95" s="7" t="s">
        <v>209</v>
      </c>
      <c r="F95" s="7" t="s">
        <v>206</v>
      </c>
      <c r="G95" s="7"/>
      <c r="H95" s="7" t="s">
        <v>241</v>
      </c>
      <c r="I95" s="11">
        <v>2</v>
      </c>
      <c r="J95" s="11">
        <v>3</v>
      </c>
      <c r="K95" s="11">
        <v>1</v>
      </c>
      <c r="L95" s="11">
        <v>1.92</v>
      </c>
      <c r="M95" s="11">
        <v>0.16</v>
      </c>
      <c r="N95" s="11">
        <v>0</v>
      </c>
      <c r="O95" s="11">
        <v>0.5</v>
      </c>
      <c r="P95" s="11">
        <v>0</v>
      </c>
      <c r="Q95" s="11">
        <v>3.58</v>
      </c>
      <c r="R95" s="11">
        <v>0</v>
      </c>
      <c r="S95" s="11">
        <v>3.58</v>
      </c>
      <c r="T95" s="11">
        <v>2</v>
      </c>
      <c r="U95" s="11">
        <v>1.58</v>
      </c>
      <c r="V95" s="11">
        <v>0</v>
      </c>
      <c r="W95" s="13">
        <v>2</v>
      </c>
      <c r="X95" s="13">
        <v>3</v>
      </c>
      <c r="Y95" s="13" t="str">
        <f>MIN(W95,S95)</f>
        <v>0</v>
      </c>
      <c r="Z95" s="13" t="str">
        <f>MIN(X95,(S95-Y95))</f>
        <v>0</v>
      </c>
      <c r="AA95" s="13" t="str">
        <f>S95-SUM(Y95,Z95)</f>
        <v>0</v>
      </c>
      <c r="AB95" s="15"/>
      <c r="AC95" s="15"/>
      <c r="AD95" s="1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  <c r="CZ95" s="5"/>
      <c r="DA95" s="5"/>
      <c r="DB95" s="5"/>
      <c r="DC95" s="5"/>
      <c r="DD95" s="5"/>
      <c r="DE95" s="5"/>
      <c r="DF95" s="5"/>
      <c r="DG95" s="5"/>
      <c r="DH95" s="5"/>
      <c r="DI95" s="5"/>
      <c r="DJ95" s="5"/>
      <c r="DK95" s="5"/>
      <c r="DL95" s="5"/>
      <c r="DM95" s="5"/>
      <c r="DN95" s="5"/>
      <c r="DO95" s="5"/>
      <c r="DP95" s="5"/>
      <c r="DQ95" s="5"/>
      <c r="DR95" s="5"/>
      <c r="DS95" s="5"/>
      <c r="DT95" s="5"/>
      <c r="DU95" s="5"/>
      <c r="DV95" s="5"/>
      <c r="DW95" s="5"/>
      <c r="DX95" s="5"/>
      <c r="DY95" s="5"/>
      <c r="DZ95" s="5"/>
      <c r="EA95" s="5"/>
      <c r="EB95" s="5"/>
      <c r="EC95" s="5"/>
      <c r="ED95" s="5"/>
      <c r="EE95" s="5"/>
      <c r="EF95" s="5"/>
      <c r="EG95" s="5"/>
      <c r="EH95" s="5"/>
      <c r="EI95" s="5"/>
      <c r="EJ95" s="5"/>
      <c r="EK95" s="5"/>
      <c r="EL95" s="5"/>
      <c r="EM95" s="5"/>
      <c r="EN95" s="5"/>
      <c r="EO95" s="5"/>
      <c r="EP95" s="5"/>
      <c r="EQ95" s="5"/>
      <c r="ER95" s="5"/>
      <c r="ES95" s="5"/>
      <c r="ET95" s="5"/>
      <c r="EU95" s="5"/>
      <c r="EV95" s="5"/>
      <c r="EW95" s="5"/>
      <c r="EX95" s="5"/>
      <c r="EY95" s="5"/>
      <c r="EZ95" s="5"/>
      <c r="FA95" s="5"/>
      <c r="FB95" s="5"/>
      <c r="FC95" s="5"/>
      <c r="FD95" s="5"/>
      <c r="FE95" s="5"/>
      <c r="FF95" s="5"/>
      <c r="FG95" s="5"/>
      <c r="FH95" s="5"/>
      <c r="FI95" s="5"/>
      <c r="FJ95" s="5"/>
      <c r="FK95" s="5"/>
      <c r="FL95" s="5"/>
      <c r="FM95" s="5"/>
      <c r="FN95" s="5"/>
      <c r="FO95" s="5"/>
      <c r="FP95" s="5"/>
      <c r="FQ95" s="5"/>
      <c r="FR95" s="5"/>
      <c r="FS95" s="5"/>
      <c r="FT95" s="5"/>
      <c r="FU95" s="5"/>
      <c r="FV95" s="5"/>
      <c r="FW95" s="5"/>
      <c r="FX95" s="5"/>
      <c r="FY95" s="5"/>
      <c r="FZ95" s="5"/>
      <c r="GA95" s="5"/>
      <c r="GB95" s="5"/>
      <c r="GC95" s="5"/>
      <c r="GD95" s="5"/>
      <c r="GE95" s="5"/>
      <c r="GF95" s="5"/>
      <c r="GG95" s="5"/>
      <c r="GH95" s="5"/>
      <c r="GI95" s="5"/>
      <c r="GJ95" s="5"/>
      <c r="GK95" s="5"/>
      <c r="GL95" s="5"/>
      <c r="GM95" s="5"/>
      <c r="GN95" s="5"/>
      <c r="GO95" s="5"/>
      <c r="GP95" s="5"/>
      <c r="GQ95" s="5"/>
      <c r="GR95" s="5"/>
      <c r="GS95" s="5"/>
      <c r="GT95" s="5"/>
      <c r="GU95" s="5"/>
      <c r="GV95" s="5"/>
      <c r="GW95" s="5"/>
      <c r="GX95" s="5"/>
      <c r="GY95" s="5"/>
      <c r="GZ95" s="5"/>
      <c r="HA95" s="5"/>
      <c r="HB95" s="5"/>
      <c r="HC95" s="5"/>
      <c r="HD95" s="5"/>
      <c r="HE95" s="5"/>
      <c r="HF95" s="5"/>
      <c r="HG95" s="5"/>
      <c r="HH95" s="5"/>
      <c r="HI95" s="5"/>
      <c r="HJ95" s="5"/>
      <c r="HK95" s="5"/>
      <c r="HL95" s="5"/>
      <c r="HM95" s="5"/>
      <c r="HN95" s="5"/>
      <c r="HO95" s="5"/>
      <c r="HP95" s="5"/>
      <c r="HQ95" s="5"/>
      <c r="HR95" s="5"/>
      <c r="HS95" s="5"/>
      <c r="HT95" s="5"/>
      <c r="HU95" s="5"/>
      <c r="HV95" s="5"/>
      <c r="HW95" s="5"/>
      <c r="HX95" s="5"/>
      <c r="HY95" s="5"/>
      <c r="HZ95" s="5"/>
      <c r="IA95" s="5"/>
      <c r="IB95" s="5"/>
      <c r="IC95" s="5"/>
      <c r="ID95" s="5"/>
      <c r="IE95" s="5"/>
      <c r="IF95" s="5"/>
      <c r="IG95" s="5"/>
      <c r="IH95" s="5"/>
      <c r="II95" s="5"/>
      <c r="IJ95" s="5"/>
      <c r="IK95" s="5"/>
      <c r="IL95" s="5"/>
      <c r="IM95" s="5"/>
      <c r="IN95" s="5"/>
      <c r="IO95" s="5"/>
      <c r="IP95" s="5"/>
      <c r="IQ95" s="5"/>
      <c r="IR95" s="5"/>
      <c r="IS95" s="5"/>
      <c r="IT95" s="5"/>
      <c r="IU95" s="5"/>
      <c r="IV95" s="5"/>
      <c r="IW95" s="5"/>
      <c r="IX95" s="5"/>
      <c r="IY95" s="5"/>
      <c r="IZ95" s="5"/>
      <c r="JA95" s="5"/>
      <c r="JB95" s="5"/>
      <c r="JC95" s="5"/>
      <c r="JD95" s="5"/>
      <c r="JE95" s="5"/>
      <c r="JF95" s="5"/>
      <c r="JG95" s="5"/>
      <c r="JH95" s="5"/>
      <c r="JI95" s="5"/>
      <c r="JJ95" s="5"/>
      <c r="JK95" s="5"/>
      <c r="JL95" s="5"/>
      <c r="JM95" s="5"/>
      <c r="JN95" s="5"/>
      <c r="JO95" s="5"/>
      <c r="JP95" s="5"/>
      <c r="JQ95" s="5"/>
      <c r="JR95" s="5"/>
      <c r="JS95" s="5"/>
      <c r="JT95" s="5"/>
      <c r="JU95" s="5"/>
      <c r="JV95" s="5"/>
      <c r="JW95" s="5"/>
      <c r="JX95" s="5"/>
      <c r="JY95" s="5"/>
      <c r="JZ95" s="5"/>
      <c r="KA95" s="5"/>
      <c r="KB95" s="5"/>
      <c r="KC95" s="5"/>
      <c r="KD95" s="5"/>
      <c r="KE95" s="5"/>
      <c r="KF95" s="5"/>
      <c r="KG95" s="5"/>
      <c r="KH95" s="5"/>
      <c r="KI95" s="5"/>
      <c r="KJ95" s="5"/>
      <c r="KK95" s="5"/>
      <c r="KL95" s="5"/>
      <c r="KM95" s="5"/>
      <c r="KN95" s="5"/>
      <c r="KO95" s="5"/>
      <c r="KP95" s="5"/>
      <c r="KQ95" s="5"/>
      <c r="KR95" s="5"/>
      <c r="KS95" s="5"/>
      <c r="KT95" s="5"/>
      <c r="KU95" s="5"/>
      <c r="KV95" s="5"/>
      <c r="KW95" s="5"/>
      <c r="KX95" s="5"/>
      <c r="KY95" s="5"/>
      <c r="KZ95" s="5"/>
      <c r="LA95" s="5"/>
      <c r="LB95" s="5"/>
      <c r="LC95" s="5"/>
      <c r="LD95" s="5"/>
      <c r="LE95" s="5"/>
      <c r="LF95" s="5"/>
      <c r="LG95" s="5"/>
      <c r="LH95" s="5"/>
      <c r="LI95" s="5"/>
      <c r="LJ95" s="5"/>
      <c r="LK95" s="5"/>
      <c r="LL95" s="5"/>
      <c r="LM95" s="5"/>
      <c r="LN95" s="5"/>
      <c r="LO95" s="5"/>
      <c r="LP95" s="5"/>
      <c r="LQ95" s="5"/>
      <c r="LR95" s="5"/>
      <c r="LS95" s="5"/>
      <c r="LT95" s="5"/>
      <c r="LU95" s="5"/>
      <c r="LV95" s="5"/>
      <c r="LW95" s="5"/>
      <c r="LX95" s="5"/>
      <c r="LY95" s="5"/>
      <c r="LZ95" s="5"/>
      <c r="MA95" s="5"/>
      <c r="MB95" s="5"/>
      <c r="MC95" s="5"/>
      <c r="MD95" s="5"/>
      <c r="ME95" s="5"/>
      <c r="MF95" s="5"/>
      <c r="MG95" s="5"/>
      <c r="MH95" s="5"/>
      <c r="MI95" s="5"/>
      <c r="MJ95" s="5"/>
      <c r="MK95" s="5"/>
      <c r="ML95" s="5"/>
      <c r="MM95" s="5"/>
      <c r="MN95" s="5"/>
      <c r="MO95" s="5"/>
      <c r="MP95" s="5"/>
      <c r="MQ95" s="5"/>
      <c r="MR95" s="5"/>
      <c r="MS95" s="5"/>
      <c r="MT95" s="5"/>
      <c r="MU95" s="5"/>
      <c r="MV95" s="5"/>
      <c r="MW95" s="5"/>
      <c r="MX95" s="5"/>
      <c r="MY95" s="5"/>
      <c r="MZ95" s="5"/>
      <c r="NA95" s="5"/>
      <c r="NB95" s="5"/>
      <c r="NC95" s="5"/>
      <c r="ND95" s="5"/>
      <c r="NE95" s="5"/>
      <c r="NF95" s="5"/>
      <c r="NG95" s="5"/>
      <c r="NH95" s="5"/>
      <c r="NI95" s="5"/>
      <c r="NJ95" s="5"/>
      <c r="NK95" s="5"/>
      <c r="NL95" s="5"/>
      <c r="NM95" s="5"/>
      <c r="NN95" s="5"/>
      <c r="NO95" s="5"/>
      <c r="NP95" s="5"/>
      <c r="NQ95" s="5"/>
      <c r="NR95" s="5"/>
      <c r="NS95" s="5"/>
      <c r="NT95" s="5"/>
      <c r="NU95" s="5"/>
      <c r="NV95" s="5"/>
      <c r="NW95" s="5"/>
      <c r="NX95" s="5"/>
      <c r="NY95" s="5"/>
      <c r="NZ95" s="5"/>
      <c r="OA95" s="5"/>
      <c r="OB95" s="5"/>
      <c r="OC95" s="5"/>
      <c r="OD95" s="5"/>
      <c r="OE95" s="5"/>
      <c r="OF95" s="5"/>
      <c r="OG95" s="5"/>
      <c r="OH95" s="5"/>
      <c r="OI95" s="5"/>
      <c r="OJ95" s="5"/>
      <c r="OK95" s="5"/>
      <c r="OL95" s="5"/>
      <c r="OM95" s="5"/>
      <c r="ON95" s="5"/>
      <c r="OO95" s="5"/>
      <c r="OP95" s="5"/>
      <c r="OQ95" s="5"/>
      <c r="OR95" s="5"/>
      <c r="OS95" s="5"/>
      <c r="OT95" s="5"/>
      <c r="OU95" s="5"/>
      <c r="OV95" s="5"/>
      <c r="OW95" s="5"/>
      <c r="OX95" s="5"/>
      <c r="OY95" s="5"/>
      <c r="OZ95" s="5"/>
      <c r="PA95" s="5"/>
      <c r="PB95" s="5"/>
      <c r="PC95" s="5"/>
      <c r="PD95" s="5"/>
      <c r="PE95" s="5"/>
      <c r="PF95" s="5"/>
      <c r="PG95" s="5"/>
      <c r="PH95" s="5"/>
      <c r="PI95" s="5"/>
      <c r="PJ95" s="5"/>
      <c r="PK95" s="5"/>
      <c r="PL95" s="5"/>
      <c r="PM95" s="5"/>
      <c r="PN95" s="5"/>
      <c r="PO95" s="5"/>
      <c r="PP95" s="5"/>
      <c r="PQ95" s="5"/>
      <c r="PR95" s="5"/>
      <c r="PS95" s="5"/>
      <c r="PT95" s="5"/>
      <c r="PU95" s="5"/>
      <c r="PV95" s="5"/>
      <c r="PW95" s="5"/>
      <c r="PX95" s="5"/>
      <c r="PY95" s="5"/>
      <c r="PZ95" s="5"/>
      <c r="QA95" s="5"/>
      <c r="QB95" s="5"/>
      <c r="QC95" s="5"/>
      <c r="QD95" s="5"/>
      <c r="QE95" s="5"/>
      <c r="QF95" s="5"/>
      <c r="QG95" s="5"/>
      <c r="QH95" s="5"/>
      <c r="QI95" s="5"/>
      <c r="QJ95" s="5"/>
      <c r="QK95" s="5"/>
      <c r="QL95" s="5"/>
      <c r="QM95" s="5"/>
      <c r="QN95" s="5"/>
      <c r="QO95" s="5"/>
      <c r="QP95" s="5"/>
      <c r="QQ95" s="5"/>
      <c r="QR95" s="5"/>
      <c r="QS95" s="5"/>
      <c r="QT95" s="5"/>
      <c r="QU95" s="5"/>
      <c r="QV95" s="5"/>
      <c r="QW95" s="5"/>
      <c r="QX95" s="5"/>
      <c r="QY95" s="5"/>
      <c r="QZ95" s="5"/>
      <c r="RA95" s="5"/>
      <c r="RB95" s="5"/>
      <c r="RC95" s="5"/>
      <c r="RD95" s="5"/>
      <c r="RE95" s="5"/>
      <c r="RF95" s="5"/>
      <c r="RG95" s="5"/>
      <c r="RH95" s="5"/>
      <c r="RI95" s="5"/>
      <c r="RJ95" s="5"/>
      <c r="RK95" s="5"/>
      <c r="RL95" s="5"/>
      <c r="RM95" s="5"/>
      <c r="RN95" s="5"/>
      <c r="RO95" s="5"/>
      <c r="RP95" s="5"/>
      <c r="RQ95" s="5"/>
      <c r="RR95" s="5"/>
      <c r="RS95" s="5"/>
      <c r="RT95" s="5"/>
      <c r="RU95" s="5"/>
      <c r="RV95" s="5"/>
      <c r="RW95" s="5"/>
      <c r="RX95" s="5"/>
      <c r="RY95" s="5"/>
      <c r="RZ95" s="5"/>
      <c r="SA95" s="5"/>
      <c r="SB95" s="5"/>
      <c r="SC95" s="5"/>
      <c r="SD95" s="5"/>
      <c r="SE95" s="5"/>
      <c r="SF95" s="5"/>
      <c r="SG95" s="5"/>
      <c r="SH95" s="5"/>
      <c r="SI95" s="5"/>
      <c r="SJ95" s="5"/>
      <c r="SK95" s="5"/>
      <c r="SL95" s="5"/>
      <c r="SM95" s="5"/>
      <c r="SN95" s="5"/>
      <c r="SO95" s="5"/>
      <c r="SP95" s="5"/>
      <c r="SQ95" s="5"/>
      <c r="SR95" s="5"/>
      <c r="SS95" s="5"/>
      <c r="ST95" s="5"/>
      <c r="SU95" s="5"/>
      <c r="SV95" s="5"/>
      <c r="SW95" s="5"/>
      <c r="SX95" s="5"/>
      <c r="SY95" s="5"/>
      <c r="SZ95" s="5"/>
      <c r="TA95" s="5"/>
      <c r="TB95" s="5"/>
      <c r="TC95" s="5"/>
      <c r="TD95" s="5"/>
      <c r="TE95" s="5"/>
      <c r="TF95" s="5"/>
      <c r="TG95" s="5"/>
      <c r="TH95" s="5"/>
      <c r="TI95" s="5"/>
      <c r="TJ95" s="5"/>
      <c r="TK95" s="5"/>
      <c r="TL95" s="5"/>
      <c r="TM95" s="5"/>
      <c r="TN95" s="5"/>
      <c r="TO95" s="5"/>
      <c r="TP95" s="5"/>
      <c r="TQ95" s="5"/>
      <c r="TR95" s="5"/>
      <c r="TS95" s="5"/>
      <c r="TT95" s="5"/>
      <c r="TU95" s="5"/>
      <c r="TV95" s="5"/>
      <c r="TW95" s="5"/>
      <c r="TX95" s="5"/>
      <c r="TY95" s="5"/>
      <c r="TZ95" s="5"/>
      <c r="UA95" s="5"/>
      <c r="UB95" s="5"/>
      <c r="UC95" s="5"/>
      <c r="UD95" s="5"/>
      <c r="UE95" s="5"/>
      <c r="UF95" s="5"/>
      <c r="UG95" s="5"/>
      <c r="UH95" s="5"/>
      <c r="UI95" s="5"/>
      <c r="UJ95" s="5"/>
      <c r="UK95" s="5"/>
      <c r="UL95" s="5"/>
      <c r="UM95" s="5"/>
      <c r="UN95" s="5"/>
      <c r="UO95" s="5"/>
      <c r="UP95" s="5"/>
      <c r="UQ95" s="5"/>
      <c r="UR95" s="5"/>
      <c r="US95" s="5"/>
      <c r="UT95" s="5"/>
      <c r="UU95" s="5"/>
      <c r="UV95" s="5"/>
      <c r="UW95" s="5"/>
      <c r="UX95" s="5"/>
      <c r="UY95" s="5"/>
      <c r="UZ95" s="5"/>
      <c r="VA95" s="5"/>
      <c r="VB95" s="5"/>
      <c r="VC95" s="5"/>
      <c r="VD95" s="5"/>
      <c r="VE95" s="5"/>
      <c r="VF95" s="5"/>
      <c r="VG95" s="5"/>
      <c r="VH95" s="5"/>
      <c r="VI95" s="5"/>
      <c r="VJ95" s="5"/>
      <c r="VK95" s="5"/>
      <c r="VL95" s="5"/>
      <c r="VM95" s="5"/>
      <c r="VN95" s="5"/>
      <c r="VO95" s="5"/>
      <c r="VP95" s="5"/>
      <c r="VQ95" s="5"/>
      <c r="VR95" s="5"/>
      <c r="VS95" s="5"/>
      <c r="VT95" s="5"/>
      <c r="VU95" s="5"/>
      <c r="VV95" s="5"/>
      <c r="VW95" s="5"/>
      <c r="VX95" s="5"/>
      <c r="VY95" s="5"/>
      <c r="VZ95" s="5"/>
      <c r="WA95" s="5"/>
      <c r="WB95" s="5"/>
      <c r="WC95" s="5"/>
      <c r="WD95" s="5"/>
      <c r="WE95" s="5"/>
      <c r="WF95" s="5"/>
      <c r="WG95" s="5"/>
      <c r="WH95" s="5"/>
      <c r="WI95" s="5"/>
      <c r="WJ95" s="5"/>
      <c r="WK95" s="5"/>
      <c r="WL95" s="5"/>
      <c r="WM95" s="5"/>
      <c r="WN95" s="5"/>
      <c r="WO95" s="5"/>
      <c r="WP95" s="5"/>
      <c r="WQ95" s="5"/>
      <c r="WR95" s="5"/>
      <c r="WS95" s="5"/>
      <c r="WT95" s="5"/>
      <c r="WU95" s="5"/>
      <c r="WV95" s="5"/>
      <c r="WW95" s="5"/>
      <c r="WX95" s="5"/>
      <c r="WY95" s="5"/>
      <c r="WZ95" s="5"/>
      <c r="XA95" s="5"/>
      <c r="XB95" s="5"/>
      <c r="XC95" s="5"/>
      <c r="XD95" s="5"/>
      <c r="XE95" s="5"/>
      <c r="XF95" s="5"/>
      <c r="XG95" s="5"/>
      <c r="XH95" s="5"/>
      <c r="XI95" s="5"/>
      <c r="XJ95" s="5"/>
      <c r="XK95" s="5"/>
      <c r="XL95" s="5"/>
      <c r="XM95" s="5"/>
      <c r="XN95" s="5"/>
      <c r="XO95" s="5"/>
      <c r="XP95" s="5"/>
      <c r="XQ95" s="5"/>
      <c r="XR95" s="5"/>
      <c r="XS95" s="5"/>
      <c r="XT95" s="5"/>
      <c r="XU95" s="5"/>
      <c r="XV95" s="5"/>
      <c r="XW95" s="5"/>
      <c r="XX95" s="5"/>
      <c r="XY95" s="5"/>
      <c r="XZ95" s="5"/>
      <c r="YA95" s="5"/>
      <c r="YB95" s="5"/>
      <c r="YC95" s="5"/>
      <c r="YD95" s="5"/>
      <c r="YE95" s="5"/>
      <c r="YF95" s="5"/>
      <c r="YG95" s="5"/>
      <c r="YH95" s="5"/>
      <c r="YI95" s="5"/>
      <c r="YJ95" s="5"/>
      <c r="YK95" s="5"/>
      <c r="YL95" s="5"/>
      <c r="YM95" s="5"/>
      <c r="YN95" s="5"/>
      <c r="YO95" s="5"/>
      <c r="YP95" s="5"/>
      <c r="YQ95" s="5"/>
      <c r="YR95" s="5"/>
      <c r="YS95" s="5"/>
      <c r="YT95" s="5"/>
      <c r="YU95" s="5"/>
      <c r="YV95" s="5"/>
      <c r="YW95" s="5"/>
      <c r="YX95" s="5"/>
      <c r="YY95" s="5"/>
      <c r="YZ95" s="5"/>
    </row>
    <row r="96" spans="1:676">
      <c r="A96" s="7">
        <v>86</v>
      </c>
      <c r="B96" s="7" t="s">
        <v>242</v>
      </c>
      <c r="C96" s="10" t="s">
        <v>243</v>
      </c>
      <c r="D96" s="7" t="s">
        <v>60</v>
      </c>
      <c r="E96" s="7" t="s">
        <v>209</v>
      </c>
      <c r="F96" s="7" t="s">
        <v>206</v>
      </c>
      <c r="G96" s="7"/>
      <c r="H96" s="7" t="s">
        <v>124</v>
      </c>
      <c r="I96" s="11">
        <v>2</v>
      </c>
      <c r="J96" s="11">
        <v>3</v>
      </c>
      <c r="K96" s="11">
        <v>0.95</v>
      </c>
      <c r="L96" s="11">
        <v>4.090000000000002</v>
      </c>
      <c r="M96" s="11">
        <v>0.16</v>
      </c>
      <c r="N96" s="11">
        <v>0</v>
      </c>
      <c r="O96" s="11">
        <v>0.6599999999999999</v>
      </c>
      <c r="P96" s="11">
        <v>0.8</v>
      </c>
      <c r="Q96" s="11">
        <v>6.660000000000002</v>
      </c>
      <c r="R96" s="11">
        <v>0</v>
      </c>
      <c r="S96" s="11">
        <v>6.660000000000002</v>
      </c>
      <c r="T96" s="11">
        <v>2</v>
      </c>
      <c r="U96" s="11">
        <v>3</v>
      </c>
      <c r="V96" s="11">
        <v>1.660000000000002</v>
      </c>
      <c r="W96" s="13">
        <v>2</v>
      </c>
      <c r="X96" s="13">
        <v>3</v>
      </c>
      <c r="Y96" s="13" t="str">
        <f>MIN(W96,S96)</f>
        <v>0</v>
      </c>
      <c r="Z96" s="13" t="str">
        <f>MIN(X96,(S96-Y96))</f>
        <v>0</v>
      </c>
      <c r="AA96" s="13" t="str">
        <f>S96-SUM(Y96,Z96)</f>
        <v>0</v>
      </c>
      <c r="AB96" s="15"/>
      <c r="AC96" s="15"/>
      <c r="AD96" s="1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  <c r="CZ96" s="5"/>
      <c r="DA96" s="5"/>
      <c r="DB96" s="5"/>
      <c r="DC96" s="5"/>
      <c r="DD96" s="5"/>
      <c r="DE96" s="5"/>
      <c r="DF96" s="5"/>
      <c r="DG96" s="5"/>
      <c r="DH96" s="5"/>
      <c r="DI96" s="5"/>
      <c r="DJ96" s="5"/>
      <c r="DK96" s="5"/>
      <c r="DL96" s="5"/>
      <c r="DM96" s="5"/>
      <c r="DN96" s="5"/>
      <c r="DO96" s="5"/>
      <c r="DP96" s="5"/>
      <c r="DQ96" s="5"/>
      <c r="DR96" s="5"/>
      <c r="DS96" s="5"/>
      <c r="DT96" s="5"/>
      <c r="DU96" s="5"/>
      <c r="DV96" s="5"/>
      <c r="DW96" s="5"/>
      <c r="DX96" s="5"/>
      <c r="DY96" s="5"/>
      <c r="DZ96" s="5"/>
      <c r="EA96" s="5"/>
      <c r="EB96" s="5"/>
      <c r="EC96" s="5"/>
      <c r="ED96" s="5"/>
      <c r="EE96" s="5"/>
      <c r="EF96" s="5"/>
      <c r="EG96" s="5"/>
      <c r="EH96" s="5"/>
      <c r="EI96" s="5"/>
      <c r="EJ96" s="5"/>
      <c r="EK96" s="5"/>
      <c r="EL96" s="5"/>
      <c r="EM96" s="5"/>
      <c r="EN96" s="5"/>
      <c r="EO96" s="5"/>
      <c r="EP96" s="5"/>
      <c r="EQ96" s="5"/>
      <c r="ER96" s="5"/>
      <c r="ES96" s="5"/>
      <c r="ET96" s="5"/>
      <c r="EU96" s="5"/>
      <c r="EV96" s="5"/>
      <c r="EW96" s="5"/>
      <c r="EX96" s="5"/>
      <c r="EY96" s="5"/>
      <c r="EZ96" s="5"/>
      <c r="FA96" s="5"/>
      <c r="FB96" s="5"/>
      <c r="FC96" s="5"/>
      <c r="FD96" s="5"/>
      <c r="FE96" s="5"/>
      <c r="FF96" s="5"/>
      <c r="FG96" s="5"/>
      <c r="FH96" s="5"/>
      <c r="FI96" s="5"/>
      <c r="FJ96" s="5"/>
      <c r="FK96" s="5"/>
      <c r="FL96" s="5"/>
      <c r="FM96" s="5"/>
      <c r="FN96" s="5"/>
      <c r="FO96" s="5"/>
      <c r="FP96" s="5"/>
      <c r="FQ96" s="5"/>
      <c r="FR96" s="5"/>
      <c r="FS96" s="5"/>
      <c r="FT96" s="5"/>
      <c r="FU96" s="5"/>
      <c r="FV96" s="5"/>
      <c r="FW96" s="5"/>
      <c r="FX96" s="5"/>
      <c r="FY96" s="5"/>
      <c r="FZ96" s="5"/>
      <c r="GA96" s="5"/>
      <c r="GB96" s="5"/>
      <c r="GC96" s="5"/>
      <c r="GD96" s="5"/>
      <c r="GE96" s="5"/>
      <c r="GF96" s="5"/>
      <c r="GG96" s="5"/>
      <c r="GH96" s="5"/>
      <c r="GI96" s="5"/>
      <c r="GJ96" s="5"/>
      <c r="GK96" s="5"/>
      <c r="GL96" s="5"/>
      <c r="GM96" s="5"/>
      <c r="GN96" s="5"/>
      <c r="GO96" s="5"/>
      <c r="GP96" s="5"/>
      <c r="GQ96" s="5"/>
      <c r="GR96" s="5"/>
      <c r="GS96" s="5"/>
      <c r="GT96" s="5"/>
      <c r="GU96" s="5"/>
      <c r="GV96" s="5"/>
      <c r="GW96" s="5"/>
      <c r="GX96" s="5"/>
      <c r="GY96" s="5"/>
      <c r="GZ96" s="5"/>
      <c r="HA96" s="5"/>
      <c r="HB96" s="5"/>
      <c r="HC96" s="5"/>
      <c r="HD96" s="5"/>
      <c r="HE96" s="5"/>
      <c r="HF96" s="5"/>
      <c r="HG96" s="5"/>
      <c r="HH96" s="5"/>
      <c r="HI96" s="5"/>
      <c r="HJ96" s="5"/>
      <c r="HK96" s="5"/>
      <c r="HL96" s="5"/>
      <c r="HM96" s="5"/>
      <c r="HN96" s="5"/>
      <c r="HO96" s="5"/>
      <c r="HP96" s="5"/>
      <c r="HQ96" s="5"/>
      <c r="HR96" s="5"/>
      <c r="HS96" s="5"/>
      <c r="HT96" s="5"/>
      <c r="HU96" s="5"/>
      <c r="HV96" s="5"/>
      <c r="HW96" s="5"/>
      <c r="HX96" s="5"/>
      <c r="HY96" s="5"/>
      <c r="HZ96" s="5"/>
      <c r="IA96" s="5"/>
      <c r="IB96" s="5"/>
      <c r="IC96" s="5"/>
      <c r="ID96" s="5"/>
      <c r="IE96" s="5"/>
      <c r="IF96" s="5"/>
      <c r="IG96" s="5"/>
      <c r="IH96" s="5"/>
      <c r="II96" s="5"/>
      <c r="IJ96" s="5"/>
      <c r="IK96" s="5"/>
      <c r="IL96" s="5"/>
      <c r="IM96" s="5"/>
      <c r="IN96" s="5"/>
      <c r="IO96" s="5"/>
      <c r="IP96" s="5"/>
      <c r="IQ96" s="5"/>
      <c r="IR96" s="5"/>
      <c r="IS96" s="5"/>
      <c r="IT96" s="5"/>
      <c r="IU96" s="5"/>
      <c r="IV96" s="5"/>
      <c r="IW96" s="5"/>
      <c r="IX96" s="5"/>
      <c r="IY96" s="5"/>
      <c r="IZ96" s="5"/>
      <c r="JA96" s="5"/>
      <c r="JB96" s="5"/>
      <c r="JC96" s="5"/>
      <c r="JD96" s="5"/>
      <c r="JE96" s="5"/>
      <c r="JF96" s="5"/>
      <c r="JG96" s="5"/>
      <c r="JH96" s="5"/>
      <c r="JI96" s="5"/>
      <c r="JJ96" s="5"/>
      <c r="JK96" s="5"/>
      <c r="JL96" s="5"/>
      <c r="JM96" s="5"/>
      <c r="JN96" s="5"/>
      <c r="JO96" s="5"/>
      <c r="JP96" s="5"/>
      <c r="JQ96" s="5"/>
      <c r="JR96" s="5"/>
      <c r="JS96" s="5"/>
      <c r="JT96" s="5"/>
      <c r="JU96" s="5"/>
      <c r="JV96" s="5"/>
      <c r="JW96" s="5"/>
      <c r="JX96" s="5"/>
      <c r="JY96" s="5"/>
      <c r="JZ96" s="5"/>
      <c r="KA96" s="5"/>
      <c r="KB96" s="5"/>
      <c r="KC96" s="5"/>
      <c r="KD96" s="5"/>
      <c r="KE96" s="5"/>
      <c r="KF96" s="5"/>
      <c r="KG96" s="5"/>
      <c r="KH96" s="5"/>
      <c r="KI96" s="5"/>
      <c r="KJ96" s="5"/>
      <c r="KK96" s="5"/>
      <c r="KL96" s="5"/>
      <c r="KM96" s="5"/>
      <c r="KN96" s="5"/>
      <c r="KO96" s="5"/>
      <c r="KP96" s="5"/>
      <c r="KQ96" s="5"/>
      <c r="KR96" s="5"/>
      <c r="KS96" s="5"/>
      <c r="KT96" s="5"/>
      <c r="KU96" s="5"/>
      <c r="KV96" s="5"/>
      <c r="KW96" s="5"/>
      <c r="KX96" s="5"/>
      <c r="KY96" s="5"/>
      <c r="KZ96" s="5"/>
      <c r="LA96" s="5"/>
      <c r="LB96" s="5"/>
      <c r="LC96" s="5"/>
      <c r="LD96" s="5"/>
      <c r="LE96" s="5"/>
      <c r="LF96" s="5"/>
      <c r="LG96" s="5"/>
      <c r="LH96" s="5"/>
      <c r="LI96" s="5"/>
      <c r="LJ96" s="5"/>
      <c r="LK96" s="5"/>
      <c r="LL96" s="5"/>
      <c r="LM96" s="5"/>
      <c r="LN96" s="5"/>
      <c r="LO96" s="5"/>
      <c r="LP96" s="5"/>
      <c r="LQ96" s="5"/>
      <c r="LR96" s="5"/>
      <c r="LS96" s="5"/>
      <c r="LT96" s="5"/>
      <c r="LU96" s="5"/>
      <c r="LV96" s="5"/>
      <c r="LW96" s="5"/>
      <c r="LX96" s="5"/>
      <c r="LY96" s="5"/>
      <c r="LZ96" s="5"/>
      <c r="MA96" s="5"/>
      <c r="MB96" s="5"/>
      <c r="MC96" s="5"/>
      <c r="MD96" s="5"/>
      <c r="ME96" s="5"/>
      <c r="MF96" s="5"/>
      <c r="MG96" s="5"/>
      <c r="MH96" s="5"/>
      <c r="MI96" s="5"/>
      <c r="MJ96" s="5"/>
      <c r="MK96" s="5"/>
      <c r="ML96" s="5"/>
      <c r="MM96" s="5"/>
      <c r="MN96" s="5"/>
      <c r="MO96" s="5"/>
      <c r="MP96" s="5"/>
      <c r="MQ96" s="5"/>
      <c r="MR96" s="5"/>
      <c r="MS96" s="5"/>
      <c r="MT96" s="5"/>
      <c r="MU96" s="5"/>
      <c r="MV96" s="5"/>
      <c r="MW96" s="5"/>
      <c r="MX96" s="5"/>
      <c r="MY96" s="5"/>
      <c r="MZ96" s="5"/>
      <c r="NA96" s="5"/>
      <c r="NB96" s="5"/>
      <c r="NC96" s="5"/>
      <c r="ND96" s="5"/>
      <c r="NE96" s="5"/>
      <c r="NF96" s="5"/>
      <c r="NG96" s="5"/>
      <c r="NH96" s="5"/>
      <c r="NI96" s="5"/>
      <c r="NJ96" s="5"/>
      <c r="NK96" s="5"/>
      <c r="NL96" s="5"/>
      <c r="NM96" s="5"/>
      <c r="NN96" s="5"/>
      <c r="NO96" s="5"/>
      <c r="NP96" s="5"/>
      <c r="NQ96" s="5"/>
      <c r="NR96" s="5"/>
      <c r="NS96" s="5"/>
      <c r="NT96" s="5"/>
      <c r="NU96" s="5"/>
      <c r="NV96" s="5"/>
      <c r="NW96" s="5"/>
      <c r="NX96" s="5"/>
      <c r="NY96" s="5"/>
      <c r="NZ96" s="5"/>
      <c r="OA96" s="5"/>
      <c r="OB96" s="5"/>
      <c r="OC96" s="5"/>
      <c r="OD96" s="5"/>
      <c r="OE96" s="5"/>
      <c r="OF96" s="5"/>
      <c r="OG96" s="5"/>
      <c r="OH96" s="5"/>
      <c r="OI96" s="5"/>
      <c r="OJ96" s="5"/>
      <c r="OK96" s="5"/>
      <c r="OL96" s="5"/>
      <c r="OM96" s="5"/>
      <c r="ON96" s="5"/>
      <c r="OO96" s="5"/>
      <c r="OP96" s="5"/>
      <c r="OQ96" s="5"/>
      <c r="OR96" s="5"/>
      <c r="OS96" s="5"/>
      <c r="OT96" s="5"/>
      <c r="OU96" s="5"/>
      <c r="OV96" s="5"/>
      <c r="OW96" s="5"/>
      <c r="OX96" s="5"/>
      <c r="OY96" s="5"/>
      <c r="OZ96" s="5"/>
      <c r="PA96" s="5"/>
      <c r="PB96" s="5"/>
      <c r="PC96" s="5"/>
      <c r="PD96" s="5"/>
      <c r="PE96" s="5"/>
      <c r="PF96" s="5"/>
      <c r="PG96" s="5"/>
      <c r="PH96" s="5"/>
      <c r="PI96" s="5"/>
      <c r="PJ96" s="5"/>
      <c r="PK96" s="5"/>
      <c r="PL96" s="5"/>
      <c r="PM96" s="5"/>
      <c r="PN96" s="5"/>
      <c r="PO96" s="5"/>
      <c r="PP96" s="5"/>
      <c r="PQ96" s="5"/>
      <c r="PR96" s="5"/>
      <c r="PS96" s="5"/>
      <c r="PT96" s="5"/>
      <c r="PU96" s="5"/>
      <c r="PV96" s="5"/>
      <c r="PW96" s="5"/>
      <c r="PX96" s="5"/>
      <c r="PY96" s="5"/>
      <c r="PZ96" s="5"/>
      <c r="QA96" s="5"/>
      <c r="QB96" s="5"/>
      <c r="QC96" s="5"/>
      <c r="QD96" s="5"/>
      <c r="QE96" s="5"/>
      <c r="QF96" s="5"/>
      <c r="QG96" s="5"/>
      <c r="QH96" s="5"/>
      <c r="QI96" s="5"/>
      <c r="QJ96" s="5"/>
      <c r="QK96" s="5"/>
      <c r="QL96" s="5"/>
      <c r="QM96" s="5"/>
      <c r="QN96" s="5"/>
      <c r="QO96" s="5"/>
      <c r="QP96" s="5"/>
      <c r="QQ96" s="5"/>
      <c r="QR96" s="5"/>
      <c r="QS96" s="5"/>
      <c r="QT96" s="5"/>
      <c r="QU96" s="5"/>
      <c r="QV96" s="5"/>
      <c r="QW96" s="5"/>
      <c r="QX96" s="5"/>
      <c r="QY96" s="5"/>
      <c r="QZ96" s="5"/>
      <c r="RA96" s="5"/>
      <c r="RB96" s="5"/>
      <c r="RC96" s="5"/>
      <c r="RD96" s="5"/>
      <c r="RE96" s="5"/>
      <c r="RF96" s="5"/>
      <c r="RG96" s="5"/>
      <c r="RH96" s="5"/>
      <c r="RI96" s="5"/>
      <c r="RJ96" s="5"/>
      <c r="RK96" s="5"/>
      <c r="RL96" s="5"/>
      <c r="RM96" s="5"/>
      <c r="RN96" s="5"/>
      <c r="RO96" s="5"/>
      <c r="RP96" s="5"/>
      <c r="RQ96" s="5"/>
      <c r="RR96" s="5"/>
      <c r="RS96" s="5"/>
      <c r="RT96" s="5"/>
      <c r="RU96" s="5"/>
      <c r="RV96" s="5"/>
      <c r="RW96" s="5"/>
      <c r="RX96" s="5"/>
      <c r="RY96" s="5"/>
      <c r="RZ96" s="5"/>
      <c r="SA96" s="5"/>
      <c r="SB96" s="5"/>
      <c r="SC96" s="5"/>
      <c r="SD96" s="5"/>
      <c r="SE96" s="5"/>
      <c r="SF96" s="5"/>
      <c r="SG96" s="5"/>
      <c r="SH96" s="5"/>
      <c r="SI96" s="5"/>
      <c r="SJ96" s="5"/>
      <c r="SK96" s="5"/>
      <c r="SL96" s="5"/>
      <c r="SM96" s="5"/>
      <c r="SN96" s="5"/>
      <c r="SO96" s="5"/>
      <c r="SP96" s="5"/>
      <c r="SQ96" s="5"/>
      <c r="SR96" s="5"/>
      <c r="SS96" s="5"/>
      <c r="ST96" s="5"/>
      <c r="SU96" s="5"/>
      <c r="SV96" s="5"/>
      <c r="SW96" s="5"/>
      <c r="SX96" s="5"/>
      <c r="SY96" s="5"/>
      <c r="SZ96" s="5"/>
      <c r="TA96" s="5"/>
      <c r="TB96" s="5"/>
      <c r="TC96" s="5"/>
      <c r="TD96" s="5"/>
      <c r="TE96" s="5"/>
      <c r="TF96" s="5"/>
      <c r="TG96" s="5"/>
      <c r="TH96" s="5"/>
      <c r="TI96" s="5"/>
      <c r="TJ96" s="5"/>
      <c r="TK96" s="5"/>
      <c r="TL96" s="5"/>
      <c r="TM96" s="5"/>
      <c r="TN96" s="5"/>
      <c r="TO96" s="5"/>
      <c r="TP96" s="5"/>
      <c r="TQ96" s="5"/>
      <c r="TR96" s="5"/>
      <c r="TS96" s="5"/>
      <c r="TT96" s="5"/>
      <c r="TU96" s="5"/>
      <c r="TV96" s="5"/>
      <c r="TW96" s="5"/>
      <c r="TX96" s="5"/>
      <c r="TY96" s="5"/>
      <c r="TZ96" s="5"/>
      <c r="UA96" s="5"/>
      <c r="UB96" s="5"/>
      <c r="UC96" s="5"/>
      <c r="UD96" s="5"/>
      <c r="UE96" s="5"/>
      <c r="UF96" s="5"/>
      <c r="UG96" s="5"/>
      <c r="UH96" s="5"/>
      <c r="UI96" s="5"/>
      <c r="UJ96" s="5"/>
      <c r="UK96" s="5"/>
      <c r="UL96" s="5"/>
      <c r="UM96" s="5"/>
      <c r="UN96" s="5"/>
      <c r="UO96" s="5"/>
      <c r="UP96" s="5"/>
      <c r="UQ96" s="5"/>
      <c r="UR96" s="5"/>
      <c r="US96" s="5"/>
      <c r="UT96" s="5"/>
      <c r="UU96" s="5"/>
      <c r="UV96" s="5"/>
      <c r="UW96" s="5"/>
      <c r="UX96" s="5"/>
      <c r="UY96" s="5"/>
      <c r="UZ96" s="5"/>
      <c r="VA96" s="5"/>
      <c r="VB96" s="5"/>
      <c r="VC96" s="5"/>
      <c r="VD96" s="5"/>
      <c r="VE96" s="5"/>
      <c r="VF96" s="5"/>
      <c r="VG96" s="5"/>
      <c r="VH96" s="5"/>
      <c r="VI96" s="5"/>
      <c r="VJ96" s="5"/>
      <c r="VK96" s="5"/>
      <c r="VL96" s="5"/>
      <c r="VM96" s="5"/>
      <c r="VN96" s="5"/>
      <c r="VO96" s="5"/>
      <c r="VP96" s="5"/>
      <c r="VQ96" s="5"/>
      <c r="VR96" s="5"/>
      <c r="VS96" s="5"/>
      <c r="VT96" s="5"/>
      <c r="VU96" s="5"/>
      <c r="VV96" s="5"/>
      <c r="VW96" s="5"/>
      <c r="VX96" s="5"/>
      <c r="VY96" s="5"/>
      <c r="VZ96" s="5"/>
      <c r="WA96" s="5"/>
      <c r="WB96" s="5"/>
      <c r="WC96" s="5"/>
      <c r="WD96" s="5"/>
      <c r="WE96" s="5"/>
      <c r="WF96" s="5"/>
      <c r="WG96" s="5"/>
      <c r="WH96" s="5"/>
      <c r="WI96" s="5"/>
      <c r="WJ96" s="5"/>
      <c r="WK96" s="5"/>
      <c r="WL96" s="5"/>
      <c r="WM96" s="5"/>
      <c r="WN96" s="5"/>
      <c r="WO96" s="5"/>
      <c r="WP96" s="5"/>
      <c r="WQ96" s="5"/>
      <c r="WR96" s="5"/>
      <c r="WS96" s="5"/>
      <c r="WT96" s="5"/>
      <c r="WU96" s="5"/>
      <c r="WV96" s="5"/>
      <c r="WW96" s="5"/>
      <c r="WX96" s="5"/>
      <c r="WY96" s="5"/>
      <c r="WZ96" s="5"/>
      <c r="XA96" s="5"/>
      <c r="XB96" s="5"/>
      <c r="XC96" s="5"/>
      <c r="XD96" s="5"/>
      <c r="XE96" s="5"/>
      <c r="XF96" s="5"/>
      <c r="XG96" s="5"/>
      <c r="XH96" s="5"/>
      <c r="XI96" s="5"/>
      <c r="XJ96" s="5"/>
      <c r="XK96" s="5"/>
      <c r="XL96" s="5"/>
      <c r="XM96" s="5"/>
      <c r="XN96" s="5"/>
      <c r="XO96" s="5"/>
      <c r="XP96" s="5"/>
      <c r="XQ96" s="5"/>
      <c r="XR96" s="5"/>
      <c r="XS96" s="5"/>
      <c r="XT96" s="5"/>
      <c r="XU96" s="5"/>
      <c r="XV96" s="5"/>
      <c r="XW96" s="5"/>
      <c r="XX96" s="5"/>
      <c r="XY96" s="5"/>
      <c r="XZ96" s="5"/>
      <c r="YA96" s="5"/>
      <c r="YB96" s="5"/>
      <c r="YC96" s="5"/>
      <c r="YD96" s="5"/>
      <c r="YE96" s="5"/>
      <c r="YF96" s="5"/>
      <c r="YG96" s="5"/>
      <c r="YH96" s="5"/>
      <c r="YI96" s="5"/>
      <c r="YJ96" s="5"/>
      <c r="YK96" s="5"/>
      <c r="YL96" s="5"/>
      <c r="YM96" s="5"/>
      <c r="YN96" s="5"/>
      <c r="YO96" s="5"/>
      <c r="YP96" s="5"/>
      <c r="YQ96" s="5"/>
      <c r="YR96" s="5"/>
      <c r="YS96" s="5"/>
      <c r="YT96" s="5"/>
      <c r="YU96" s="5"/>
      <c r="YV96" s="5"/>
      <c r="YW96" s="5"/>
      <c r="YX96" s="5"/>
      <c r="YY96" s="5"/>
      <c r="YZ96" s="5"/>
    </row>
    <row r="97" spans="1:676">
      <c r="A97" s="7">
        <v>87</v>
      </c>
      <c r="B97" s="7" t="s">
        <v>244</v>
      </c>
      <c r="C97" s="10" t="s">
        <v>245</v>
      </c>
      <c r="D97" s="7" t="s">
        <v>129</v>
      </c>
      <c r="E97" s="7" t="s">
        <v>246</v>
      </c>
      <c r="F97" s="7" t="s">
        <v>206</v>
      </c>
      <c r="G97" s="7"/>
      <c r="H97" s="7" t="s">
        <v>124</v>
      </c>
      <c r="I97" s="11">
        <v>2</v>
      </c>
      <c r="J97" s="11">
        <v>3</v>
      </c>
      <c r="K97" s="11">
        <v>0.95</v>
      </c>
      <c r="L97" s="11">
        <v>3.400000000000001</v>
      </c>
      <c r="M97" s="11">
        <v>0.16</v>
      </c>
      <c r="N97" s="11">
        <v>0</v>
      </c>
      <c r="O97" s="11">
        <v>0.6</v>
      </c>
      <c r="P97" s="11">
        <v>0</v>
      </c>
      <c r="Q97" s="11">
        <v>5.110000000000001</v>
      </c>
      <c r="R97" s="11">
        <v>0</v>
      </c>
      <c r="S97" s="11">
        <v>5.110000000000001</v>
      </c>
      <c r="T97" s="11">
        <v>2</v>
      </c>
      <c r="U97" s="11">
        <v>3</v>
      </c>
      <c r="V97" s="11">
        <v>0.1100000000000012</v>
      </c>
      <c r="W97" s="13">
        <v>2</v>
      </c>
      <c r="X97" s="13">
        <v>3</v>
      </c>
      <c r="Y97" s="13" t="str">
        <f>MIN(W97,S97)</f>
        <v>0</v>
      </c>
      <c r="Z97" s="13" t="str">
        <f>MIN(X97,(S97-Y97))</f>
        <v>0</v>
      </c>
      <c r="AA97" s="13" t="str">
        <f>S97-SUM(Y97,Z97)</f>
        <v>0</v>
      </c>
      <c r="AB97" s="15"/>
      <c r="AC97" s="15"/>
      <c r="AD97" s="1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5"/>
      <c r="DG97" s="5"/>
      <c r="DH97" s="5"/>
      <c r="DI97" s="5"/>
      <c r="DJ97" s="5"/>
      <c r="DK97" s="5"/>
      <c r="DL97" s="5"/>
      <c r="DM97" s="5"/>
      <c r="DN97" s="5"/>
      <c r="DO97" s="5"/>
      <c r="DP97" s="5"/>
      <c r="DQ97" s="5"/>
      <c r="DR97" s="5"/>
      <c r="DS97" s="5"/>
      <c r="DT97" s="5"/>
      <c r="DU97" s="5"/>
      <c r="DV97" s="5"/>
      <c r="DW97" s="5"/>
      <c r="DX97" s="5"/>
      <c r="DY97" s="5"/>
      <c r="DZ97" s="5"/>
      <c r="EA97" s="5"/>
      <c r="EB97" s="5"/>
      <c r="EC97" s="5"/>
      <c r="ED97" s="5"/>
      <c r="EE97" s="5"/>
      <c r="EF97" s="5"/>
      <c r="EG97" s="5"/>
      <c r="EH97" s="5"/>
      <c r="EI97" s="5"/>
      <c r="EJ97" s="5"/>
      <c r="EK97" s="5"/>
      <c r="EL97" s="5"/>
      <c r="EM97" s="5"/>
      <c r="EN97" s="5"/>
      <c r="EO97" s="5"/>
      <c r="EP97" s="5"/>
      <c r="EQ97" s="5"/>
      <c r="ER97" s="5"/>
      <c r="ES97" s="5"/>
      <c r="ET97" s="5"/>
      <c r="EU97" s="5"/>
      <c r="EV97" s="5"/>
      <c r="EW97" s="5"/>
      <c r="EX97" s="5"/>
      <c r="EY97" s="5"/>
      <c r="EZ97" s="5"/>
      <c r="FA97" s="5"/>
      <c r="FB97" s="5"/>
      <c r="FC97" s="5"/>
      <c r="FD97" s="5"/>
      <c r="FE97" s="5"/>
      <c r="FF97" s="5"/>
      <c r="FG97" s="5"/>
      <c r="FH97" s="5"/>
      <c r="FI97" s="5"/>
      <c r="FJ97" s="5"/>
      <c r="FK97" s="5"/>
      <c r="FL97" s="5"/>
      <c r="FM97" s="5"/>
      <c r="FN97" s="5"/>
      <c r="FO97" s="5"/>
      <c r="FP97" s="5"/>
      <c r="FQ97" s="5"/>
      <c r="FR97" s="5"/>
      <c r="FS97" s="5"/>
      <c r="FT97" s="5"/>
      <c r="FU97" s="5"/>
      <c r="FV97" s="5"/>
      <c r="FW97" s="5"/>
      <c r="FX97" s="5"/>
      <c r="FY97" s="5"/>
      <c r="FZ97" s="5"/>
      <c r="GA97" s="5"/>
      <c r="GB97" s="5"/>
      <c r="GC97" s="5"/>
      <c r="GD97" s="5"/>
      <c r="GE97" s="5"/>
      <c r="GF97" s="5"/>
      <c r="GG97" s="5"/>
      <c r="GH97" s="5"/>
      <c r="GI97" s="5"/>
      <c r="GJ97" s="5"/>
      <c r="GK97" s="5"/>
      <c r="GL97" s="5"/>
      <c r="GM97" s="5"/>
      <c r="GN97" s="5"/>
      <c r="GO97" s="5"/>
      <c r="GP97" s="5"/>
      <c r="GQ97" s="5"/>
      <c r="GR97" s="5"/>
      <c r="GS97" s="5"/>
      <c r="GT97" s="5"/>
      <c r="GU97" s="5"/>
      <c r="GV97" s="5"/>
      <c r="GW97" s="5"/>
      <c r="GX97" s="5"/>
      <c r="GY97" s="5"/>
      <c r="GZ97" s="5"/>
      <c r="HA97" s="5"/>
      <c r="HB97" s="5"/>
      <c r="HC97" s="5"/>
      <c r="HD97" s="5"/>
      <c r="HE97" s="5"/>
      <c r="HF97" s="5"/>
      <c r="HG97" s="5"/>
      <c r="HH97" s="5"/>
      <c r="HI97" s="5"/>
      <c r="HJ97" s="5"/>
      <c r="HK97" s="5"/>
      <c r="HL97" s="5"/>
      <c r="HM97" s="5"/>
      <c r="HN97" s="5"/>
      <c r="HO97" s="5"/>
      <c r="HP97" s="5"/>
      <c r="HQ97" s="5"/>
      <c r="HR97" s="5"/>
      <c r="HS97" s="5"/>
      <c r="HT97" s="5"/>
      <c r="HU97" s="5"/>
      <c r="HV97" s="5"/>
      <c r="HW97" s="5"/>
      <c r="HX97" s="5"/>
      <c r="HY97" s="5"/>
      <c r="HZ97" s="5"/>
      <c r="IA97" s="5"/>
      <c r="IB97" s="5"/>
      <c r="IC97" s="5"/>
      <c r="ID97" s="5"/>
      <c r="IE97" s="5"/>
      <c r="IF97" s="5"/>
      <c r="IG97" s="5"/>
      <c r="IH97" s="5"/>
      <c r="II97" s="5"/>
      <c r="IJ97" s="5"/>
      <c r="IK97" s="5"/>
      <c r="IL97" s="5"/>
      <c r="IM97" s="5"/>
      <c r="IN97" s="5"/>
      <c r="IO97" s="5"/>
      <c r="IP97" s="5"/>
      <c r="IQ97" s="5"/>
      <c r="IR97" s="5"/>
      <c r="IS97" s="5"/>
      <c r="IT97" s="5"/>
      <c r="IU97" s="5"/>
      <c r="IV97" s="5"/>
      <c r="IW97" s="5"/>
      <c r="IX97" s="5"/>
      <c r="IY97" s="5"/>
      <c r="IZ97" s="5"/>
      <c r="JA97" s="5"/>
      <c r="JB97" s="5"/>
      <c r="JC97" s="5"/>
      <c r="JD97" s="5"/>
      <c r="JE97" s="5"/>
      <c r="JF97" s="5"/>
      <c r="JG97" s="5"/>
      <c r="JH97" s="5"/>
      <c r="JI97" s="5"/>
      <c r="JJ97" s="5"/>
      <c r="JK97" s="5"/>
      <c r="JL97" s="5"/>
      <c r="JM97" s="5"/>
      <c r="JN97" s="5"/>
      <c r="JO97" s="5"/>
      <c r="JP97" s="5"/>
      <c r="JQ97" s="5"/>
      <c r="JR97" s="5"/>
      <c r="JS97" s="5"/>
      <c r="JT97" s="5"/>
      <c r="JU97" s="5"/>
      <c r="JV97" s="5"/>
      <c r="JW97" s="5"/>
      <c r="JX97" s="5"/>
      <c r="JY97" s="5"/>
      <c r="JZ97" s="5"/>
      <c r="KA97" s="5"/>
      <c r="KB97" s="5"/>
      <c r="KC97" s="5"/>
      <c r="KD97" s="5"/>
      <c r="KE97" s="5"/>
      <c r="KF97" s="5"/>
      <c r="KG97" s="5"/>
      <c r="KH97" s="5"/>
      <c r="KI97" s="5"/>
      <c r="KJ97" s="5"/>
      <c r="KK97" s="5"/>
      <c r="KL97" s="5"/>
      <c r="KM97" s="5"/>
      <c r="KN97" s="5"/>
      <c r="KO97" s="5"/>
      <c r="KP97" s="5"/>
      <c r="KQ97" s="5"/>
      <c r="KR97" s="5"/>
      <c r="KS97" s="5"/>
      <c r="KT97" s="5"/>
      <c r="KU97" s="5"/>
      <c r="KV97" s="5"/>
      <c r="KW97" s="5"/>
      <c r="KX97" s="5"/>
      <c r="KY97" s="5"/>
      <c r="KZ97" s="5"/>
      <c r="LA97" s="5"/>
      <c r="LB97" s="5"/>
      <c r="LC97" s="5"/>
      <c r="LD97" s="5"/>
      <c r="LE97" s="5"/>
      <c r="LF97" s="5"/>
      <c r="LG97" s="5"/>
      <c r="LH97" s="5"/>
      <c r="LI97" s="5"/>
      <c r="LJ97" s="5"/>
      <c r="LK97" s="5"/>
      <c r="LL97" s="5"/>
      <c r="LM97" s="5"/>
      <c r="LN97" s="5"/>
      <c r="LO97" s="5"/>
      <c r="LP97" s="5"/>
      <c r="LQ97" s="5"/>
      <c r="LR97" s="5"/>
      <c r="LS97" s="5"/>
      <c r="LT97" s="5"/>
      <c r="LU97" s="5"/>
      <c r="LV97" s="5"/>
      <c r="LW97" s="5"/>
      <c r="LX97" s="5"/>
      <c r="LY97" s="5"/>
      <c r="LZ97" s="5"/>
      <c r="MA97" s="5"/>
      <c r="MB97" s="5"/>
      <c r="MC97" s="5"/>
      <c r="MD97" s="5"/>
      <c r="ME97" s="5"/>
      <c r="MF97" s="5"/>
      <c r="MG97" s="5"/>
      <c r="MH97" s="5"/>
      <c r="MI97" s="5"/>
      <c r="MJ97" s="5"/>
      <c r="MK97" s="5"/>
      <c r="ML97" s="5"/>
      <c r="MM97" s="5"/>
      <c r="MN97" s="5"/>
      <c r="MO97" s="5"/>
      <c r="MP97" s="5"/>
      <c r="MQ97" s="5"/>
      <c r="MR97" s="5"/>
      <c r="MS97" s="5"/>
      <c r="MT97" s="5"/>
      <c r="MU97" s="5"/>
      <c r="MV97" s="5"/>
      <c r="MW97" s="5"/>
      <c r="MX97" s="5"/>
      <c r="MY97" s="5"/>
      <c r="MZ97" s="5"/>
      <c r="NA97" s="5"/>
      <c r="NB97" s="5"/>
      <c r="NC97" s="5"/>
      <c r="ND97" s="5"/>
      <c r="NE97" s="5"/>
      <c r="NF97" s="5"/>
      <c r="NG97" s="5"/>
      <c r="NH97" s="5"/>
      <c r="NI97" s="5"/>
      <c r="NJ97" s="5"/>
      <c r="NK97" s="5"/>
      <c r="NL97" s="5"/>
      <c r="NM97" s="5"/>
      <c r="NN97" s="5"/>
      <c r="NO97" s="5"/>
      <c r="NP97" s="5"/>
      <c r="NQ97" s="5"/>
      <c r="NR97" s="5"/>
      <c r="NS97" s="5"/>
      <c r="NT97" s="5"/>
      <c r="NU97" s="5"/>
      <c r="NV97" s="5"/>
      <c r="NW97" s="5"/>
      <c r="NX97" s="5"/>
      <c r="NY97" s="5"/>
      <c r="NZ97" s="5"/>
      <c r="OA97" s="5"/>
      <c r="OB97" s="5"/>
      <c r="OC97" s="5"/>
      <c r="OD97" s="5"/>
      <c r="OE97" s="5"/>
      <c r="OF97" s="5"/>
      <c r="OG97" s="5"/>
      <c r="OH97" s="5"/>
      <c r="OI97" s="5"/>
      <c r="OJ97" s="5"/>
      <c r="OK97" s="5"/>
      <c r="OL97" s="5"/>
      <c r="OM97" s="5"/>
      <c r="ON97" s="5"/>
      <c r="OO97" s="5"/>
      <c r="OP97" s="5"/>
      <c r="OQ97" s="5"/>
      <c r="OR97" s="5"/>
      <c r="OS97" s="5"/>
      <c r="OT97" s="5"/>
      <c r="OU97" s="5"/>
      <c r="OV97" s="5"/>
      <c r="OW97" s="5"/>
      <c r="OX97" s="5"/>
      <c r="OY97" s="5"/>
      <c r="OZ97" s="5"/>
      <c r="PA97" s="5"/>
      <c r="PB97" s="5"/>
      <c r="PC97" s="5"/>
      <c r="PD97" s="5"/>
      <c r="PE97" s="5"/>
      <c r="PF97" s="5"/>
      <c r="PG97" s="5"/>
      <c r="PH97" s="5"/>
      <c r="PI97" s="5"/>
      <c r="PJ97" s="5"/>
      <c r="PK97" s="5"/>
      <c r="PL97" s="5"/>
      <c r="PM97" s="5"/>
      <c r="PN97" s="5"/>
      <c r="PO97" s="5"/>
      <c r="PP97" s="5"/>
      <c r="PQ97" s="5"/>
      <c r="PR97" s="5"/>
      <c r="PS97" s="5"/>
      <c r="PT97" s="5"/>
      <c r="PU97" s="5"/>
      <c r="PV97" s="5"/>
      <c r="PW97" s="5"/>
      <c r="PX97" s="5"/>
      <c r="PY97" s="5"/>
      <c r="PZ97" s="5"/>
      <c r="QA97" s="5"/>
      <c r="QB97" s="5"/>
      <c r="QC97" s="5"/>
      <c r="QD97" s="5"/>
      <c r="QE97" s="5"/>
      <c r="QF97" s="5"/>
      <c r="QG97" s="5"/>
      <c r="QH97" s="5"/>
      <c r="QI97" s="5"/>
      <c r="QJ97" s="5"/>
      <c r="QK97" s="5"/>
      <c r="QL97" s="5"/>
      <c r="QM97" s="5"/>
      <c r="QN97" s="5"/>
      <c r="QO97" s="5"/>
      <c r="QP97" s="5"/>
      <c r="QQ97" s="5"/>
      <c r="QR97" s="5"/>
      <c r="QS97" s="5"/>
      <c r="QT97" s="5"/>
      <c r="QU97" s="5"/>
      <c r="QV97" s="5"/>
      <c r="QW97" s="5"/>
      <c r="QX97" s="5"/>
      <c r="QY97" s="5"/>
      <c r="QZ97" s="5"/>
      <c r="RA97" s="5"/>
      <c r="RB97" s="5"/>
      <c r="RC97" s="5"/>
      <c r="RD97" s="5"/>
      <c r="RE97" s="5"/>
      <c r="RF97" s="5"/>
      <c r="RG97" s="5"/>
      <c r="RH97" s="5"/>
      <c r="RI97" s="5"/>
      <c r="RJ97" s="5"/>
      <c r="RK97" s="5"/>
      <c r="RL97" s="5"/>
      <c r="RM97" s="5"/>
      <c r="RN97" s="5"/>
      <c r="RO97" s="5"/>
      <c r="RP97" s="5"/>
      <c r="RQ97" s="5"/>
      <c r="RR97" s="5"/>
      <c r="RS97" s="5"/>
      <c r="RT97" s="5"/>
      <c r="RU97" s="5"/>
      <c r="RV97" s="5"/>
      <c r="RW97" s="5"/>
      <c r="RX97" s="5"/>
      <c r="RY97" s="5"/>
      <c r="RZ97" s="5"/>
      <c r="SA97" s="5"/>
      <c r="SB97" s="5"/>
      <c r="SC97" s="5"/>
      <c r="SD97" s="5"/>
      <c r="SE97" s="5"/>
      <c r="SF97" s="5"/>
      <c r="SG97" s="5"/>
      <c r="SH97" s="5"/>
      <c r="SI97" s="5"/>
      <c r="SJ97" s="5"/>
      <c r="SK97" s="5"/>
      <c r="SL97" s="5"/>
      <c r="SM97" s="5"/>
      <c r="SN97" s="5"/>
      <c r="SO97" s="5"/>
      <c r="SP97" s="5"/>
      <c r="SQ97" s="5"/>
      <c r="SR97" s="5"/>
      <c r="SS97" s="5"/>
      <c r="ST97" s="5"/>
      <c r="SU97" s="5"/>
      <c r="SV97" s="5"/>
      <c r="SW97" s="5"/>
      <c r="SX97" s="5"/>
      <c r="SY97" s="5"/>
      <c r="SZ97" s="5"/>
      <c r="TA97" s="5"/>
      <c r="TB97" s="5"/>
      <c r="TC97" s="5"/>
      <c r="TD97" s="5"/>
      <c r="TE97" s="5"/>
      <c r="TF97" s="5"/>
      <c r="TG97" s="5"/>
      <c r="TH97" s="5"/>
      <c r="TI97" s="5"/>
      <c r="TJ97" s="5"/>
      <c r="TK97" s="5"/>
      <c r="TL97" s="5"/>
      <c r="TM97" s="5"/>
      <c r="TN97" s="5"/>
      <c r="TO97" s="5"/>
      <c r="TP97" s="5"/>
      <c r="TQ97" s="5"/>
      <c r="TR97" s="5"/>
      <c r="TS97" s="5"/>
      <c r="TT97" s="5"/>
      <c r="TU97" s="5"/>
      <c r="TV97" s="5"/>
      <c r="TW97" s="5"/>
      <c r="TX97" s="5"/>
      <c r="TY97" s="5"/>
      <c r="TZ97" s="5"/>
      <c r="UA97" s="5"/>
      <c r="UB97" s="5"/>
      <c r="UC97" s="5"/>
      <c r="UD97" s="5"/>
      <c r="UE97" s="5"/>
      <c r="UF97" s="5"/>
      <c r="UG97" s="5"/>
      <c r="UH97" s="5"/>
      <c r="UI97" s="5"/>
      <c r="UJ97" s="5"/>
      <c r="UK97" s="5"/>
      <c r="UL97" s="5"/>
      <c r="UM97" s="5"/>
      <c r="UN97" s="5"/>
      <c r="UO97" s="5"/>
      <c r="UP97" s="5"/>
      <c r="UQ97" s="5"/>
      <c r="UR97" s="5"/>
      <c r="US97" s="5"/>
      <c r="UT97" s="5"/>
      <c r="UU97" s="5"/>
      <c r="UV97" s="5"/>
      <c r="UW97" s="5"/>
      <c r="UX97" s="5"/>
      <c r="UY97" s="5"/>
      <c r="UZ97" s="5"/>
      <c r="VA97" s="5"/>
      <c r="VB97" s="5"/>
      <c r="VC97" s="5"/>
      <c r="VD97" s="5"/>
      <c r="VE97" s="5"/>
      <c r="VF97" s="5"/>
      <c r="VG97" s="5"/>
      <c r="VH97" s="5"/>
      <c r="VI97" s="5"/>
      <c r="VJ97" s="5"/>
      <c r="VK97" s="5"/>
      <c r="VL97" s="5"/>
      <c r="VM97" s="5"/>
      <c r="VN97" s="5"/>
      <c r="VO97" s="5"/>
      <c r="VP97" s="5"/>
      <c r="VQ97" s="5"/>
      <c r="VR97" s="5"/>
      <c r="VS97" s="5"/>
      <c r="VT97" s="5"/>
      <c r="VU97" s="5"/>
      <c r="VV97" s="5"/>
      <c r="VW97" s="5"/>
      <c r="VX97" s="5"/>
      <c r="VY97" s="5"/>
      <c r="VZ97" s="5"/>
      <c r="WA97" s="5"/>
      <c r="WB97" s="5"/>
      <c r="WC97" s="5"/>
      <c r="WD97" s="5"/>
      <c r="WE97" s="5"/>
      <c r="WF97" s="5"/>
      <c r="WG97" s="5"/>
      <c r="WH97" s="5"/>
      <c r="WI97" s="5"/>
      <c r="WJ97" s="5"/>
      <c r="WK97" s="5"/>
      <c r="WL97" s="5"/>
      <c r="WM97" s="5"/>
      <c r="WN97" s="5"/>
      <c r="WO97" s="5"/>
      <c r="WP97" s="5"/>
      <c r="WQ97" s="5"/>
      <c r="WR97" s="5"/>
      <c r="WS97" s="5"/>
      <c r="WT97" s="5"/>
      <c r="WU97" s="5"/>
      <c r="WV97" s="5"/>
      <c r="WW97" s="5"/>
      <c r="WX97" s="5"/>
      <c r="WY97" s="5"/>
      <c r="WZ97" s="5"/>
      <c r="XA97" s="5"/>
      <c r="XB97" s="5"/>
      <c r="XC97" s="5"/>
      <c r="XD97" s="5"/>
      <c r="XE97" s="5"/>
      <c r="XF97" s="5"/>
      <c r="XG97" s="5"/>
      <c r="XH97" s="5"/>
      <c r="XI97" s="5"/>
      <c r="XJ97" s="5"/>
      <c r="XK97" s="5"/>
      <c r="XL97" s="5"/>
      <c r="XM97" s="5"/>
      <c r="XN97" s="5"/>
      <c r="XO97" s="5"/>
      <c r="XP97" s="5"/>
      <c r="XQ97" s="5"/>
      <c r="XR97" s="5"/>
      <c r="XS97" s="5"/>
      <c r="XT97" s="5"/>
      <c r="XU97" s="5"/>
      <c r="XV97" s="5"/>
      <c r="XW97" s="5"/>
      <c r="XX97" s="5"/>
      <c r="XY97" s="5"/>
      <c r="XZ97" s="5"/>
      <c r="YA97" s="5"/>
      <c r="YB97" s="5"/>
      <c r="YC97" s="5"/>
      <c r="YD97" s="5"/>
      <c r="YE97" s="5"/>
      <c r="YF97" s="5"/>
      <c r="YG97" s="5"/>
      <c r="YH97" s="5"/>
      <c r="YI97" s="5"/>
      <c r="YJ97" s="5"/>
      <c r="YK97" s="5"/>
      <c r="YL97" s="5"/>
      <c r="YM97" s="5"/>
      <c r="YN97" s="5"/>
      <c r="YO97" s="5"/>
      <c r="YP97" s="5"/>
      <c r="YQ97" s="5"/>
      <c r="YR97" s="5"/>
      <c r="YS97" s="5"/>
      <c r="YT97" s="5"/>
      <c r="YU97" s="5"/>
      <c r="YV97" s="5"/>
      <c r="YW97" s="5"/>
      <c r="YX97" s="5"/>
      <c r="YY97" s="5"/>
      <c r="YZ97" s="5"/>
    </row>
    <row r="98" spans="1:676">
      <c r="A98" s="7">
        <v>88</v>
      </c>
      <c r="B98" s="7" t="s">
        <v>247</v>
      </c>
      <c r="C98" s="10" t="s">
        <v>248</v>
      </c>
      <c r="D98" s="7" t="s">
        <v>129</v>
      </c>
      <c r="E98" s="7" t="s">
        <v>205</v>
      </c>
      <c r="F98" s="7" t="s">
        <v>206</v>
      </c>
      <c r="G98" s="7"/>
      <c r="H98" s="7" t="s">
        <v>43</v>
      </c>
      <c r="I98" s="11">
        <v>2</v>
      </c>
      <c r="J98" s="11">
        <v>3</v>
      </c>
      <c r="K98" s="11">
        <v>0</v>
      </c>
      <c r="L98" s="11">
        <v>4.140000000000001</v>
      </c>
      <c r="M98" s="11">
        <v>0</v>
      </c>
      <c r="N98" s="11">
        <v>0</v>
      </c>
      <c r="O98" s="11">
        <v>0.6</v>
      </c>
      <c r="P98" s="11">
        <v>0</v>
      </c>
      <c r="Q98" s="11">
        <v>4.74</v>
      </c>
      <c r="R98" s="11">
        <v>0</v>
      </c>
      <c r="S98" s="11">
        <v>4.74</v>
      </c>
      <c r="T98" s="11">
        <v>2</v>
      </c>
      <c r="U98" s="11">
        <v>2.74</v>
      </c>
      <c r="V98" s="11">
        <v>0</v>
      </c>
      <c r="W98" s="13">
        <v>2</v>
      </c>
      <c r="X98" s="13">
        <v>3</v>
      </c>
      <c r="Y98" s="13" t="str">
        <f>MIN(W98,S98)</f>
        <v>0</v>
      </c>
      <c r="Z98" s="13" t="str">
        <f>MIN(X98,(S98-Y98))</f>
        <v>0</v>
      </c>
      <c r="AA98" s="13" t="str">
        <f>S98-SUM(Y98,Z98)</f>
        <v>0</v>
      </c>
      <c r="AB98" s="15"/>
      <c r="AC98" s="15"/>
      <c r="AD98" s="1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  <c r="DA98" s="5"/>
      <c r="DB98" s="5"/>
      <c r="DC98" s="5"/>
      <c r="DD98" s="5"/>
      <c r="DE98" s="5"/>
      <c r="DF98" s="5"/>
      <c r="DG98" s="5"/>
      <c r="DH98" s="5"/>
      <c r="DI98" s="5"/>
      <c r="DJ98" s="5"/>
      <c r="DK98" s="5"/>
      <c r="DL98" s="5"/>
      <c r="DM98" s="5"/>
      <c r="DN98" s="5"/>
      <c r="DO98" s="5"/>
      <c r="DP98" s="5"/>
      <c r="DQ98" s="5"/>
      <c r="DR98" s="5"/>
      <c r="DS98" s="5"/>
      <c r="DT98" s="5"/>
      <c r="DU98" s="5"/>
      <c r="DV98" s="5"/>
      <c r="DW98" s="5"/>
      <c r="DX98" s="5"/>
      <c r="DY98" s="5"/>
      <c r="DZ98" s="5"/>
      <c r="EA98" s="5"/>
      <c r="EB98" s="5"/>
      <c r="EC98" s="5"/>
      <c r="ED98" s="5"/>
      <c r="EE98" s="5"/>
      <c r="EF98" s="5"/>
      <c r="EG98" s="5"/>
      <c r="EH98" s="5"/>
      <c r="EI98" s="5"/>
      <c r="EJ98" s="5"/>
      <c r="EK98" s="5"/>
      <c r="EL98" s="5"/>
      <c r="EM98" s="5"/>
      <c r="EN98" s="5"/>
      <c r="EO98" s="5"/>
      <c r="EP98" s="5"/>
      <c r="EQ98" s="5"/>
      <c r="ER98" s="5"/>
      <c r="ES98" s="5"/>
      <c r="ET98" s="5"/>
      <c r="EU98" s="5"/>
      <c r="EV98" s="5"/>
      <c r="EW98" s="5"/>
      <c r="EX98" s="5"/>
      <c r="EY98" s="5"/>
      <c r="EZ98" s="5"/>
      <c r="FA98" s="5"/>
      <c r="FB98" s="5"/>
      <c r="FC98" s="5"/>
      <c r="FD98" s="5"/>
      <c r="FE98" s="5"/>
      <c r="FF98" s="5"/>
      <c r="FG98" s="5"/>
      <c r="FH98" s="5"/>
      <c r="FI98" s="5"/>
      <c r="FJ98" s="5"/>
      <c r="FK98" s="5"/>
      <c r="FL98" s="5"/>
      <c r="FM98" s="5"/>
      <c r="FN98" s="5"/>
      <c r="FO98" s="5"/>
      <c r="FP98" s="5"/>
      <c r="FQ98" s="5"/>
      <c r="FR98" s="5"/>
      <c r="FS98" s="5"/>
      <c r="FT98" s="5"/>
      <c r="FU98" s="5"/>
      <c r="FV98" s="5"/>
      <c r="FW98" s="5"/>
      <c r="FX98" s="5"/>
      <c r="FY98" s="5"/>
      <c r="FZ98" s="5"/>
      <c r="GA98" s="5"/>
      <c r="GB98" s="5"/>
      <c r="GC98" s="5"/>
      <c r="GD98" s="5"/>
      <c r="GE98" s="5"/>
      <c r="GF98" s="5"/>
      <c r="GG98" s="5"/>
      <c r="GH98" s="5"/>
      <c r="GI98" s="5"/>
      <c r="GJ98" s="5"/>
      <c r="GK98" s="5"/>
      <c r="GL98" s="5"/>
      <c r="GM98" s="5"/>
      <c r="GN98" s="5"/>
      <c r="GO98" s="5"/>
      <c r="GP98" s="5"/>
      <c r="GQ98" s="5"/>
      <c r="GR98" s="5"/>
      <c r="GS98" s="5"/>
      <c r="GT98" s="5"/>
      <c r="GU98" s="5"/>
      <c r="GV98" s="5"/>
      <c r="GW98" s="5"/>
      <c r="GX98" s="5"/>
      <c r="GY98" s="5"/>
      <c r="GZ98" s="5"/>
      <c r="HA98" s="5"/>
      <c r="HB98" s="5"/>
      <c r="HC98" s="5"/>
      <c r="HD98" s="5"/>
      <c r="HE98" s="5"/>
      <c r="HF98" s="5"/>
      <c r="HG98" s="5"/>
      <c r="HH98" s="5"/>
      <c r="HI98" s="5"/>
      <c r="HJ98" s="5"/>
      <c r="HK98" s="5"/>
      <c r="HL98" s="5"/>
      <c r="HM98" s="5"/>
      <c r="HN98" s="5"/>
      <c r="HO98" s="5"/>
      <c r="HP98" s="5"/>
      <c r="HQ98" s="5"/>
      <c r="HR98" s="5"/>
      <c r="HS98" s="5"/>
      <c r="HT98" s="5"/>
      <c r="HU98" s="5"/>
      <c r="HV98" s="5"/>
      <c r="HW98" s="5"/>
      <c r="HX98" s="5"/>
      <c r="HY98" s="5"/>
      <c r="HZ98" s="5"/>
      <c r="IA98" s="5"/>
      <c r="IB98" s="5"/>
      <c r="IC98" s="5"/>
      <c r="ID98" s="5"/>
      <c r="IE98" s="5"/>
      <c r="IF98" s="5"/>
      <c r="IG98" s="5"/>
      <c r="IH98" s="5"/>
      <c r="II98" s="5"/>
      <c r="IJ98" s="5"/>
      <c r="IK98" s="5"/>
      <c r="IL98" s="5"/>
      <c r="IM98" s="5"/>
      <c r="IN98" s="5"/>
      <c r="IO98" s="5"/>
      <c r="IP98" s="5"/>
      <c r="IQ98" s="5"/>
      <c r="IR98" s="5"/>
      <c r="IS98" s="5"/>
      <c r="IT98" s="5"/>
      <c r="IU98" s="5"/>
      <c r="IV98" s="5"/>
      <c r="IW98" s="5"/>
      <c r="IX98" s="5"/>
      <c r="IY98" s="5"/>
      <c r="IZ98" s="5"/>
      <c r="JA98" s="5"/>
      <c r="JB98" s="5"/>
      <c r="JC98" s="5"/>
      <c r="JD98" s="5"/>
      <c r="JE98" s="5"/>
      <c r="JF98" s="5"/>
      <c r="JG98" s="5"/>
      <c r="JH98" s="5"/>
      <c r="JI98" s="5"/>
      <c r="JJ98" s="5"/>
      <c r="JK98" s="5"/>
      <c r="JL98" s="5"/>
      <c r="JM98" s="5"/>
      <c r="JN98" s="5"/>
      <c r="JO98" s="5"/>
      <c r="JP98" s="5"/>
      <c r="JQ98" s="5"/>
      <c r="JR98" s="5"/>
      <c r="JS98" s="5"/>
      <c r="JT98" s="5"/>
      <c r="JU98" s="5"/>
      <c r="JV98" s="5"/>
      <c r="JW98" s="5"/>
      <c r="JX98" s="5"/>
      <c r="JY98" s="5"/>
      <c r="JZ98" s="5"/>
      <c r="KA98" s="5"/>
      <c r="KB98" s="5"/>
      <c r="KC98" s="5"/>
      <c r="KD98" s="5"/>
      <c r="KE98" s="5"/>
      <c r="KF98" s="5"/>
      <c r="KG98" s="5"/>
      <c r="KH98" s="5"/>
      <c r="KI98" s="5"/>
      <c r="KJ98" s="5"/>
      <c r="KK98" s="5"/>
      <c r="KL98" s="5"/>
      <c r="KM98" s="5"/>
      <c r="KN98" s="5"/>
      <c r="KO98" s="5"/>
      <c r="KP98" s="5"/>
      <c r="KQ98" s="5"/>
      <c r="KR98" s="5"/>
      <c r="KS98" s="5"/>
      <c r="KT98" s="5"/>
      <c r="KU98" s="5"/>
      <c r="KV98" s="5"/>
      <c r="KW98" s="5"/>
      <c r="KX98" s="5"/>
      <c r="KY98" s="5"/>
      <c r="KZ98" s="5"/>
      <c r="LA98" s="5"/>
      <c r="LB98" s="5"/>
      <c r="LC98" s="5"/>
      <c r="LD98" s="5"/>
      <c r="LE98" s="5"/>
      <c r="LF98" s="5"/>
      <c r="LG98" s="5"/>
      <c r="LH98" s="5"/>
      <c r="LI98" s="5"/>
      <c r="LJ98" s="5"/>
      <c r="LK98" s="5"/>
      <c r="LL98" s="5"/>
      <c r="LM98" s="5"/>
      <c r="LN98" s="5"/>
      <c r="LO98" s="5"/>
      <c r="LP98" s="5"/>
      <c r="LQ98" s="5"/>
      <c r="LR98" s="5"/>
      <c r="LS98" s="5"/>
      <c r="LT98" s="5"/>
      <c r="LU98" s="5"/>
      <c r="LV98" s="5"/>
      <c r="LW98" s="5"/>
      <c r="LX98" s="5"/>
      <c r="LY98" s="5"/>
      <c r="LZ98" s="5"/>
      <c r="MA98" s="5"/>
      <c r="MB98" s="5"/>
      <c r="MC98" s="5"/>
      <c r="MD98" s="5"/>
      <c r="ME98" s="5"/>
      <c r="MF98" s="5"/>
      <c r="MG98" s="5"/>
      <c r="MH98" s="5"/>
      <c r="MI98" s="5"/>
      <c r="MJ98" s="5"/>
      <c r="MK98" s="5"/>
      <c r="ML98" s="5"/>
      <c r="MM98" s="5"/>
      <c r="MN98" s="5"/>
      <c r="MO98" s="5"/>
      <c r="MP98" s="5"/>
      <c r="MQ98" s="5"/>
      <c r="MR98" s="5"/>
      <c r="MS98" s="5"/>
      <c r="MT98" s="5"/>
      <c r="MU98" s="5"/>
      <c r="MV98" s="5"/>
      <c r="MW98" s="5"/>
      <c r="MX98" s="5"/>
      <c r="MY98" s="5"/>
      <c r="MZ98" s="5"/>
      <c r="NA98" s="5"/>
      <c r="NB98" s="5"/>
      <c r="NC98" s="5"/>
      <c r="ND98" s="5"/>
      <c r="NE98" s="5"/>
      <c r="NF98" s="5"/>
      <c r="NG98" s="5"/>
      <c r="NH98" s="5"/>
      <c r="NI98" s="5"/>
      <c r="NJ98" s="5"/>
      <c r="NK98" s="5"/>
      <c r="NL98" s="5"/>
      <c r="NM98" s="5"/>
      <c r="NN98" s="5"/>
      <c r="NO98" s="5"/>
      <c r="NP98" s="5"/>
      <c r="NQ98" s="5"/>
      <c r="NR98" s="5"/>
      <c r="NS98" s="5"/>
      <c r="NT98" s="5"/>
      <c r="NU98" s="5"/>
      <c r="NV98" s="5"/>
      <c r="NW98" s="5"/>
      <c r="NX98" s="5"/>
      <c r="NY98" s="5"/>
      <c r="NZ98" s="5"/>
      <c r="OA98" s="5"/>
      <c r="OB98" s="5"/>
      <c r="OC98" s="5"/>
      <c r="OD98" s="5"/>
      <c r="OE98" s="5"/>
      <c r="OF98" s="5"/>
      <c r="OG98" s="5"/>
      <c r="OH98" s="5"/>
      <c r="OI98" s="5"/>
      <c r="OJ98" s="5"/>
      <c r="OK98" s="5"/>
      <c r="OL98" s="5"/>
      <c r="OM98" s="5"/>
      <c r="ON98" s="5"/>
      <c r="OO98" s="5"/>
      <c r="OP98" s="5"/>
      <c r="OQ98" s="5"/>
      <c r="OR98" s="5"/>
      <c r="OS98" s="5"/>
      <c r="OT98" s="5"/>
      <c r="OU98" s="5"/>
      <c r="OV98" s="5"/>
      <c r="OW98" s="5"/>
      <c r="OX98" s="5"/>
      <c r="OY98" s="5"/>
      <c r="OZ98" s="5"/>
      <c r="PA98" s="5"/>
      <c r="PB98" s="5"/>
      <c r="PC98" s="5"/>
      <c r="PD98" s="5"/>
      <c r="PE98" s="5"/>
      <c r="PF98" s="5"/>
      <c r="PG98" s="5"/>
      <c r="PH98" s="5"/>
      <c r="PI98" s="5"/>
      <c r="PJ98" s="5"/>
      <c r="PK98" s="5"/>
      <c r="PL98" s="5"/>
      <c r="PM98" s="5"/>
      <c r="PN98" s="5"/>
      <c r="PO98" s="5"/>
      <c r="PP98" s="5"/>
      <c r="PQ98" s="5"/>
      <c r="PR98" s="5"/>
      <c r="PS98" s="5"/>
      <c r="PT98" s="5"/>
      <c r="PU98" s="5"/>
      <c r="PV98" s="5"/>
      <c r="PW98" s="5"/>
      <c r="PX98" s="5"/>
      <c r="PY98" s="5"/>
      <c r="PZ98" s="5"/>
      <c r="QA98" s="5"/>
      <c r="QB98" s="5"/>
      <c r="QC98" s="5"/>
      <c r="QD98" s="5"/>
      <c r="QE98" s="5"/>
      <c r="QF98" s="5"/>
      <c r="QG98" s="5"/>
      <c r="QH98" s="5"/>
      <c r="QI98" s="5"/>
      <c r="QJ98" s="5"/>
      <c r="QK98" s="5"/>
      <c r="QL98" s="5"/>
      <c r="QM98" s="5"/>
      <c r="QN98" s="5"/>
      <c r="QO98" s="5"/>
      <c r="QP98" s="5"/>
      <c r="QQ98" s="5"/>
      <c r="QR98" s="5"/>
      <c r="QS98" s="5"/>
      <c r="QT98" s="5"/>
      <c r="QU98" s="5"/>
      <c r="QV98" s="5"/>
      <c r="QW98" s="5"/>
      <c r="QX98" s="5"/>
      <c r="QY98" s="5"/>
      <c r="QZ98" s="5"/>
      <c r="RA98" s="5"/>
      <c r="RB98" s="5"/>
      <c r="RC98" s="5"/>
      <c r="RD98" s="5"/>
      <c r="RE98" s="5"/>
      <c r="RF98" s="5"/>
      <c r="RG98" s="5"/>
      <c r="RH98" s="5"/>
      <c r="RI98" s="5"/>
      <c r="RJ98" s="5"/>
      <c r="RK98" s="5"/>
      <c r="RL98" s="5"/>
      <c r="RM98" s="5"/>
      <c r="RN98" s="5"/>
      <c r="RO98" s="5"/>
      <c r="RP98" s="5"/>
      <c r="RQ98" s="5"/>
      <c r="RR98" s="5"/>
      <c r="RS98" s="5"/>
      <c r="RT98" s="5"/>
      <c r="RU98" s="5"/>
      <c r="RV98" s="5"/>
      <c r="RW98" s="5"/>
      <c r="RX98" s="5"/>
      <c r="RY98" s="5"/>
      <c r="RZ98" s="5"/>
      <c r="SA98" s="5"/>
      <c r="SB98" s="5"/>
      <c r="SC98" s="5"/>
      <c r="SD98" s="5"/>
      <c r="SE98" s="5"/>
      <c r="SF98" s="5"/>
      <c r="SG98" s="5"/>
      <c r="SH98" s="5"/>
      <c r="SI98" s="5"/>
      <c r="SJ98" s="5"/>
      <c r="SK98" s="5"/>
      <c r="SL98" s="5"/>
      <c r="SM98" s="5"/>
      <c r="SN98" s="5"/>
      <c r="SO98" s="5"/>
      <c r="SP98" s="5"/>
      <c r="SQ98" s="5"/>
      <c r="SR98" s="5"/>
      <c r="SS98" s="5"/>
      <c r="ST98" s="5"/>
      <c r="SU98" s="5"/>
      <c r="SV98" s="5"/>
      <c r="SW98" s="5"/>
      <c r="SX98" s="5"/>
      <c r="SY98" s="5"/>
      <c r="SZ98" s="5"/>
      <c r="TA98" s="5"/>
      <c r="TB98" s="5"/>
      <c r="TC98" s="5"/>
      <c r="TD98" s="5"/>
      <c r="TE98" s="5"/>
      <c r="TF98" s="5"/>
      <c r="TG98" s="5"/>
      <c r="TH98" s="5"/>
      <c r="TI98" s="5"/>
      <c r="TJ98" s="5"/>
      <c r="TK98" s="5"/>
      <c r="TL98" s="5"/>
      <c r="TM98" s="5"/>
      <c r="TN98" s="5"/>
      <c r="TO98" s="5"/>
      <c r="TP98" s="5"/>
      <c r="TQ98" s="5"/>
      <c r="TR98" s="5"/>
      <c r="TS98" s="5"/>
      <c r="TT98" s="5"/>
      <c r="TU98" s="5"/>
      <c r="TV98" s="5"/>
      <c r="TW98" s="5"/>
      <c r="TX98" s="5"/>
      <c r="TY98" s="5"/>
      <c r="TZ98" s="5"/>
      <c r="UA98" s="5"/>
      <c r="UB98" s="5"/>
      <c r="UC98" s="5"/>
      <c r="UD98" s="5"/>
      <c r="UE98" s="5"/>
      <c r="UF98" s="5"/>
      <c r="UG98" s="5"/>
      <c r="UH98" s="5"/>
      <c r="UI98" s="5"/>
      <c r="UJ98" s="5"/>
      <c r="UK98" s="5"/>
      <c r="UL98" s="5"/>
      <c r="UM98" s="5"/>
      <c r="UN98" s="5"/>
      <c r="UO98" s="5"/>
      <c r="UP98" s="5"/>
      <c r="UQ98" s="5"/>
      <c r="UR98" s="5"/>
      <c r="US98" s="5"/>
      <c r="UT98" s="5"/>
      <c r="UU98" s="5"/>
      <c r="UV98" s="5"/>
      <c r="UW98" s="5"/>
      <c r="UX98" s="5"/>
      <c r="UY98" s="5"/>
      <c r="UZ98" s="5"/>
      <c r="VA98" s="5"/>
      <c r="VB98" s="5"/>
      <c r="VC98" s="5"/>
      <c r="VD98" s="5"/>
      <c r="VE98" s="5"/>
      <c r="VF98" s="5"/>
      <c r="VG98" s="5"/>
      <c r="VH98" s="5"/>
      <c r="VI98" s="5"/>
      <c r="VJ98" s="5"/>
      <c r="VK98" s="5"/>
      <c r="VL98" s="5"/>
      <c r="VM98" s="5"/>
      <c r="VN98" s="5"/>
      <c r="VO98" s="5"/>
      <c r="VP98" s="5"/>
      <c r="VQ98" s="5"/>
      <c r="VR98" s="5"/>
      <c r="VS98" s="5"/>
      <c r="VT98" s="5"/>
      <c r="VU98" s="5"/>
      <c r="VV98" s="5"/>
      <c r="VW98" s="5"/>
      <c r="VX98" s="5"/>
      <c r="VY98" s="5"/>
      <c r="VZ98" s="5"/>
      <c r="WA98" s="5"/>
      <c r="WB98" s="5"/>
      <c r="WC98" s="5"/>
      <c r="WD98" s="5"/>
      <c r="WE98" s="5"/>
      <c r="WF98" s="5"/>
      <c r="WG98" s="5"/>
      <c r="WH98" s="5"/>
      <c r="WI98" s="5"/>
      <c r="WJ98" s="5"/>
      <c r="WK98" s="5"/>
      <c r="WL98" s="5"/>
      <c r="WM98" s="5"/>
      <c r="WN98" s="5"/>
      <c r="WO98" s="5"/>
      <c r="WP98" s="5"/>
      <c r="WQ98" s="5"/>
      <c r="WR98" s="5"/>
      <c r="WS98" s="5"/>
      <c r="WT98" s="5"/>
      <c r="WU98" s="5"/>
      <c r="WV98" s="5"/>
      <c r="WW98" s="5"/>
      <c r="WX98" s="5"/>
      <c r="WY98" s="5"/>
      <c r="WZ98" s="5"/>
      <c r="XA98" s="5"/>
      <c r="XB98" s="5"/>
      <c r="XC98" s="5"/>
      <c r="XD98" s="5"/>
      <c r="XE98" s="5"/>
      <c r="XF98" s="5"/>
      <c r="XG98" s="5"/>
      <c r="XH98" s="5"/>
      <c r="XI98" s="5"/>
      <c r="XJ98" s="5"/>
      <c r="XK98" s="5"/>
      <c r="XL98" s="5"/>
      <c r="XM98" s="5"/>
      <c r="XN98" s="5"/>
      <c r="XO98" s="5"/>
      <c r="XP98" s="5"/>
      <c r="XQ98" s="5"/>
      <c r="XR98" s="5"/>
      <c r="XS98" s="5"/>
      <c r="XT98" s="5"/>
      <c r="XU98" s="5"/>
      <c r="XV98" s="5"/>
      <c r="XW98" s="5"/>
      <c r="XX98" s="5"/>
      <c r="XY98" s="5"/>
      <c r="XZ98" s="5"/>
      <c r="YA98" s="5"/>
      <c r="YB98" s="5"/>
      <c r="YC98" s="5"/>
      <c r="YD98" s="5"/>
      <c r="YE98" s="5"/>
      <c r="YF98" s="5"/>
      <c r="YG98" s="5"/>
      <c r="YH98" s="5"/>
      <c r="YI98" s="5"/>
      <c r="YJ98" s="5"/>
      <c r="YK98" s="5"/>
      <c r="YL98" s="5"/>
      <c r="YM98" s="5"/>
      <c r="YN98" s="5"/>
      <c r="YO98" s="5"/>
      <c r="YP98" s="5"/>
      <c r="YQ98" s="5"/>
      <c r="YR98" s="5"/>
      <c r="YS98" s="5"/>
      <c r="YT98" s="5"/>
      <c r="YU98" s="5"/>
      <c r="YV98" s="5"/>
      <c r="YW98" s="5"/>
      <c r="YX98" s="5"/>
      <c r="YY98" s="5"/>
      <c r="YZ98" s="5"/>
    </row>
    <row r="99" spans="1:676">
      <c r="A99" s="7">
        <v>89</v>
      </c>
      <c r="B99" s="7" t="s">
        <v>249</v>
      </c>
      <c r="C99" s="10" t="s">
        <v>250</v>
      </c>
      <c r="D99" s="7" t="s">
        <v>40</v>
      </c>
      <c r="E99" s="7" t="s">
        <v>218</v>
      </c>
      <c r="F99" s="7" t="s">
        <v>206</v>
      </c>
      <c r="G99" s="7"/>
      <c r="H99" s="7" t="s">
        <v>124</v>
      </c>
      <c r="I99" s="11">
        <v>2</v>
      </c>
      <c r="J99" s="11">
        <v>3</v>
      </c>
      <c r="K99" s="11">
        <v>0.95</v>
      </c>
      <c r="L99" s="11">
        <v>6.339999999999999</v>
      </c>
      <c r="M99" s="11">
        <v>0.32</v>
      </c>
      <c r="N99" s="11">
        <v>0</v>
      </c>
      <c r="O99" s="11">
        <v>0.5</v>
      </c>
      <c r="P99" s="11">
        <v>0.17</v>
      </c>
      <c r="Q99" s="11">
        <v>8.279999999999999</v>
      </c>
      <c r="R99" s="11">
        <v>0</v>
      </c>
      <c r="S99" s="11">
        <v>8.279999999999999</v>
      </c>
      <c r="T99" s="11">
        <v>2</v>
      </c>
      <c r="U99" s="11">
        <v>3</v>
      </c>
      <c r="V99" s="11">
        <v>3.279999999999999</v>
      </c>
      <c r="W99" s="13">
        <v>2</v>
      </c>
      <c r="X99" s="13">
        <v>3</v>
      </c>
      <c r="Y99" s="13" t="str">
        <f>MIN(W99,S99)</f>
        <v>0</v>
      </c>
      <c r="Z99" s="13" t="str">
        <f>MIN(X99,(S99-Y99))</f>
        <v>0</v>
      </c>
      <c r="AA99" s="13" t="str">
        <f>S99-SUM(Y99,Z99)</f>
        <v>0</v>
      </c>
      <c r="AB99" s="15"/>
      <c r="AC99" s="15"/>
      <c r="AD99" s="1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  <c r="CZ99" s="5"/>
      <c r="DA99" s="5"/>
      <c r="DB99" s="5"/>
      <c r="DC99" s="5"/>
      <c r="DD99" s="5"/>
      <c r="DE99" s="5"/>
      <c r="DF99" s="5"/>
      <c r="DG99" s="5"/>
      <c r="DH99" s="5"/>
      <c r="DI99" s="5"/>
      <c r="DJ99" s="5"/>
      <c r="DK99" s="5"/>
      <c r="DL99" s="5"/>
      <c r="DM99" s="5"/>
      <c r="DN99" s="5"/>
      <c r="DO99" s="5"/>
      <c r="DP99" s="5"/>
      <c r="DQ99" s="5"/>
      <c r="DR99" s="5"/>
      <c r="DS99" s="5"/>
      <c r="DT99" s="5"/>
      <c r="DU99" s="5"/>
      <c r="DV99" s="5"/>
      <c r="DW99" s="5"/>
      <c r="DX99" s="5"/>
      <c r="DY99" s="5"/>
      <c r="DZ99" s="5"/>
      <c r="EA99" s="5"/>
      <c r="EB99" s="5"/>
      <c r="EC99" s="5"/>
      <c r="ED99" s="5"/>
      <c r="EE99" s="5"/>
      <c r="EF99" s="5"/>
      <c r="EG99" s="5"/>
      <c r="EH99" s="5"/>
      <c r="EI99" s="5"/>
      <c r="EJ99" s="5"/>
      <c r="EK99" s="5"/>
      <c r="EL99" s="5"/>
      <c r="EM99" s="5"/>
      <c r="EN99" s="5"/>
      <c r="EO99" s="5"/>
      <c r="EP99" s="5"/>
      <c r="EQ99" s="5"/>
      <c r="ER99" s="5"/>
      <c r="ES99" s="5"/>
      <c r="ET99" s="5"/>
      <c r="EU99" s="5"/>
      <c r="EV99" s="5"/>
      <c r="EW99" s="5"/>
      <c r="EX99" s="5"/>
      <c r="EY99" s="5"/>
      <c r="EZ99" s="5"/>
      <c r="FA99" s="5"/>
      <c r="FB99" s="5"/>
      <c r="FC99" s="5"/>
      <c r="FD99" s="5"/>
      <c r="FE99" s="5"/>
      <c r="FF99" s="5"/>
      <c r="FG99" s="5"/>
      <c r="FH99" s="5"/>
      <c r="FI99" s="5"/>
      <c r="FJ99" s="5"/>
      <c r="FK99" s="5"/>
      <c r="FL99" s="5"/>
      <c r="FM99" s="5"/>
      <c r="FN99" s="5"/>
      <c r="FO99" s="5"/>
      <c r="FP99" s="5"/>
      <c r="FQ99" s="5"/>
      <c r="FR99" s="5"/>
      <c r="FS99" s="5"/>
      <c r="FT99" s="5"/>
      <c r="FU99" s="5"/>
      <c r="FV99" s="5"/>
      <c r="FW99" s="5"/>
      <c r="FX99" s="5"/>
      <c r="FY99" s="5"/>
      <c r="FZ99" s="5"/>
      <c r="GA99" s="5"/>
      <c r="GB99" s="5"/>
      <c r="GC99" s="5"/>
      <c r="GD99" s="5"/>
      <c r="GE99" s="5"/>
      <c r="GF99" s="5"/>
      <c r="GG99" s="5"/>
      <c r="GH99" s="5"/>
      <c r="GI99" s="5"/>
      <c r="GJ99" s="5"/>
      <c r="GK99" s="5"/>
      <c r="GL99" s="5"/>
      <c r="GM99" s="5"/>
      <c r="GN99" s="5"/>
      <c r="GO99" s="5"/>
      <c r="GP99" s="5"/>
      <c r="GQ99" s="5"/>
      <c r="GR99" s="5"/>
      <c r="GS99" s="5"/>
      <c r="GT99" s="5"/>
      <c r="GU99" s="5"/>
      <c r="GV99" s="5"/>
      <c r="GW99" s="5"/>
      <c r="GX99" s="5"/>
      <c r="GY99" s="5"/>
      <c r="GZ99" s="5"/>
      <c r="HA99" s="5"/>
      <c r="HB99" s="5"/>
      <c r="HC99" s="5"/>
      <c r="HD99" s="5"/>
      <c r="HE99" s="5"/>
      <c r="HF99" s="5"/>
      <c r="HG99" s="5"/>
      <c r="HH99" s="5"/>
      <c r="HI99" s="5"/>
      <c r="HJ99" s="5"/>
      <c r="HK99" s="5"/>
      <c r="HL99" s="5"/>
      <c r="HM99" s="5"/>
      <c r="HN99" s="5"/>
      <c r="HO99" s="5"/>
      <c r="HP99" s="5"/>
      <c r="HQ99" s="5"/>
      <c r="HR99" s="5"/>
      <c r="HS99" s="5"/>
      <c r="HT99" s="5"/>
      <c r="HU99" s="5"/>
      <c r="HV99" s="5"/>
      <c r="HW99" s="5"/>
      <c r="HX99" s="5"/>
      <c r="HY99" s="5"/>
      <c r="HZ99" s="5"/>
      <c r="IA99" s="5"/>
      <c r="IB99" s="5"/>
      <c r="IC99" s="5"/>
      <c r="ID99" s="5"/>
      <c r="IE99" s="5"/>
      <c r="IF99" s="5"/>
      <c r="IG99" s="5"/>
      <c r="IH99" s="5"/>
      <c r="II99" s="5"/>
      <c r="IJ99" s="5"/>
      <c r="IK99" s="5"/>
      <c r="IL99" s="5"/>
      <c r="IM99" s="5"/>
      <c r="IN99" s="5"/>
      <c r="IO99" s="5"/>
      <c r="IP99" s="5"/>
      <c r="IQ99" s="5"/>
      <c r="IR99" s="5"/>
      <c r="IS99" s="5"/>
      <c r="IT99" s="5"/>
      <c r="IU99" s="5"/>
      <c r="IV99" s="5"/>
      <c r="IW99" s="5"/>
      <c r="IX99" s="5"/>
      <c r="IY99" s="5"/>
      <c r="IZ99" s="5"/>
      <c r="JA99" s="5"/>
      <c r="JB99" s="5"/>
      <c r="JC99" s="5"/>
      <c r="JD99" s="5"/>
      <c r="JE99" s="5"/>
      <c r="JF99" s="5"/>
      <c r="JG99" s="5"/>
      <c r="JH99" s="5"/>
      <c r="JI99" s="5"/>
      <c r="JJ99" s="5"/>
      <c r="JK99" s="5"/>
      <c r="JL99" s="5"/>
      <c r="JM99" s="5"/>
      <c r="JN99" s="5"/>
      <c r="JO99" s="5"/>
      <c r="JP99" s="5"/>
      <c r="JQ99" s="5"/>
      <c r="JR99" s="5"/>
      <c r="JS99" s="5"/>
      <c r="JT99" s="5"/>
      <c r="JU99" s="5"/>
      <c r="JV99" s="5"/>
      <c r="JW99" s="5"/>
      <c r="JX99" s="5"/>
      <c r="JY99" s="5"/>
      <c r="JZ99" s="5"/>
      <c r="KA99" s="5"/>
      <c r="KB99" s="5"/>
      <c r="KC99" s="5"/>
      <c r="KD99" s="5"/>
      <c r="KE99" s="5"/>
      <c r="KF99" s="5"/>
      <c r="KG99" s="5"/>
      <c r="KH99" s="5"/>
      <c r="KI99" s="5"/>
      <c r="KJ99" s="5"/>
      <c r="KK99" s="5"/>
      <c r="KL99" s="5"/>
      <c r="KM99" s="5"/>
      <c r="KN99" s="5"/>
      <c r="KO99" s="5"/>
      <c r="KP99" s="5"/>
      <c r="KQ99" s="5"/>
      <c r="KR99" s="5"/>
      <c r="KS99" s="5"/>
      <c r="KT99" s="5"/>
      <c r="KU99" s="5"/>
      <c r="KV99" s="5"/>
      <c r="KW99" s="5"/>
      <c r="KX99" s="5"/>
      <c r="KY99" s="5"/>
      <c r="KZ99" s="5"/>
      <c r="LA99" s="5"/>
      <c r="LB99" s="5"/>
      <c r="LC99" s="5"/>
      <c r="LD99" s="5"/>
      <c r="LE99" s="5"/>
      <c r="LF99" s="5"/>
      <c r="LG99" s="5"/>
      <c r="LH99" s="5"/>
      <c r="LI99" s="5"/>
      <c r="LJ99" s="5"/>
      <c r="LK99" s="5"/>
      <c r="LL99" s="5"/>
      <c r="LM99" s="5"/>
      <c r="LN99" s="5"/>
      <c r="LO99" s="5"/>
      <c r="LP99" s="5"/>
      <c r="LQ99" s="5"/>
      <c r="LR99" s="5"/>
      <c r="LS99" s="5"/>
      <c r="LT99" s="5"/>
      <c r="LU99" s="5"/>
      <c r="LV99" s="5"/>
      <c r="LW99" s="5"/>
      <c r="LX99" s="5"/>
      <c r="LY99" s="5"/>
      <c r="LZ99" s="5"/>
      <c r="MA99" s="5"/>
      <c r="MB99" s="5"/>
      <c r="MC99" s="5"/>
      <c r="MD99" s="5"/>
      <c r="ME99" s="5"/>
      <c r="MF99" s="5"/>
      <c r="MG99" s="5"/>
      <c r="MH99" s="5"/>
      <c r="MI99" s="5"/>
      <c r="MJ99" s="5"/>
      <c r="MK99" s="5"/>
      <c r="ML99" s="5"/>
      <c r="MM99" s="5"/>
      <c r="MN99" s="5"/>
      <c r="MO99" s="5"/>
      <c r="MP99" s="5"/>
      <c r="MQ99" s="5"/>
      <c r="MR99" s="5"/>
      <c r="MS99" s="5"/>
      <c r="MT99" s="5"/>
      <c r="MU99" s="5"/>
      <c r="MV99" s="5"/>
      <c r="MW99" s="5"/>
      <c r="MX99" s="5"/>
      <c r="MY99" s="5"/>
      <c r="MZ99" s="5"/>
      <c r="NA99" s="5"/>
      <c r="NB99" s="5"/>
      <c r="NC99" s="5"/>
      <c r="ND99" s="5"/>
      <c r="NE99" s="5"/>
      <c r="NF99" s="5"/>
      <c r="NG99" s="5"/>
      <c r="NH99" s="5"/>
      <c r="NI99" s="5"/>
      <c r="NJ99" s="5"/>
      <c r="NK99" s="5"/>
      <c r="NL99" s="5"/>
      <c r="NM99" s="5"/>
      <c r="NN99" s="5"/>
      <c r="NO99" s="5"/>
      <c r="NP99" s="5"/>
      <c r="NQ99" s="5"/>
      <c r="NR99" s="5"/>
      <c r="NS99" s="5"/>
      <c r="NT99" s="5"/>
      <c r="NU99" s="5"/>
      <c r="NV99" s="5"/>
      <c r="NW99" s="5"/>
      <c r="NX99" s="5"/>
      <c r="NY99" s="5"/>
      <c r="NZ99" s="5"/>
      <c r="OA99" s="5"/>
      <c r="OB99" s="5"/>
      <c r="OC99" s="5"/>
      <c r="OD99" s="5"/>
      <c r="OE99" s="5"/>
      <c r="OF99" s="5"/>
      <c r="OG99" s="5"/>
      <c r="OH99" s="5"/>
      <c r="OI99" s="5"/>
      <c r="OJ99" s="5"/>
      <c r="OK99" s="5"/>
      <c r="OL99" s="5"/>
      <c r="OM99" s="5"/>
      <c r="ON99" s="5"/>
      <c r="OO99" s="5"/>
      <c r="OP99" s="5"/>
      <c r="OQ99" s="5"/>
      <c r="OR99" s="5"/>
      <c r="OS99" s="5"/>
      <c r="OT99" s="5"/>
      <c r="OU99" s="5"/>
      <c r="OV99" s="5"/>
      <c r="OW99" s="5"/>
      <c r="OX99" s="5"/>
      <c r="OY99" s="5"/>
      <c r="OZ99" s="5"/>
      <c r="PA99" s="5"/>
      <c r="PB99" s="5"/>
      <c r="PC99" s="5"/>
      <c r="PD99" s="5"/>
      <c r="PE99" s="5"/>
      <c r="PF99" s="5"/>
      <c r="PG99" s="5"/>
      <c r="PH99" s="5"/>
      <c r="PI99" s="5"/>
      <c r="PJ99" s="5"/>
      <c r="PK99" s="5"/>
      <c r="PL99" s="5"/>
      <c r="PM99" s="5"/>
      <c r="PN99" s="5"/>
      <c r="PO99" s="5"/>
      <c r="PP99" s="5"/>
      <c r="PQ99" s="5"/>
      <c r="PR99" s="5"/>
      <c r="PS99" s="5"/>
      <c r="PT99" s="5"/>
      <c r="PU99" s="5"/>
      <c r="PV99" s="5"/>
      <c r="PW99" s="5"/>
      <c r="PX99" s="5"/>
      <c r="PY99" s="5"/>
      <c r="PZ99" s="5"/>
      <c r="QA99" s="5"/>
      <c r="QB99" s="5"/>
      <c r="QC99" s="5"/>
      <c r="QD99" s="5"/>
      <c r="QE99" s="5"/>
      <c r="QF99" s="5"/>
      <c r="QG99" s="5"/>
      <c r="QH99" s="5"/>
      <c r="QI99" s="5"/>
      <c r="QJ99" s="5"/>
      <c r="QK99" s="5"/>
      <c r="QL99" s="5"/>
      <c r="QM99" s="5"/>
      <c r="QN99" s="5"/>
      <c r="QO99" s="5"/>
      <c r="QP99" s="5"/>
      <c r="QQ99" s="5"/>
      <c r="QR99" s="5"/>
      <c r="QS99" s="5"/>
      <c r="QT99" s="5"/>
      <c r="QU99" s="5"/>
      <c r="QV99" s="5"/>
      <c r="QW99" s="5"/>
      <c r="QX99" s="5"/>
      <c r="QY99" s="5"/>
      <c r="QZ99" s="5"/>
      <c r="RA99" s="5"/>
      <c r="RB99" s="5"/>
      <c r="RC99" s="5"/>
      <c r="RD99" s="5"/>
      <c r="RE99" s="5"/>
      <c r="RF99" s="5"/>
      <c r="RG99" s="5"/>
      <c r="RH99" s="5"/>
      <c r="RI99" s="5"/>
      <c r="RJ99" s="5"/>
      <c r="RK99" s="5"/>
      <c r="RL99" s="5"/>
      <c r="RM99" s="5"/>
      <c r="RN99" s="5"/>
      <c r="RO99" s="5"/>
      <c r="RP99" s="5"/>
      <c r="RQ99" s="5"/>
      <c r="RR99" s="5"/>
      <c r="RS99" s="5"/>
      <c r="RT99" s="5"/>
      <c r="RU99" s="5"/>
      <c r="RV99" s="5"/>
      <c r="RW99" s="5"/>
      <c r="RX99" s="5"/>
      <c r="RY99" s="5"/>
      <c r="RZ99" s="5"/>
      <c r="SA99" s="5"/>
      <c r="SB99" s="5"/>
      <c r="SC99" s="5"/>
      <c r="SD99" s="5"/>
      <c r="SE99" s="5"/>
      <c r="SF99" s="5"/>
      <c r="SG99" s="5"/>
      <c r="SH99" s="5"/>
      <c r="SI99" s="5"/>
      <c r="SJ99" s="5"/>
      <c r="SK99" s="5"/>
      <c r="SL99" s="5"/>
      <c r="SM99" s="5"/>
      <c r="SN99" s="5"/>
      <c r="SO99" s="5"/>
      <c r="SP99" s="5"/>
      <c r="SQ99" s="5"/>
      <c r="SR99" s="5"/>
      <c r="SS99" s="5"/>
      <c r="ST99" s="5"/>
      <c r="SU99" s="5"/>
      <c r="SV99" s="5"/>
      <c r="SW99" s="5"/>
      <c r="SX99" s="5"/>
      <c r="SY99" s="5"/>
      <c r="SZ99" s="5"/>
      <c r="TA99" s="5"/>
      <c r="TB99" s="5"/>
      <c r="TC99" s="5"/>
      <c r="TD99" s="5"/>
      <c r="TE99" s="5"/>
      <c r="TF99" s="5"/>
      <c r="TG99" s="5"/>
      <c r="TH99" s="5"/>
      <c r="TI99" s="5"/>
      <c r="TJ99" s="5"/>
      <c r="TK99" s="5"/>
      <c r="TL99" s="5"/>
      <c r="TM99" s="5"/>
      <c r="TN99" s="5"/>
      <c r="TO99" s="5"/>
      <c r="TP99" s="5"/>
      <c r="TQ99" s="5"/>
      <c r="TR99" s="5"/>
      <c r="TS99" s="5"/>
      <c r="TT99" s="5"/>
      <c r="TU99" s="5"/>
      <c r="TV99" s="5"/>
      <c r="TW99" s="5"/>
      <c r="TX99" s="5"/>
      <c r="TY99" s="5"/>
      <c r="TZ99" s="5"/>
      <c r="UA99" s="5"/>
      <c r="UB99" s="5"/>
      <c r="UC99" s="5"/>
      <c r="UD99" s="5"/>
      <c r="UE99" s="5"/>
      <c r="UF99" s="5"/>
      <c r="UG99" s="5"/>
      <c r="UH99" s="5"/>
      <c r="UI99" s="5"/>
      <c r="UJ99" s="5"/>
      <c r="UK99" s="5"/>
      <c r="UL99" s="5"/>
      <c r="UM99" s="5"/>
      <c r="UN99" s="5"/>
      <c r="UO99" s="5"/>
      <c r="UP99" s="5"/>
      <c r="UQ99" s="5"/>
      <c r="UR99" s="5"/>
      <c r="US99" s="5"/>
      <c r="UT99" s="5"/>
      <c r="UU99" s="5"/>
      <c r="UV99" s="5"/>
      <c r="UW99" s="5"/>
      <c r="UX99" s="5"/>
      <c r="UY99" s="5"/>
      <c r="UZ99" s="5"/>
      <c r="VA99" s="5"/>
      <c r="VB99" s="5"/>
      <c r="VC99" s="5"/>
      <c r="VD99" s="5"/>
      <c r="VE99" s="5"/>
      <c r="VF99" s="5"/>
      <c r="VG99" s="5"/>
      <c r="VH99" s="5"/>
      <c r="VI99" s="5"/>
      <c r="VJ99" s="5"/>
      <c r="VK99" s="5"/>
      <c r="VL99" s="5"/>
      <c r="VM99" s="5"/>
      <c r="VN99" s="5"/>
      <c r="VO99" s="5"/>
      <c r="VP99" s="5"/>
      <c r="VQ99" s="5"/>
      <c r="VR99" s="5"/>
      <c r="VS99" s="5"/>
      <c r="VT99" s="5"/>
      <c r="VU99" s="5"/>
      <c r="VV99" s="5"/>
      <c r="VW99" s="5"/>
      <c r="VX99" s="5"/>
      <c r="VY99" s="5"/>
      <c r="VZ99" s="5"/>
      <c r="WA99" s="5"/>
      <c r="WB99" s="5"/>
      <c r="WC99" s="5"/>
      <c r="WD99" s="5"/>
      <c r="WE99" s="5"/>
      <c r="WF99" s="5"/>
      <c r="WG99" s="5"/>
      <c r="WH99" s="5"/>
      <c r="WI99" s="5"/>
      <c r="WJ99" s="5"/>
      <c r="WK99" s="5"/>
      <c r="WL99" s="5"/>
      <c r="WM99" s="5"/>
      <c r="WN99" s="5"/>
      <c r="WO99" s="5"/>
      <c r="WP99" s="5"/>
      <c r="WQ99" s="5"/>
      <c r="WR99" s="5"/>
      <c r="WS99" s="5"/>
      <c r="WT99" s="5"/>
      <c r="WU99" s="5"/>
      <c r="WV99" s="5"/>
      <c r="WW99" s="5"/>
      <c r="WX99" s="5"/>
      <c r="WY99" s="5"/>
      <c r="WZ99" s="5"/>
      <c r="XA99" s="5"/>
      <c r="XB99" s="5"/>
      <c r="XC99" s="5"/>
      <c r="XD99" s="5"/>
      <c r="XE99" s="5"/>
      <c r="XF99" s="5"/>
      <c r="XG99" s="5"/>
      <c r="XH99" s="5"/>
      <c r="XI99" s="5"/>
      <c r="XJ99" s="5"/>
      <c r="XK99" s="5"/>
      <c r="XL99" s="5"/>
      <c r="XM99" s="5"/>
      <c r="XN99" s="5"/>
      <c r="XO99" s="5"/>
      <c r="XP99" s="5"/>
      <c r="XQ99" s="5"/>
      <c r="XR99" s="5"/>
      <c r="XS99" s="5"/>
      <c r="XT99" s="5"/>
      <c r="XU99" s="5"/>
      <c r="XV99" s="5"/>
      <c r="XW99" s="5"/>
      <c r="XX99" s="5"/>
      <c r="XY99" s="5"/>
      <c r="XZ99" s="5"/>
      <c r="YA99" s="5"/>
      <c r="YB99" s="5"/>
      <c r="YC99" s="5"/>
      <c r="YD99" s="5"/>
      <c r="YE99" s="5"/>
      <c r="YF99" s="5"/>
      <c r="YG99" s="5"/>
      <c r="YH99" s="5"/>
      <c r="YI99" s="5"/>
      <c r="YJ99" s="5"/>
      <c r="YK99" s="5"/>
      <c r="YL99" s="5"/>
      <c r="YM99" s="5"/>
      <c r="YN99" s="5"/>
      <c r="YO99" s="5"/>
      <c r="YP99" s="5"/>
      <c r="YQ99" s="5"/>
      <c r="YR99" s="5"/>
      <c r="YS99" s="5"/>
      <c r="YT99" s="5"/>
      <c r="YU99" s="5"/>
      <c r="YV99" s="5"/>
      <c r="YW99" s="5"/>
      <c r="YX99" s="5"/>
      <c r="YY99" s="5"/>
      <c r="YZ99" s="5"/>
    </row>
    <row r="100" spans="1:676">
      <c r="A100" s="7">
        <v>90</v>
      </c>
      <c r="B100" s="7" t="s">
        <v>251</v>
      </c>
      <c r="C100" s="10" t="s">
        <v>252</v>
      </c>
      <c r="D100" s="7" t="s">
        <v>54</v>
      </c>
      <c r="E100" s="7" t="s">
        <v>205</v>
      </c>
      <c r="F100" s="7" t="s">
        <v>206</v>
      </c>
      <c r="G100" s="7"/>
      <c r="H100" s="7" t="s">
        <v>43</v>
      </c>
      <c r="I100" s="11">
        <v>2</v>
      </c>
      <c r="J100" s="11">
        <v>3</v>
      </c>
      <c r="K100" s="11">
        <v>0</v>
      </c>
      <c r="L100" s="11">
        <v>0</v>
      </c>
      <c r="M100" s="11">
        <v>0</v>
      </c>
      <c r="N100" s="11">
        <v>0</v>
      </c>
      <c r="O100" s="11">
        <v>0</v>
      </c>
      <c r="P100" s="11">
        <v>0</v>
      </c>
      <c r="Q100" s="11">
        <v>0</v>
      </c>
      <c r="R100" s="11">
        <v>0</v>
      </c>
      <c r="S100" s="11">
        <v>0</v>
      </c>
      <c r="T100" s="11">
        <v>0</v>
      </c>
      <c r="U100" s="11">
        <v>0</v>
      </c>
      <c r="V100" s="11">
        <v>0</v>
      </c>
      <c r="W100" s="13">
        <v>2</v>
      </c>
      <c r="X100" s="13">
        <v>3</v>
      </c>
      <c r="Y100" s="13" t="str">
        <f>MIN(W100,S100)</f>
        <v>0</v>
      </c>
      <c r="Z100" s="13" t="str">
        <f>MIN(X100,(S100-Y100))</f>
        <v>0</v>
      </c>
      <c r="AA100" s="13" t="str">
        <f>S100-SUM(Y100,Z100)</f>
        <v>0</v>
      </c>
      <c r="AB100" s="15"/>
      <c r="AC100" s="15"/>
      <c r="AD100" s="1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  <c r="CZ100" s="5"/>
      <c r="DA100" s="5"/>
      <c r="DB100" s="5"/>
      <c r="DC100" s="5"/>
      <c r="DD100" s="5"/>
      <c r="DE100" s="5"/>
      <c r="DF100" s="5"/>
      <c r="DG100" s="5"/>
      <c r="DH100" s="5"/>
      <c r="DI100" s="5"/>
      <c r="DJ100" s="5"/>
      <c r="DK100" s="5"/>
      <c r="DL100" s="5"/>
      <c r="DM100" s="5"/>
      <c r="DN100" s="5"/>
      <c r="DO100" s="5"/>
      <c r="DP100" s="5"/>
      <c r="DQ100" s="5"/>
      <c r="DR100" s="5"/>
      <c r="DS100" s="5"/>
      <c r="DT100" s="5"/>
      <c r="DU100" s="5"/>
      <c r="DV100" s="5"/>
      <c r="DW100" s="5"/>
      <c r="DX100" s="5"/>
      <c r="DY100" s="5"/>
      <c r="DZ100" s="5"/>
      <c r="EA100" s="5"/>
      <c r="EB100" s="5"/>
      <c r="EC100" s="5"/>
      <c r="ED100" s="5"/>
      <c r="EE100" s="5"/>
      <c r="EF100" s="5"/>
      <c r="EG100" s="5"/>
      <c r="EH100" s="5"/>
      <c r="EI100" s="5"/>
      <c r="EJ100" s="5"/>
      <c r="EK100" s="5"/>
      <c r="EL100" s="5"/>
      <c r="EM100" s="5"/>
      <c r="EN100" s="5"/>
      <c r="EO100" s="5"/>
      <c r="EP100" s="5"/>
      <c r="EQ100" s="5"/>
      <c r="ER100" s="5"/>
      <c r="ES100" s="5"/>
      <c r="ET100" s="5"/>
      <c r="EU100" s="5"/>
      <c r="EV100" s="5"/>
      <c r="EW100" s="5"/>
      <c r="EX100" s="5"/>
      <c r="EY100" s="5"/>
      <c r="EZ100" s="5"/>
      <c r="FA100" s="5"/>
      <c r="FB100" s="5"/>
      <c r="FC100" s="5"/>
      <c r="FD100" s="5"/>
      <c r="FE100" s="5"/>
      <c r="FF100" s="5"/>
      <c r="FG100" s="5"/>
      <c r="FH100" s="5"/>
      <c r="FI100" s="5"/>
      <c r="FJ100" s="5"/>
      <c r="FK100" s="5"/>
      <c r="FL100" s="5"/>
      <c r="FM100" s="5"/>
      <c r="FN100" s="5"/>
      <c r="FO100" s="5"/>
      <c r="FP100" s="5"/>
      <c r="FQ100" s="5"/>
      <c r="FR100" s="5"/>
      <c r="FS100" s="5"/>
      <c r="FT100" s="5"/>
      <c r="FU100" s="5"/>
      <c r="FV100" s="5"/>
      <c r="FW100" s="5"/>
      <c r="FX100" s="5"/>
      <c r="FY100" s="5"/>
      <c r="FZ100" s="5"/>
      <c r="GA100" s="5"/>
      <c r="GB100" s="5"/>
      <c r="GC100" s="5"/>
      <c r="GD100" s="5"/>
      <c r="GE100" s="5"/>
      <c r="GF100" s="5"/>
      <c r="GG100" s="5"/>
      <c r="GH100" s="5"/>
      <c r="GI100" s="5"/>
      <c r="GJ100" s="5"/>
      <c r="GK100" s="5"/>
      <c r="GL100" s="5"/>
      <c r="GM100" s="5"/>
      <c r="GN100" s="5"/>
      <c r="GO100" s="5"/>
      <c r="GP100" s="5"/>
      <c r="GQ100" s="5"/>
      <c r="GR100" s="5"/>
      <c r="GS100" s="5"/>
      <c r="GT100" s="5"/>
      <c r="GU100" s="5"/>
      <c r="GV100" s="5"/>
      <c r="GW100" s="5"/>
      <c r="GX100" s="5"/>
      <c r="GY100" s="5"/>
      <c r="GZ100" s="5"/>
      <c r="HA100" s="5"/>
      <c r="HB100" s="5"/>
      <c r="HC100" s="5"/>
      <c r="HD100" s="5"/>
      <c r="HE100" s="5"/>
      <c r="HF100" s="5"/>
      <c r="HG100" s="5"/>
      <c r="HH100" s="5"/>
      <c r="HI100" s="5"/>
      <c r="HJ100" s="5"/>
      <c r="HK100" s="5"/>
      <c r="HL100" s="5"/>
      <c r="HM100" s="5"/>
      <c r="HN100" s="5"/>
      <c r="HO100" s="5"/>
      <c r="HP100" s="5"/>
      <c r="HQ100" s="5"/>
      <c r="HR100" s="5"/>
      <c r="HS100" s="5"/>
      <c r="HT100" s="5"/>
      <c r="HU100" s="5"/>
      <c r="HV100" s="5"/>
      <c r="HW100" s="5"/>
      <c r="HX100" s="5"/>
      <c r="HY100" s="5"/>
      <c r="HZ100" s="5"/>
      <c r="IA100" s="5"/>
      <c r="IB100" s="5"/>
      <c r="IC100" s="5"/>
      <c r="ID100" s="5"/>
      <c r="IE100" s="5"/>
      <c r="IF100" s="5"/>
      <c r="IG100" s="5"/>
      <c r="IH100" s="5"/>
      <c r="II100" s="5"/>
      <c r="IJ100" s="5"/>
      <c r="IK100" s="5"/>
      <c r="IL100" s="5"/>
      <c r="IM100" s="5"/>
      <c r="IN100" s="5"/>
      <c r="IO100" s="5"/>
      <c r="IP100" s="5"/>
      <c r="IQ100" s="5"/>
      <c r="IR100" s="5"/>
      <c r="IS100" s="5"/>
      <c r="IT100" s="5"/>
      <c r="IU100" s="5"/>
      <c r="IV100" s="5"/>
      <c r="IW100" s="5"/>
      <c r="IX100" s="5"/>
      <c r="IY100" s="5"/>
      <c r="IZ100" s="5"/>
      <c r="JA100" s="5"/>
      <c r="JB100" s="5"/>
      <c r="JC100" s="5"/>
      <c r="JD100" s="5"/>
      <c r="JE100" s="5"/>
      <c r="JF100" s="5"/>
      <c r="JG100" s="5"/>
      <c r="JH100" s="5"/>
      <c r="JI100" s="5"/>
      <c r="JJ100" s="5"/>
      <c r="JK100" s="5"/>
      <c r="JL100" s="5"/>
      <c r="JM100" s="5"/>
      <c r="JN100" s="5"/>
      <c r="JO100" s="5"/>
      <c r="JP100" s="5"/>
      <c r="JQ100" s="5"/>
      <c r="JR100" s="5"/>
      <c r="JS100" s="5"/>
      <c r="JT100" s="5"/>
      <c r="JU100" s="5"/>
      <c r="JV100" s="5"/>
      <c r="JW100" s="5"/>
      <c r="JX100" s="5"/>
      <c r="JY100" s="5"/>
      <c r="JZ100" s="5"/>
      <c r="KA100" s="5"/>
      <c r="KB100" s="5"/>
      <c r="KC100" s="5"/>
      <c r="KD100" s="5"/>
      <c r="KE100" s="5"/>
      <c r="KF100" s="5"/>
      <c r="KG100" s="5"/>
      <c r="KH100" s="5"/>
      <c r="KI100" s="5"/>
      <c r="KJ100" s="5"/>
      <c r="KK100" s="5"/>
      <c r="KL100" s="5"/>
      <c r="KM100" s="5"/>
      <c r="KN100" s="5"/>
      <c r="KO100" s="5"/>
      <c r="KP100" s="5"/>
      <c r="KQ100" s="5"/>
      <c r="KR100" s="5"/>
      <c r="KS100" s="5"/>
      <c r="KT100" s="5"/>
      <c r="KU100" s="5"/>
      <c r="KV100" s="5"/>
      <c r="KW100" s="5"/>
      <c r="KX100" s="5"/>
      <c r="KY100" s="5"/>
      <c r="KZ100" s="5"/>
      <c r="LA100" s="5"/>
      <c r="LB100" s="5"/>
      <c r="LC100" s="5"/>
      <c r="LD100" s="5"/>
      <c r="LE100" s="5"/>
      <c r="LF100" s="5"/>
      <c r="LG100" s="5"/>
      <c r="LH100" s="5"/>
      <c r="LI100" s="5"/>
      <c r="LJ100" s="5"/>
      <c r="LK100" s="5"/>
      <c r="LL100" s="5"/>
      <c r="LM100" s="5"/>
      <c r="LN100" s="5"/>
      <c r="LO100" s="5"/>
      <c r="LP100" s="5"/>
      <c r="LQ100" s="5"/>
      <c r="LR100" s="5"/>
      <c r="LS100" s="5"/>
      <c r="LT100" s="5"/>
      <c r="LU100" s="5"/>
      <c r="LV100" s="5"/>
      <c r="LW100" s="5"/>
      <c r="LX100" s="5"/>
      <c r="LY100" s="5"/>
      <c r="LZ100" s="5"/>
      <c r="MA100" s="5"/>
      <c r="MB100" s="5"/>
      <c r="MC100" s="5"/>
      <c r="MD100" s="5"/>
      <c r="ME100" s="5"/>
      <c r="MF100" s="5"/>
      <c r="MG100" s="5"/>
      <c r="MH100" s="5"/>
      <c r="MI100" s="5"/>
      <c r="MJ100" s="5"/>
      <c r="MK100" s="5"/>
      <c r="ML100" s="5"/>
      <c r="MM100" s="5"/>
      <c r="MN100" s="5"/>
      <c r="MO100" s="5"/>
      <c r="MP100" s="5"/>
      <c r="MQ100" s="5"/>
      <c r="MR100" s="5"/>
      <c r="MS100" s="5"/>
      <c r="MT100" s="5"/>
      <c r="MU100" s="5"/>
      <c r="MV100" s="5"/>
      <c r="MW100" s="5"/>
      <c r="MX100" s="5"/>
      <c r="MY100" s="5"/>
      <c r="MZ100" s="5"/>
      <c r="NA100" s="5"/>
      <c r="NB100" s="5"/>
      <c r="NC100" s="5"/>
      <c r="ND100" s="5"/>
      <c r="NE100" s="5"/>
      <c r="NF100" s="5"/>
      <c r="NG100" s="5"/>
      <c r="NH100" s="5"/>
      <c r="NI100" s="5"/>
      <c r="NJ100" s="5"/>
      <c r="NK100" s="5"/>
      <c r="NL100" s="5"/>
      <c r="NM100" s="5"/>
      <c r="NN100" s="5"/>
      <c r="NO100" s="5"/>
      <c r="NP100" s="5"/>
      <c r="NQ100" s="5"/>
      <c r="NR100" s="5"/>
      <c r="NS100" s="5"/>
      <c r="NT100" s="5"/>
      <c r="NU100" s="5"/>
      <c r="NV100" s="5"/>
      <c r="NW100" s="5"/>
      <c r="NX100" s="5"/>
      <c r="NY100" s="5"/>
      <c r="NZ100" s="5"/>
      <c r="OA100" s="5"/>
      <c r="OB100" s="5"/>
      <c r="OC100" s="5"/>
      <c r="OD100" s="5"/>
      <c r="OE100" s="5"/>
      <c r="OF100" s="5"/>
      <c r="OG100" s="5"/>
      <c r="OH100" s="5"/>
      <c r="OI100" s="5"/>
      <c r="OJ100" s="5"/>
      <c r="OK100" s="5"/>
      <c r="OL100" s="5"/>
      <c r="OM100" s="5"/>
      <c r="ON100" s="5"/>
      <c r="OO100" s="5"/>
      <c r="OP100" s="5"/>
      <c r="OQ100" s="5"/>
      <c r="OR100" s="5"/>
      <c r="OS100" s="5"/>
      <c r="OT100" s="5"/>
      <c r="OU100" s="5"/>
      <c r="OV100" s="5"/>
      <c r="OW100" s="5"/>
      <c r="OX100" s="5"/>
      <c r="OY100" s="5"/>
      <c r="OZ100" s="5"/>
      <c r="PA100" s="5"/>
      <c r="PB100" s="5"/>
      <c r="PC100" s="5"/>
      <c r="PD100" s="5"/>
      <c r="PE100" s="5"/>
      <c r="PF100" s="5"/>
      <c r="PG100" s="5"/>
      <c r="PH100" s="5"/>
      <c r="PI100" s="5"/>
      <c r="PJ100" s="5"/>
      <c r="PK100" s="5"/>
      <c r="PL100" s="5"/>
      <c r="PM100" s="5"/>
      <c r="PN100" s="5"/>
      <c r="PO100" s="5"/>
      <c r="PP100" s="5"/>
      <c r="PQ100" s="5"/>
      <c r="PR100" s="5"/>
      <c r="PS100" s="5"/>
      <c r="PT100" s="5"/>
      <c r="PU100" s="5"/>
      <c r="PV100" s="5"/>
      <c r="PW100" s="5"/>
      <c r="PX100" s="5"/>
      <c r="PY100" s="5"/>
      <c r="PZ100" s="5"/>
      <c r="QA100" s="5"/>
      <c r="QB100" s="5"/>
      <c r="QC100" s="5"/>
      <c r="QD100" s="5"/>
      <c r="QE100" s="5"/>
      <c r="QF100" s="5"/>
      <c r="QG100" s="5"/>
      <c r="QH100" s="5"/>
      <c r="QI100" s="5"/>
      <c r="QJ100" s="5"/>
      <c r="QK100" s="5"/>
      <c r="QL100" s="5"/>
      <c r="QM100" s="5"/>
      <c r="QN100" s="5"/>
      <c r="QO100" s="5"/>
      <c r="QP100" s="5"/>
      <c r="QQ100" s="5"/>
      <c r="QR100" s="5"/>
      <c r="QS100" s="5"/>
      <c r="QT100" s="5"/>
      <c r="QU100" s="5"/>
      <c r="QV100" s="5"/>
      <c r="QW100" s="5"/>
      <c r="QX100" s="5"/>
      <c r="QY100" s="5"/>
      <c r="QZ100" s="5"/>
      <c r="RA100" s="5"/>
      <c r="RB100" s="5"/>
      <c r="RC100" s="5"/>
      <c r="RD100" s="5"/>
      <c r="RE100" s="5"/>
      <c r="RF100" s="5"/>
      <c r="RG100" s="5"/>
      <c r="RH100" s="5"/>
      <c r="RI100" s="5"/>
      <c r="RJ100" s="5"/>
      <c r="RK100" s="5"/>
      <c r="RL100" s="5"/>
      <c r="RM100" s="5"/>
      <c r="RN100" s="5"/>
      <c r="RO100" s="5"/>
      <c r="RP100" s="5"/>
      <c r="RQ100" s="5"/>
      <c r="RR100" s="5"/>
      <c r="RS100" s="5"/>
      <c r="RT100" s="5"/>
      <c r="RU100" s="5"/>
      <c r="RV100" s="5"/>
      <c r="RW100" s="5"/>
      <c r="RX100" s="5"/>
      <c r="RY100" s="5"/>
      <c r="RZ100" s="5"/>
      <c r="SA100" s="5"/>
      <c r="SB100" s="5"/>
      <c r="SC100" s="5"/>
      <c r="SD100" s="5"/>
      <c r="SE100" s="5"/>
      <c r="SF100" s="5"/>
      <c r="SG100" s="5"/>
      <c r="SH100" s="5"/>
      <c r="SI100" s="5"/>
      <c r="SJ100" s="5"/>
      <c r="SK100" s="5"/>
      <c r="SL100" s="5"/>
      <c r="SM100" s="5"/>
      <c r="SN100" s="5"/>
      <c r="SO100" s="5"/>
      <c r="SP100" s="5"/>
      <c r="SQ100" s="5"/>
      <c r="SR100" s="5"/>
      <c r="SS100" s="5"/>
      <c r="ST100" s="5"/>
      <c r="SU100" s="5"/>
      <c r="SV100" s="5"/>
      <c r="SW100" s="5"/>
      <c r="SX100" s="5"/>
      <c r="SY100" s="5"/>
      <c r="SZ100" s="5"/>
      <c r="TA100" s="5"/>
      <c r="TB100" s="5"/>
      <c r="TC100" s="5"/>
      <c r="TD100" s="5"/>
      <c r="TE100" s="5"/>
      <c r="TF100" s="5"/>
      <c r="TG100" s="5"/>
      <c r="TH100" s="5"/>
      <c r="TI100" s="5"/>
      <c r="TJ100" s="5"/>
      <c r="TK100" s="5"/>
      <c r="TL100" s="5"/>
      <c r="TM100" s="5"/>
      <c r="TN100" s="5"/>
      <c r="TO100" s="5"/>
      <c r="TP100" s="5"/>
      <c r="TQ100" s="5"/>
      <c r="TR100" s="5"/>
      <c r="TS100" s="5"/>
      <c r="TT100" s="5"/>
      <c r="TU100" s="5"/>
      <c r="TV100" s="5"/>
      <c r="TW100" s="5"/>
      <c r="TX100" s="5"/>
      <c r="TY100" s="5"/>
      <c r="TZ100" s="5"/>
      <c r="UA100" s="5"/>
      <c r="UB100" s="5"/>
      <c r="UC100" s="5"/>
      <c r="UD100" s="5"/>
      <c r="UE100" s="5"/>
      <c r="UF100" s="5"/>
      <c r="UG100" s="5"/>
      <c r="UH100" s="5"/>
      <c r="UI100" s="5"/>
      <c r="UJ100" s="5"/>
      <c r="UK100" s="5"/>
      <c r="UL100" s="5"/>
      <c r="UM100" s="5"/>
      <c r="UN100" s="5"/>
      <c r="UO100" s="5"/>
      <c r="UP100" s="5"/>
      <c r="UQ100" s="5"/>
      <c r="UR100" s="5"/>
      <c r="US100" s="5"/>
      <c r="UT100" s="5"/>
      <c r="UU100" s="5"/>
      <c r="UV100" s="5"/>
      <c r="UW100" s="5"/>
      <c r="UX100" s="5"/>
      <c r="UY100" s="5"/>
      <c r="UZ100" s="5"/>
      <c r="VA100" s="5"/>
      <c r="VB100" s="5"/>
      <c r="VC100" s="5"/>
      <c r="VD100" s="5"/>
      <c r="VE100" s="5"/>
      <c r="VF100" s="5"/>
      <c r="VG100" s="5"/>
      <c r="VH100" s="5"/>
      <c r="VI100" s="5"/>
      <c r="VJ100" s="5"/>
      <c r="VK100" s="5"/>
      <c r="VL100" s="5"/>
      <c r="VM100" s="5"/>
      <c r="VN100" s="5"/>
      <c r="VO100" s="5"/>
      <c r="VP100" s="5"/>
      <c r="VQ100" s="5"/>
      <c r="VR100" s="5"/>
      <c r="VS100" s="5"/>
      <c r="VT100" s="5"/>
      <c r="VU100" s="5"/>
      <c r="VV100" s="5"/>
      <c r="VW100" s="5"/>
      <c r="VX100" s="5"/>
      <c r="VY100" s="5"/>
      <c r="VZ100" s="5"/>
      <c r="WA100" s="5"/>
      <c r="WB100" s="5"/>
      <c r="WC100" s="5"/>
      <c r="WD100" s="5"/>
      <c r="WE100" s="5"/>
      <c r="WF100" s="5"/>
      <c r="WG100" s="5"/>
      <c r="WH100" s="5"/>
      <c r="WI100" s="5"/>
      <c r="WJ100" s="5"/>
      <c r="WK100" s="5"/>
      <c r="WL100" s="5"/>
      <c r="WM100" s="5"/>
      <c r="WN100" s="5"/>
      <c r="WO100" s="5"/>
      <c r="WP100" s="5"/>
      <c r="WQ100" s="5"/>
      <c r="WR100" s="5"/>
      <c r="WS100" s="5"/>
      <c r="WT100" s="5"/>
      <c r="WU100" s="5"/>
      <c r="WV100" s="5"/>
      <c r="WW100" s="5"/>
      <c r="WX100" s="5"/>
      <c r="WY100" s="5"/>
      <c r="WZ100" s="5"/>
      <c r="XA100" s="5"/>
      <c r="XB100" s="5"/>
      <c r="XC100" s="5"/>
      <c r="XD100" s="5"/>
      <c r="XE100" s="5"/>
      <c r="XF100" s="5"/>
      <c r="XG100" s="5"/>
      <c r="XH100" s="5"/>
      <c r="XI100" s="5"/>
      <c r="XJ100" s="5"/>
      <c r="XK100" s="5"/>
      <c r="XL100" s="5"/>
      <c r="XM100" s="5"/>
      <c r="XN100" s="5"/>
      <c r="XO100" s="5"/>
      <c r="XP100" s="5"/>
      <c r="XQ100" s="5"/>
      <c r="XR100" s="5"/>
      <c r="XS100" s="5"/>
      <c r="XT100" s="5"/>
      <c r="XU100" s="5"/>
      <c r="XV100" s="5"/>
      <c r="XW100" s="5"/>
      <c r="XX100" s="5"/>
      <c r="XY100" s="5"/>
      <c r="XZ100" s="5"/>
      <c r="YA100" s="5"/>
      <c r="YB100" s="5"/>
      <c r="YC100" s="5"/>
      <c r="YD100" s="5"/>
      <c r="YE100" s="5"/>
      <c r="YF100" s="5"/>
      <c r="YG100" s="5"/>
      <c r="YH100" s="5"/>
      <c r="YI100" s="5"/>
      <c r="YJ100" s="5"/>
      <c r="YK100" s="5"/>
      <c r="YL100" s="5"/>
      <c r="YM100" s="5"/>
      <c r="YN100" s="5"/>
      <c r="YO100" s="5"/>
      <c r="YP100" s="5"/>
      <c r="YQ100" s="5"/>
      <c r="YR100" s="5"/>
      <c r="YS100" s="5"/>
      <c r="YT100" s="5"/>
      <c r="YU100" s="5"/>
      <c r="YV100" s="5"/>
      <c r="YW100" s="5"/>
      <c r="YX100" s="5"/>
      <c r="YY100" s="5"/>
      <c r="YZ100" s="5"/>
    </row>
    <row r="101" spans="1:676">
      <c r="A101" s="7">
        <v>91</v>
      </c>
      <c r="B101" s="7" t="s">
        <v>253</v>
      </c>
      <c r="C101" s="10" t="s">
        <v>254</v>
      </c>
      <c r="D101" s="7" t="s">
        <v>51</v>
      </c>
      <c r="E101" s="7" t="s">
        <v>218</v>
      </c>
      <c r="F101" s="7" t="s">
        <v>255</v>
      </c>
      <c r="G101" s="7"/>
      <c r="H101" s="7" t="s">
        <v>43</v>
      </c>
      <c r="I101" s="11">
        <v>2</v>
      </c>
      <c r="J101" s="11">
        <v>3</v>
      </c>
      <c r="K101" s="11">
        <v>0</v>
      </c>
      <c r="L101" s="11">
        <v>0</v>
      </c>
      <c r="M101" s="11">
        <v>0</v>
      </c>
      <c r="N101" s="11">
        <v>0</v>
      </c>
      <c r="O101" s="11">
        <v>0</v>
      </c>
      <c r="P101" s="11">
        <v>0</v>
      </c>
      <c r="Q101" s="11">
        <v>0</v>
      </c>
      <c r="R101" s="11">
        <v>0</v>
      </c>
      <c r="S101" s="11">
        <v>0</v>
      </c>
      <c r="T101" s="11">
        <v>0</v>
      </c>
      <c r="U101" s="11">
        <v>0</v>
      </c>
      <c r="V101" s="11">
        <v>0</v>
      </c>
      <c r="W101" s="13">
        <v>2</v>
      </c>
      <c r="X101" s="13">
        <v>3</v>
      </c>
      <c r="Y101" s="13" t="str">
        <f>MIN(W101,S101)</f>
        <v>0</v>
      </c>
      <c r="Z101" s="13" t="str">
        <f>MIN(X101,(S101-Y101))</f>
        <v>0</v>
      </c>
      <c r="AA101" s="13" t="str">
        <f>S101-SUM(Y101,Z101)</f>
        <v>0</v>
      </c>
      <c r="AB101" s="15"/>
      <c r="AC101" s="15"/>
      <c r="AD101" s="1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  <c r="CT101" s="5"/>
      <c r="CU101" s="5"/>
      <c r="CV101" s="5"/>
      <c r="CW101" s="5"/>
      <c r="CX101" s="5"/>
      <c r="CY101" s="5"/>
      <c r="CZ101" s="5"/>
      <c r="DA101" s="5"/>
      <c r="DB101" s="5"/>
      <c r="DC101" s="5"/>
      <c r="DD101" s="5"/>
      <c r="DE101" s="5"/>
      <c r="DF101" s="5"/>
      <c r="DG101" s="5"/>
      <c r="DH101" s="5"/>
      <c r="DI101" s="5"/>
      <c r="DJ101" s="5"/>
      <c r="DK101" s="5"/>
      <c r="DL101" s="5"/>
      <c r="DM101" s="5"/>
      <c r="DN101" s="5"/>
      <c r="DO101" s="5"/>
      <c r="DP101" s="5"/>
      <c r="DQ101" s="5"/>
      <c r="DR101" s="5"/>
      <c r="DS101" s="5"/>
      <c r="DT101" s="5"/>
      <c r="DU101" s="5"/>
      <c r="DV101" s="5"/>
      <c r="DW101" s="5"/>
      <c r="DX101" s="5"/>
      <c r="DY101" s="5"/>
      <c r="DZ101" s="5"/>
      <c r="EA101" s="5"/>
      <c r="EB101" s="5"/>
      <c r="EC101" s="5"/>
      <c r="ED101" s="5"/>
      <c r="EE101" s="5"/>
      <c r="EF101" s="5"/>
      <c r="EG101" s="5"/>
      <c r="EH101" s="5"/>
      <c r="EI101" s="5"/>
      <c r="EJ101" s="5"/>
      <c r="EK101" s="5"/>
      <c r="EL101" s="5"/>
      <c r="EM101" s="5"/>
      <c r="EN101" s="5"/>
      <c r="EO101" s="5"/>
      <c r="EP101" s="5"/>
      <c r="EQ101" s="5"/>
      <c r="ER101" s="5"/>
      <c r="ES101" s="5"/>
      <c r="ET101" s="5"/>
      <c r="EU101" s="5"/>
      <c r="EV101" s="5"/>
      <c r="EW101" s="5"/>
      <c r="EX101" s="5"/>
      <c r="EY101" s="5"/>
      <c r="EZ101" s="5"/>
      <c r="FA101" s="5"/>
      <c r="FB101" s="5"/>
      <c r="FC101" s="5"/>
      <c r="FD101" s="5"/>
      <c r="FE101" s="5"/>
      <c r="FF101" s="5"/>
      <c r="FG101" s="5"/>
      <c r="FH101" s="5"/>
      <c r="FI101" s="5"/>
      <c r="FJ101" s="5"/>
      <c r="FK101" s="5"/>
      <c r="FL101" s="5"/>
      <c r="FM101" s="5"/>
      <c r="FN101" s="5"/>
      <c r="FO101" s="5"/>
      <c r="FP101" s="5"/>
      <c r="FQ101" s="5"/>
      <c r="FR101" s="5"/>
      <c r="FS101" s="5"/>
      <c r="FT101" s="5"/>
      <c r="FU101" s="5"/>
      <c r="FV101" s="5"/>
      <c r="FW101" s="5"/>
      <c r="FX101" s="5"/>
      <c r="FY101" s="5"/>
      <c r="FZ101" s="5"/>
      <c r="GA101" s="5"/>
      <c r="GB101" s="5"/>
      <c r="GC101" s="5"/>
      <c r="GD101" s="5"/>
      <c r="GE101" s="5"/>
      <c r="GF101" s="5"/>
      <c r="GG101" s="5"/>
      <c r="GH101" s="5"/>
      <c r="GI101" s="5"/>
      <c r="GJ101" s="5"/>
      <c r="GK101" s="5"/>
      <c r="GL101" s="5"/>
      <c r="GM101" s="5"/>
      <c r="GN101" s="5"/>
      <c r="GO101" s="5"/>
      <c r="GP101" s="5"/>
      <c r="GQ101" s="5"/>
      <c r="GR101" s="5"/>
      <c r="GS101" s="5"/>
      <c r="GT101" s="5"/>
      <c r="GU101" s="5"/>
      <c r="GV101" s="5"/>
      <c r="GW101" s="5"/>
      <c r="GX101" s="5"/>
      <c r="GY101" s="5"/>
      <c r="GZ101" s="5"/>
      <c r="HA101" s="5"/>
      <c r="HB101" s="5"/>
      <c r="HC101" s="5"/>
      <c r="HD101" s="5"/>
      <c r="HE101" s="5"/>
      <c r="HF101" s="5"/>
      <c r="HG101" s="5"/>
      <c r="HH101" s="5"/>
      <c r="HI101" s="5"/>
      <c r="HJ101" s="5"/>
      <c r="HK101" s="5"/>
      <c r="HL101" s="5"/>
      <c r="HM101" s="5"/>
      <c r="HN101" s="5"/>
      <c r="HO101" s="5"/>
      <c r="HP101" s="5"/>
      <c r="HQ101" s="5"/>
      <c r="HR101" s="5"/>
      <c r="HS101" s="5"/>
      <c r="HT101" s="5"/>
      <c r="HU101" s="5"/>
      <c r="HV101" s="5"/>
      <c r="HW101" s="5"/>
      <c r="HX101" s="5"/>
      <c r="HY101" s="5"/>
      <c r="HZ101" s="5"/>
      <c r="IA101" s="5"/>
      <c r="IB101" s="5"/>
      <c r="IC101" s="5"/>
      <c r="ID101" s="5"/>
      <c r="IE101" s="5"/>
      <c r="IF101" s="5"/>
      <c r="IG101" s="5"/>
      <c r="IH101" s="5"/>
      <c r="II101" s="5"/>
      <c r="IJ101" s="5"/>
      <c r="IK101" s="5"/>
      <c r="IL101" s="5"/>
      <c r="IM101" s="5"/>
      <c r="IN101" s="5"/>
      <c r="IO101" s="5"/>
      <c r="IP101" s="5"/>
      <c r="IQ101" s="5"/>
      <c r="IR101" s="5"/>
      <c r="IS101" s="5"/>
      <c r="IT101" s="5"/>
      <c r="IU101" s="5"/>
      <c r="IV101" s="5"/>
      <c r="IW101" s="5"/>
      <c r="IX101" s="5"/>
      <c r="IY101" s="5"/>
      <c r="IZ101" s="5"/>
      <c r="JA101" s="5"/>
      <c r="JB101" s="5"/>
      <c r="JC101" s="5"/>
      <c r="JD101" s="5"/>
      <c r="JE101" s="5"/>
      <c r="JF101" s="5"/>
      <c r="JG101" s="5"/>
      <c r="JH101" s="5"/>
      <c r="JI101" s="5"/>
      <c r="JJ101" s="5"/>
      <c r="JK101" s="5"/>
      <c r="JL101" s="5"/>
      <c r="JM101" s="5"/>
      <c r="JN101" s="5"/>
      <c r="JO101" s="5"/>
      <c r="JP101" s="5"/>
      <c r="JQ101" s="5"/>
      <c r="JR101" s="5"/>
      <c r="JS101" s="5"/>
      <c r="JT101" s="5"/>
      <c r="JU101" s="5"/>
      <c r="JV101" s="5"/>
      <c r="JW101" s="5"/>
      <c r="JX101" s="5"/>
      <c r="JY101" s="5"/>
      <c r="JZ101" s="5"/>
      <c r="KA101" s="5"/>
      <c r="KB101" s="5"/>
      <c r="KC101" s="5"/>
      <c r="KD101" s="5"/>
      <c r="KE101" s="5"/>
      <c r="KF101" s="5"/>
      <c r="KG101" s="5"/>
      <c r="KH101" s="5"/>
      <c r="KI101" s="5"/>
      <c r="KJ101" s="5"/>
      <c r="KK101" s="5"/>
      <c r="KL101" s="5"/>
      <c r="KM101" s="5"/>
      <c r="KN101" s="5"/>
      <c r="KO101" s="5"/>
      <c r="KP101" s="5"/>
      <c r="KQ101" s="5"/>
      <c r="KR101" s="5"/>
      <c r="KS101" s="5"/>
      <c r="KT101" s="5"/>
      <c r="KU101" s="5"/>
      <c r="KV101" s="5"/>
      <c r="KW101" s="5"/>
      <c r="KX101" s="5"/>
      <c r="KY101" s="5"/>
      <c r="KZ101" s="5"/>
      <c r="LA101" s="5"/>
      <c r="LB101" s="5"/>
      <c r="LC101" s="5"/>
      <c r="LD101" s="5"/>
      <c r="LE101" s="5"/>
      <c r="LF101" s="5"/>
      <c r="LG101" s="5"/>
      <c r="LH101" s="5"/>
      <c r="LI101" s="5"/>
      <c r="LJ101" s="5"/>
      <c r="LK101" s="5"/>
      <c r="LL101" s="5"/>
      <c r="LM101" s="5"/>
      <c r="LN101" s="5"/>
      <c r="LO101" s="5"/>
      <c r="LP101" s="5"/>
      <c r="LQ101" s="5"/>
      <c r="LR101" s="5"/>
      <c r="LS101" s="5"/>
      <c r="LT101" s="5"/>
      <c r="LU101" s="5"/>
      <c r="LV101" s="5"/>
      <c r="LW101" s="5"/>
      <c r="LX101" s="5"/>
      <c r="LY101" s="5"/>
      <c r="LZ101" s="5"/>
      <c r="MA101" s="5"/>
      <c r="MB101" s="5"/>
      <c r="MC101" s="5"/>
      <c r="MD101" s="5"/>
      <c r="ME101" s="5"/>
      <c r="MF101" s="5"/>
      <c r="MG101" s="5"/>
      <c r="MH101" s="5"/>
      <c r="MI101" s="5"/>
      <c r="MJ101" s="5"/>
      <c r="MK101" s="5"/>
      <c r="ML101" s="5"/>
      <c r="MM101" s="5"/>
      <c r="MN101" s="5"/>
      <c r="MO101" s="5"/>
      <c r="MP101" s="5"/>
      <c r="MQ101" s="5"/>
      <c r="MR101" s="5"/>
      <c r="MS101" s="5"/>
      <c r="MT101" s="5"/>
      <c r="MU101" s="5"/>
      <c r="MV101" s="5"/>
      <c r="MW101" s="5"/>
      <c r="MX101" s="5"/>
      <c r="MY101" s="5"/>
      <c r="MZ101" s="5"/>
      <c r="NA101" s="5"/>
      <c r="NB101" s="5"/>
      <c r="NC101" s="5"/>
      <c r="ND101" s="5"/>
      <c r="NE101" s="5"/>
      <c r="NF101" s="5"/>
      <c r="NG101" s="5"/>
      <c r="NH101" s="5"/>
      <c r="NI101" s="5"/>
      <c r="NJ101" s="5"/>
      <c r="NK101" s="5"/>
      <c r="NL101" s="5"/>
      <c r="NM101" s="5"/>
      <c r="NN101" s="5"/>
      <c r="NO101" s="5"/>
      <c r="NP101" s="5"/>
      <c r="NQ101" s="5"/>
      <c r="NR101" s="5"/>
      <c r="NS101" s="5"/>
      <c r="NT101" s="5"/>
      <c r="NU101" s="5"/>
      <c r="NV101" s="5"/>
      <c r="NW101" s="5"/>
      <c r="NX101" s="5"/>
      <c r="NY101" s="5"/>
      <c r="NZ101" s="5"/>
      <c r="OA101" s="5"/>
      <c r="OB101" s="5"/>
      <c r="OC101" s="5"/>
      <c r="OD101" s="5"/>
      <c r="OE101" s="5"/>
      <c r="OF101" s="5"/>
      <c r="OG101" s="5"/>
      <c r="OH101" s="5"/>
      <c r="OI101" s="5"/>
      <c r="OJ101" s="5"/>
      <c r="OK101" s="5"/>
      <c r="OL101" s="5"/>
      <c r="OM101" s="5"/>
      <c r="ON101" s="5"/>
      <c r="OO101" s="5"/>
      <c r="OP101" s="5"/>
      <c r="OQ101" s="5"/>
      <c r="OR101" s="5"/>
      <c r="OS101" s="5"/>
      <c r="OT101" s="5"/>
      <c r="OU101" s="5"/>
      <c r="OV101" s="5"/>
      <c r="OW101" s="5"/>
      <c r="OX101" s="5"/>
      <c r="OY101" s="5"/>
      <c r="OZ101" s="5"/>
      <c r="PA101" s="5"/>
      <c r="PB101" s="5"/>
      <c r="PC101" s="5"/>
      <c r="PD101" s="5"/>
      <c r="PE101" s="5"/>
      <c r="PF101" s="5"/>
      <c r="PG101" s="5"/>
      <c r="PH101" s="5"/>
      <c r="PI101" s="5"/>
      <c r="PJ101" s="5"/>
      <c r="PK101" s="5"/>
      <c r="PL101" s="5"/>
      <c r="PM101" s="5"/>
      <c r="PN101" s="5"/>
      <c r="PO101" s="5"/>
      <c r="PP101" s="5"/>
      <c r="PQ101" s="5"/>
      <c r="PR101" s="5"/>
      <c r="PS101" s="5"/>
      <c r="PT101" s="5"/>
      <c r="PU101" s="5"/>
      <c r="PV101" s="5"/>
      <c r="PW101" s="5"/>
      <c r="PX101" s="5"/>
      <c r="PY101" s="5"/>
      <c r="PZ101" s="5"/>
      <c r="QA101" s="5"/>
      <c r="QB101" s="5"/>
      <c r="QC101" s="5"/>
      <c r="QD101" s="5"/>
      <c r="QE101" s="5"/>
      <c r="QF101" s="5"/>
      <c r="QG101" s="5"/>
      <c r="QH101" s="5"/>
      <c r="QI101" s="5"/>
      <c r="QJ101" s="5"/>
      <c r="QK101" s="5"/>
      <c r="QL101" s="5"/>
      <c r="QM101" s="5"/>
      <c r="QN101" s="5"/>
      <c r="QO101" s="5"/>
      <c r="QP101" s="5"/>
      <c r="QQ101" s="5"/>
      <c r="QR101" s="5"/>
      <c r="QS101" s="5"/>
      <c r="QT101" s="5"/>
      <c r="QU101" s="5"/>
      <c r="QV101" s="5"/>
      <c r="QW101" s="5"/>
      <c r="QX101" s="5"/>
      <c r="QY101" s="5"/>
      <c r="QZ101" s="5"/>
      <c r="RA101" s="5"/>
      <c r="RB101" s="5"/>
      <c r="RC101" s="5"/>
      <c r="RD101" s="5"/>
      <c r="RE101" s="5"/>
      <c r="RF101" s="5"/>
      <c r="RG101" s="5"/>
      <c r="RH101" s="5"/>
      <c r="RI101" s="5"/>
      <c r="RJ101" s="5"/>
      <c r="RK101" s="5"/>
      <c r="RL101" s="5"/>
      <c r="RM101" s="5"/>
      <c r="RN101" s="5"/>
      <c r="RO101" s="5"/>
      <c r="RP101" s="5"/>
      <c r="RQ101" s="5"/>
      <c r="RR101" s="5"/>
      <c r="RS101" s="5"/>
      <c r="RT101" s="5"/>
      <c r="RU101" s="5"/>
      <c r="RV101" s="5"/>
      <c r="RW101" s="5"/>
      <c r="RX101" s="5"/>
      <c r="RY101" s="5"/>
      <c r="RZ101" s="5"/>
      <c r="SA101" s="5"/>
      <c r="SB101" s="5"/>
      <c r="SC101" s="5"/>
      <c r="SD101" s="5"/>
      <c r="SE101" s="5"/>
      <c r="SF101" s="5"/>
      <c r="SG101" s="5"/>
      <c r="SH101" s="5"/>
      <c r="SI101" s="5"/>
      <c r="SJ101" s="5"/>
      <c r="SK101" s="5"/>
      <c r="SL101" s="5"/>
      <c r="SM101" s="5"/>
      <c r="SN101" s="5"/>
      <c r="SO101" s="5"/>
      <c r="SP101" s="5"/>
      <c r="SQ101" s="5"/>
      <c r="SR101" s="5"/>
      <c r="SS101" s="5"/>
      <c r="ST101" s="5"/>
      <c r="SU101" s="5"/>
      <c r="SV101" s="5"/>
      <c r="SW101" s="5"/>
      <c r="SX101" s="5"/>
      <c r="SY101" s="5"/>
      <c r="SZ101" s="5"/>
      <c r="TA101" s="5"/>
      <c r="TB101" s="5"/>
      <c r="TC101" s="5"/>
      <c r="TD101" s="5"/>
      <c r="TE101" s="5"/>
      <c r="TF101" s="5"/>
      <c r="TG101" s="5"/>
      <c r="TH101" s="5"/>
      <c r="TI101" s="5"/>
      <c r="TJ101" s="5"/>
      <c r="TK101" s="5"/>
      <c r="TL101" s="5"/>
      <c r="TM101" s="5"/>
      <c r="TN101" s="5"/>
      <c r="TO101" s="5"/>
      <c r="TP101" s="5"/>
      <c r="TQ101" s="5"/>
      <c r="TR101" s="5"/>
      <c r="TS101" s="5"/>
      <c r="TT101" s="5"/>
      <c r="TU101" s="5"/>
      <c r="TV101" s="5"/>
      <c r="TW101" s="5"/>
      <c r="TX101" s="5"/>
      <c r="TY101" s="5"/>
      <c r="TZ101" s="5"/>
      <c r="UA101" s="5"/>
      <c r="UB101" s="5"/>
      <c r="UC101" s="5"/>
      <c r="UD101" s="5"/>
      <c r="UE101" s="5"/>
      <c r="UF101" s="5"/>
      <c r="UG101" s="5"/>
      <c r="UH101" s="5"/>
      <c r="UI101" s="5"/>
      <c r="UJ101" s="5"/>
      <c r="UK101" s="5"/>
      <c r="UL101" s="5"/>
      <c r="UM101" s="5"/>
      <c r="UN101" s="5"/>
      <c r="UO101" s="5"/>
      <c r="UP101" s="5"/>
      <c r="UQ101" s="5"/>
      <c r="UR101" s="5"/>
      <c r="US101" s="5"/>
      <c r="UT101" s="5"/>
      <c r="UU101" s="5"/>
      <c r="UV101" s="5"/>
      <c r="UW101" s="5"/>
      <c r="UX101" s="5"/>
      <c r="UY101" s="5"/>
      <c r="UZ101" s="5"/>
      <c r="VA101" s="5"/>
      <c r="VB101" s="5"/>
      <c r="VC101" s="5"/>
      <c r="VD101" s="5"/>
      <c r="VE101" s="5"/>
      <c r="VF101" s="5"/>
      <c r="VG101" s="5"/>
      <c r="VH101" s="5"/>
      <c r="VI101" s="5"/>
      <c r="VJ101" s="5"/>
      <c r="VK101" s="5"/>
      <c r="VL101" s="5"/>
      <c r="VM101" s="5"/>
      <c r="VN101" s="5"/>
      <c r="VO101" s="5"/>
      <c r="VP101" s="5"/>
      <c r="VQ101" s="5"/>
      <c r="VR101" s="5"/>
      <c r="VS101" s="5"/>
      <c r="VT101" s="5"/>
      <c r="VU101" s="5"/>
      <c r="VV101" s="5"/>
      <c r="VW101" s="5"/>
      <c r="VX101" s="5"/>
      <c r="VY101" s="5"/>
      <c r="VZ101" s="5"/>
      <c r="WA101" s="5"/>
      <c r="WB101" s="5"/>
      <c r="WC101" s="5"/>
      <c r="WD101" s="5"/>
      <c r="WE101" s="5"/>
      <c r="WF101" s="5"/>
      <c r="WG101" s="5"/>
      <c r="WH101" s="5"/>
      <c r="WI101" s="5"/>
      <c r="WJ101" s="5"/>
      <c r="WK101" s="5"/>
      <c r="WL101" s="5"/>
      <c r="WM101" s="5"/>
      <c r="WN101" s="5"/>
      <c r="WO101" s="5"/>
      <c r="WP101" s="5"/>
      <c r="WQ101" s="5"/>
      <c r="WR101" s="5"/>
      <c r="WS101" s="5"/>
      <c r="WT101" s="5"/>
      <c r="WU101" s="5"/>
      <c r="WV101" s="5"/>
      <c r="WW101" s="5"/>
      <c r="WX101" s="5"/>
      <c r="WY101" s="5"/>
      <c r="WZ101" s="5"/>
      <c r="XA101" s="5"/>
      <c r="XB101" s="5"/>
      <c r="XC101" s="5"/>
      <c r="XD101" s="5"/>
      <c r="XE101" s="5"/>
      <c r="XF101" s="5"/>
      <c r="XG101" s="5"/>
      <c r="XH101" s="5"/>
      <c r="XI101" s="5"/>
      <c r="XJ101" s="5"/>
      <c r="XK101" s="5"/>
      <c r="XL101" s="5"/>
      <c r="XM101" s="5"/>
      <c r="XN101" s="5"/>
      <c r="XO101" s="5"/>
      <c r="XP101" s="5"/>
      <c r="XQ101" s="5"/>
      <c r="XR101" s="5"/>
      <c r="XS101" s="5"/>
      <c r="XT101" s="5"/>
      <c r="XU101" s="5"/>
      <c r="XV101" s="5"/>
      <c r="XW101" s="5"/>
      <c r="XX101" s="5"/>
      <c r="XY101" s="5"/>
      <c r="XZ101" s="5"/>
      <c r="YA101" s="5"/>
      <c r="YB101" s="5"/>
      <c r="YC101" s="5"/>
      <c r="YD101" s="5"/>
      <c r="YE101" s="5"/>
      <c r="YF101" s="5"/>
      <c r="YG101" s="5"/>
      <c r="YH101" s="5"/>
      <c r="YI101" s="5"/>
      <c r="YJ101" s="5"/>
      <c r="YK101" s="5"/>
      <c r="YL101" s="5"/>
      <c r="YM101" s="5"/>
      <c r="YN101" s="5"/>
      <c r="YO101" s="5"/>
      <c r="YP101" s="5"/>
      <c r="YQ101" s="5"/>
      <c r="YR101" s="5"/>
      <c r="YS101" s="5"/>
      <c r="YT101" s="5"/>
      <c r="YU101" s="5"/>
      <c r="YV101" s="5"/>
      <c r="YW101" s="5"/>
      <c r="YX101" s="5"/>
      <c r="YY101" s="5"/>
      <c r="YZ101" s="5"/>
    </row>
    <row r="102" spans="1:676">
      <c r="A102" s="7">
        <v>92</v>
      </c>
      <c r="B102" s="7" t="s">
        <v>256</v>
      </c>
      <c r="C102" s="10" t="s">
        <v>257</v>
      </c>
      <c r="D102" s="7" t="s">
        <v>40</v>
      </c>
      <c r="E102" s="7" t="s">
        <v>218</v>
      </c>
      <c r="F102" s="7" t="s">
        <v>258</v>
      </c>
      <c r="G102" s="7"/>
      <c r="H102" s="7" t="s">
        <v>43</v>
      </c>
      <c r="I102" s="11">
        <v>2</v>
      </c>
      <c r="J102" s="11">
        <v>3</v>
      </c>
      <c r="K102" s="11">
        <v>0</v>
      </c>
      <c r="L102" s="11">
        <v>3.56</v>
      </c>
      <c r="M102" s="11">
        <v>0.4</v>
      </c>
      <c r="N102" s="11">
        <v>0</v>
      </c>
      <c r="O102" s="11">
        <v>0.5</v>
      </c>
      <c r="P102" s="11">
        <v>0.17</v>
      </c>
      <c r="Q102" s="11">
        <v>4.63</v>
      </c>
      <c r="R102" s="11">
        <v>0</v>
      </c>
      <c r="S102" s="11">
        <v>4.63</v>
      </c>
      <c r="T102" s="11">
        <v>2</v>
      </c>
      <c r="U102" s="11">
        <v>2.63</v>
      </c>
      <c r="V102" s="11">
        <v>0</v>
      </c>
      <c r="W102" s="13">
        <v>2</v>
      </c>
      <c r="X102" s="13">
        <v>3</v>
      </c>
      <c r="Y102" s="13" t="str">
        <f>MIN(W102,S102)</f>
        <v>0</v>
      </c>
      <c r="Z102" s="13" t="str">
        <f>MIN(X102,(S102-Y102))</f>
        <v>0</v>
      </c>
      <c r="AA102" s="13" t="str">
        <f>S102-SUM(Y102,Z102)</f>
        <v>0</v>
      </c>
      <c r="AB102" s="15"/>
      <c r="AC102" s="15"/>
      <c r="AD102" s="1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  <c r="CT102" s="5"/>
      <c r="CU102" s="5"/>
      <c r="CV102" s="5"/>
      <c r="CW102" s="5"/>
      <c r="CX102" s="5"/>
      <c r="CY102" s="5"/>
      <c r="CZ102" s="5"/>
      <c r="DA102" s="5"/>
      <c r="DB102" s="5"/>
      <c r="DC102" s="5"/>
      <c r="DD102" s="5"/>
      <c r="DE102" s="5"/>
      <c r="DF102" s="5"/>
      <c r="DG102" s="5"/>
      <c r="DH102" s="5"/>
      <c r="DI102" s="5"/>
      <c r="DJ102" s="5"/>
      <c r="DK102" s="5"/>
      <c r="DL102" s="5"/>
      <c r="DM102" s="5"/>
      <c r="DN102" s="5"/>
      <c r="DO102" s="5"/>
      <c r="DP102" s="5"/>
      <c r="DQ102" s="5"/>
      <c r="DR102" s="5"/>
      <c r="DS102" s="5"/>
      <c r="DT102" s="5"/>
      <c r="DU102" s="5"/>
      <c r="DV102" s="5"/>
      <c r="DW102" s="5"/>
      <c r="DX102" s="5"/>
      <c r="DY102" s="5"/>
      <c r="DZ102" s="5"/>
      <c r="EA102" s="5"/>
      <c r="EB102" s="5"/>
      <c r="EC102" s="5"/>
      <c r="ED102" s="5"/>
      <c r="EE102" s="5"/>
      <c r="EF102" s="5"/>
      <c r="EG102" s="5"/>
      <c r="EH102" s="5"/>
      <c r="EI102" s="5"/>
      <c r="EJ102" s="5"/>
      <c r="EK102" s="5"/>
      <c r="EL102" s="5"/>
      <c r="EM102" s="5"/>
      <c r="EN102" s="5"/>
      <c r="EO102" s="5"/>
      <c r="EP102" s="5"/>
      <c r="EQ102" s="5"/>
      <c r="ER102" s="5"/>
      <c r="ES102" s="5"/>
      <c r="ET102" s="5"/>
      <c r="EU102" s="5"/>
      <c r="EV102" s="5"/>
      <c r="EW102" s="5"/>
      <c r="EX102" s="5"/>
      <c r="EY102" s="5"/>
      <c r="EZ102" s="5"/>
      <c r="FA102" s="5"/>
      <c r="FB102" s="5"/>
      <c r="FC102" s="5"/>
      <c r="FD102" s="5"/>
      <c r="FE102" s="5"/>
      <c r="FF102" s="5"/>
      <c r="FG102" s="5"/>
      <c r="FH102" s="5"/>
      <c r="FI102" s="5"/>
      <c r="FJ102" s="5"/>
      <c r="FK102" s="5"/>
      <c r="FL102" s="5"/>
      <c r="FM102" s="5"/>
      <c r="FN102" s="5"/>
      <c r="FO102" s="5"/>
      <c r="FP102" s="5"/>
      <c r="FQ102" s="5"/>
      <c r="FR102" s="5"/>
      <c r="FS102" s="5"/>
      <c r="FT102" s="5"/>
      <c r="FU102" s="5"/>
      <c r="FV102" s="5"/>
      <c r="FW102" s="5"/>
      <c r="FX102" s="5"/>
      <c r="FY102" s="5"/>
      <c r="FZ102" s="5"/>
      <c r="GA102" s="5"/>
      <c r="GB102" s="5"/>
      <c r="GC102" s="5"/>
      <c r="GD102" s="5"/>
      <c r="GE102" s="5"/>
      <c r="GF102" s="5"/>
      <c r="GG102" s="5"/>
      <c r="GH102" s="5"/>
      <c r="GI102" s="5"/>
      <c r="GJ102" s="5"/>
      <c r="GK102" s="5"/>
      <c r="GL102" s="5"/>
      <c r="GM102" s="5"/>
      <c r="GN102" s="5"/>
      <c r="GO102" s="5"/>
      <c r="GP102" s="5"/>
      <c r="GQ102" s="5"/>
      <c r="GR102" s="5"/>
      <c r="GS102" s="5"/>
      <c r="GT102" s="5"/>
      <c r="GU102" s="5"/>
      <c r="GV102" s="5"/>
      <c r="GW102" s="5"/>
      <c r="GX102" s="5"/>
      <c r="GY102" s="5"/>
      <c r="GZ102" s="5"/>
      <c r="HA102" s="5"/>
      <c r="HB102" s="5"/>
      <c r="HC102" s="5"/>
      <c r="HD102" s="5"/>
      <c r="HE102" s="5"/>
      <c r="HF102" s="5"/>
      <c r="HG102" s="5"/>
      <c r="HH102" s="5"/>
      <c r="HI102" s="5"/>
      <c r="HJ102" s="5"/>
      <c r="HK102" s="5"/>
      <c r="HL102" s="5"/>
      <c r="HM102" s="5"/>
      <c r="HN102" s="5"/>
      <c r="HO102" s="5"/>
      <c r="HP102" s="5"/>
      <c r="HQ102" s="5"/>
      <c r="HR102" s="5"/>
      <c r="HS102" s="5"/>
      <c r="HT102" s="5"/>
      <c r="HU102" s="5"/>
      <c r="HV102" s="5"/>
      <c r="HW102" s="5"/>
      <c r="HX102" s="5"/>
      <c r="HY102" s="5"/>
      <c r="HZ102" s="5"/>
      <c r="IA102" s="5"/>
      <c r="IB102" s="5"/>
      <c r="IC102" s="5"/>
      <c r="ID102" s="5"/>
      <c r="IE102" s="5"/>
      <c r="IF102" s="5"/>
      <c r="IG102" s="5"/>
      <c r="IH102" s="5"/>
      <c r="II102" s="5"/>
      <c r="IJ102" s="5"/>
      <c r="IK102" s="5"/>
      <c r="IL102" s="5"/>
      <c r="IM102" s="5"/>
      <c r="IN102" s="5"/>
      <c r="IO102" s="5"/>
      <c r="IP102" s="5"/>
      <c r="IQ102" s="5"/>
      <c r="IR102" s="5"/>
      <c r="IS102" s="5"/>
      <c r="IT102" s="5"/>
      <c r="IU102" s="5"/>
      <c r="IV102" s="5"/>
      <c r="IW102" s="5"/>
      <c r="IX102" s="5"/>
      <c r="IY102" s="5"/>
      <c r="IZ102" s="5"/>
      <c r="JA102" s="5"/>
      <c r="JB102" s="5"/>
      <c r="JC102" s="5"/>
      <c r="JD102" s="5"/>
      <c r="JE102" s="5"/>
      <c r="JF102" s="5"/>
      <c r="JG102" s="5"/>
      <c r="JH102" s="5"/>
      <c r="JI102" s="5"/>
      <c r="JJ102" s="5"/>
      <c r="JK102" s="5"/>
      <c r="JL102" s="5"/>
      <c r="JM102" s="5"/>
      <c r="JN102" s="5"/>
      <c r="JO102" s="5"/>
      <c r="JP102" s="5"/>
      <c r="JQ102" s="5"/>
      <c r="JR102" s="5"/>
      <c r="JS102" s="5"/>
      <c r="JT102" s="5"/>
      <c r="JU102" s="5"/>
      <c r="JV102" s="5"/>
      <c r="JW102" s="5"/>
      <c r="JX102" s="5"/>
      <c r="JY102" s="5"/>
      <c r="JZ102" s="5"/>
      <c r="KA102" s="5"/>
      <c r="KB102" s="5"/>
      <c r="KC102" s="5"/>
      <c r="KD102" s="5"/>
      <c r="KE102" s="5"/>
      <c r="KF102" s="5"/>
      <c r="KG102" s="5"/>
      <c r="KH102" s="5"/>
      <c r="KI102" s="5"/>
      <c r="KJ102" s="5"/>
      <c r="KK102" s="5"/>
      <c r="KL102" s="5"/>
      <c r="KM102" s="5"/>
      <c r="KN102" s="5"/>
      <c r="KO102" s="5"/>
      <c r="KP102" s="5"/>
      <c r="KQ102" s="5"/>
      <c r="KR102" s="5"/>
      <c r="KS102" s="5"/>
      <c r="KT102" s="5"/>
      <c r="KU102" s="5"/>
      <c r="KV102" s="5"/>
      <c r="KW102" s="5"/>
      <c r="KX102" s="5"/>
      <c r="KY102" s="5"/>
      <c r="KZ102" s="5"/>
      <c r="LA102" s="5"/>
      <c r="LB102" s="5"/>
      <c r="LC102" s="5"/>
      <c r="LD102" s="5"/>
      <c r="LE102" s="5"/>
      <c r="LF102" s="5"/>
      <c r="LG102" s="5"/>
      <c r="LH102" s="5"/>
      <c r="LI102" s="5"/>
      <c r="LJ102" s="5"/>
      <c r="LK102" s="5"/>
      <c r="LL102" s="5"/>
      <c r="LM102" s="5"/>
      <c r="LN102" s="5"/>
      <c r="LO102" s="5"/>
      <c r="LP102" s="5"/>
      <c r="LQ102" s="5"/>
      <c r="LR102" s="5"/>
      <c r="LS102" s="5"/>
      <c r="LT102" s="5"/>
      <c r="LU102" s="5"/>
      <c r="LV102" s="5"/>
      <c r="LW102" s="5"/>
      <c r="LX102" s="5"/>
      <c r="LY102" s="5"/>
      <c r="LZ102" s="5"/>
      <c r="MA102" s="5"/>
      <c r="MB102" s="5"/>
      <c r="MC102" s="5"/>
      <c r="MD102" s="5"/>
      <c r="ME102" s="5"/>
      <c r="MF102" s="5"/>
      <c r="MG102" s="5"/>
      <c r="MH102" s="5"/>
      <c r="MI102" s="5"/>
      <c r="MJ102" s="5"/>
      <c r="MK102" s="5"/>
      <c r="ML102" s="5"/>
      <c r="MM102" s="5"/>
      <c r="MN102" s="5"/>
      <c r="MO102" s="5"/>
      <c r="MP102" s="5"/>
      <c r="MQ102" s="5"/>
      <c r="MR102" s="5"/>
      <c r="MS102" s="5"/>
      <c r="MT102" s="5"/>
      <c r="MU102" s="5"/>
      <c r="MV102" s="5"/>
      <c r="MW102" s="5"/>
      <c r="MX102" s="5"/>
      <c r="MY102" s="5"/>
      <c r="MZ102" s="5"/>
      <c r="NA102" s="5"/>
      <c r="NB102" s="5"/>
      <c r="NC102" s="5"/>
      <c r="ND102" s="5"/>
      <c r="NE102" s="5"/>
      <c r="NF102" s="5"/>
      <c r="NG102" s="5"/>
      <c r="NH102" s="5"/>
      <c r="NI102" s="5"/>
      <c r="NJ102" s="5"/>
      <c r="NK102" s="5"/>
      <c r="NL102" s="5"/>
      <c r="NM102" s="5"/>
      <c r="NN102" s="5"/>
      <c r="NO102" s="5"/>
      <c r="NP102" s="5"/>
      <c r="NQ102" s="5"/>
      <c r="NR102" s="5"/>
      <c r="NS102" s="5"/>
      <c r="NT102" s="5"/>
      <c r="NU102" s="5"/>
      <c r="NV102" s="5"/>
      <c r="NW102" s="5"/>
      <c r="NX102" s="5"/>
      <c r="NY102" s="5"/>
      <c r="NZ102" s="5"/>
      <c r="OA102" s="5"/>
      <c r="OB102" s="5"/>
      <c r="OC102" s="5"/>
      <c r="OD102" s="5"/>
      <c r="OE102" s="5"/>
      <c r="OF102" s="5"/>
      <c r="OG102" s="5"/>
      <c r="OH102" s="5"/>
      <c r="OI102" s="5"/>
      <c r="OJ102" s="5"/>
      <c r="OK102" s="5"/>
      <c r="OL102" s="5"/>
      <c r="OM102" s="5"/>
      <c r="ON102" s="5"/>
      <c r="OO102" s="5"/>
      <c r="OP102" s="5"/>
      <c r="OQ102" s="5"/>
      <c r="OR102" s="5"/>
      <c r="OS102" s="5"/>
      <c r="OT102" s="5"/>
      <c r="OU102" s="5"/>
      <c r="OV102" s="5"/>
      <c r="OW102" s="5"/>
      <c r="OX102" s="5"/>
      <c r="OY102" s="5"/>
      <c r="OZ102" s="5"/>
      <c r="PA102" s="5"/>
      <c r="PB102" s="5"/>
      <c r="PC102" s="5"/>
      <c r="PD102" s="5"/>
      <c r="PE102" s="5"/>
      <c r="PF102" s="5"/>
      <c r="PG102" s="5"/>
      <c r="PH102" s="5"/>
      <c r="PI102" s="5"/>
      <c r="PJ102" s="5"/>
      <c r="PK102" s="5"/>
      <c r="PL102" s="5"/>
      <c r="PM102" s="5"/>
      <c r="PN102" s="5"/>
      <c r="PO102" s="5"/>
      <c r="PP102" s="5"/>
      <c r="PQ102" s="5"/>
      <c r="PR102" s="5"/>
      <c r="PS102" s="5"/>
      <c r="PT102" s="5"/>
      <c r="PU102" s="5"/>
      <c r="PV102" s="5"/>
      <c r="PW102" s="5"/>
      <c r="PX102" s="5"/>
      <c r="PY102" s="5"/>
      <c r="PZ102" s="5"/>
      <c r="QA102" s="5"/>
      <c r="QB102" s="5"/>
      <c r="QC102" s="5"/>
      <c r="QD102" s="5"/>
      <c r="QE102" s="5"/>
      <c r="QF102" s="5"/>
      <c r="QG102" s="5"/>
      <c r="QH102" s="5"/>
      <c r="QI102" s="5"/>
      <c r="QJ102" s="5"/>
      <c r="QK102" s="5"/>
      <c r="QL102" s="5"/>
      <c r="QM102" s="5"/>
      <c r="QN102" s="5"/>
      <c r="QO102" s="5"/>
      <c r="QP102" s="5"/>
      <c r="QQ102" s="5"/>
      <c r="QR102" s="5"/>
      <c r="QS102" s="5"/>
      <c r="QT102" s="5"/>
      <c r="QU102" s="5"/>
      <c r="QV102" s="5"/>
      <c r="QW102" s="5"/>
      <c r="QX102" s="5"/>
      <c r="QY102" s="5"/>
      <c r="QZ102" s="5"/>
      <c r="RA102" s="5"/>
      <c r="RB102" s="5"/>
      <c r="RC102" s="5"/>
      <c r="RD102" s="5"/>
      <c r="RE102" s="5"/>
      <c r="RF102" s="5"/>
      <c r="RG102" s="5"/>
      <c r="RH102" s="5"/>
      <c r="RI102" s="5"/>
      <c r="RJ102" s="5"/>
      <c r="RK102" s="5"/>
      <c r="RL102" s="5"/>
      <c r="RM102" s="5"/>
      <c r="RN102" s="5"/>
      <c r="RO102" s="5"/>
      <c r="RP102" s="5"/>
      <c r="RQ102" s="5"/>
      <c r="RR102" s="5"/>
      <c r="RS102" s="5"/>
      <c r="RT102" s="5"/>
      <c r="RU102" s="5"/>
      <c r="RV102" s="5"/>
      <c r="RW102" s="5"/>
      <c r="RX102" s="5"/>
      <c r="RY102" s="5"/>
      <c r="RZ102" s="5"/>
      <c r="SA102" s="5"/>
      <c r="SB102" s="5"/>
      <c r="SC102" s="5"/>
      <c r="SD102" s="5"/>
      <c r="SE102" s="5"/>
      <c r="SF102" s="5"/>
      <c r="SG102" s="5"/>
      <c r="SH102" s="5"/>
      <c r="SI102" s="5"/>
      <c r="SJ102" s="5"/>
      <c r="SK102" s="5"/>
      <c r="SL102" s="5"/>
      <c r="SM102" s="5"/>
      <c r="SN102" s="5"/>
      <c r="SO102" s="5"/>
      <c r="SP102" s="5"/>
      <c r="SQ102" s="5"/>
      <c r="SR102" s="5"/>
      <c r="SS102" s="5"/>
      <c r="ST102" s="5"/>
      <c r="SU102" s="5"/>
      <c r="SV102" s="5"/>
      <c r="SW102" s="5"/>
      <c r="SX102" s="5"/>
      <c r="SY102" s="5"/>
      <c r="SZ102" s="5"/>
      <c r="TA102" s="5"/>
      <c r="TB102" s="5"/>
      <c r="TC102" s="5"/>
      <c r="TD102" s="5"/>
      <c r="TE102" s="5"/>
      <c r="TF102" s="5"/>
      <c r="TG102" s="5"/>
      <c r="TH102" s="5"/>
      <c r="TI102" s="5"/>
      <c r="TJ102" s="5"/>
      <c r="TK102" s="5"/>
      <c r="TL102" s="5"/>
      <c r="TM102" s="5"/>
      <c r="TN102" s="5"/>
      <c r="TO102" s="5"/>
      <c r="TP102" s="5"/>
      <c r="TQ102" s="5"/>
      <c r="TR102" s="5"/>
      <c r="TS102" s="5"/>
      <c r="TT102" s="5"/>
      <c r="TU102" s="5"/>
      <c r="TV102" s="5"/>
      <c r="TW102" s="5"/>
      <c r="TX102" s="5"/>
      <c r="TY102" s="5"/>
      <c r="TZ102" s="5"/>
      <c r="UA102" s="5"/>
      <c r="UB102" s="5"/>
      <c r="UC102" s="5"/>
      <c r="UD102" s="5"/>
      <c r="UE102" s="5"/>
      <c r="UF102" s="5"/>
      <c r="UG102" s="5"/>
      <c r="UH102" s="5"/>
      <c r="UI102" s="5"/>
      <c r="UJ102" s="5"/>
      <c r="UK102" s="5"/>
      <c r="UL102" s="5"/>
      <c r="UM102" s="5"/>
      <c r="UN102" s="5"/>
      <c r="UO102" s="5"/>
      <c r="UP102" s="5"/>
      <c r="UQ102" s="5"/>
      <c r="UR102" s="5"/>
      <c r="US102" s="5"/>
      <c r="UT102" s="5"/>
      <c r="UU102" s="5"/>
      <c r="UV102" s="5"/>
      <c r="UW102" s="5"/>
      <c r="UX102" s="5"/>
      <c r="UY102" s="5"/>
      <c r="UZ102" s="5"/>
      <c r="VA102" s="5"/>
      <c r="VB102" s="5"/>
      <c r="VC102" s="5"/>
      <c r="VD102" s="5"/>
      <c r="VE102" s="5"/>
      <c r="VF102" s="5"/>
      <c r="VG102" s="5"/>
      <c r="VH102" s="5"/>
      <c r="VI102" s="5"/>
      <c r="VJ102" s="5"/>
      <c r="VK102" s="5"/>
      <c r="VL102" s="5"/>
      <c r="VM102" s="5"/>
      <c r="VN102" s="5"/>
      <c r="VO102" s="5"/>
      <c r="VP102" s="5"/>
      <c r="VQ102" s="5"/>
      <c r="VR102" s="5"/>
      <c r="VS102" s="5"/>
      <c r="VT102" s="5"/>
      <c r="VU102" s="5"/>
      <c r="VV102" s="5"/>
      <c r="VW102" s="5"/>
      <c r="VX102" s="5"/>
      <c r="VY102" s="5"/>
      <c r="VZ102" s="5"/>
      <c r="WA102" s="5"/>
      <c r="WB102" s="5"/>
      <c r="WC102" s="5"/>
      <c r="WD102" s="5"/>
      <c r="WE102" s="5"/>
      <c r="WF102" s="5"/>
      <c r="WG102" s="5"/>
      <c r="WH102" s="5"/>
      <c r="WI102" s="5"/>
      <c r="WJ102" s="5"/>
      <c r="WK102" s="5"/>
      <c r="WL102" s="5"/>
      <c r="WM102" s="5"/>
      <c r="WN102" s="5"/>
      <c r="WO102" s="5"/>
      <c r="WP102" s="5"/>
      <c r="WQ102" s="5"/>
      <c r="WR102" s="5"/>
      <c r="WS102" s="5"/>
      <c r="WT102" s="5"/>
      <c r="WU102" s="5"/>
      <c r="WV102" s="5"/>
      <c r="WW102" s="5"/>
      <c r="WX102" s="5"/>
      <c r="WY102" s="5"/>
      <c r="WZ102" s="5"/>
      <c r="XA102" s="5"/>
      <c r="XB102" s="5"/>
      <c r="XC102" s="5"/>
      <c r="XD102" s="5"/>
      <c r="XE102" s="5"/>
      <c r="XF102" s="5"/>
      <c r="XG102" s="5"/>
      <c r="XH102" s="5"/>
      <c r="XI102" s="5"/>
      <c r="XJ102" s="5"/>
      <c r="XK102" s="5"/>
      <c r="XL102" s="5"/>
      <c r="XM102" s="5"/>
      <c r="XN102" s="5"/>
      <c r="XO102" s="5"/>
      <c r="XP102" s="5"/>
      <c r="XQ102" s="5"/>
      <c r="XR102" s="5"/>
      <c r="XS102" s="5"/>
      <c r="XT102" s="5"/>
      <c r="XU102" s="5"/>
      <c r="XV102" s="5"/>
      <c r="XW102" s="5"/>
      <c r="XX102" s="5"/>
      <c r="XY102" s="5"/>
      <c r="XZ102" s="5"/>
      <c r="YA102" s="5"/>
      <c r="YB102" s="5"/>
      <c r="YC102" s="5"/>
      <c r="YD102" s="5"/>
      <c r="YE102" s="5"/>
      <c r="YF102" s="5"/>
      <c r="YG102" s="5"/>
      <c r="YH102" s="5"/>
      <c r="YI102" s="5"/>
      <c r="YJ102" s="5"/>
      <c r="YK102" s="5"/>
      <c r="YL102" s="5"/>
      <c r="YM102" s="5"/>
      <c r="YN102" s="5"/>
      <c r="YO102" s="5"/>
      <c r="YP102" s="5"/>
      <c r="YQ102" s="5"/>
      <c r="YR102" s="5"/>
      <c r="YS102" s="5"/>
      <c r="YT102" s="5"/>
      <c r="YU102" s="5"/>
      <c r="YV102" s="5"/>
      <c r="YW102" s="5"/>
      <c r="YX102" s="5"/>
      <c r="YY102" s="5"/>
      <c r="YZ102" s="5"/>
    </row>
    <row r="103" spans="1:676">
      <c r="A103" s="7">
        <v>93</v>
      </c>
      <c r="B103" s="7" t="s">
        <v>259</v>
      </c>
      <c r="C103" s="10" t="s">
        <v>260</v>
      </c>
      <c r="D103" s="7" t="s">
        <v>129</v>
      </c>
      <c r="E103" s="7" t="s">
        <v>218</v>
      </c>
      <c r="F103" s="7" t="s">
        <v>255</v>
      </c>
      <c r="G103" s="7"/>
      <c r="H103" s="7" t="s">
        <v>43</v>
      </c>
      <c r="I103" s="11">
        <v>2</v>
      </c>
      <c r="J103" s="11">
        <v>3</v>
      </c>
      <c r="K103" s="11">
        <v>0</v>
      </c>
      <c r="L103" s="11">
        <v>2.48</v>
      </c>
      <c r="M103" s="11">
        <v>0.58</v>
      </c>
      <c r="N103" s="11">
        <v>0</v>
      </c>
      <c r="O103" s="11">
        <v>0.64</v>
      </c>
      <c r="P103" s="11">
        <v>0</v>
      </c>
      <c r="Q103" s="11">
        <v>3.7</v>
      </c>
      <c r="R103" s="11">
        <v>0</v>
      </c>
      <c r="S103" s="11">
        <v>3.7</v>
      </c>
      <c r="T103" s="11">
        <v>2</v>
      </c>
      <c r="U103" s="11">
        <v>1.7</v>
      </c>
      <c r="V103" s="11">
        <v>0</v>
      </c>
      <c r="W103" s="13">
        <v>2</v>
      </c>
      <c r="X103" s="13">
        <v>3</v>
      </c>
      <c r="Y103" s="13" t="str">
        <f>MIN(W103,S103)</f>
        <v>0</v>
      </c>
      <c r="Z103" s="13" t="str">
        <f>MIN(X103,(S103-Y103))</f>
        <v>0</v>
      </c>
      <c r="AA103" s="13" t="str">
        <f>S103-SUM(Y103,Z103)</f>
        <v>0</v>
      </c>
      <c r="AB103" s="15"/>
      <c r="AC103" s="15"/>
      <c r="AD103" s="1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  <c r="CT103" s="5"/>
      <c r="CU103" s="5"/>
      <c r="CV103" s="5"/>
      <c r="CW103" s="5"/>
      <c r="CX103" s="5"/>
      <c r="CY103" s="5"/>
      <c r="CZ103" s="5"/>
      <c r="DA103" s="5"/>
      <c r="DB103" s="5"/>
      <c r="DC103" s="5"/>
      <c r="DD103" s="5"/>
      <c r="DE103" s="5"/>
      <c r="DF103" s="5"/>
      <c r="DG103" s="5"/>
      <c r="DH103" s="5"/>
      <c r="DI103" s="5"/>
      <c r="DJ103" s="5"/>
      <c r="DK103" s="5"/>
      <c r="DL103" s="5"/>
      <c r="DM103" s="5"/>
      <c r="DN103" s="5"/>
      <c r="DO103" s="5"/>
      <c r="DP103" s="5"/>
      <c r="DQ103" s="5"/>
      <c r="DR103" s="5"/>
      <c r="DS103" s="5"/>
      <c r="DT103" s="5"/>
      <c r="DU103" s="5"/>
      <c r="DV103" s="5"/>
      <c r="DW103" s="5"/>
      <c r="DX103" s="5"/>
      <c r="DY103" s="5"/>
      <c r="DZ103" s="5"/>
      <c r="EA103" s="5"/>
      <c r="EB103" s="5"/>
      <c r="EC103" s="5"/>
      <c r="ED103" s="5"/>
      <c r="EE103" s="5"/>
      <c r="EF103" s="5"/>
      <c r="EG103" s="5"/>
      <c r="EH103" s="5"/>
      <c r="EI103" s="5"/>
      <c r="EJ103" s="5"/>
      <c r="EK103" s="5"/>
      <c r="EL103" s="5"/>
      <c r="EM103" s="5"/>
      <c r="EN103" s="5"/>
      <c r="EO103" s="5"/>
      <c r="EP103" s="5"/>
      <c r="EQ103" s="5"/>
      <c r="ER103" s="5"/>
      <c r="ES103" s="5"/>
      <c r="ET103" s="5"/>
      <c r="EU103" s="5"/>
      <c r="EV103" s="5"/>
      <c r="EW103" s="5"/>
      <c r="EX103" s="5"/>
      <c r="EY103" s="5"/>
      <c r="EZ103" s="5"/>
      <c r="FA103" s="5"/>
      <c r="FB103" s="5"/>
      <c r="FC103" s="5"/>
      <c r="FD103" s="5"/>
      <c r="FE103" s="5"/>
      <c r="FF103" s="5"/>
      <c r="FG103" s="5"/>
      <c r="FH103" s="5"/>
      <c r="FI103" s="5"/>
      <c r="FJ103" s="5"/>
      <c r="FK103" s="5"/>
      <c r="FL103" s="5"/>
      <c r="FM103" s="5"/>
      <c r="FN103" s="5"/>
      <c r="FO103" s="5"/>
      <c r="FP103" s="5"/>
      <c r="FQ103" s="5"/>
      <c r="FR103" s="5"/>
      <c r="FS103" s="5"/>
      <c r="FT103" s="5"/>
      <c r="FU103" s="5"/>
      <c r="FV103" s="5"/>
      <c r="FW103" s="5"/>
      <c r="FX103" s="5"/>
      <c r="FY103" s="5"/>
      <c r="FZ103" s="5"/>
      <c r="GA103" s="5"/>
      <c r="GB103" s="5"/>
      <c r="GC103" s="5"/>
      <c r="GD103" s="5"/>
      <c r="GE103" s="5"/>
      <c r="GF103" s="5"/>
      <c r="GG103" s="5"/>
      <c r="GH103" s="5"/>
      <c r="GI103" s="5"/>
      <c r="GJ103" s="5"/>
      <c r="GK103" s="5"/>
      <c r="GL103" s="5"/>
      <c r="GM103" s="5"/>
      <c r="GN103" s="5"/>
      <c r="GO103" s="5"/>
      <c r="GP103" s="5"/>
      <c r="GQ103" s="5"/>
      <c r="GR103" s="5"/>
      <c r="GS103" s="5"/>
      <c r="GT103" s="5"/>
      <c r="GU103" s="5"/>
      <c r="GV103" s="5"/>
      <c r="GW103" s="5"/>
      <c r="GX103" s="5"/>
      <c r="GY103" s="5"/>
      <c r="GZ103" s="5"/>
      <c r="HA103" s="5"/>
      <c r="HB103" s="5"/>
      <c r="HC103" s="5"/>
      <c r="HD103" s="5"/>
      <c r="HE103" s="5"/>
      <c r="HF103" s="5"/>
      <c r="HG103" s="5"/>
      <c r="HH103" s="5"/>
      <c r="HI103" s="5"/>
      <c r="HJ103" s="5"/>
      <c r="HK103" s="5"/>
      <c r="HL103" s="5"/>
      <c r="HM103" s="5"/>
      <c r="HN103" s="5"/>
      <c r="HO103" s="5"/>
      <c r="HP103" s="5"/>
      <c r="HQ103" s="5"/>
      <c r="HR103" s="5"/>
      <c r="HS103" s="5"/>
      <c r="HT103" s="5"/>
      <c r="HU103" s="5"/>
      <c r="HV103" s="5"/>
      <c r="HW103" s="5"/>
      <c r="HX103" s="5"/>
      <c r="HY103" s="5"/>
      <c r="HZ103" s="5"/>
      <c r="IA103" s="5"/>
      <c r="IB103" s="5"/>
      <c r="IC103" s="5"/>
      <c r="ID103" s="5"/>
      <c r="IE103" s="5"/>
      <c r="IF103" s="5"/>
      <c r="IG103" s="5"/>
      <c r="IH103" s="5"/>
      <c r="II103" s="5"/>
      <c r="IJ103" s="5"/>
      <c r="IK103" s="5"/>
      <c r="IL103" s="5"/>
      <c r="IM103" s="5"/>
      <c r="IN103" s="5"/>
      <c r="IO103" s="5"/>
      <c r="IP103" s="5"/>
      <c r="IQ103" s="5"/>
      <c r="IR103" s="5"/>
      <c r="IS103" s="5"/>
      <c r="IT103" s="5"/>
      <c r="IU103" s="5"/>
      <c r="IV103" s="5"/>
      <c r="IW103" s="5"/>
      <c r="IX103" s="5"/>
      <c r="IY103" s="5"/>
      <c r="IZ103" s="5"/>
      <c r="JA103" s="5"/>
      <c r="JB103" s="5"/>
      <c r="JC103" s="5"/>
      <c r="JD103" s="5"/>
      <c r="JE103" s="5"/>
      <c r="JF103" s="5"/>
      <c r="JG103" s="5"/>
      <c r="JH103" s="5"/>
      <c r="JI103" s="5"/>
      <c r="JJ103" s="5"/>
      <c r="JK103" s="5"/>
      <c r="JL103" s="5"/>
      <c r="JM103" s="5"/>
      <c r="JN103" s="5"/>
      <c r="JO103" s="5"/>
      <c r="JP103" s="5"/>
      <c r="JQ103" s="5"/>
      <c r="JR103" s="5"/>
      <c r="JS103" s="5"/>
      <c r="JT103" s="5"/>
      <c r="JU103" s="5"/>
      <c r="JV103" s="5"/>
      <c r="JW103" s="5"/>
      <c r="JX103" s="5"/>
      <c r="JY103" s="5"/>
      <c r="JZ103" s="5"/>
      <c r="KA103" s="5"/>
      <c r="KB103" s="5"/>
      <c r="KC103" s="5"/>
      <c r="KD103" s="5"/>
      <c r="KE103" s="5"/>
      <c r="KF103" s="5"/>
      <c r="KG103" s="5"/>
      <c r="KH103" s="5"/>
      <c r="KI103" s="5"/>
      <c r="KJ103" s="5"/>
      <c r="KK103" s="5"/>
      <c r="KL103" s="5"/>
      <c r="KM103" s="5"/>
      <c r="KN103" s="5"/>
      <c r="KO103" s="5"/>
      <c r="KP103" s="5"/>
      <c r="KQ103" s="5"/>
      <c r="KR103" s="5"/>
      <c r="KS103" s="5"/>
      <c r="KT103" s="5"/>
      <c r="KU103" s="5"/>
      <c r="KV103" s="5"/>
      <c r="KW103" s="5"/>
      <c r="KX103" s="5"/>
      <c r="KY103" s="5"/>
      <c r="KZ103" s="5"/>
      <c r="LA103" s="5"/>
      <c r="LB103" s="5"/>
      <c r="LC103" s="5"/>
      <c r="LD103" s="5"/>
      <c r="LE103" s="5"/>
      <c r="LF103" s="5"/>
      <c r="LG103" s="5"/>
      <c r="LH103" s="5"/>
      <c r="LI103" s="5"/>
      <c r="LJ103" s="5"/>
      <c r="LK103" s="5"/>
      <c r="LL103" s="5"/>
      <c r="LM103" s="5"/>
      <c r="LN103" s="5"/>
      <c r="LO103" s="5"/>
      <c r="LP103" s="5"/>
      <c r="LQ103" s="5"/>
      <c r="LR103" s="5"/>
      <c r="LS103" s="5"/>
      <c r="LT103" s="5"/>
      <c r="LU103" s="5"/>
      <c r="LV103" s="5"/>
      <c r="LW103" s="5"/>
      <c r="LX103" s="5"/>
      <c r="LY103" s="5"/>
      <c r="LZ103" s="5"/>
      <c r="MA103" s="5"/>
      <c r="MB103" s="5"/>
      <c r="MC103" s="5"/>
      <c r="MD103" s="5"/>
      <c r="ME103" s="5"/>
      <c r="MF103" s="5"/>
      <c r="MG103" s="5"/>
      <c r="MH103" s="5"/>
      <c r="MI103" s="5"/>
      <c r="MJ103" s="5"/>
      <c r="MK103" s="5"/>
      <c r="ML103" s="5"/>
      <c r="MM103" s="5"/>
      <c r="MN103" s="5"/>
      <c r="MO103" s="5"/>
      <c r="MP103" s="5"/>
      <c r="MQ103" s="5"/>
      <c r="MR103" s="5"/>
      <c r="MS103" s="5"/>
      <c r="MT103" s="5"/>
      <c r="MU103" s="5"/>
      <c r="MV103" s="5"/>
      <c r="MW103" s="5"/>
      <c r="MX103" s="5"/>
      <c r="MY103" s="5"/>
      <c r="MZ103" s="5"/>
      <c r="NA103" s="5"/>
      <c r="NB103" s="5"/>
      <c r="NC103" s="5"/>
      <c r="ND103" s="5"/>
      <c r="NE103" s="5"/>
      <c r="NF103" s="5"/>
      <c r="NG103" s="5"/>
      <c r="NH103" s="5"/>
      <c r="NI103" s="5"/>
      <c r="NJ103" s="5"/>
      <c r="NK103" s="5"/>
      <c r="NL103" s="5"/>
      <c r="NM103" s="5"/>
      <c r="NN103" s="5"/>
      <c r="NO103" s="5"/>
      <c r="NP103" s="5"/>
      <c r="NQ103" s="5"/>
      <c r="NR103" s="5"/>
      <c r="NS103" s="5"/>
      <c r="NT103" s="5"/>
      <c r="NU103" s="5"/>
      <c r="NV103" s="5"/>
      <c r="NW103" s="5"/>
      <c r="NX103" s="5"/>
      <c r="NY103" s="5"/>
      <c r="NZ103" s="5"/>
      <c r="OA103" s="5"/>
      <c r="OB103" s="5"/>
      <c r="OC103" s="5"/>
      <c r="OD103" s="5"/>
      <c r="OE103" s="5"/>
      <c r="OF103" s="5"/>
      <c r="OG103" s="5"/>
      <c r="OH103" s="5"/>
      <c r="OI103" s="5"/>
      <c r="OJ103" s="5"/>
      <c r="OK103" s="5"/>
      <c r="OL103" s="5"/>
      <c r="OM103" s="5"/>
      <c r="ON103" s="5"/>
      <c r="OO103" s="5"/>
      <c r="OP103" s="5"/>
      <c r="OQ103" s="5"/>
      <c r="OR103" s="5"/>
      <c r="OS103" s="5"/>
      <c r="OT103" s="5"/>
      <c r="OU103" s="5"/>
      <c r="OV103" s="5"/>
      <c r="OW103" s="5"/>
      <c r="OX103" s="5"/>
      <c r="OY103" s="5"/>
      <c r="OZ103" s="5"/>
      <c r="PA103" s="5"/>
      <c r="PB103" s="5"/>
      <c r="PC103" s="5"/>
      <c r="PD103" s="5"/>
      <c r="PE103" s="5"/>
      <c r="PF103" s="5"/>
      <c r="PG103" s="5"/>
      <c r="PH103" s="5"/>
      <c r="PI103" s="5"/>
      <c r="PJ103" s="5"/>
      <c r="PK103" s="5"/>
      <c r="PL103" s="5"/>
      <c r="PM103" s="5"/>
      <c r="PN103" s="5"/>
      <c r="PO103" s="5"/>
      <c r="PP103" s="5"/>
      <c r="PQ103" s="5"/>
      <c r="PR103" s="5"/>
      <c r="PS103" s="5"/>
      <c r="PT103" s="5"/>
      <c r="PU103" s="5"/>
      <c r="PV103" s="5"/>
      <c r="PW103" s="5"/>
      <c r="PX103" s="5"/>
      <c r="PY103" s="5"/>
      <c r="PZ103" s="5"/>
      <c r="QA103" s="5"/>
      <c r="QB103" s="5"/>
      <c r="QC103" s="5"/>
      <c r="QD103" s="5"/>
      <c r="QE103" s="5"/>
      <c r="QF103" s="5"/>
      <c r="QG103" s="5"/>
      <c r="QH103" s="5"/>
      <c r="QI103" s="5"/>
      <c r="QJ103" s="5"/>
      <c r="QK103" s="5"/>
      <c r="QL103" s="5"/>
      <c r="QM103" s="5"/>
      <c r="QN103" s="5"/>
      <c r="QO103" s="5"/>
      <c r="QP103" s="5"/>
      <c r="QQ103" s="5"/>
      <c r="QR103" s="5"/>
      <c r="QS103" s="5"/>
      <c r="QT103" s="5"/>
      <c r="QU103" s="5"/>
      <c r="QV103" s="5"/>
      <c r="QW103" s="5"/>
      <c r="QX103" s="5"/>
      <c r="QY103" s="5"/>
      <c r="QZ103" s="5"/>
      <c r="RA103" s="5"/>
      <c r="RB103" s="5"/>
      <c r="RC103" s="5"/>
      <c r="RD103" s="5"/>
      <c r="RE103" s="5"/>
      <c r="RF103" s="5"/>
      <c r="RG103" s="5"/>
      <c r="RH103" s="5"/>
      <c r="RI103" s="5"/>
      <c r="RJ103" s="5"/>
      <c r="RK103" s="5"/>
      <c r="RL103" s="5"/>
      <c r="RM103" s="5"/>
      <c r="RN103" s="5"/>
      <c r="RO103" s="5"/>
      <c r="RP103" s="5"/>
      <c r="RQ103" s="5"/>
      <c r="RR103" s="5"/>
      <c r="RS103" s="5"/>
      <c r="RT103" s="5"/>
      <c r="RU103" s="5"/>
      <c r="RV103" s="5"/>
      <c r="RW103" s="5"/>
      <c r="RX103" s="5"/>
      <c r="RY103" s="5"/>
      <c r="RZ103" s="5"/>
      <c r="SA103" s="5"/>
      <c r="SB103" s="5"/>
      <c r="SC103" s="5"/>
      <c r="SD103" s="5"/>
      <c r="SE103" s="5"/>
      <c r="SF103" s="5"/>
      <c r="SG103" s="5"/>
      <c r="SH103" s="5"/>
      <c r="SI103" s="5"/>
      <c r="SJ103" s="5"/>
      <c r="SK103" s="5"/>
      <c r="SL103" s="5"/>
      <c r="SM103" s="5"/>
      <c r="SN103" s="5"/>
      <c r="SO103" s="5"/>
      <c r="SP103" s="5"/>
      <c r="SQ103" s="5"/>
      <c r="SR103" s="5"/>
      <c r="SS103" s="5"/>
      <c r="ST103" s="5"/>
      <c r="SU103" s="5"/>
      <c r="SV103" s="5"/>
      <c r="SW103" s="5"/>
      <c r="SX103" s="5"/>
      <c r="SY103" s="5"/>
      <c r="SZ103" s="5"/>
      <c r="TA103" s="5"/>
      <c r="TB103" s="5"/>
      <c r="TC103" s="5"/>
      <c r="TD103" s="5"/>
      <c r="TE103" s="5"/>
      <c r="TF103" s="5"/>
      <c r="TG103" s="5"/>
      <c r="TH103" s="5"/>
      <c r="TI103" s="5"/>
      <c r="TJ103" s="5"/>
      <c r="TK103" s="5"/>
      <c r="TL103" s="5"/>
      <c r="TM103" s="5"/>
      <c r="TN103" s="5"/>
      <c r="TO103" s="5"/>
      <c r="TP103" s="5"/>
      <c r="TQ103" s="5"/>
      <c r="TR103" s="5"/>
      <c r="TS103" s="5"/>
      <c r="TT103" s="5"/>
      <c r="TU103" s="5"/>
      <c r="TV103" s="5"/>
      <c r="TW103" s="5"/>
      <c r="TX103" s="5"/>
      <c r="TY103" s="5"/>
      <c r="TZ103" s="5"/>
      <c r="UA103" s="5"/>
      <c r="UB103" s="5"/>
      <c r="UC103" s="5"/>
      <c r="UD103" s="5"/>
      <c r="UE103" s="5"/>
      <c r="UF103" s="5"/>
      <c r="UG103" s="5"/>
      <c r="UH103" s="5"/>
      <c r="UI103" s="5"/>
      <c r="UJ103" s="5"/>
      <c r="UK103" s="5"/>
      <c r="UL103" s="5"/>
      <c r="UM103" s="5"/>
      <c r="UN103" s="5"/>
      <c r="UO103" s="5"/>
      <c r="UP103" s="5"/>
      <c r="UQ103" s="5"/>
      <c r="UR103" s="5"/>
      <c r="US103" s="5"/>
      <c r="UT103" s="5"/>
      <c r="UU103" s="5"/>
      <c r="UV103" s="5"/>
      <c r="UW103" s="5"/>
      <c r="UX103" s="5"/>
      <c r="UY103" s="5"/>
      <c r="UZ103" s="5"/>
      <c r="VA103" s="5"/>
      <c r="VB103" s="5"/>
      <c r="VC103" s="5"/>
      <c r="VD103" s="5"/>
      <c r="VE103" s="5"/>
      <c r="VF103" s="5"/>
      <c r="VG103" s="5"/>
      <c r="VH103" s="5"/>
      <c r="VI103" s="5"/>
      <c r="VJ103" s="5"/>
      <c r="VK103" s="5"/>
      <c r="VL103" s="5"/>
      <c r="VM103" s="5"/>
      <c r="VN103" s="5"/>
      <c r="VO103" s="5"/>
      <c r="VP103" s="5"/>
      <c r="VQ103" s="5"/>
      <c r="VR103" s="5"/>
      <c r="VS103" s="5"/>
      <c r="VT103" s="5"/>
      <c r="VU103" s="5"/>
      <c r="VV103" s="5"/>
      <c r="VW103" s="5"/>
      <c r="VX103" s="5"/>
      <c r="VY103" s="5"/>
      <c r="VZ103" s="5"/>
      <c r="WA103" s="5"/>
      <c r="WB103" s="5"/>
      <c r="WC103" s="5"/>
      <c r="WD103" s="5"/>
      <c r="WE103" s="5"/>
      <c r="WF103" s="5"/>
      <c r="WG103" s="5"/>
      <c r="WH103" s="5"/>
      <c r="WI103" s="5"/>
      <c r="WJ103" s="5"/>
      <c r="WK103" s="5"/>
      <c r="WL103" s="5"/>
      <c r="WM103" s="5"/>
      <c r="WN103" s="5"/>
      <c r="WO103" s="5"/>
      <c r="WP103" s="5"/>
      <c r="WQ103" s="5"/>
      <c r="WR103" s="5"/>
      <c r="WS103" s="5"/>
      <c r="WT103" s="5"/>
      <c r="WU103" s="5"/>
      <c r="WV103" s="5"/>
      <c r="WW103" s="5"/>
      <c r="WX103" s="5"/>
      <c r="WY103" s="5"/>
      <c r="WZ103" s="5"/>
      <c r="XA103" s="5"/>
      <c r="XB103" s="5"/>
      <c r="XC103" s="5"/>
      <c r="XD103" s="5"/>
      <c r="XE103" s="5"/>
      <c r="XF103" s="5"/>
      <c r="XG103" s="5"/>
      <c r="XH103" s="5"/>
      <c r="XI103" s="5"/>
      <c r="XJ103" s="5"/>
      <c r="XK103" s="5"/>
      <c r="XL103" s="5"/>
      <c r="XM103" s="5"/>
      <c r="XN103" s="5"/>
      <c r="XO103" s="5"/>
      <c r="XP103" s="5"/>
      <c r="XQ103" s="5"/>
      <c r="XR103" s="5"/>
      <c r="XS103" s="5"/>
      <c r="XT103" s="5"/>
      <c r="XU103" s="5"/>
      <c r="XV103" s="5"/>
      <c r="XW103" s="5"/>
      <c r="XX103" s="5"/>
      <c r="XY103" s="5"/>
      <c r="XZ103" s="5"/>
      <c r="YA103" s="5"/>
      <c r="YB103" s="5"/>
      <c r="YC103" s="5"/>
      <c r="YD103" s="5"/>
      <c r="YE103" s="5"/>
      <c r="YF103" s="5"/>
      <c r="YG103" s="5"/>
      <c r="YH103" s="5"/>
      <c r="YI103" s="5"/>
      <c r="YJ103" s="5"/>
      <c r="YK103" s="5"/>
      <c r="YL103" s="5"/>
      <c r="YM103" s="5"/>
      <c r="YN103" s="5"/>
      <c r="YO103" s="5"/>
      <c r="YP103" s="5"/>
      <c r="YQ103" s="5"/>
      <c r="YR103" s="5"/>
      <c r="YS103" s="5"/>
      <c r="YT103" s="5"/>
      <c r="YU103" s="5"/>
      <c r="YV103" s="5"/>
      <c r="YW103" s="5"/>
      <c r="YX103" s="5"/>
      <c r="YY103" s="5"/>
      <c r="YZ103" s="5"/>
    </row>
    <row r="104" spans="1:676">
      <c r="A104" s="7">
        <v>94</v>
      </c>
      <c r="B104" s="7" t="s">
        <v>261</v>
      </c>
      <c r="C104" s="10" t="s">
        <v>262</v>
      </c>
      <c r="D104" s="7" t="s">
        <v>60</v>
      </c>
      <c r="E104" s="7" t="s">
        <v>218</v>
      </c>
      <c r="F104" s="7" t="s">
        <v>255</v>
      </c>
      <c r="G104" s="7"/>
      <c r="H104" s="7"/>
      <c r="I104" s="11">
        <v>2</v>
      </c>
      <c r="J104" s="11">
        <v>3</v>
      </c>
      <c r="K104" s="11">
        <v>0</v>
      </c>
      <c r="L104" s="11">
        <v>3.77</v>
      </c>
      <c r="M104" s="11">
        <v>0.24</v>
      </c>
      <c r="N104" s="11">
        <v>0</v>
      </c>
      <c r="O104" s="11">
        <v>0.8999999999999999</v>
      </c>
      <c r="P104" s="11">
        <v>0.17</v>
      </c>
      <c r="Q104" s="11">
        <v>5.080000000000002</v>
      </c>
      <c r="R104" s="11">
        <v>0</v>
      </c>
      <c r="S104" s="11">
        <v>5.080000000000002</v>
      </c>
      <c r="T104" s="11">
        <v>2</v>
      </c>
      <c r="U104" s="11">
        <v>3</v>
      </c>
      <c r="V104" s="11">
        <v>0.08000000000000185</v>
      </c>
      <c r="W104" s="13">
        <v>2</v>
      </c>
      <c r="X104" s="13">
        <v>3</v>
      </c>
      <c r="Y104" s="13" t="str">
        <f>MIN(W104,S104)</f>
        <v>0</v>
      </c>
      <c r="Z104" s="13" t="str">
        <f>MIN(X104,(S104-Y104))</f>
        <v>0</v>
      </c>
      <c r="AA104" s="13" t="str">
        <f>S104-SUM(Y104,Z104)</f>
        <v>0</v>
      </c>
      <c r="AB104" s="15"/>
      <c r="AC104" s="15"/>
      <c r="AD104" s="1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  <c r="CT104" s="5"/>
      <c r="CU104" s="5"/>
      <c r="CV104" s="5"/>
      <c r="CW104" s="5"/>
      <c r="CX104" s="5"/>
      <c r="CY104" s="5"/>
      <c r="CZ104" s="5"/>
      <c r="DA104" s="5"/>
      <c r="DB104" s="5"/>
      <c r="DC104" s="5"/>
      <c r="DD104" s="5"/>
      <c r="DE104" s="5"/>
      <c r="DF104" s="5"/>
      <c r="DG104" s="5"/>
      <c r="DH104" s="5"/>
      <c r="DI104" s="5"/>
      <c r="DJ104" s="5"/>
      <c r="DK104" s="5"/>
      <c r="DL104" s="5"/>
      <c r="DM104" s="5"/>
      <c r="DN104" s="5"/>
      <c r="DO104" s="5"/>
      <c r="DP104" s="5"/>
      <c r="DQ104" s="5"/>
      <c r="DR104" s="5"/>
      <c r="DS104" s="5"/>
      <c r="DT104" s="5"/>
      <c r="DU104" s="5"/>
      <c r="DV104" s="5"/>
      <c r="DW104" s="5"/>
      <c r="DX104" s="5"/>
      <c r="DY104" s="5"/>
      <c r="DZ104" s="5"/>
      <c r="EA104" s="5"/>
      <c r="EB104" s="5"/>
      <c r="EC104" s="5"/>
      <c r="ED104" s="5"/>
      <c r="EE104" s="5"/>
      <c r="EF104" s="5"/>
      <c r="EG104" s="5"/>
      <c r="EH104" s="5"/>
      <c r="EI104" s="5"/>
      <c r="EJ104" s="5"/>
      <c r="EK104" s="5"/>
      <c r="EL104" s="5"/>
      <c r="EM104" s="5"/>
      <c r="EN104" s="5"/>
      <c r="EO104" s="5"/>
      <c r="EP104" s="5"/>
      <c r="EQ104" s="5"/>
      <c r="ER104" s="5"/>
      <c r="ES104" s="5"/>
      <c r="ET104" s="5"/>
      <c r="EU104" s="5"/>
      <c r="EV104" s="5"/>
      <c r="EW104" s="5"/>
      <c r="EX104" s="5"/>
      <c r="EY104" s="5"/>
      <c r="EZ104" s="5"/>
      <c r="FA104" s="5"/>
      <c r="FB104" s="5"/>
      <c r="FC104" s="5"/>
      <c r="FD104" s="5"/>
      <c r="FE104" s="5"/>
      <c r="FF104" s="5"/>
      <c r="FG104" s="5"/>
      <c r="FH104" s="5"/>
      <c r="FI104" s="5"/>
      <c r="FJ104" s="5"/>
      <c r="FK104" s="5"/>
      <c r="FL104" s="5"/>
      <c r="FM104" s="5"/>
      <c r="FN104" s="5"/>
      <c r="FO104" s="5"/>
      <c r="FP104" s="5"/>
      <c r="FQ104" s="5"/>
      <c r="FR104" s="5"/>
      <c r="FS104" s="5"/>
      <c r="FT104" s="5"/>
      <c r="FU104" s="5"/>
      <c r="FV104" s="5"/>
      <c r="FW104" s="5"/>
      <c r="FX104" s="5"/>
      <c r="FY104" s="5"/>
      <c r="FZ104" s="5"/>
      <c r="GA104" s="5"/>
      <c r="GB104" s="5"/>
      <c r="GC104" s="5"/>
      <c r="GD104" s="5"/>
      <c r="GE104" s="5"/>
      <c r="GF104" s="5"/>
      <c r="GG104" s="5"/>
      <c r="GH104" s="5"/>
      <c r="GI104" s="5"/>
      <c r="GJ104" s="5"/>
      <c r="GK104" s="5"/>
      <c r="GL104" s="5"/>
      <c r="GM104" s="5"/>
      <c r="GN104" s="5"/>
      <c r="GO104" s="5"/>
      <c r="GP104" s="5"/>
      <c r="GQ104" s="5"/>
      <c r="GR104" s="5"/>
      <c r="GS104" s="5"/>
      <c r="GT104" s="5"/>
      <c r="GU104" s="5"/>
      <c r="GV104" s="5"/>
      <c r="GW104" s="5"/>
      <c r="GX104" s="5"/>
      <c r="GY104" s="5"/>
      <c r="GZ104" s="5"/>
      <c r="HA104" s="5"/>
      <c r="HB104" s="5"/>
      <c r="HC104" s="5"/>
      <c r="HD104" s="5"/>
      <c r="HE104" s="5"/>
      <c r="HF104" s="5"/>
      <c r="HG104" s="5"/>
      <c r="HH104" s="5"/>
      <c r="HI104" s="5"/>
      <c r="HJ104" s="5"/>
      <c r="HK104" s="5"/>
      <c r="HL104" s="5"/>
      <c r="HM104" s="5"/>
      <c r="HN104" s="5"/>
      <c r="HO104" s="5"/>
      <c r="HP104" s="5"/>
      <c r="HQ104" s="5"/>
      <c r="HR104" s="5"/>
      <c r="HS104" s="5"/>
      <c r="HT104" s="5"/>
      <c r="HU104" s="5"/>
      <c r="HV104" s="5"/>
      <c r="HW104" s="5"/>
      <c r="HX104" s="5"/>
      <c r="HY104" s="5"/>
      <c r="HZ104" s="5"/>
      <c r="IA104" s="5"/>
      <c r="IB104" s="5"/>
      <c r="IC104" s="5"/>
      <c r="ID104" s="5"/>
      <c r="IE104" s="5"/>
      <c r="IF104" s="5"/>
      <c r="IG104" s="5"/>
      <c r="IH104" s="5"/>
      <c r="II104" s="5"/>
      <c r="IJ104" s="5"/>
      <c r="IK104" s="5"/>
      <c r="IL104" s="5"/>
      <c r="IM104" s="5"/>
      <c r="IN104" s="5"/>
      <c r="IO104" s="5"/>
      <c r="IP104" s="5"/>
      <c r="IQ104" s="5"/>
      <c r="IR104" s="5"/>
      <c r="IS104" s="5"/>
      <c r="IT104" s="5"/>
      <c r="IU104" s="5"/>
      <c r="IV104" s="5"/>
      <c r="IW104" s="5"/>
      <c r="IX104" s="5"/>
      <c r="IY104" s="5"/>
      <c r="IZ104" s="5"/>
      <c r="JA104" s="5"/>
      <c r="JB104" s="5"/>
      <c r="JC104" s="5"/>
      <c r="JD104" s="5"/>
      <c r="JE104" s="5"/>
      <c r="JF104" s="5"/>
      <c r="JG104" s="5"/>
      <c r="JH104" s="5"/>
      <c r="JI104" s="5"/>
      <c r="JJ104" s="5"/>
      <c r="JK104" s="5"/>
      <c r="JL104" s="5"/>
      <c r="JM104" s="5"/>
      <c r="JN104" s="5"/>
      <c r="JO104" s="5"/>
      <c r="JP104" s="5"/>
      <c r="JQ104" s="5"/>
      <c r="JR104" s="5"/>
      <c r="JS104" s="5"/>
      <c r="JT104" s="5"/>
      <c r="JU104" s="5"/>
      <c r="JV104" s="5"/>
      <c r="JW104" s="5"/>
      <c r="JX104" s="5"/>
      <c r="JY104" s="5"/>
      <c r="JZ104" s="5"/>
      <c r="KA104" s="5"/>
      <c r="KB104" s="5"/>
      <c r="KC104" s="5"/>
      <c r="KD104" s="5"/>
      <c r="KE104" s="5"/>
      <c r="KF104" s="5"/>
      <c r="KG104" s="5"/>
      <c r="KH104" s="5"/>
      <c r="KI104" s="5"/>
      <c r="KJ104" s="5"/>
      <c r="KK104" s="5"/>
      <c r="KL104" s="5"/>
      <c r="KM104" s="5"/>
      <c r="KN104" s="5"/>
      <c r="KO104" s="5"/>
      <c r="KP104" s="5"/>
      <c r="KQ104" s="5"/>
      <c r="KR104" s="5"/>
      <c r="KS104" s="5"/>
      <c r="KT104" s="5"/>
      <c r="KU104" s="5"/>
      <c r="KV104" s="5"/>
      <c r="KW104" s="5"/>
      <c r="KX104" s="5"/>
      <c r="KY104" s="5"/>
      <c r="KZ104" s="5"/>
      <c r="LA104" s="5"/>
      <c r="LB104" s="5"/>
      <c r="LC104" s="5"/>
      <c r="LD104" s="5"/>
      <c r="LE104" s="5"/>
      <c r="LF104" s="5"/>
      <c r="LG104" s="5"/>
      <c r="LH104" s="5"/>
      <c r="LI104" s="5"/>
      <c r="LJ104" s="5"/>
      <c r="LK104" s="5"/>
      <c r="LL104" s="5"/>
      <c r="LM104" s="5"/>
      <c r="LN104" s="5"/>
      <c r="LO104" s="5"/>
      <c r="LP104" s="5"/>
      <c r="LQ104" s="5"/>
      <c r="LR104" s="5"/>
      <c r="LS104" s="5"/>
      <c r="LT104" s="5"/>
      <c r="LU104" s="5"/>
      <c r="LV104" s="5"/>
      <c r="LW104" s="5"/>
      <c r="LX104" s="5"/>
      <c r="LY104" s="5"/>
      <c r="LZ104" s="5"/>
      <c r="MA104" s="5"/>
      <c r="MB104" s="5"/>
      <c r="MC104" s="5"/>
      <c r="MD104" s="5"/>
      <c r="ME104" s="5"/>
      <c r="MF104" s="5"/>
      <c r="MG104" s="5"/>
      <c r="MH104" s="5"/>
      <c r="MI104" s="5"/>
      <c r="MJ104" s="5"/>
      <c r="MK104" s="5"/>
      <c r="ML104" s="5"/>
      <c r="MM104" s="5"/>
      <c r="MN104" s="5"/>
      <c r="MO104" s="5"/>
      <c r="MP104" s="5"/>
      <c r="MQ104" s="5"/>
      <c r="MR104" s="5"/>
      <c r="MS104" s="5"/>
      <c r="MT104" s="5"/>
      <c r="MU104" s="5"/>
      <c r="MV104" s="5"/>
      <c r="MW104" s="5"/>
      <c r="MX104" s="5"/>
      <c r="MY104" s="5"/>
      <c r="MZ104" s="5"/>
      <c r="NA104" s="5"/>
      <c r="NB104" s="5"/>
      <c r="NC104" s="5"/>
      <c r="ND104" s="5"/>
      <c r="NE104" s="5"/>
      <c r="NF104" s="5"/>
      <c r="NG104" s="5"/>
      <c r="NH104" s="5"/>
      <c r="NI104" s="5"/>
      <c r="NJ104" s="5"/>
      <c r="NK104" s="5"/>
      <c r="NL104" s="5"/>
      <c r="NM104" s="5"/>
      <c r="NN104" s="5"/>
      <c r="NO104" s="5"/>
      <c r="NP104" s="5"/>
      <c r="NQ104" s="5"/>
      <c r="NR104" s="5"/>
      <c r="NS104" s="5"/>
      <c r="NT104" s="5"/>
      <c r="NU104" s="5"/>
      <c r="NV104" s="5"/>
      <c r="NW104" s="5"/>
      <c r="NX104" s="5"/>
      <c r="NY104" s="5"/>
      <c r="NZ104" s="5"/>
      <c r="OA104" s="5"/>
      <c r="OB104" s="5"/>
      <c r="OC104" s="5"/>
      <c r="OD104" s="5"/>
      <c r="OE104" s="5"/>
      <c r="OF104" s="5"/>
      <c r="OG104" s="5"/>
      <c r="OH104" s="5"/>
      <c r="OI104" s="5"/>
      <c r="OJ104" s="5"/>
      <c r="OK104" s="5"/>
      <c r="OL104" s="5"/>
      <c r="OM104" s="5"/>
      <c r="ON104" s="5"/>
      <c r="OO104" s="5"/>
      <c r="OP104" s="5"/>
      <c r="OQ104" s="5"/>
      <c r="OR104" s="5"/>
      <c r="OS104" s="5"/>
      <c r="OT104" s="5"/>
      <c r="OU104" s="5"/>
      <c r="OV104" s="5"/>
      <c r="OW104" s="5"/>
      <c r="OX104" s="5"/>
      <c r="OY104" s="5"/>
      <c r="OZ104" s="5"/>
      <c r="PA104" s="5"/>
      <c r="PB104" s="5"/>
      <c r="PC104" s="5"/>
      <c r="PD104" s="5"/>
      <c r="PE104" s="5"/>
      <c r="PF104" s="5"/>
      <c r="PG104" s="5"/>
      <c r="PH104" s="5"/>
      <c r="PI104" s="5"/>
      <c r="PJ104" s="5"/>
      <c r="PK104" s="5"/>
      <c r="PL104" s="5"/>
      <c r="PM104" s="5"/>
      <c r="PN104" s="5"/>
      <c r="PO104" s="5"/>
      <c r="PP104" s="5"/>
      <c r="PQ104" s="5"/>
      <c r="PR104" s="5"/>
      <c r="PS104" s="5"/>
      <c r="PT104" s="5"/>
      <c r="PU104" s="5"/>
      <c r="PV104" s="5"/>
      <c r="PW104" s="5"/>
      <c r="PX104" s="5"/>
      <c r="PY104" s="5"/>
      <c r="PZ104" s="5"/>
      <c r="QA104" s="5"/>
      <c r="QB104" s="5"/>
      <c r="QC104" s="5"/>
      <c r="QD104" s="5"/>
      <c r="QE104" s="5"/>
      <c r="QF104" s="5"/>
      <c r="QG104" s="5"/>
      <c r="QH104" s="5"/>
      <c r="QI104" s="5"/>
      <c r="QJ104" s="5"/>
      <c r="QK104" s="5"/>
      <c r="QL104" s="5"/>
      <c r="QM104" s="5"/>
      <c r="QN104" s="5"/>
      <c r="QO104" s="5"/>
      <c r="QP104" s="5"/>
      <c r="QQ104" s="5"/>
      <c r="QR104" s="5"/>
      <c r="QS104" s="5"/>
      <c r="QT104" s="5"/>
      <c r="QU104" s="5"/>
      <c r="QV104" s="5"/>
      <c r="QW104" s="5"/>
      <c r="QX104" s="5"/>
      <c r="QY104" s="5"/>
      <c r="QZ104" s="5"/>
      <c r="RA104" s="5"/>
      <c r="RB104" s="5"/>
      <c r="RC104" s="5"/>
      <c r="RD104" s="5"/>
      <c r="RE104" s="5"/>
      <c r="RF104" s="5"/>
      <c r="RG104" s="5"/>
      <c r="RH104" s="5"/>
      <c r="RI104" s="5"/>
      <c r="RJ104" s="5"/>
      <c r="RK104" s="5"/>
      <c r="RL104" s="5"/>
      <c r="RM104" s="5"/>
      <c r="RN104" s="5"/>
      <c r="RO104" s="5"/>
      <c r="RP104" s="5"/>
      <c r="RQ104" s="5"/>
      <c r="RR104" s="5"/>
      <c r="RS104" s="5"/>
      <c r="RT104" s="5"/>
      <c r="RU104" s="5"/>
      <c r="RV104" s="5"/>
      <c r="RW104" s="5"/>
      <c r="RX104" s="5"/>
      <c r="RY104" s="5"/>
      <c r="RZ104" s="5"/>
      <c r="SA104" s="5"/>
      <c r="SB104" s="5"/>
      <c r="SC104" s="5"/>
      <c r="SD104" s="5"/>
      <c r="SE104" s="5"/>
      <c r="SF104" s="5"/>
      <c r="SG104" s="5"/>
      <c r="SH104" s="5"/>
      <c r="SI104" s="5"/>
      <c r="SJ104" s="5"/>
      <c r="SK104" s="5"/>
      <c r="SL104" s="5"/>
      <c r="SM104" s="5"/>
      <c r="SN104" s="5"/>
      <c r="SO104" s="5"/>
      <c r="SP104" s="5"/>
      <c r="SQ104" s="5"/>
      <c r="SR104" s="5"/>
      <c r="SS104" s="5"/>
      <c r="ST104" s="5"/>
      <c r="SU104" s="5"/>
      <c r="SV104" s="5"/>
      <c r="SW104" s="5"/>
      <c r="SX104" s="5"/>
      <c r="SY104" s="5"/>
      <c r="SZ104" s="5"/>
      <c r="TA104" s="5"/>
      <c r="TB104" s="5"/>
      <c r="TC104" s="5"/>
      <c r="TD104" s="5"/>
      <c r="TE104" s="5"/>
      <c r="TF104" s="5"/>
      <c r="TG104" s="5"/>
      <c r="TH104" s="5"/>
      <c r="TI104" s="5"/>
      <c r="TJ104" s="5"/>
      <c r="TK104" s="5"/>
      <c r="TL104" s="5"/>
      <c r="TM104" s="5"/>
      <c r="TN104" s="5"/>
      <c r="TO104" s="5"/>
      <c r="TP104" s="5"/>
      <c r="TQ104" s="5"/>
      <c r="TR104" s="5"/>
      <c r="TS104" s="5"/>
      <c r="TT104" s="5"/>
      <c r="TU104" s="5"/>
      <c r="TV104" s="5"/>
      <c r="TW104" s="5"/>
      <c r="TX104" s="5"/>
      <c r="TY104" s="5"/>
      <c r="TZ104" s="5"/>
      <c r="UA104" s="5"/>
      <c r="UB104" s="5"/>
      <c r="UC104" s="5"/>
      <c r="UD104" s="5"/>
      <c r="UE104" s="5"/>
      <c r="UF104" s="5"/>
      <c r="UG104" s="5"/>
      <c r="UH104" s="5"/>
      <c r="UI104" s="5"/>
      <c r="UJ104" s="5"/>
      <c r="UK104" s="5"/>
      <c r="UL104" s="5"/>
      <c r="UM104" s="5"/>
      <c r="UN104" s="5"/>
      <c r="UO104" s="5"/>
      <c r="UP104" s="5"/>
      <c r="UQ104" s="5"/>
      <c r="UR104" s="5"/>
      <c r="US104" s="5"/>
      <c r="UT104" s="5"/>
      <c r="UU104" s="5"/>
      <c r="UV104" s="5"/>
      <c r="UW104" s="5"/>
      <c r="UX104" s="5"/>
      <c r="UY104" s="5"/>
      <c r="UZ104" s="5"/>
      <c r="VA104" s="5"/>
      <c r="VB104" s="5"/>
      <c r="VC104" s="5"/>
      <c r="VD104" s="5"/>
      <c r="VE104" s="5"/>
      <c r="VF104" s="5"/>
      <c r="VG104" s="5"/>
      <c r="VH104" s="5"/>
      <c r="VI104" s="5"/>
      <c r="VJ104" s="5"/>
      <c r="VK104" s="5"/>
      <c r="VL104" s="5"/>
      <c r="VM104" s="5"/>
      <c r="VN104" s="5"/>
      <c r="VO104" s="5"/>
      <c r="VP104" s="5"/>
      <c r="VQ104" s="5"/>
      <c r="VR104" s="5"/>
      <c r="VS104" s="5"/>
      <c r="VT104" s="5"/>
      <c r="VU104" s="5"/>
      <c r="VV104" s="5"/>
      <c r="VW104" s="5"/>
      <c r="VX104" s="5"/>
      <c r="VY104" s="5"/>
      <c r="VZ104" s="5"/>
      <c r="WA104" s="5"/>
      <c r="WB104" s="5"/>
      <c r="WC104" s="5"/>
      <c r="WD104" s="5"/>
      <c r="WE104" s="5"/>
      <c r="WF104" s="5"/>
      <c r="WG104" s="5"/>
      <c r="WH104" s="5"/>
      <c r="WI104" s="5"/>
      <c r="WJ104" s="5"/>
      <c r="WK104" s="5"/>
      <c r="WL104" s="5"/>
      <c r="WM104" s="5"/>
      <c r="WN104" s="5"/>
      <c r="WO104" s="5"/>
      <c r="WP104" s="5"/>
      <c r="WQ104" s="5"/>
      <c r="WR104" s="5"/>
      <c r="WS104" s="5"/>
      <c r="WT104" s="5"/>
      <c r="WU104" s="5"/>
      <c r="WV104" s="5"/>
      <c r="WW104" s="5"/>
      <c r="WX104" s="5"/>
      <c r="WY104" s="5"/>
      <c r="WZ104" s="5"/>
      <c r="XA104" s="5"/>
      <c r="XB104" s="5"/>
      <c r="XC104" s="5"/>
      <c r="XD104" s="5"/>
      <c r="XE104" s="5"/>
      <c r="XF104" s="5"/>
      <c r="XG104" s="5"/>
      <c r="XH104" s="5"/>
      <c r="XI104" s="5"/>
      <c r="XJ104" s="5"/>
      <c r="XK104" s="5"/>
      <c r="XL104" s="5"/>
      <c r="XM104" s="5"/>
      <c r="XN104" s="5"/>
      <c r="XO104" s="5"/>
      <c r="XP104" s="5"/>
      <c r="XQ104" s="5"/>
      <c r="XR104" s="5"/>
      <c r="XS104" s="5"/>
      <c r="XT104" s="5"/>
      <c r="XU104" s="5"/>
      <c r="XV104" s="5"/>
      <c r="XW104" s="5"/>
      <c r="XX104" s="5"/>
      <c r="XY104" s="5"/>
      <c r="XZ104" s="5"/>
      <c r="YA104" s="5"/>
      <c r="YB104" s="5"/>
      <c r="YC104" s="5"/>
      <c r="YD104" s="5"/>
      <c r="YE104" s="5"/>
      <c r="YF104" s="5"/>
      <c r="YG104" s="5"/>
      <c r="YH104" s="5"/>
      <c r="YI104" s="5"/>
      <c r="YJ104" s="5"/>
      <c r="YK104" s="5"/>
      <c r="YL104" s="5"/>
      <c r="YM104" s="5"/>
      <c r="YN104" s="5"/>
      <c r="YO104" s="5"/>
      <c r="YP104" s="5"/>
      <c r="YQ104" s="5"/>
      <c r="YR104" s="5"/>
      <c r="YS104" s="5"/>
      <c r="YT104" s="5"/>
      <c r="YU104" s="5"/>
      <c r="YV104" s="5"/>
      <c r="YW104" s="5"/>
      <c r="YX104" s="5"/>
      <c r="YY104" s="5"/>
      <c r="YZ104" s="5"/>
    </row>
    <row r="105" spans="1:676">
      <c r="A105" s="7">
        <v>95</v>
      </c>
      <c r="B105" s="7" t="s">
        <v>263</v>
      </c>
      <c r="C105" s="10" t="s">
        <v>264</v>
      </c>
      <c r="D105" s="7" t="s">
        <v>54</v>
      </c>
      <c r="E105" s="7" t="s">
        <v>218</v>
      </c>
      <c r="F105" s="7" t="s">
        <v>265</v>
      </c>
      <c r="G105" s="7"/>
      <c r="H105" s="7"/>
      <c r="I105" s="11">
        <v>2</v>
      </c>
      <c r="J105" s="11">
        <v>3</v>
      </c>
      <c r="K105" s="11">
        <v>0</v>
      </c>
      <c r="L105" s="11">
        <v>0.38</v>
      </c>
      <c r="M105" s="11">
        <v>0.4</v>
      </c>
      <c r="N105" s="11">
        <v>0</v>
      </c>
      <c r="O105" s="11">
        <v>0.7000000000000001</v>
      </c>
      <c r="P105" s="11">
        <v>0</v>
      </c>
      <c r="Q105" s="11">
        <v>1.48</v>
      </c>
      <c r="R105" s="11">
        <v>0</v>
      </c>
      <c r="S105" s="11">
        <v>1.48</v>
      </c>
      <c r="T105" s="11">
        <v>1.48</v>
      </c>
      <c r="U105" s="11">
        <v>0</v>
      </c>
      <c r="V105" s="11">
        <v>0</v>
      </c>
      <c r="W105" s="13">
        <v>2</v>
      </c>
      <c r="X105" s="13">
        <v>3</v>
      </c>
      <c r="Y105" s="13" t="str">
        <f>MIN(W105,S105)</f>
        <v>0</v>
      </c>
      <c r="Z105" s="13" t="str">
        <f>MIN(X105,(S105-Y105))</f>
        <v>0</v>
      </c>
      <c r="AA105" s="13" t="str">
        <f>S105-SUM(Y105,Z105)</f>
        <v>0</v>
      </c>
      <c r="AB105" s="15"/>
      <c r="AC105" s="15"/>
      <c r="AD105" s="1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  <c r="CT105" s="5"/>
      <c r="CU105" s="5"/>
      <c r="CV105" s="5"/>
      <c r="CW105" s="5"/>
      <c r="CX105" s="5"/>
      <c r="CY105" s="5"/>
      <c r="CZ105" s="5"/>
      <c r="DA105" s="5"/>
      <c r="DB105" s="5"/>
      <c r="DC105" s="5"/>
      <c r="DD105" s="5"/>
      <c r="DE105" s="5"/>
      <c r="DF105" s="5"/>
      <c r="DG105" s="5"/>
      <c r="DH105" s="5"/>
      <c r="DI105" s="5"/>
      <c r="DJ105" s="5"/>
      <c r="DK105" s="5"/>
      <c r="DL105" s="5"/>
      <c r="DM105" s="5"/>
      <c r="DN105" s="5"/>
      <c r="DO105" s="5"/>
      <c r="DP105" s="5"/>
      <c r="DQ105" s="5"/>
      <c r="DR105" s="5"/>
      <c r="DS105" s="5"/>
      <c r="DT105" s="5"/>
      <c r="DU105" s="5"/>
      <c r="DV105" s="5"/>
      <c r="DW105" s="5"/>
      <c r="DX105" s="5"/>
      <c r="DY105" s="5"/>
      <c r="DZ105" s="5"/>
      <c r="EA105" s="5"/>
      <c r="EB105" s="5"/>
      <c r="EC105" s="5"/>
      <c r="ED105" s="5"/>
      <c r="EE105" s="5"/>
      <c r="EF105" s="5"/>
      <c r="EG105" s="5"/>
      <c r="EH105" s="5"/>
      <c r="EI105" s="5"/>
      <c r="EJ105" s="5"/>
      <c r="EK105" s="5"/>
      <c r="EL105" s="5"/>
      <c r="EM105" s="5"/>
      <c r="EN105" s="5"/>
      <c r="EO105" s="5"/>
      <c r="EP105" s="5"/>
      <c r="EQ105" s="5"/>
      <c r="ER105" s="5"/>
      <c r="ES105" s="5"/>
      <c r="ET105" s="5"/>
      <c r="EU105" s="5"/>
      <c r="EV105" s="5"/>
      <c r="EW105" s="5"/>
      <c r="EX105" s="5"/>
      <c r="EY105" s="5"/>
      <c r="EZ105" s="5"/>
      <c r="FA105" s="5"/>
      <c r="FB105" s="5"/>
      <c r="FC105" s="5"/>
      <c r="FD105" s="5"/>
      <c r="FE105" s="5"/>
      <c r="FF105" s="5"/>
      <c r="FG105" s="5"/>
      <c r="FH105" s="5"/>
      <c r="FI105" s="5"/>
      <c r="FJ105" s="5"/>
      <c r="FK105" s="5"/>
      <c r="FL105" s="5"/>
      <c r="FM105" s="5"/>
      <c r="FN105" s="5"/>
      <c r="FO105" s="5"/>
      <c r="FP105" s="5"/>
      <c r="FQ105" s="5"/>
      <c r="FR105" s="5"/>
      <c r="FS105" s="5"/>
      <c r="FT105" s="5"/>
      <c r="FU105" s="5"/>
      <c r="FV105" s="5"/>
      <c r="FW105" s="5"/>
      <c r="FX105" s="5"/>
      <c r="FY105" s="5"/>
      <c r="FZ105" s="5"/>
      <c r="GA105" s="5"/>
      <c r="GB105" s="5"/>
      <c r="GC105" s="5"/>
      <c r="GD105" s="5"/>
      <c r="GE105" s="5"/>
      <c r="GF105" s="5"/>
      <c r="GG105" s="5"/>
      <c r="GH105" s="5"/>
      <c r="GI105" s="5"/>
      <c r="GJ105" s="5"/>
      <c r="GK105" s="5"/>
      <c r="GL105" s="5"/>
      <c r="GM105" s="5"/>
      <c r="GN105" s="5"/>
      <c r="GO105" s="5"/>
      <c r="GP105" s="5"/>
      <c r="GQ105" s="5"/>
      <c r="GR105" s="5"/>
      <c r="GS105" s="5"/>
      <c r="GT105" s="5"/>
      <c r="GU105" s="5"/>
      <c r="GV105" s="5"/>
      <c r="GW105" s="5"/>
      <c r="GX105" s="5"/>
      <c r="GY105" s="5"/>
      <c r="GZ105" s="5"/>
      <c r="HA105" s="5"/>
      <c r="HB105" s="5"/>
      <c r="HC105" s="5"/>
      <c r="HD105" s="5"/>
      <c r="HE105" s="5"/>
      <c r="HF105" s="5"/>
      <c r="HG105" s="5"/>
      <c r="HH105" s="5"/>
      <c r="HI105" s="5"/>
      <c r="HJ105" s="5"/>
      <c r="HK105" s="5"/>
      <c r="HL105" s="5"/>
      <c r="HM105" s="5"/>
      <c r="HN105" s="5"/>
      <c r="HO105" s="5"/>
      <c r="HP105" s="5"/>
      <c r="HQ105" s="5"/>
      <c r="HR105" s="5"/>
      <c r="HS105" s="5"/>
      <c r="HT105" s="5"/>
      <c r="HU105" s="5"/>
      <c r="HV105" s="5"/>
      <c r="HW105" s="5"/>
      <c r="HX105" s="5"/>
      <c r="HY105" s="5"/>
      <c r="HZ105" s="5"/>
      <c r="IA105" s="5"/>
      <c r="IB105" s="5"/>
      <c r="IC105" s="5"/>
      <c r="ID105" s="5"/>
      <c r="IE105" s="5"/>
      <c r="IF105" s="5"/>
      <c r="IG105" s="5"/>
      <c r="IH105" s="5"/>
      <c r="II105" s="5"/>
      <c r="IJ105" s="5"/>
      <c r="IK105" s="5"/>
      <c r="IL105" s="5"/>
      <c r="IM105" s="5"/>
      <c r="IN105" s="5"/>
      <c r="IO105" s="5"/>
      <c r="IP105" s="5"/>
      <c r="IQ105" s="5"/>
      <c r="IR105" s="5"/>
      <c r="IS105" s="5"/>
      <c r="IT105" s="5"/>
      <c r="IU105" s="5"/>
      <c r="IV105" s="5"/>
      <c r="IW105" s="5"/>
      <c r="IX105" s="5"/>
      <c r="IY105" s="5"/>
      <c r="IZ105" s="5"/>
      <c r="JA105" s="5"/>
      <c r="JB105" s="5"/>
      <c r="JC105" s="5"/>
      <c r="JD105" s="5"/>
      <c r="JE105" s="5"/>
      <c r="JF105" s="5"/>
      <c r="JG105" s="5"/>
      <c r="JH105" s="5"/>
      <c r="JI105" s="5"/>
      <c r="JJ105" s="5"/>
      <c r="JK105" s="5"/>
      <c r="JL105" s="5"/>
      <c r="JM105" s="5"/>
      <c r="JN105" s="5"/>
      <c r="JO105" s="5"/>
      <c r="JP105" s="5"/>
      <c r="JQ105" s="5"/>
      <c r="JR105" s="5"/>
      <c r="JS105" s="5"/>
      <c r="JT105" s="5"/>
      <c r="JU105" s="5"/>
      <c r="JV105" s="5"/>
      <c r="JW105" s="5"/>
      <c r="JX105" s="5"/>
      <c r="JY105" s="5"/>
      <c r="JZ105" s="5"/>
      <c r="KA105" s="5"/>
      <c r="KB105" s="5"/>
      <c r="KC105" s="5"/>
      <c r="KD105" s="5"/>
      <c r="KE105" s="5"/>
      <c r="KF105" s="5"/>
      <c r="KG105" s="5"/>
      <c r="KH105" s="5"/>
      <c r="KI105" s="5"/>
      <c r="KJ105" s="5"/>
      <c r="KK105" s="5"/>
      <c r="KL105" s="5"/>
      <c r="KM105" s="5"/>
      <c r="KN105" s="5"/>
      <c r="KO105" s="5"/>
      <c r="KP105" s="5"/>
      <c r="KQ105" s="5"/>
      <c r="KR105" s="5"/>
      <c r="KS105" s="5"/>
      <c r="KT105" s="5"/>
      <c r="KU105" s="5"/>
      <c r="KV105" s="5"/>
      <c r="KW105" s="5"/>
      <c r="KX105" s="5"/>
      <c r="KY105" s="5"/>
      <c r="KZ105" s="5"/>
      <c r="LA105" s="5"/>
      <c r="LB105" s="5"/>
      <c r="LC105" s="5"/>
      <c r="LD105" s="5"/>
      <c r="LE105" s="5"/>
      <c r="LF105" s="5"/>
      <c r="LG105" s="5"/>
      <c r="LH105" s="5"/>
      <c r="LI105" s="5"/>
      <c r="LJ105" s="5"/>
      <c r="LK105" s="5"/>
      <c r="LL105" s="5"/>
      <c r="LM105" s="5"/>
      <c r="LN105" s="5"/>
      <c r="LO105" s="5"/>
      <c r="LP105" s="5"/>
      <c r="LQ105" s="5"/>
      <c r="LR105" s="5"/>
      <c r="LS105" s="5"/>
      <c r="LT105" s="5"/>
      <c r="LU105" s="5"/>
      <c r="LV105" s="5"/>
      <c r="LW105" s="5"/>
      <c r="LX105" s="5"/>
      <c r="LY105" s="5"/>
      <c r="LZ105" s="5"/>
      <c r="MA105" s="5"/>
      <c r="MB105" s="5"/>
      <c r="MC105" s="5"/>
      <c r="MD105" s="5"/>
      <c r="ME105" s="5"/>
      <c r="MF105" s="5"/>
      <c r="MG105" s="5"/>
      <c r="MH105" s="5"/>
      <c r="MI105" s="5"/>
      <c r="MJ105" s="5"/>
      <c r="MK105" s="5"/>
      <c r="ML105" s="5"/>
      <c r="MM105" s="5"/>
      <c r="MN105" s="5"/>
      <c r="MO105" s="5"/>
      <c r="MP105" s="5"/>
      <c r="MQ105" s="5"/>
      <c r="MR105" s="5"/>
      <c r="MS105" s="5"/>
      <c r="MT105" s="5"/>
      <c r="MU105" s="5"/>
      <c r="MV105" s="5"/>
      <c r="MW105" s="5"/>
      <c r="MX105" s="5"/>
      <c r="MY105" s="5"/>
      <c r="MZ105" s="5"/>
      <c r="NA105" s="5"/>
      <c r="NB105" s="5"/>
      <c r="NC105" s="5"/>
      <c r="ND105" s="5"/>
      <c r="NE105" s="5"/>
      <c r="NF105" s="5"/>
      <c r="NG105" s="5"/>
      <c r="NH105" s="5"/>
      <c r="NI105" s="5"/>
      <c r="NJ105" s="5"/>
      <c r="NK105" s="5"/>
      <c r="NL105" s="5"/>
      <c r="NM105" s="5"/>
      <c r="NN105" s="5"/>
      <c r="NO105" s="5"/>
      <c r="NP105" s="5"/>
      <c r="NQ105" s="5"/>
      <c r="NR105" s="5"/>
      <c r="NS105" s="5"/>
      <c r="NT105" s="5"/>
      <c r="NU105" s="5"/>
      <c r="NV105" s="5"/>
      <c r="NW105" s="5"/>
      <c r="NX105" s="5"/>
      <c r="NY105" s="5"/>
      <c r="NZ105" s="5"/>
      <c r="OA105" s="5"/>
      <c r="OB105" s="5"/>
      <c r="OC105" s="5"/>
      <c r="OD105" s="5"/>
      <c r="OE105" s="5"/>
      <c r="OF105" s="5"/>
      <c r="OG105" s="5"/>
      <c r="OH105" s="5"/>
      <c r="OI105" s="5"/>
      <c r="OJ105" s="5"/>
      <c r="OK105" s="5"/>
      <c r="OL105" s="5"/>
      <c r="OM105" s="5"/>
      <c r="ON105" s="5"/>
      <c r="OO105" s="5"/>
      <c r="OP105" s="5"/>
      <c r="OQ105" s="5"/>
      <c r="OR105" s="5"/>
      <c r="OS105" s="5"/>
      <c r="OT105" s="5"/>
      <c r="OU105" s="5"/>
      <c r="OV105" s="5"/>
      <c r="OW105" s="5"/>
      <c r="OX105" s="5"/>
      <c r="OY105" s="5"/>
      <c r="OZ105" s="5"/>
      <c r="PA105" s="5"/>
      <c r="PB105" s="5"/>
      <c r="PC105" s="5"/>
      <c r="PD105" s="5"/>
      <c r="PE105" s="5"/>
      <c r="PF105" s="5"/>
      <c r="PG105" s="5"/>
      <c r="PH105" s="5"/>
      <c r="PI105" s="5"/>
      <c r="PJ105" s="5"/>
      <c r="PK105" s="5"/>
      <c r="PL105" s="5"/>
      <c r="PM105" s="5"/>
      <c r="PN105" s="5"/>
      <c r="PO105" s="5"/>
      <c r="PP105" s="5"/>
      <c r="PQ105" s="5"/>
      <c r="PR105" s="5"/>
      <c r="PS105" s="5"/>
      <c r="PT105" s="5"/>
      <c r="PU105" s="5"/>
      <c r="PV105" s="5"/>
      <c r="PW105" s="5"/>
      <c r="PX105" s="5"/>
      <c r="PY105" s="5"/>
      <c r="PZ105" s="5"/>
      <c r="QA105" s="5"/>
      <c r="QB105" s="5"/>
      <c r="QC105" s="5"/>
      <c r="QD105" s="5"/>
      <c r="QE105" s="5"/>
      <c r="QF105" s="5"/>
      <c r="QG105" s="5"/>
      <c r="QH105" s="5"/>
      <c r="QI105" s="5"/>
      <c r="QJ105" s="5"/>
      <c r="QK105" s="5"/>
      <c r="QL105" s="5"/>
      <c r="QM105" s="5"/>
      <c r="QN105" s="5"/>
      <c r="QO105" s="5"/>
      <c r="QP105" s="5"/>
      <c r="QQ105" s="5"/>
      <c r="QR105" s="5"/>
      <c r="QS105" s="5"/>
      <c r="QT105" s="5"/>
      <c r="QU105" s="5"/>
      <c r="QV105" s="5"/>
      <c r="QW105" s="5"/>
      <c r="QX105" s="5"/>
      <c r="QY105" s="5"/>
      <c r="QZ105" s="5"/>
      <c r="RA105" s="5"/>
      <c r="RB105" s="5"/>
      <c r="RC105" s="5"/>
      <c r="RD105" s="5"/>
      <c r="RE105" s="5"/>
      <c r="RF105" s="5"/>
      <c r="RG105" s="5"/>
      <c r="RH105" s="5"/>
      <c r="RI105" s="5"/>
      <c r="RJ105" s="5"/>
      <c r="RK105" s="5"/>
      <c r="RL105" s="5"/>
      <c r="RM105" s="5"/>
      <c r="RN105" s="5"/>
      <c r="RO105" s="5"/>
      <c r="RP105" s="5"/>
      <c r="RQ105" s="5"/>
      <c r="RR105" s="5"/>
      <c r="RS105" s="5"/>
      <c r="RT105" s="5"/>
      <c r="RU105" s="5"/>
      <c r="RV105" s="5"/>
      <c r="RW105" s="5"/>
      <c r="RX105" s="5"/>
      <c r="RY105" s="5"/>
      <c r="RZ105" s="5"/>
      <c r="SA105" s="5"/>
      <c r="SB105" s="5"/>
      <c r="SC105" s="5"/>
      <c r="SD105" s="5"/>
      <c r="SE105" s="5"/>
      <c r="SF105" s="5"/>
      <c r="SG105" s="5"/>
      <c r="SH105" s="5"/>
      <c r="SI105" s="5"/>
      <c r="SJ105" s="5"/>
      <c r="SK105" s="5"/>
      <c r="SL105" s="5"/>
      <c r="SM105" s="5"/>
      <c r="SN105" s="5"/>
      <c r="SO105" s="5"/>
      <c r="SP105" s="5"/>
      <c r="SQ105" s="5"/>
      <c r="SR105" s="5"/>
      <c r="SS105" s="5"/>
      <c r="ST105" s="5"/>
      <c r="SU105" s="5"/>
      <c r="SV105" s="5"/>
      <c r="SW105" s="5"/>
      <c r="SX105" s="5"/>
      <c r="SY105" s="5"/>
      <c r="SZ105" s="5"/>
      <c r="TA105" s="5"/>
      <c r="TB105" s="5"/>
      <c r="TC105" s="5"/>
      <c r="TD105" s="5"/>
      <c r="TE105" s="5"/>
      <c r="TF105" s="5"/>
      <c r="TG105" s="5"/>
      <c r="TH105" s="5"/>
      <c r="TI105" s="5"/>
      <c r="TJ105" s="5"/>
      <c r="TK105" s="5"/>
      <c r="TL105" s="5"/>
      <c r="TM105" s="5"/>
      <c r="TN105" s="5"/>
      <c r="TO105" s="5"/>
      <c r="TP105" s="5"/>
      <c r="TQ105" s="5"/>
      <c r="TR105" s="5"/>
      <c r="TS105" s="5"/>
      <c r="TT105" s="5"/>
      <c r="TU105" s="5"/>
      <c r="TV105" s="5"/>
      <c r="TW105" s="5"/>
      <c r="TX105" s="5"/>
      <c r="TY105" s="5"/>
      <c r="TZ105" s="5"/>
      <c r="UA105" s="5"/>
      <c r="UB105" s="5"/>
      <c r="UC105" s="5"/>
      <c r="UD105" s="5"/>
      <c r="UE105" s="5"/>
      <c r="UF105" s="5"/>
      <c r="UG105" s="5"/>
      <c r="UH105" s="5"/>
      <c r="UI105" s="5"/>
      <c r="UJ105" s="5"/>
      <c r="UK105" s="5"/>
      <c r="UL105" s="5"/>
      <c r="UM105" s="5"/>
      <c r="UN105" s="5"/>
      <c r="UO105" s="5"/>
      <c r="UP105" s="5"/>
      <c r="UQ105" s="5"/>
      <c r="UR105" s="5"/>
      <c r="US105" s="5"/>
      <c r="UT105" s="5"/>
      <c r="UU105" s="5"/>
      <c r="UV105" s="5"/>
      <c r="UW105" s="5"/>
      <c r="UX105" s="5"/>
      <c r="UY105" s="5"/>
      <c r="UZ105" s="5"/>
      <c r="VA105" s="5"/>
      <c r="VB105" s="5"/>
      <c r="VC105" s="5"/>
      <c r="VD105" s="5"/>
      <c r="VE105" s="5"/>
      <c r="VF105" s="5"/>
      <c r="VG105" s="5"/>
      <c r="VH105" s="5"/>
      <c r="VI105" s="5"/>
      <c r="VJ105" s="5"/>
      <c r="VK105" s="5"/>
      <c r="VL105" s="5"/>
      <c r="VM105" s="5"/>
      <c r="VN105" s="5"/>
      <c r="VO105" s="5"/>
      <c r="VP105" s="5"/>
      <c r="VQ105" s="5"/>
      <c r="VR105" s="5"/>
      <c r="VS105" s="5"/>
      <c r="VT105" s="5"/>
      <c r="VU105" s="5"/>
      <c r="VV105" s="5"/>
      <c r="VW105" s="5"/>
      <c r="VX105" s="5"/>
      <c r="VY105" s="5"/>
      <c r="VZ105" s="5"/>
      <c r="WA105" s="5"/>
      <c r="WB105" s="5"/>
      <c r="WC105" s="5"/>
      <c r="WD105" s="5"/>
      <c r="WE105" s="5"/>
      <c r="WF105" s="5"/>
      <c r="WG105" s="5"/>
      <c r="WH105" s="5"/>
      <c r="WI105" s="5"/>
      <c r="WJ105" s="5"/>
      <c r="WK105" s="5"/>
      <c r="WL105" s="5"/>
      <c r="WM105" s="5"/>
      <c r="WN105" s="5"/>
      <c r="WO105" s="5"/>
      <c r="WP105" s="5"/>
      <c r="WQ105" s="5"/>
      <c r="WR105" s="5"/>
      <c r="WS105" s="5"/>
      <c r="WT105" s="5"/>
      <c r="WU105" s="5"/>
      <c r="WV105" s="5"/>
      <c r="WW105" s="5"/>
      <c r="WX105" s="5"/>
      <c r="WY105" s="5"/>
      <c r="WZ105" s="5"/>
      <c r="XA105" s="5"/>
      <c r="XB105" s="5"/>
      <c r="XC105" s="5"/>
      <c r="XD105" s="5"/>
      <c r="XE105" s="5"/>
      <c r="XF105" s="5"/>
      <c r="XG105" s="5"/>
      <c r="XH105" s="5"/>
      <c r="XI105" s="5"/>
      <c r="XJ105" s="5"/>
      <c r="XK105" s="5"/>
      <c r="XL105" s="5"/>
      <c r="XM105" s="5"/>
      <c r="XN105" s="5"/>
      <c r="XO105" s="5"/>
      <c r="XP105" s="5"/>
      <c r="XQ105" s="5"/>
      <c r="XR105" s="5"/>
      <c r="XS105" s="5"/>
      <c r="XT105" s="5"/>
      <c r="XU105" s="5"/>
      <c r="XV105" s="5"/>
      <c r="XW105" s="5"/>
      <c r="XX105" s="5"/>
      <c r="XY105" s="5"/>
      <c r="XZ105" s="5"/>
      <c r="YA105" s="5"/>
      <c r="YB105" s="5"/>
      <c r="YC105" s="5"/>
      <c r="YD105" s="5"/>
      <c r="YE105" s="5"/>
      <c r="YF105" s="5"/>
      <c r="YG105" s="5"/>
      <c r="YH105" s="5"/>
      <c r="YI105" s="5"/>
      <c r="YJ105" s="5"/>
      <c r="YK105" s="5"/>
      <c r="YL105" s="5"/>
      <c r="YM105" s="5"/>
      <c r="YN105" s="5"/>
      <c r="YO105" s="5"/>
      <c r="YP105" s="5"/>
      <c r="YQ105" s="5"/>
      <c r="YR105" s="5"/>
      <c r="YS105" s="5"/>
      <c r="YT105" s="5"/>
      <c r="YU105" s="5"/>
      <c r="YV105" s="5"/>
      <c r="YW105" s="5"/>
      <c r="YX105" s="5"/>
      <c r="YY105" s="5"/>
      <c r="YZ105" s="5"/>
    </row>
    <row r="106" spans="1:676">
      <c r="A106" s="7">
        <v>96</v>
      </c>
      <c r="B106" s="7" t="s">
        <v>266</v>
      </c>
      <c r="C106" s="10" t="s">
        <v>267</v>
      </c>
      <c r="D106" s="7" t="s">
        <v>129</v>
      </c>
      <c r="E106" s="7" t="s">
        <v>246</v>
      </c>
      <c r="F106" s="7" t="s">
        <v>255</v>
      </c>
      <c r="G106" s="7"/>
      <c r="H106" s="7" t="s">
        <v>43</v>
      </c>
      <c r="I106" s="11">
        <v>2</v>
      </c>
      <c r="J106" s="11">
        <v>3</v>
      </c>
      <c r="K106" s="11">
        <v>0</v>
      </c>
      <c r="L106" s="11">
        <v>3.1</v>
      </c>
      <c r="M106" s="11">
        <v>0.08</v>
      </c>
      <c r="N106" s="11">
        <v>0</v>
      </c>
      <c r="O106" s="11">
        <v>0.6</v>
      </c>
      <c r="P106" s="11">
        <v>0</v>
      </c>
      <c r="Q106" s="11">
        <v>3.78</v>
      </c>
      <c r="R106" s="11">
        <v>0</v>
      </c>
      <c r="S106" s="11">
        <v>3.78</v>
      </c>
      <c r="T106" s="11">
        <v>2</v>
      </c>
      <c r="U106" s="11">
        <v>1.78</v>
      </c>
      <c r="V106" s="11">
        <v>0</v>
      </c>
      <c r="W106" s="13">
        <v>2</v>
      </c>
      <c r="X106" s="13">
        <v>3</v>
      </c>
      <c r="Y106" s="13" t="str">
        <f>MIN(W106,S106)</f>
        <v>0</v>
      </c>
      <c r="Z106" s="13" t="str">
        <f>MIN(X106,(S106-Y106))</f>
        <v>0</v>
      </c>
      <c r="AA106" s="13" t="str">
        <f>S106-SUM(Y106,Z106)</f>
        <v>0</v>
      </c>
      <c r="AB106" s="15"/>
      <c r="AC106" s="15"/>
      <c r="AD106" s="1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  <c r="CT106" s="5"/>
      <c r="CU106" s="5"/>
      <c r="CV106" s="5"/>
      <c r="CW106" s="5"/>
      <c r="CX106" s="5"/>
      <c r="CY106" s="5"/>
      <c r="CZ106" s="5"/>
      <c r="DA106" s="5"/>
      <c r="DB106" s="5"/>
      <c r="DC106" s="5"/>
      <c r="DD106" s="5"/>
      <c r="DE106" s="5"/>
      <c r="DF106" s="5"/>
      <c r="DG106" s="5"/>
      <c r="DH106" s="5"/>
      <c r="DI106" s="5"/>
      <c r="DJ106" s="5"/>
      <c r="DK106" s="5"/>
      <c r="DL106" s="5"/>
      <c r="DM106" s="5"/>
      <c r="DN106" s="5"/>
      <c r="DO106" s="5"/>
      <c r="DP106" s="5"/>
      <c r="DQ106" s="5"/>
      <c r="DR106" s="5"/>
      <c r="DS106" s="5"/>
      <c r="DT106" s="5"/>
      <c r="DU106" s="5"/>
      <c r="DV106" s="5"/>
      <c r="DW106" s="5"/>
      <c r="DX106" s="5"/>
      <c r="DY106" s="5"/>
      <c r="DZ106" s="5"/>
      <c r="EA106" s="5"/>
      <c r="EB106" s="5"/>
      <c r="EC106" s="5"/>
      <c r="ED106" s="5"/>
      <c r="EE106" s="5"/>
      <c r="EF106" s="5"/>
      <c r="EG106" s="5"/>
      <c r="EH106" s="5"/>
      <c r="EI106" s="5"/>
      <c r="EJ106" s="5"/>
      <c r="EK106" s="5"/>
      <c r="EL106" s="5"/>
      <c r="EM106" s="5"/>
      <c r="EN106" s="5"/>
      <c r="EO106" s="5"/>
      <c r="EP106" s="5"/>
      <c r="EQ106" s="5"/>
      <c r="ER106" s="5"/>
      <c r="ES106" s="5"/>
      <c r="ET106" s="5"/>
      <c r="EU106" s="5"/>
      <c r="EV106" s="5"/>
      <c r="EW106" s="5"/>
      <c r="EX106" s="5"/>
      <c r="EY106" s="5"/>
      <c r="EZ106" s="5"/>
      <c r="FA106" s="5"/>
      <c r="FB106" s="5"/>
      <c r="FC106" s="5"/>
      <c r="FD106" s="5"/>
      <c r="FE106" s="5"/>
      <c r="FF106" s="5"/>
      <c r="FG106" s="5"/>
      <c r="FH106" s="5"/>
      <c r="FI106" s="5"/>
      <c r="FJ106" s="5"/>
      <c r="FK106" s="5"/>
      <c r="FL106" s="5"/>
      <c r="FM106" s="5"/>
      <c r="FN106" s="5"/>
      <c r="FO106" s="5"/>
      <c r="FP106" s="5"/>
      <c r="FQ106" s="5"/>
      <c r="FR106" s="5"/>
      <c r="FS106" s="5"/>
      <c r="FT106" s="5"/>
      <c r="FU106" s="5"/>
      <c r="FV106" s="5"/>
      <c r="FW106" s="5"/>
      <c r="FX106" s="5"/>
      <c r="FY106" s="5"/>
      <c r="FZ106" s="5"/>
      <c r="GA106" s="5"/>
      <c r="GB106" s="5"/>
      <c r="GC106" s="5"/>
      <c r="GD106" s="5"/>
      <c r="GE106" s="5"/>
      <c r="GF106" s="5"/>
      <c r="GG106" s="5"/>
      <c r="GH106" s="5"/>
      <c r="GI106" s="5"/>
      <c r="GJ106" s="5"/>
      <c r="GK106" s="5"/>
      <c r="GL106" s="5"/>
      <c r="GM106" s="5"/>
      <c r="GN106" s="5"/>
      <c r="GO106" s="5"/>
      <c r="GP106" s="5"/>
      <c r="GQ106" s="5"/>
      <c r="GR106" s="5"/>
      <c r="GS106" s="5"/>
      <c r="GT106" s="5"/>
      <c r="GU106" s="5"/>
      <c r="GV106" s="5"/>
      <c r="GW106" s="5"/>
      <c r="GX106" s="5"/>
      <c r="GY106" s="5"/>
      <c r="GZ106" s="5"/>
      <c r="HA106" s="5"/>
      <c r="HB106" s="5"/>
      <c r="HC106" s="5"/>
      <c r="HD106" s="5"/>
      <c r="HE106" s="5"/>
      <c r="HF106" s="5"/>
      <c r="HG106" s="5"/>
      <c r="HH106" s="5"/>
      <c r="HI106" s="5"/>
      <c r="HJ106" s="5"/>
      <c r="HK106" s="5"/>
      <c r="HL106" s="5"/>
      <c r="HM106" s="5"/>
      <c r="HN106" s="5"/>
      <c r="HO106" s="5"/>
      <c r="HP106" s="5"/>
      <c r="HQ106" s="5"/>
      <c r="HR106" s="5"/>
      <c r="HS106" s="5"/>
      <c r="HT106" s="5"/>
      <c r="HU106" s="5"/>
      <c r="HV106" s="5"/>
      <c r="HW106" s="5"/>
      <c r="HX106" s="5"/>
      <c r="HY106" s="5"/>
      <c r="HZ106" s="5"/>
      <c r="IA106" s="5"/>
      <c r="IB106" s="5"/>
      <c r="IC106" s="5"/>
      <c r="ID106" s="5"/>
      <c r="IE106" s="5"/>
      <c r="IF106" s="5"/>
      <c r="IG106" s="5"/>
      <c r="IH106" s="5"/>
      <c r="II106" s="5"/>
      <c r="IJ106" s="5"/>
      <c r="IK106" s="5"/>
      <c r="IL106" s="5"/>
      <c r="IM106" s="5"/>
      <c r="IN106" s="5"/>
      <c r="IO106" s="5"/>
      <c r="IP106" s="5"/>
      <c r="IQ106" s="5"/>
      <c r="IR106" s="5"/>
      <c r="IS106" s="5"/>
      <c r="IT106" s="5"/>
      <c r="IU106" s="5"/>
      <c r="IV106" s="5"/>
      <c r="IW106" s="5"/>
      <c r="IX106" s="5"/>
      <c r="IY106" s="5"/>
      <c r="IZ106" s="5"/>
      <c r="JA106" s="5"/>
      <c r="JB106" s="5"/>
      <c r="JC106" s="5"/>
      <c r="JD106" s="5"/>
      <c r="JE106" s="5"/>
      <c r="JF106" s="5"/>
      <c r="JG106" s="5"/>
      <c r="JH106" s="5"/>
      <c r="JI106" s="5"/>
      <c r="JJ106" s="5"/>
      <c r="JK106" s="5"/>
      <c r="JL106" s="5"/>
      <c r="JM106" s="5"/>
      <c r="JN106" s="5"/>
      <c r="JO106" s="5"/>
      <c r="JP106" s="5"/>
      <c r="JQ106" s="5"/>
      <c r="JR106" s="5"/>
      <c r="JS106" s="5"/>
      <c r="JT106" s="5"/>
      <c r="JU106" s="5"/>
      <c r="JV106" s="5"/>
      <c r="JW106" s="5"/>
      <c r="JX106" s="5"/>
      <c r="JY106" s="5"/>
      <c r="JZ106" s="5"/>
      <c r="KA106" s="5"/>
      <c r="KB106" s="5"/>
      <c r="KC106" s="5"/>
      <c r="KD106" s="5"/>
      <c r="KE106" s="5"/>
      <c r="KF106" s="5"/>
      <c r="KG106" s="5"/>
      <c r="KH106" s="5"/>
      <c r="KI106" s="5"/>
      <c r="KJ106" s="5"/>
      <c r="KK106" s="5"/>
      <c r="KL106" s="5"/>
      <c r="KM106" s="5"/>
      <c r="KN106" s="5"/>
      <c r="KO106" s="5"/>
      <c r="KP106" s="5"/>
      <c r="KQ106" s="5"/>
      <c r="KR106" s="5"/>
      <c r="KS106" s="5"/>
      <c r="KT106" s="5"/>
      <c r="KU106" s="5"/>
      <c r="KV106" s="5"/>
      <c r="KW106" s="5"/>
      <c r="KX106" s="5"/>
      <c r="KY106" s="5"/>
      <c r="KZ106" s="5"/>
      <c r="LA106" s="5"/>
      <c r="LB106" s="5"/>
      <c r="LC106" s="5"/>
      <c r="LD106" s="5"/>
      <c r="LE106" s="5"/>
      <c r="LF106" s="5"/>
      <c r="LG106" s="5"/>
      <c r="LH106" s="5"/>
      <c r="LI106" s="5"/>
      <c r="LJ106" s="5"/>
      <c r="LK106" s="5"/>
      <c r="LL106" s="5"/>
      <c r="LM106" s="5"/>
      <c r="LN106" s="5"/>
      <c r="LO106" s="5"/>
      <c r="LP106" s="5"/>
      <c r="LQ106" s="5"/>
      <c r="LR106" s="5"/>
      <c r="LS106" s="5"/>
      <c r="LT106" s="5"/>
      <c r="LU106" s="5"/>
      <c r="LV106" s="5"/>
      <c r="LW106" s="5"/>
      <c r="LX106" s="5"/>
      <c r="LY106" s="5"/>
      <c r="LZ106" s="5"/>
      <c r="MA106" s="5"/>
      <c r="MB106" s="5"/>
      <c r="MC106" s="5"/>
      <c r="MD106" s="5"/>
      <c r="ME106" s="5"/>
      <c r="MF106" s="5"/>
      <c r="MG106" s="5"/>
      <c r="MH106" s="5"/>
      <c r="MI106" s="5"/>
      <c r="MJ106" s="5"/>
      <c r="MK106" s="5"/>
      <c r="ML106" s="5"/>
      <c r="MM106" s="5"/>
      <c r="MN106" s="5"/>
      <c r="MO106" s="5"/>
      <c r="MP106" s="5"/>
      <c r="MQ106" s="5"/>
      <c r="MR106" s="5"/>
      <c r="MS106" s="5"/>
      <c r="MT106" s="5"/>
      <c r="MU106" s="5"/>
      <c r="MV106" s="5"/>
      <c r="MW106" s="5"/>
      <c r="MX106" s="5"/>
      <c r="MY106" s="5"/>
      <c r="MZ106" s="5"/>
      <c r="NA106" s="5"/>
      <c r="NB106" s="5"/>
      <c r="NC106" s="5"/>
      <c r="ND106" s="5"/>
      <c r="NE106" s="5"/>
      <c r="NF106" s="5"/>
      <c r="NG106" s="5"/>
      <c r="NH106" s="5"/>
      <c r="NI106" s="5"/>
      <c r="NJ106" s="5"/>
      <c r="NK106" s="5"/>
      <c r="NL106" s="5"/>
      <c r="NM106" s="5"/>
      <c r="NN106" s="5"/>
      <c r="NO106" s="5"/>
      <c r="NP106" s="5"/>
      <c r="NQ106" s="5"/>
      <c r="NR106" s="5"/>
      <c r="NS106" s="5"/>
      <c r="NT106" s="5"/>
      <c r="NU106" s="5"/>
      <c r="NV106" s="5"/>
      <c r="NW106" s="5"/>
      <c r="NX106" s="5"/>
      <c r="NY106" s="5"/>
      <c r="NZ106" s="5"/>
      <c r="OA106" s="5"/>
      <c r="OB106" s="5"/>
      <c r="OC106" s="5"/>
      <c r="OD106" s="5"/>
      <c r="OE106" s="5"/>
      <c r="OF106" s="5"/>
      <c r="OG106" s="5"/>
      <c r="OH106" s="5"/>
      <c r="OI106" s="5"/>
      <c r="OJ106" s="5"/>
      <c r="OK106" s="5"/>
      <c r="OL106" s="5"/>
      <c r="OM106" s="5"/>
      <c r="ON106" s="5"/>
      <c r="OO106" s="5"/>
      <c r="OP106" s="5"/>
      <c r="OQ106" s="5"/>
      <c r="OR106" s="5"/>
      <c r="OS106" s="5"/>
      <c r="OT106" s="5"/>
      <c r="OU106" s="5"/>
      <c r="OV106" s="5"/>
      <c r="OW106" s="5"/>
      <c r="OX106" s="5"/>
      <c r="OY106" s="5"/>
      <c r="OZ106" s="5"/>
      <c r="PA106" s="5"/>
      <c r="PB106" s="5"/>
      <c r="PC106" s="5"/>
      <c r="PD106" s="5"/>
      <c r="PE106" s="5"/>
      <c r="PF106" s="5"/>
      <c r="PG106" s="5"/>
      <c r="PH106" s="5"/>
      <c r="PI106" s="5"/>
      <c r="PJ106" s="5"/>
      <c r="PK106" s="5"/>
      <c r="PL106" s="5"/>
      <c r="PM106" s="5"/>
      <c r="PN106" s="5"/>
      <c r="PO106" s="5"/>
      <c r="PP106" s="5"/>
      <c r="PQ106" s="5"/>
      <c r="PR106" s="5"/>
      <c r="PS106" s="5"/>
      <c r="PT106" s="5"/>
      <c r="PU106" s="5"/>
      <c r="PV106" s="5"/>
      <c r="PW106" s="5"/>
      <c r="PX106" s="5"/>
      <c r="PY106" s="5"/>
      <c r="PZ106" s="5"/>
      <c r="QA106" s="5"/>
      <c r="QB106" s="5"/>
      <c r="QC106" s="5"/>
      <c r="QD106" s="5"/>
      <c r="QE106" s="5"/>
      <c r="QF106" s="5"/>
      <c r="QG106" s="5"/>
      <c r="QH106" s="5"/>
      <c r="QI106" s="5"/>
      <c r="QJ106" s="5"/>
      <c r="QK106" s="5"/>
      <c r="QL106" s="5"/>
      <c r="QM106" s="5"/>
      <c r="QN106" s="5"/>
      <c r="QO106" s="5"/>
      <c r="QP106" s="5"/>
      <c r="QQ106" s="5"/>
      <c r="QR106" s="5"/>
      <c r="QS106" s="5"/>
      <c r="QT106" s="5"/>
      <c r="QU106" s="5"/>
      <c r="QV106" s="5"/>
      <c r="QW106" s="5"/>
      <c r="QX106" s="5"/>
      <c r="QY106" s="5"/>
      <c r="QZ106" s="5"/>
      <c r="RA106" s="5"/>
      <c r="RB106" s="5"/>
      <c r="RC106" s="5"/>
      <c r="RD106" s="5"/>
      <c r="RE106" s="5"/>
      <c r="RF106" s="5"/>
      <c r="RG106" s="5"/>
      <c r="RH106" s="5"/>
      <c r="RI106" s="5"/>
      <c r="RJ106" s="5"/>
      <c r="RK106" s="5"/>
      <c r="RL106" s="5"/>
      <c r="RM106" s="5"/>
      <c r="RN106" s="5"/>
      <c r="RO106" s="5"/>
      <c r="RP106" s="5"/>
      <c r="RQ106" s="5"/>
      <c r="RR106" s="5"/>
      <c r="RS106" s="5"/>
      <c r="RT106" s="5"/>
      <c r="RU106" s="5"/>
      <c r="RV106" s="5"/>
      <c r="RW106" s="5"/>
      <c r="RX106" s="5"/>
      <c r="RY106" s="5"/>
      <c r="RZ106" s="5"/>
      <c r="SA106" s="5"/>
      <c r="SB106" s="5"/>
      <c r="SC106" s="5"/>
      <c r="SD106" s="5"/>
      <c r="SE106" s="5"/>
      <c r="SF106" s="5"/>
      <c r="SG106" s="5"/>
      <c r="SH106" s="5"/>
      <c r="SI106" s="5"/>
      <c r="SJ106" s="5"/>
      <c r="SK106" s="5"/>
      <c r="SL106" s="5"/>
      <c r="SM106" s="5"/>
      <c r="SN106" s="5"/>
      <c r="SO106" s="5"/>
      <c r="SP106" s="5"/>
      <c r="SQ106" s="5"/>
      <c r="SR106" s="5"/>
      <c r="SS106" s="5"/>
      <c r="ST106" s="5"/>
      <c r="SU106" s="5"/>
      <c r="SV106" s="5"/>
      <c r="SW106" s="5"/>
      <c r="SX106" s="5"/>
      <c r="SY106" s="5"/>
      <c r="SZ106" s="5"/>
      <c r="TA106" s="5"/>
      <c r="TB106" s="5"/>
      <c r="TC106" s="5"/>
      <c r="TD106" s="5"/>
      <c r="TE106" s="5"/>
      <c r="TF106" s="5"/>
      <c r="TG106" s="5"/>
      <c r="TH106" s="5"/>
      <c r="TI106" s="5"/>
      <c r="TJ106" s="5"/>
      <c r="TK106" s="5"/>
      <c r="TL106" s="5"/>
      <c r="TM106" s="5"/>
      <c r="TN106" s="5"/>
      <c r="TO106" s="5"/>
      <c r="TP106" s="5"/>
      <c r="TQ106" s="5"/>
      <c r="TR106" s="5"/>
      <c r="TS106" s="5"/>
      <c r="TT106" s="5"/>
      <c r="TU106" s="5"/>
      <c r="TV106" s="5"/>
      <c r="TW106" s="5"/>
      <c r="TX106" s="5"/>
      <c r="TY106" s="5"/>
      <c r="TZ106" s="5"/>
      <c r="UA106" s="5"/>
      <c r="UB106" s="5"/>
      <c r="UC106" s="5"/>
      <c r="UD106" s="5"/>
      <c r="UE106" s="5"/>
      <c r="UF106" s="5"/>
      <c r="UG106" s="5"/>
      <c r="UH106" s="5"/>
      <c r="UI106" s="5"/>
      <c r="UJ106" s="5"/>
      <c r="UK106" s="5"/>
      <c r="UL106" s="5"/>
      <c r="UM106" s="5"/>
      <c r="UN106" s="5"/>
      <c r="UO106" s="5"/>
      <c r="UP106" s="5"/>
      <c r="UQ106" s="5"/>
      <c r="UR106" s="5"/>
      <c r="US106" s="5"/>
      <c r="UT106" s="5"/>
      <c r="UU106" s="5"/>
      <c r="UV106" s="5"/>
      <c r="UW106" s="5"/>
      <c r="UX106" s="5"/>
      <c r="UY106" s="5"/>
      <c r="UZ106" s="5"/>
      <c r="VA106" s="5"/>
      <c r="VB106" s="5"/>
      <c r="VC106" s="5"/>
      <c r="VD106" s="5"/>
      <c r="VE106" s="5"/>
      <c r="VF106" s="5"/>
      <c r="VG106" s="5"/>
      <c r="VH106" s="5"/>
      <c r="VI106" s="5"/>
      <c r="VJ106" s="5"/>
      <c r="VK106" s="5"/>
      <c r="VL106" s="5"/>
      <c r="VM106" s="5"/>
      <c r="VN106" s="5"/>
      <c r="VO106" s="5"/>
      <c r="VP106" s="5"/>
      <c r="VQ106" s="5"/>
      <c r="VR106" s="5"/>
      <c r="VS106" s="5"/>
      <c r="VT106" s="5"/>
      <c r="VU106" s="5"/>
      <c r="VV106" s="5"/>
      <c r="VW106" s="5"/>
      <c r="VX106" s="5"/>
      <c r="VY106" s="5"/>
      <c r="VZ106" s="5"/>
      <c r="WA106" s="5"/>
      <c r="WB106" s="5"/>
      <c r="WC106" s="5"/>
      <c r="WD106" s="5"/>
      <c r="WE106" s="5"/>
      <c r="WF106" s="5"/>
      <c r="WG106" s="5"/>
      <c r="WH106" s="5"/>
      <c r="WI106" s="5"/>
      <c r="WJ106" s="5"/>
      <c r="WK106" s="5"/>
      <c r="WL106" s="5"/>
      <c r="WM106" s="5"/>
      <c r="WN106" s="5"/>
      <c r="WO106" s="5"/>
      <c r="WP106" s="5"/>
      <c r="WQ106" s="5"/>
      <c r="WR106" s="5"/>
      <c r="WS106" s="5"/>
      <c r="WT106" s="5"/>
      <c r="WU106" s="5"/>
      <c r="WV106" s="5"/>
      <c r="WW106" s="5"/>
      <c r="WX106" s="5"/>
      <c r="WY106" s="5"/>
      <c r="WZ106" s="5"/>
      <c r="XA106" s="5"/>
      <c r="XB106" s="5"/>
      <c r="XC106" s="5"/>
      <c r="XD106" s="5"/>
      <c r="XE106" s="5"/>
      <c r="XF106" s="5"/>
      <c r="XG106" s="5"/>
      <c r="XH106" s="5"/>
      <c r="XI106" s="5"/>
      <c r="XJ106" s="5"/>
      <c r="XK106" s="5"/>
      <c r="XL106" s="5"/>
      <c r="XM106" s="5"/>
      <c r="XN106" s="5"/>
      <c r="XO106" s="5"/>
      <c r="XP106" s="5"/>
      <c r="XQ106" s="5"/>
      <c r="XR106" s="5"/>
      <c r="XS106" s="5"/>
      <c r="XT106" s="5"/>
      <c r="XU106" s="5"/>
      <c r="XV106" s="5"/>
      <c r="XW106" s="5"/>
      <c r="XX106" s="5"/>
      <c r="XY106" s="5"/>
      <c r="XZ106" s="5"/>
      <c r="YA106" s="5"/>
      <c r="YB106" s="5"/>
      <c r="YC106" s="5"/>
      <c r="YD106" s="5"/>
      <c r="YE106" s="5"/>
      <c r="YF106" s="5"/>
      <c r="YG106" s="5"/>
      <c r="YH106" s="5"/>
      <c r="YI106" s="5"/>
      <c r="YJ106" s="5"/>
      <c r="YK106" s="5"/>
      <c r="YL106" s="5"/>
      <c r="YM106" s="5"/>
      <c r="YN106" s="5"/>
      <c r="YO106" s="5"/>
      <c r="YP106" s="5"/>
      <c r="YQ106" s="5"/>
      <c r="YR106" s="5"/>
      <c r="YS106" s="5"/>
      <c r="YT106" s="5"/>
      <c r="YU106" s="5"/>
      <c r="YV106" s="5"/>
      <c r="YW106" s="5"/>
      <c r="YX106" s="5"/>
      <c r="YY106" s="5"/>
      <c r="YZ106" s="5"/>
    </row>
    <row r="107" spans="1:676">
      <c r="A107" s="7">
        <v>97</v>
      </c>
      <c r="B107" s="7" t="s">
        <v>268</v>
      </c>
      <c r="C107" s="10" t="s">
        <v>269</v>
      </c>
      <c r="D107" s="7" t="s">
        <v>51</v>
      </c>
      <c r="E107" s="7" t="s">
        <v>218</v>
      </c>
      <c r="F107" s="7" t="s">
        <v>270</v>
      </c>
      <c r="G107" s="7"/>
      <c r="H107" s="7" t="s">
        <v>43</v>
      </c>
      <c r="I107" s="11">
        <v>2</v>
      </c>
      <c r="J107" s="11">
        <v>0</v>
      </c>
      <c r="K107" s="11">
        <v>0</v>
      </c>
      <c r="L107" s="11">
        <v>0</v>
      </c>
      <c r="M107" s="11">
        <v>0</v>
      </c>
      <c r="N107" s="11">
        <v>0</v>
      </c>
      <c r="O107" s="11">
        <v>0</v>
      </c>
      <c r="P107" s="11">
        <v>0</v>
      </c>
      <c r="Q107" s="11">
        <v>0</v>
      </c>
      <c r="R107" s="11">
        <v>0</v>
      </c>
      <c r="S107" s="11">
        <v>0</v>
      </c>
      <c r="T107" s="11">
        <v>0</v>
      </c>
      <c r="U107" s="11">
        <v>0</v>
      </c>
      <c r="V107" s="11">
        <v>0</v>
      </c>
      <c r="W107" s="13">
        <v>2</v>
      </c>
      <c r="X107" s="13">
        <v>0</v>
      </c>
      <c r="Y107" s="13" t="str">
        <f>MIN(W107,S107)</f>
        <v>0</v>
      </c>
      <c r="Z107" s="13" t="str">
        <f>MIN(X107,(S107-Y107))</f>
        <v>0</v>
      </c>
      <c r="AA107" s="13" t="str">
        <f>S107-SUM(Y107,Z107)</f>
        <v>0</v>
      </c>
      <c r="AB107" s="15"/>
      <c r="AC107" s="15"/>
      <c r="AD107" s="1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  <c r="CT107" s="5"/>
      <c r="CU107" s="5"/>
      <c r="CV107" s="5"/>
      <c r="CW107" s="5"/>
      <c r="CX107" s="5"/>
      <c r="CY107" s="5"/>
      <c r="CZ107" s="5"/>
      <c r="DA107" s="5"/>
      <c r="DB107" s="5"/>
      <c r="DC107" s="5"/>
      <c r="DD107" s="5"/>
      <c r="DE107" s="5"/>
      <c r="DF107" s="5"/>
      <c r="DG107" s="5"/>
      <c r="DH107" s="5"/>
      <c r="DI107" s="5"/>
      <c r="DJ107" s="5"/>
      <c r="DK107" s="5"/>
      <c r="DL107" s="5"/>
      <c r="DM107" s="5"/>
      <c r="DN107" s="5"/>
      <c r="DO107" s="5"/>
      <c r="DP107" s="5"/>
      <c r="DQ107" s="5"/>
      <c r="DR107" s="5"/>
      <c r="DS107" s="5"/>
      <c r="DT107" s="5"/>
      <c r="DU107" s="5"/>
      <c r="DV107" s="5"/>
      <c r="DW107" s="5"/>
      <c r="DX107" s="5"/>
      <c r="DY107" s="5"/>
      <c r="DZ107" s="5"/>
      <c r="EA107" s="5"/>
      <c r="EB107" s="5"/>
      <c r="EC107" s="5"/>
      <c r="ED107" s="5"/>
      <c r="EE107" s="5"/>
      <c r="EF107" s="5"/>
      <c r="EG107" s="5"/>
      <c r="EH107" s="5"/>
      <c r="EI107" s="5"/>
      <c r="EJ107" s="5"/>
      <c r="EK107" s="5"/>
      <c r="EL107" s="5"/>
      <c r="EM107" s="5"/>
      <c r="EN107" s="5"/>
      <c r="EO107" s="5"/>
      <c r="EP107" s="5"/>
      <c r="EQ107" s="5"/>
      <c r="ER107" s="5"/>
      <c r="ES107" s="5"/>
      <c r="ET107" s="5"/>
      <c r="EU107" s="5"/>
      <c r="EV107" s="5"/>
      <c r="EW107" s="5"/>
      <c r="EX107" s="5"/>
      <c r="EY107" s="5"/>
      <c r="EZ107" s="5"/>
      <c r="FA107" s="5"/>
      <c r="FB107" s="5"/>
      <c r="FC107" s="5"/>
      <c r="FD107" s="5"/>
      <c r="FE107" s="5"/>
      <c r="FF107" s="5"/>
      <c r="FG107" s="5"/>
      <c r="FH107" s="5"/>
      <c r="FI107" s="5"/>
      <c r="FJ107" s="5"/>
      <c r="FK107" s="5"/>
      <c r="FL107" s="5"/>
      <c r="FM107" s="5"/>
      <c r="FN107" s="5"/>
      <c r="FO107" s="5"/>
      <c r="FP107" s="5"/>
      <c r="FQ107" s="5"/>
      <c r="FR107" s="5"/>
      <c r="FS107" s="5"/>
      <c r="FT107" s="5"/>
      <c r="FU107" s="5"/>
      <c r="FV107" s="5"/>
      <c r="FW107" s="5"/>
      <c r="FX107" s="5"/>
      <c r="FY107" s="5"/>
      <c r="FZ107" s="5"/>
      <c r="GA107" s="5"/>
      <c r="GB107" s="5"/>
      <c r="GC107" s="5"/>
      <c r="GD107" s="5"/>
      <c r="GE107" s="5"/>
      <c r="GF107" s="5"/>
      <c r="GG107" s="5"/>
      <c r="GH107" s="5"/>
      <c r="GI107" s="5"/>
      <c r="GJ107" s="5"/>
      <c r="GK107" s="5"/>
      <c r="GL107" s="5"/>
      <c r="GM107" s="5"/>
      <c r="GN107" s="5"/>
      <c r="GO107" s="5"/>
      <c r="GP107" s="5"/>
      <c r="GQ107" s="5"/>
      <c r="GR107" s="5"/>
      <c r="GS107" s="5"/>
      <c r="GT107" s="5"/>
      <c r="GU107" s="5"/>
      <c r="GV107" s="5"/>
      <c r="GW107" s="5"/>
      <c r="GX107" s="5"/>
      <c r="GY107" s="5"/>
      <c r="GZ107" s="5"/>
      <c r="HA107" s="5"/>
      <c r="HB107" s="5"/>
      <c r="HC107" s="5"/>
      <c r="HD107" s="5"/>
      <c r="HE107" s="5"/>
      <c r="HF107" s="5"/>
      <c r="HG107" s="5"/>
      <c r="HH107" s="5"/>
      <c r="HI107" s="5"/>
      <c r="HJ107" s="5"/>
      <c r="HK107" s="5"/>
      <c r="HL107" s="5"/>
      <c r="HM107" s="5"/>
      <c r="HN107" s="5"/>
      <c r="HO107" s="5"/>
      <c r="HP107" s="5"/>
      <c r="HQ107" s="5"/>
      <c r="HR107" s="5"/>
      <c r="HS107" s="5"/>
      <c r="HT107" s="5"/>
      <c r="HU107" s="5"/>
      <c r="HV107" s="5"/>
      <c r="HW107" s="5"/>
      <c r="HX107" s="5"/>
      <c r="HY107" s="5"/>
      <c r="HZ107" s="5"/>
      <c r="IA107" s="5"/>
      <c r="IB107" s="5"/>
      <c r="IC107" s="5"/>
      <c r="ID107" s="5"/>
      <c r="IE107" s="5"/>
      <c r="IF107" s="5"/>
      <c r="IG107" s="5"/>
      <c r="IH107" s="5"/>
      <c r="II107" s="5"/>
      <c r="IJ107" s="5"/>
      <c r="IK107" s="5"/>
      <c r="IL107" s="5"/>
      <c r="IM107" s="5"/>
      <c r="IN107" s="5"/>
      <c r="IO107" s="5"/>
      <c r="IP107" s="5"/>
      <c r="IQ107" s="5"/>
      <c r="IR107" s="5"/>
      <c r="IS107" s="5"/>
      <c r="IT107" s="5"/>
      <c r="IU107" s="5"/>
      <c r="IV107" s="5"/>
      <c r="IW107" s="5"/>
      <c r="IX107" s="5"/>
      <c r="IY107" s="5"/>
      <c r="IZ107" s="5"/>
      <c r="JA107" s="5"/>
      <c r="JB107" s="5"/>
      <c r="JC107" s="5"/>
      <c r="JD107" s="5"/>
      <c r="JE107" s="5"/>
      <c r="JF107" s="5"/>
      <c r="JG107" s="5"/>
      <c r="JH107" s="5"/>
      <c r="JI107" s="5"/>
      <c r="JJ107" s="5"/>
      <c r="JK107" s="5"/>
      <c r="JL107" s="5"/>
      <c r="JM107" s="5"/>
      <c r="JN107" s="5"/>
      <c r="JO107" s="5"/>
      <c r="JP107" s="5"/>
      <c r="JQ107" s="5"/>
      <c r="JR107" s="5"/>
      <c r="JS107" s="5"/>
      <c r="JT107" s="5"/>
      <c r="JU107" s="5"/>
      <c r="JV107" s="5"/>
      <c r="JW107" s="5"/>
      <c r="JX107" s="5"/>
      <c r="JY107" s="5"/>
      <c r="JZ107" s="5"/>
      <c r="KA107" s="5"/>
      <c r="KB107" s="5"/>
      <c r="KC107" s="5"/>
      <c r="KD107" s="5"/>
      <c r="KE107" s="5"/>
      <c r="KF107" s="5"/>
      <c r="KG107" s="5"/>
      <c r="KH107" s="5"/>
      <c r="KI107" s="5"/>
      <c r="KJ107" s="5"/>
      <c r="KK107" s="5"/>
      <c r="KL107" s="5"/>
      <c r="KM107" s="5"/>
      <c r="KN107" s="5"/>
      <c r="KO107" s="5"/>
      <c r="KP107" s="5"/>
      <c r="KQ107" s="5"/>
      <c r="KR107" s="5"/>
      <c r="KS107" s="5"/>
      <c r="KT107" s="5"/>
      <c r="KU107" s="5"/>
      <c r="KV107" s="5"/>
      <c r="KW107" s="5"/>
      <c r="KX107" s="5"/>
      <c r="KY107" s="5"/>
      <c r="KZ107" s="5"/>
      <c r="LA107" s="5"/>
      <c r="LB107" s="5"/>
      <c r="LC107" s="5"/>
      <c r="LD107" s="5"/>
      <c r="LE107" s="5"/>
      <c r="LF107" s="5"/>
      <c r="LG107" s="5"/>
      <c r="LH107" s="5"/>
      <c r="LI107" s="5"/>
      <c r="LJ107" s="5"/>
      <c r="LK107" s="5"/>
      <c r="LL107" s="5"/>
      <c r="LM107" s="5"/>
      <c r="LN107" s="5"/>
      <c r="LO107" s="5"/>
      <c r="LP107" s="5"/>
      <c r="LQ107" s="5"/>
      <c r="LR107" s="5"/>
      <c r="LS107" s="5"/>
      <c r="LT107" s="5"/>
      <c r="LU107" s="5"/>
      <c r="LV107" s="5"/>
      <c r="LW107" s="5"/>
      <c r="LX107" s="5"/>
      <c r="LY107" s="5"/>
      <c r="LZ107" s="5"/>
      <c r="MA107" s="5"/>
      <c r="MB107" s="5"/>
      <c r="MC107" s="5"/>
      <c r="MD107" s="5"/>
      <c r="ME107" s="5"/>
      <c r="MF107" s="5"/>
      <c r="MG107" s="5"/>
      <c r="MH107" s="5"/>
      <c r="MI107" s="5"/>
      <c r="MJ107" s="5"/>
      <c r="MK107" s="5"/>
      <c r="ML107" s="5"/>
      <c r="MM107" s="5"/>
      <c r="MN107" s="5"/>
      <c r="MO107" s="5"/>
      <c r="MP107" s="5"/>
      <c r="MQ107" s="5"/>
      <c r="MR107" s="5"/>
      <c r="MS107" s="5"/>
      <c r="MT107" s="5"/>
      <c r="MU107" s="5"/>
      <c r="MV107" s="5"/>
      <c r="MW107" s="5"/>
      <c r="MX107" s="5"/>
      <c r="MY107" s="5"/>
      <c r="MZ107" s="5"/>
      <c r="NA107" s="5"/>
      <c r="NB107" s="5"/>
      <c r="NC107" s="5"/>
      <c r="ND107" s="5"/>
      <c r="NE107" s="5"/>
      <c r="NF107" s="5"/>
      <c r="NG107" s="5"/>
      <c r="NH107" s="5"/>
      <c r="NI107" s="5"/>
      <c r="NJ107" s="5"/>
      <c r="NK107" s="5"/>
      <c r="NL107" s="5"/>
      <c r="NM107" s="5"/>
      <c r="NN107" s="5"/>
      <c r="NO107" s="5"/>
      <c r="NP107" s="5"/>
      <c r="NQ107" s="5"/>
      <c r="NR107" s="5"/>
      <c r="NS107" s="5"/>
      <c r="NT107" s="5"/>
      <c r="NU107" s="5"/>
      <c r="NV107" s="5"/>
      <c r="NW107" s="5"/>
      <c r="NX107" s="5"/>
      <c r="NY107" s="5"/>
      <c r="NZ107" s="5"/>
      <c r="OA107" s="5"/>
      <c r="OB107" s="5"/>
      <c r="OC107" s="5"/>
      <c r="OD107" s="5"/>
      <c r="OE107" s="5"/>
      <c r="OF107" s="5"/>
      <c r="OG107" s="5"/>
      <c r="OH107" s="5"/>
      <c r="OI107" s="5"/>
      <c r="OJ107" s="5"/>
      <c r="OK107" s="5"/>
      <c r="OL107" s="5"/>
      <c r="OM107" s="5"/>
      <c r="ON107" s="5"/>
      <c r="OO107" s="5"/>
      <c r="OP107" s="5"/>
      <c r="OQ107" s="5"/>
      <c r="OR107" s="5"/>
      <c r="OS107" s="5"/>
      <c r="OT107" s="5"/>
      <c r="OU107" s="5"/>
      <c r="OV107" s="5"/>
      <c r="OW107" s="5"/>
      <c r="OX107" s="5"/>
      <c r="OY107" s="5"/>
      <c r="OZ107" s="5"/>
      <c r="PA107" s="5"/>
      <c r="PB107" s="5"/>
      <c r="PC107" s="5"/>
      <c r="PD107" s="5"/>
      <c r="PE107" s="5"/>
      <c r="PF107" s="5"/>
      <c r="PG107" s="5"/>
      <c r="PH107" s="5"/>
      <c r="PI107" s="5"/>
      <c r="PJ107" s="5"/>
      <c r="PK107" s="5"/>
      <c r="PL107" s="5"/>
      <c r="PM107" s="5"/>
      <c r="PN107" s="5"/>
      <c r="PO107" s="5"/>
      <c r="PP107" s="5"/>
      <c r="PQ107" s="5"/>
      <c r="PR107" s="5"/>
      <c r="PS107" s="5"/>
      <c r="PT107" s="5"/>
      <c r="PU107" s="5"/>
      <c r="PV107" s="5"/>
      <c r="PW107" s="5"/>
      <c r="PX107" s="5"/>
      <c r="PY107" s="5"/>
      <c r="PZ107" s="5"/>
      <c r="QA107" s="5"/>
      <c r="QB107" s="5"/>
      <c r="QC107" s="5"/>
      <c r="QD107" s="5"/>
      <c r="QE107" s="5"/>
      <c r="QF107" s="5"/>
      <c r="QG107" s="5"/>
      <c r="QH107" s="5"/>
      <c r="QI107" s="5"/>
      <c r="QJ107" s="5"/>
      <c r="QK107" s="5"/>
      <c r="QL107" s="5"/>
      <c r="QM107" s="5"/>
      <c r="QN107" s="5"/>
      <c r="QO107" s="5"/>
      <c r="QP107" s="5"/>
      <c r="QQ107" s="5"/>
      <c r="QR107" s="5"/>
      <c r="QS107" s="5"/>
      <c r="QT107" s="5"/>
      <c r="QU107" s="5"/>
      <c r="QV107" s="5"/>
      <c r="QW107" s="5"/>
      <c r="QX107" s="5"/>
      <c r="QY107" s="5"/>
      <c r="QZ107" s="5"/>
      <c r="RA107" s="5"/>
      <c r="RB107" s="5"/>
      <c r="RC107" s="5"/>
      <c r="RD107" s="5"/>
      <c r="RE107" s="5"/>
      <c r="RF107" s="5"/>
      <c r="RG107" s="5"/>
      <c r="RH107" s="5"/>
      <c r="RI107" s="5"/>
      <c r="RJ107" s="5"/>
      <c r="RK107" s="5"/>
      <c r="RL107" s="5"/>
      <c r="RM107" s="5"/>
      <c r="RN107" s="5"/>
      <c r="RO107" s="5"/>
      <c r="RP107" s="5"/>
      <c r="RQ107" s="5"/>
      <c r="RR107" s="5"/>
      <c r="RS107" s="5"/>
      <c r="RT107" s="5"/>
      <c r="RU107" s="5"/>
      <c r="RV107" s="5"/>
      <c r="RW107" s="5"/>
      <c r="RX107" s="5"/>
      <c r="RY107" s="5"/>
      <c r="RZ107" s="5"/>
      <c r="SA107" s="5"/>
      <c r="SB107" s="5"/>
      <c r="SC107" s="5"/>
      <c r="SD107" s="5"/>
      <c r="SE107" s="5"/>
      <c r="SF107" s="5"/>
      <c r="SG107" s="5"/>
      <c r="SH107" s="5"/>
      <c r="SI107" s="5"/>
      <c r="SJ107" s="5"/>
      <c r="SK107" s="5"/>
      <c r="SL107" s="5"/>
      <c r="SM107" s="5"/>
      <c r="SN107" s="5"/>
      <c r="SO107" s="5"/>
      <c r="SP107" s="5"/>
      <c r="SQ107" s="5"/>
      <c r="SR107" s="5"/>
      <c r="SS107" s="5"/>
      <c r="ST107" s="5"/>
      <c r="SU107" s="5"/>
      <c r="SV107" s="5"/>
      <c r="SW107" s="5"/>
      <c r="SX107" s="5"/>
      <c r="SY107" s="5"/>
      <c r="SZ107" s="5"/>
      <c r="TA107" s="5"/>
      <c r="TB107" s="5"/>
      <c r="TC107" s="5"/>
      <c r="TD107" s="5"/>
      <c r="TE107" s="5"/>
      <c r="TF107" s="5"/>
      <c r="TG107" s="5"/>
      <c r="TH107" s="5"/>
      <c r="TI107" s="5"/>
      <c r="TJ107" s="5"/>
      <c r="TK107" s="5"/>
      <c r="TL107" s="5"/>
      <c r="TM107" s="5"/>
      <c r="TN107" s="5"/>
      <c r="TO107" s="5"/>
      <c r="TP107" s="5"/>
      <c r="TQ107" s="5"/>
      <c r="TR107" s="5"/>
      <c r="TS107" s="5"/>
      <c r="TT107" s="5"/>
      <c r="TU107" s="5"/>
      <c r="TV107" s="5"/>
      <c r="TW107" s="5"/>
      <c r="TX107" s="5"/>
      <c r="TY107" s="5"/>
      <c r="TZ107" s="5"/>
      <c r="UA107" s="5"/>
      <c r="UB107" s="5"/>
      <c r="UC107" s="5"/>
      <c r="UD107" s="5"/>
      <c r="UE107" s="5"/>
      <c r="UF107" s="5"/>
      <c r="UG107" s="5"/>
      <c r="UH107" s="5"/>
      <c r="UI107" s="5"/>
      <c r="UJ107" s="5"/>
      <c r="UK107" s="5"/>
      <c r="UL107" s="5"/>
      <c r="UM107" s="5"/>
      <c r="UN107" s="5"/>
      <c r="UO107" s="5"/>
      <c r="UP107" s="5"/>
      <c r="UQ107" s="5"/>
      <c r="UR107" s="5"/>
      <c r="US107" s="5"/>
      <c r="UT107" s="5"/>
      <c r="UU107" s="5"/>
      <c r="UV107" s="5"/>
      <c r="UW107" s="5"/>
      <c r="UX107" s="5"/>
      <c r="UY107" s="5"/>
      <c r="UZ107" s="5"/>
      <c r="VA107" s="5"/>
      <c r="VB107" s="5"/>
      <c r="VC107" s="5"/>
      <c r="VD107" s="5"/>
      <c r="VE107" s="5"/>
      <c r="VF107" s="5"/>
      <c r="VG107" s="5"/>
      <c r="VH107" s="5"/>
      <c r="VI107" s="5"/>
      <c r="VJ107" s="5"/>
      <c r="VK107" s="5"/>
      <c r="VL107" s="5"/>
      <c r="VM107" s="5"/>
      <c r="VN107" s="5"/>
      <c r="VO107" s="5"/>
      <c r="VP107" s="5"/>
      <c r="VQ107" s="5"/>
      <c r="VR107" s="5"/>
      <c r="VS107" s="5"/>
      <c r="VT107" s="5"/>
      <c r="VU107" s="5"/>
      <c r="VV107" s="5"/>
      <c r="VW107" s="5"/>
      <c r="VX107" s="5"/>
      <c r="VY107" s="5"/>
      <c r="VZ107" s="5"/>
      <c r="WA107" s="5"/>
      <c r="WB107" s="5"/>
      <c r="WC107" s="5"/>
      <c r="WD107" s="5"/>
      <c r="WE107" s="5"/>
      <c r="WF107" s="5"/>
      <c r="WG107" s="5"/>
      <c r="WH107" s="5"/>
      <c r="WI107" s="5"/>
      <c r="WJ107" s="5"/>
      <c r="WK107" s="5"/>
      <c r="WL107" s="5"/>
      <c r="WM107" s="5"/>
      <c r="WN107" s="5"/>
      <c r="WO107" s="5"/>
      <c r="WP107" s="5"/>
      <c r="WQ107" s="5"/>
      <c r="WR107" s="5"/>
      <c r="WS107" s="5"/>
      <c r="WT107" s="5"/>
      <c r="WU107" s="5"/>
      <c r="WV107" s="5"/>
      <c r="WW107" s="5"/>
      <c r="WX107" s="5"/>
      <c r="WY107" s="5"/>
      <c r="WZ107" s="5"/>
      <c r="XA107" s="5"/>
      <c r="XB107" s="5"/>
      <c r="XC107" s="5"/>
      <c r="XD107" s="5"/>
      <c r="XE107" s="5"/>
      <c r="XF107" s="5"/>
      <c r="XG107" s="5"/>
      <c r="XH107" s="5"/>
      <c r="XI107" s="5"/>
      <c r="XJ107" s="5"/>
      <c r="XK107" s="5"/>
      <c r="XL107" s="5"/>
      <c r="XM107" s="5"/>
      <c r="XN107" s="5"/>
      <c r="XO107" s="5"/>
      <c r="XP107" s="5"/>
      <c r="XQ107" s="5"/>
      <c r="XR107" s="5"/>
      <c r="XS107" s="5"/>
      <c r="XT107" s="5"/>
      <c r="XU107" s="5"/>
      <c r="XV107" s="5"/>
      <c r="XW107" s="5"/>
      <c r="XX107" s="5"/>
      <c r="XY107" s="5"/>
      <c r="XZ107" s="5"/>
      <c r="YA107" s="5"/>
      <c r="YB107" s="5"/>
      <c r="YC107" s="5"/>
      <c r="YD107" s="5"/>
      <c r="YE107" s="5"/>
      <c r="YF107" s="5"/>
      <c r="YG107" s="5"/>
      <c r="YH107" s="5"/>
      <c r="YI107" s="5"/>
      <c r="YJ107" s="5"/>
      <c r="YK107" s="5"/>
      <c r="YL107" s="5"/>
      <c r="YM107" s="5"/>
      <c r="YN107" s="5"/>
      <c r="YO107" s="5"/>
      <c r="YP107" s="5"/>
      <c r="YQ107" s="5"/>
      <c r="YR107" s="5"/>
      <c r="YS107" s="5"/>
      <c r="YT107" s="5"/>
      <c r="YU107" s="5"/>
      <c r="YV107" s="5"/>
      <c r="YW107" s="5"/>
      <c r="YX107" s="5"/>
      <c r="YY107" s="5"/>
      <c r="YZ107" s="5"/>
    </row>
    <row r="108" spans="1:676">
      <c r="A108" s="7">
        <v>98</v>
      </c>
      <c r="B108" s="7" t="s">
        <v>271</v>
      </c>
      <c r="C108" s="10" t="s">
        <v>272</v>
      </c>
      <c r="D108" s="7" t="s">
        <v>54</v>
      </c>
      <c r="E108" s="7"/>
      <c r="F108" s="7"/>
      <c r="G108" s="7"/>
      <c r="H108" s="7"/>
      <c r="I108" s="11">
        <v>0</v>
      </c>
      <c r="J108" s="11">
        <v>0</v>
      </c>
      <c r="K108" s="11">
        <v>0</v>
      </c>
      <c r="L108" s="11">
        <v>0</v>
      </c>
      <c r="M108" s="11">
        <v>0</v>
      </c>
      <c r="N108" s="11">
        <v>0</v>
      </c>
      <c r="O108" s="11">
        <v>0</v>
      </c>
      <c r="P108" s="11">
        <v>0</v>
      </c>
      <c r="Q108" s="11">
        <v>0</v>
      </c>
      <c r="R108" s="11">
        <v>0</v>
      </c>
      <c r="S108" s="11">
        <v>0</v>
      </c>
      <c r="T108" s="11">
        <v>0</v>
      </c>
      <c r="U108" s="11">
        <v>0</v>
      </c>
      <c r="V108" s="11">
        <v>0</v>
      </c>
      <c r="W108" s="13">
        <v>0</v>
      </c>
      <c r="X108" s="13">
        <v>0</v>
      </c>
      <c r="Y108" s="13" t="str">
        <f>MIN(W108,S108)</f>
        <v>0</v>
      </c>
      <c r="Z108" s="13" t="str">
        <f>MIN(X108,(S108-Y108))</f>
        <v>0</v>
      </c>
      <c r="AA108" s="13" t="str">
        <f>S108-SUM(Y108,Z108)</f>
        <v>0</v>
      </c>
      <c r="AB108" s="15"/>
      <c r="AC108" s="15"/>
      <c r="AD108" s="1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  <c r="CT108" s="5"/>
      <c r="CU108" s="5"/>
      <c r="CV108" s="5"/>
      <c r="CW108" s="5"/>
      <c r="CX108" s="5"/>
      <c r="CY108" s="5"/>
      <c r="CZ108" s="5"/>
      <c r="DA108" s="5"/>
      <c r="DB108" s="5"/>
      <c r="DC108" s="5"/>
      <c r="DD108" s="5"/>
      <c r="DE108" s="5"/>
      <c r="DF108" s="5"/>
      <c r="DG108" s="5"/>
      <c r="DH108" s="5"/>
      <c r="DI108" s="5"/>
      <c r="DJ108" s="5"/>
      <c r="DK108" s="5"/>
      <c r="DL108" s="5"/>
      <c r="DM108" s="5"/>
      <c r="DN108" s="5"/>
      <c r="DO108" s="5"/>
      <c r="DP108" s="5"/>
      <c r="DQ108" s="5"/>
      <c r="DR108" s="5"/>
      <c r="DS108" s="5"/>
      <c r="DT108" s="5"/>
      <c r="DU108" s="5"/>
      <c r="DV108" s="5"/>
      <c r="DW108" s="5"/>
      <c r="DX108" s="5"/>
      <c r="DY108" s="5"/>
      <c r="DZ108" s="5"/>
      <c r="EA108" s="5"/>
      <c r="EB108" s="5"/>
      <c r="EC108" s="5"/>
      <c r="ED108" s="5"/>
      <c r="EE108" s="5"/>
      <c r="EF108" s="5"/>
      <c r="EG108" s="5"/>
      <c r="EH108" s="5"/>
      <c r="EI108" s="5"/>
      <c r="EJ108" s="5"/>
      <c r="EK108" s="5"/>
      <c r="EL108" s="5"/>
      <c r="EM108" s="5"/>
      <c r="EN108" s="5"/>
      <c r="EO108" s="5"/>
      <c r="EP108" s="5"/>
      <c r="EQ108" s="5"/>
      <c r="ER108" s="5"/>
      <c r="ES108" s="5"/>
      <c r="ET108" s="5"/>
      <c r="EU108" s="5"/>
      <c r="EV108" s="5"/>
      <c r="EW108" s="5"/>
      <c r="EX108" s="5"/>
      <c r="EY108" s="5"/>
      <c r="EZ108" s="5"/>
      <c r="FA108" s="5"/>
      <c r="FB108" s="5"/>
      <c r="FC108" s="5"/>
      <c r="FD108" s="5"/>
      <c r="FE108" s="5"/>
      <c r="FF108" s="5"/>
      <c r="FG108" s="5"/>
      <c r="FH108" s="5"/>
      <c r="FI108" s="5"/>
      <c r="FJ108" s="5"/>
      <c r="FK108" s="5"/>
      <c r="FL108" s="5"/>
      <c r="FM108" s="5"/>
      <c r="FN108" s="5"/>
      <c r="FO108" s="5"/>
      <c r="FP108" s="5"/>
      <c r="FQ108" s="5"/>
      <c r="FR108" s="5"/>
      <c r="FS108" s="5"/>
      <c r="FT108" s="5"/>
      <c r="FU108" s="5"/>
      <c r="FV108" s="5"/>
      <c r="FW108" s="5"/>
      <c r="FX108" s="5"/>
      <c r="FY108" s="5"/>
      <c r="FZ108" s="5"/>
      <c r="GA108" s="5"/>
      <c r="GB108" s="5"/>
      <c r="GC108" s="5"/>
      <c r="GD108" s="5"/>
      <c r="GE108" s="5"/>
      <c r="GF108" s="5"/>
      <c r="GG108" s="5"/>
      <c r="GH108" s="5"/>
      <c r="GI108" s="5"/>
      <c r="GJ108" s="5"/>
      <c r="GK108" s="5"/>
      <c r="GL108" s="5"/>
      <c r="GM108" s="5"/>
      <c r="GN108" s="5"/>
      <c r="GO108" s="5"/>
      <c r="GP108" s="5"/>
      <c r="GQ108" s="5"/>
      <c r="GR108" s="5"/>
      <c r="GS108" s="5"/>
      <c r="GT108" s="5"/>
      <c r="GU108" s="5"/>
      <c r="GV108" s="5"/>
      <c r="GW108" s="5"/>
      <c r="GX108" s="5"/>
      <c r="GY108" s="5"/>
      <c r="GZ108" s="5"/>
      <c r="HA108" s="5"/>
      <c r="HB108" s="5"/>
      <c r="HC108" s="5"/>
      <c r="HD108" s="5"/>
      <c r="HE108" s="5"/>
      <c r="HF108" s="5"/>
      <c r="HG108" s="5"/>
      <c r="HH108" s="5"/>
      <c r="HI108" s="5"/>
      <c r="HJ108" s="5"/>
      <c r="HK108" s="5"/>
      <c r="HL108" s="5"/>
      <c r="HM108" s="5"/>
      <c r="HN108" s="5"/>
      <c r="HO108" s="5"/>
      <c r="HP108" s="5"/>
      <c r="HQ108" s="5"/>
      <c r="HR108" s="5"/>
      <c r="HS108" s="5"/>
      <c r="HT108" s="5"/>
      <c r="HU108" s="5"/>
      <c r="HV108" s="5"/>
      <c r="HW108" s="5"/>
      <c r="HX108" s="5"/>
      <c r="HY108" s="5"/>
      <c r="HZ108" s="5"/>
      <c r="IA108" s="5"/>
      <c r="IB108" s="5"/>
      <c r="IC108" s="5"/>
      <c r="ID108" s="5"/>
      <c r="IE108" s="5"/>
      <c r="IF108" s="5"/>
      <c r="IG108" s="5"/>
      <c r="IH108" s="5"/>
      <c r="II108" s="5"/>
      <c r="IJ108" s="5"/>
      <c r="IK108" s="5"/>
      <c r="IL108" s="5"/>
      <c r="IM108" s="5"/>
      <c r="IN108" s="5"/>
      <c r="IO108" s="5"/>
      <c r="IP108" s="5"/>
      <c r="IQ108" s="5"/>
      <c r="IR108" s="5"/>
      <c r="IS108" s="5"/>
      <c r="IT108" s="5"/>
      <c r="IU108" s="5"/>
      <c r="IV108" s="5"/>
      <c r="IW108" s="5"/>
      <c r="IX108" s="5"/>
      <c r="IY108" s="5"/>
      <c r="IZ108" s="5"/>
      <c r="JA108" s="5"/>
      <c r="JB108" s="5"/>
      <c r="JC108" s="5"/>
      <c r="JD108" s="5"/>
      <c r="JE108" s="5"/>
      <c r="JF108" s="5"/>
      <c r="JG108" s="5"/>
      <c r="JH108" s="5"/>
      <c r="JI108" s="5"/>
      <c r="JJ108" s="5"/>
      <c r="JK108" s="5"/>
      <c r="JL108" s="5"/>
      <c r="JM108" s="5"/>
      <c r="JN108" s="5"/>
      <c r="JO108" s="5"/>
      <c r="JP108" s="5"/>
      <c r="JQ108" s="5"/>
      <c r="JR108" s="5"/>
      <c r="JS108" s="5"/>
      <c r="JT108" s="5"/>
      <c r="JU108" s="5"/>
      <c r="JV108" s="5"/>
      <c r="JW108" s="5"/>
      <c r="JX108" s="5"/>
      <c r="JY108" s="5"/>
      <c r="JZ108" s="5"/>
      <c r="KA108" s="5"/>
      <c r="KB108" s="5"/>
      <c r="KC108" s="5"/>
      <c r="KD108" s="5"/>
      <c r="KE108" s="5"/>
      <c r="KF108" s="5"/>
      <c r="KG108" s="5"/>
      <c r="KH108" s="5"/>
      <c r="KI108" s="5"/>
      <c r="KJ108" s="5"/>
      <c r="KK108" s="5"/>
      <c r="KL108" s="5"/>
      <c r="KM108" s="5"/>
      <c r="KN108" s="5"/>
      <c r="KO108" s="5"/>
      <c r="KP108" s="5"/>
      <c r="KQ108" s="5"/>
      <c r="KR108" s="5"/>
      <c r="KS108" s="5"/>
      <c r="KT108" s="5"/>
      <c r="KU108" s="5"/>
      <c r="KV108" s="5"/>
      <c r="KW108" s="5"/>
      <c r="KX108" s="5"/>
      <c r="KY108" s="5"/>
      <c r="KZ108" s="5"/>
      <c r="LA108" s="5"/>
      <c r="LB108" s="5"/>
      <c r="LC108" s="5"/>
      <c r="LD108" s="5"/>
      <c r="LE108" s="5"/>
      <c r="LF108" s="5"/>
      <c r="LG108" s="5"/>
      <c r="LH108" s="5"/>
      <c r="LI108" s="5"/>
      <c r="LJ108" s="5"/>
      <c r="LK108" s="5"/>
      <c r="LL108" s="5"/>
      <c r="LM108" s="5"/>
      <c r="LN108" s="5"/>
      <c r="LO108" s="5"/>
      <c r="LP108" s="5"/>
      <c r="LQ108" s="5"/>
      <c r="LR108" s="5"/>
      <c r="LS108" s="5"/>
      <c r="LT108" s="5"/>
      <c r="LU108" s="5"/>
      <c r="LV108" s="5"/>
      <c r="LW108" s="5"/>
      <c r="LX108" s="5"/>
      <c r="LY108" s="5"/>
      <c r="LZ108" s="5"/>
      <c r="MA108" s="5"/>
      <c r="MB108" s="5"/>
      <c r="MC108" s="5"/>
      <c r="MD108" s="5"/>
      <c r="ME108" s="5"/>
      <c r="MF108" s="5"/>
      <c r="MG108" s="5"/>
      <c r="MH108" s="5"/>
      <c r="MI108" s="5"/>
      <c r="MJ108" s="5"/>
      <c r="MK108" s="5"/>
      <c r="ML108" s="5"/>
      <c r="MM108" s="5"/>
      <c r="MN108" s="5"/>
      <c r="MO108" s="5"/>
      <c r="MP108" s="5"/>
      <c r="MQ108" s="5"/>
      <c r="MR108" s="5"/>
      <c r="MS108" s="5"/>
      <c r="MT108" s="5"/>
      <c r="MU108" s="5"/>
      <c r="MV108" s="5"/>
      <c r="MW108" s="5"/>
      <c r="MX108" s="5"/>
      <c r="MY108" s="5"/>
      <c r="MZ108" s="5"/>
      <c r="NA108" s="5"/>
      <c r="NB108" s="5"/>
      <c r="NC108" s="5"/>
      <c r="ND108" s="5"/>
      <c r="NE108" s="5"/>
      <c r="NF108" s="5"/>
      <c r="NG108" s="5"/>
      <c r="NH108" s="5"/>
      <c r="NI108" s="5"/>
      <c r="NJ108" s="5"/>
      <c r="NK108" s="5"/>
      <c r="NL108" s="5"/>
      <c r="NM108" s="5"/>
      <c r="NN108" s="5"/>
      <c r="NO108" s="5"/>
      <c r="NP108" s="5"/>
      <c r="NQ108" s="5"/>
      <c r="NR108" s="5"/>
      <c r="NS108" s="5"/>
      <c r="NT108" s="5"/>
      <c r="NU108" s="5"/>
      <c r="NV108" s="5"/>
      <c r="NW108" s="5"/>
      <c r="NX108" s="5"/>
      <c r="NY108" s="5"/>
      <c r="NZ108" s="5"/>
      <c r="OA108" s="5"/>
      <c r="OB108" s="5"/>
      <c r="OC108" s="5"/>
      <c r="OD108" s="5"/>
      <c r="OE108" s="5"/>
      <c r="OF108" s="5"/>
      <c r="OG108" s="5"/>
      <c r="OH108" s="5"/>
      <c r="OI108" s="5"/>
      <c r="OJ108" s="5"/>
      <c r="OK108" s="5"/>
      <c r="OL108" s="5"/>
      <c r="OM108" s="5"/>
      <c r="ON108" s="5"/>
      <c r="OO108" s="5"/>
      <c r="OP108" s="5"/>
      <c r="OQ108" s="5"/>
      <c r="OR108" s="5"/>
      <c r="OS108" s="5"/>
      <c r="OT108" s="5"/>
      <c r="OU108" s="5"/>
      <c r="OV108" s="5"/>
      <c r="OW108" s="5"/>
      <c r="OX108" s="5"/>
      <c r="OY108" s="5"/>
      <c r="OZ108" s="5"/>
      <c r="PA108" s="5"/>
      <c r="PB108" s="5"/>
      <c r="PC108" s="5"/>
      <c r="PD108" s="5"/>
      <c r="PE108" s="5"/>
      <c r="PF108" s="5"/>
      <c r="PG108" s="5"/>
      <c r="PH108" s="5"/>
      <c r="PI108" s="5"/>
      <c r="PJ108" s="5"/>
      <c r="PK108" s="5"/>
      <c r="PL108" s="5"/>
      <c r="PM108" s="5"/>
      <c r="PN108" s="5"/>
      <c r="PO108" s="5"/>
      <c r="PP108" s="5"/>
      <c r="PQ108" s="5"/>
      <c r="PR108" s="5"/>
      <c r="PS108" s="5"/>
      <c r="PT108" s="5"/>
      <c r="PU108" s="5"/>
      <c r="PV108" s="5"/>
      <c r="PW108" s="5"/>
      <c r="PX108" s="5"/>
      <c r="PY108" s="5"/>
      <c r="PZ108" s="5"/>
      <c r="QA108" s="5"/>
      <c r="QB108" s="5"/>
      <c r="QC108" s="5"/>
      <c r="QD108" s="5"/>
      <c r="QE108" s="5"/>
      <c r="QF108" s="5"/>
      <c r="QG108" s="5"/>
      <c r="QH108" s="5"/>
      <c r="QI108" s="5"/>
      <c r="QJ108" s="5"/>
      <c r="QK108" s="5"/>
      <c r="QL108" s="5"/>
      <c r="QM108" s="5"/>
      <c r="QN108" s="5"/>
      <c r="QO108" s="5"/>
      <c r="QP108" s="5"/>
      <c r="QQ108" s="5"/>
      <c r="QR108" s="5"/>
      <c r="QS108" s="5"/>
      <c r="QT108" s="5"/>
      <c r="QU108" s="5"/>
      <c r="QV108" s="5"/>
      <c r="QW108" s="5"/>
      <c r="QX108" s="5"/>
      <c r="QY108" s="5"/>
      <c r="QZ108" s="5"/>
      <c r="RA108" s="5"/>
      <c r="RB108" s="5"/>
      <c r="RC108" s="5"/>
      <c r="RD108" s="5"/>
      <c r="RE108" s="5"/>
      <c r="RF108" s="5"/>
      <c r="RG108" s="5"/>
      <c r="RH108" s="5"/>
      <c r="RI108" s="5"/>
      <c r="RJ108" s="5"/>
      <c r="RK108" s="5"/>
      <c r="RL108" s="5"/>
      <c r="RM108" s="5"/>
      <c r="RN108" s="5"/>
      <c r="RO108" s="5"/>
      <c r="RP108" s="5"/>
      <c r="RQ108" s="5"/>
      <c r="RR108" s="5"/>
      <c r="RS108" s="5"/>
      <c r="RT108" s="5"/>
      <c r="RU108" s="5"/>
      <c r="RV108" s="5"/>
      <c r="RW108" s="5"/>
      <c r="RX108" s="5"/>
      <c r="RY108" s="5"/>
      <c r="RZ108" s="5"/>
      <c r="SA108" s="5"/>
      <c r="SB108" s="5"/>
      <c r="SC108" s="5"/>
      <c r="SD108" s="5"/>
      <c r="SE108" s="5"/>
      <c r="SF108" s="5"/>
      <c r="SG108" s="5"/>
      <c r="SH108" s="5"/>
      <c r="SI108" s="5"/>
      <c r="SJ108" s="5"/>
      <c r="SK108" s="5"/>
      <c r="SL108" s="5"/>
      <c r="SM108" s="5"/>
      <c r="SN108" s="5"/>
      <c r="SO108" s="5"/>
      <c r="SP108" s="5"/>
      <c r="SQ108" s="5"/>
      <c r="SR108" s="5"/>
      <c r="SS108" s="5"/>
      <c r="ST108" s="5"/>
      <c r="SU108" s="5"/>
      <c r="SV108" s="5"/>
      <c r="SW108" s="5"/>
      <c r="SX108" s="5"/>
      <c r="SY108" s="5"/>
      <c r="SZ108" s="5"/>
      <c r="TA108" s="5"/>
      <c r="TB108" s="5"/>
      <c r="TC108" s="5"/>
      <c r="TD108" s="5"/>
      <c r="TE108" s="5"/>
      <c r="TF108" s="5"/>
      <c r="TG108" s="5"/>
      <c r="TH108" s="5"/>
      <c r="TI108" s="5"/>
      <c r="TJ108" s="5"/>
      <c r="TK108" s="5"/>
      <c r="TL108" s="5"/>
      <c r="TM108" s="5"/>
      <c r="TN108" s="5"/>
      <c r="TO108" s="5"/>
      <c r="TP108" s="5"/>
      <c r="TQ108" s="5"/>
      <c r="TR108" s="5"/>
      <c r="TS108" s="5"/>
      <c r="TT108" s="5"/>
      <c r="TU108" s="5"/>
      <c r="TV108" s="5"/>
      <c r="TW108" s="5"/>
      <c r="TX108" s="5"/>
      <c r="TY108" s="5"/>
      <c r="TZ108" s="5"/>
      <c r="UA108" s="5"/>
      <c r="UB108" s="5"/>
      <c r="UC108" s="5"/>
      <c r="UD108" s="5"/>
      <c r="UE108" s="5"/>
      <c r="UF108" s="5"/>
      <c r="UG108" s="5"/>
      <c r="UH108" s="5"/>
      <c r="UI108" s="5"/>
      <c r="UJ108" s="5"/>
      <c r="UK108" s="5"/>
      <c r="UL108" s="5"/>
      <c r="UM108" s="5"/>
      <c r="UN108" s="5"/>
      <c r="UO108" s="5"/>
      <c r="UP108" s="5"/>
      <c r="UQ108" s="5"/>
      <c r="UR108" s="5"/>
      <c r="US108" s="5"/>
      <c r="UT108" s="5"/>
      <c r="UU108" s="5"/>
      <c r="UV108" s="5"/>
      <c r="UW108" s="5"/>
      <c r="UX108" s="5"/>
      <c r="UY108" s="5"/>
      <c r="UZ108" s="5"/>
      <c r="VA108" s="5"/>
      <c r="VB108" s="5"/>
      <c r="VC108" s="5"/>
      <c r="VD108" s="5"/>
      <c r="VE108" s="5"/>
      <c r="VF108" s="5"/>
      <c r="VG108" s="5"/>
      <c r="VH108" s="5"/>
      <c r="VI108" s="5"/>
      <c r="VJ108" s="5"/>
      <c r="VK108" s="5"/>
      <c r="VL108" s="5"/>
      <c r="VM108" s="5"/>
      <c r="VN108" s="5"/>
      <c r="VO108" s="5"/>
      <c r="VP108" s="5"/>
      <c r="VQ108" s="5"/>
      <c r="VR108" s="5"/>
      <c r="VS108" s="5"/>
      <c r="VT108" s="5"/>
      <c r="VU108" s="5"/>
      <c r="VV108" s="5"/>
      <c r="VW108" s="5"/>
      <c r="VX108" s="5"/>
      <c r="VY108" s="5"/>
      <c r="VZ108" s="5"/>
      <c r="WA108" s="5"/>
      <c r="WB108" s="5"/>
      <c r="WC108" s="5"/>
      <c r="WD108" s="5"/>
      <c r="WE108" s="5"/>
      <c r="WF108" s="5"/>
      <c r="WG108" s="5"/>
      <c r="WH108" s="5"/>
      <c r="WI108" s="5"/>
      <c r="WJ108" s="5"/>
      <c r="WK108" s="5"/>
      <c r="WL108" s="5"/>
      <c r="WM108" s="5"/>
      <c r="WN108" s="5"/>
      <c r="WO108" s="5"/>
      <c r="WP108" s="5"/>
      <c r="WQ108" s="5"/>
      <c r="WR108" s="5"/>
      <c r="WS108" s="5"/>
      <c r="WT108" s="5"/>
      <c r="WU108" s="5"/>
      <c r="WV108" s="5"/>
      <c r="WW108" s="5"/>
      <c r="WX108" s="5"/>
      <c r="WY108" s="5"/>
      <c r="WZ108" s="5"/>
      <c r="XA108" s="5"/>
      <c r="XB108" s="5"/>
      <c r="XC108" s="5"/>
      <c r="XD108" s="5"/>
      <c r="XE108" s="5"/>
      <c r="XF108" s="5"/>
      <c r="XG108" s="5"/>
      <c r="XH108" s="5"/>
      <c r="XI108" s="5"/>
      <c r="XJ108" s="5"/>
      <c r="XK108" s="5"/>
      <c r="XL108" s="5"/>
      <c r="XM108" s="5"/>
      <c r="XN108" s="5"/>
      <c r="XO108" s="5"/>
      <c r="XP108" s="5"/>
      <c r="XQ108" s="5"/>
      <c r="XR108" s="5"/>
      <c r="XS108" s="5"/>
      <c r="XT108" s="5"/>
      <c r="XU108" s="5"/>
      <c r="XV108" s="5"/>
      <c r="XW108" s="5"/>
      <c r="XX108" s="5"/>
      <c r="XY108" s="5"/>
      <c r="XZ108" s="5"/>
      <c r="YA108" s="5"/>
      <c r="YB108" s="5"/>
      <c r="YC108" s="5"/>
      <c r="YD108" s="5"/>
      <c r="YE108" s="5"/>
      <c r="YF108" s="5"/>
      <c r="YG108" s="5"/>
      <c r="YH108" s="5"/>
      <c r="YI108" s="5"/>
      <c r="YJ108" s="5"/>
      <c r="YK108" s="5"/>
      <c r="YL108" s="5"/>
      <c r="YM108" s="5"/>
      <c r="YN108" s="5"/>
      <c r="YO108" s="5"/>
      <c r="YP108" s="5"/>
      <c r="YQ108" s="5"/>
      <c r="YR108" s="5"/>
      <c r="YS108" s="5"/>
      <c r="YT108" s="5"/>
      <c r="YU108" s="5"/>
      <c r="YV108" s="5"/>
      <c r="YW108" s="5"/>
      <c r="YX108" s="5"/>
      <c r="YY108" s="5"/>
      <c r="YZ108" s="5"/>
    </row>
    <row r="109" spans="1:676">
      <c r="A109" s="7">
        <v>99</v>
      </c>
      <c r="B109" s="7" t="s">
        <v>273</v>
      </c>
      <c r="C109" s="10" t="s">
        <v>274</v>
      </c>
      <c r="D109" s="7" t="s">
        <v>60</v>
      </c>
      <c r="E109" s="7"/>
      <c r="F109" s="7"/>
      <c r="G109" s="7"/>
      <c r="H109" s="7"/>
      <c r="I109" s="11">
        <v>0</v>
      </c>
      <c r="J109" s="11">
        <v>0</v>
      </c>
      <c r="K109" s="11">
        <v>0</v>
      </c>
      <c r="L109" s="11">
        <v>0</v>
      </c>
      <c r="M109" s="11">
        <v>0</v>
      </c>
      <c r="N109" s="11">
        <v>0</v>
      </c>
      <c r="O109" s="11">
        <v>0</v>
      </c>
      <c r="P109" s="11">
        <v>0</v>
      </c>
      <c r="Q109" s="11">
        <v>0</v>
      </c>
      <c r="R109" s="11">
        <v>0</v>
      </c>
      <c r="S109" s="11">
        <v>0</v>
      </c>
      <c r="T109" s="11">
        <v>0</v>
      </c>
      <c r="U109" s="11">
        <v>0</v>
      </c>
      <c r="V109" s="11">
        <v>0</v>
      </c>
      <c r="W109" s="13">
        <v>0</v>
      </c>
      <c r="X109" s="13">
        <v>0</v>
      </c>
      <c r="Y109" s="13" t="str">
        <f>MIN(W109,S109)</f>
        <v>0</v>
      </c>
      <c r="Z109" s="13" t="str">
        <f>MIN(X109,(S109-Y109))</f>
        <v>0</v>
      </c>
      <c r="AA109" s="13" t="str">
        <f>S109-SUM(Y109,Z109)</f>
        <v>0</v>
      </c>
      <c r="AB109" s="15"/>
      <c r="AC109" s="15"/>
      <c r="AD109" s="1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  <c r="CT109" s="5"/>
      <c r="CU109" s="5"/>
      <c r="CV109" s="5"/>
      <c r="CW109" s="5"/>
      <c r="CX109" s="5"/>
      <c r="CY109" s="5"/>
      <c r="CZ109" s="5"/>
      <c r="DA109" s="5"/>
      <c r="DB109" s="5"/>
      <c r="DC109" s="5"/>
      <c r="DD109" s="5"/>
      <c r="DE109" s="5"/>
      <c r="DF109" s="5"/>
      <c r="DG109" s="5"/>
      <c r="DH109" s="5"/>
      <c r="DI109" s="5"/>
      <c r="DJ109" s="5"/>
      <c r="DK109" s="5"/>
      <c r="DL109" s="5"/>
      <c r="DM109" s="5"/>
      <c r="DN109" s="5"/>
      <c r="DO109" s="5"/>
      <c r="DP109" s="5"/>
      <c r="DQ109" s="5"/>
      <c r="DR109" s="5"/>
      <c r="DS109" s="5"/>
      <c r="DT109" s="5"/>
      <c r="DU109" s="5"/>
      <c r="DV109" s="5"/>
      <c r="DW109" s="5"/>
      <c r="DX109" s="5"/>
      <c r="DY109" s="5"/>
      <c r="DZ109" s="5"/>
      <c r="EA109" s="5"/>
      <c r="EB109" s="5"/>
      <c r="EC109" s="5"/>
      <c r="ED109" s="5"/>
      <c r="EE109" s="5"/>
      <c r="EF109" s="5"/>
      <c r="EG109" s="5"/>
      <c r="EH109" s="5"/>
      <c r="EI109" s="5"/>
      <c r="EJ109" s="5"/>
      <c r="EK109" s="5"/>
      <c r="EL109" s="5"/>
      <c r="EM109" s="5"/>
      <c r="EN109" s="5"/>
      <c r="EO109" s="5"/>
      <c r="EP109" s="5"/>
      <c r="EQ109" s="5"/>
      <c r="ER109" s="5"/>
      <c r="ES109" s="5"/>
      <c r="ET109" s="5"/>
      <c r="EU109" s="5"/>
      <c r="EV109" s="5"/>
      <c r="EW109" s="5"/>
      <c r="EX109" s="5"/>
      <c r="EY109" s="5"/>
      <c r="EZ109" s="5"/>
      <c r="FA109" s="5"/>
      <c r="FB109" s="5"/>
      <c r="FC109" s="5"/>
      <c r="FD109" s="5"/>
      <c r="FE109" s="5"/>
      <c r="FF109" s="5"/>
      <c r="FG109" s="5"/>
      <c r="FH109" s="5"/>
      <c r="FI109" s="5"/>
      <c r="FJ109" s="5"/>
      <c r="FK109" s="5"/>
      <c r="FL109" s="5"/>
      <c r="FM109" s="5"/>
      <c r="FN109" s="5"/>
      <c r="FO109" s="5"/>
      <c r="FP109" s="5"/>
      <c r="FQ109" s="5"/>
      <c r="FR109" s="5"/>
      <c r="FS109" s="5"/>
      <c r="FT109" s="5"/>
      <c r="FU109" s="5"/>
      <c r="FV109" s="5"/>
      <c r="FW109" s="5"/>
      <c r="FX109" s="5"/>
      <c r="FY109" s="5"/>
      <c r="FZ109" s="5"/>
      <c r="GA109" s="5"/>
      <c r="GB109" s="5"/>
      <c r="GC109" s="5"/>
      <c r="GD109" s="5"/>
      <c r="GE109" s="5"/>
      <c r="GF109" s="5"/>
      <c r="GG109" s="5"/>
      <c r="GH109" s="5"/>
      <c r="GI109" s="5"/>
      <c r="GJ109" s="5"/>
      <c r="GK109" s="5"/>
      <c r="GL109" s="5"/>
      <c r="GM109" s="5"/>
      <c r="GN109" s="5"/>
      <c r="GO109" s="5"/>
      <c r="GP109" s="5"/>
      <c r="GQ109" s="5"/>
      <c r="GR109" s="5"/>
      <c r="GS109" s="5"/>
      <c r="GT109" s="5"/>
      <c r="GU109" s="5"/>
      <c r="GV109" s="5"/>
      <c r="GW109" s="5"/>
      <c r="GX109" s="5"/>
      <c r="GY109" s="5"/>
      <c r="GZ109" s="5"/>
      <c r="HA109" s="5"/>
      <c r="HB109" s="5"/>
      <c r="HC109" s="5"/>
      <c r="HD109" s="5"/>
      <c r="HE109" s="5"/>
      <c r="HF109" s="5"/>
      <c r="HG109" s="5"/>
      <c r="HH109" s="5"/>
      <c r="HI109" s="5"/>
      <c r="HJ109" s="5"/>
      <c r="HK109" s="5"/>
      <c r="HL109" s="5"/>
      <c r="HM109" s="5"/>
      <c r="HN109" s="5"/>
      <c r="HO109" s="5"/>
      <c r="HP109" s="5"/>
      <c r="HQ109" s="5"/>
      <c r="HR109" s="5"/>
      <c r="HS109" s="5"/>
      <c r="HT109" s="5"/>
      <c r="HU109" s="5"/>
      <c r="HV109" s="5"/>
      <c r="HW109" s="5"/>
      <c r="HX109" s="5"/>
      <c r="HY109" s="5"/>
      <c r="HZ109" s="5"/>
      <c r="IA109" s="5"/>
      <c r="IB109" s="5"/>
      <c r="IC109" s="5"/>
      <c r="ID109" s="5"/>
      <c r="IE109" s="5"/>
      <c r="IF109" s="5"/>
      <c r="IG109" s="5"/>
      <c r="IH109" s="5"/>
      <c r="II109" s="5"/>
      <c r="IJ109" s="5"/>
      <c r="IK109" s="5"/>
      <c r="IL109" s="5"/>
      <c r="IM109" s="5"/>
      <c r="IN109" s="5"/>
      <c r="IO109" s="5"/>
      <c r="IP109" s="5"/>
      <c r="IQ109" s="5"/>
      <c r="IR109" s="5"/>
      <c r="IS109" s="5"/>
      <c r="IT109" s="5"/>
      <c r="IU109" s="5"/>
      <c r="IV109" s="5"/>
      <c r="IW109" s="5"/>
      <c r="IX109" s="5"/>
      <c r="IY109" s="5"/>
      <c r="IZ109" s="5"/>
      <c r="JA109" s="5"/>
      <c r="JB109" s="5"/>
      <c r="JC109" s="5"/>
      <c r="JD109" s="5"/>
      <c r="JE109" s="5"/>
      <c r="JF109" s="5"/>
      <c r="JG109" s="5"/>
      <c r="JH109" s="5"/>
      <c r="JI109" s="5"/>
      <c r="JJ109" s="5"/>
      <c r="JK109" s="5"/>
      <c r="JL109" s="5"/>
      <c r="JM109" s="5"/>
      <c r="JN109" s="5"/>
      <c r="JO109" s="5"/>
      <c r="JP109" s="5"/>
      <c r="JQ109" s="5"/>
      <c r="JR109" s="5"/>
      <c r="JS109" s="5"/>
      <c r="JT109" s="5"/>
      <c r="JU109" s="5"/>
      <c r="JV109" s="5"/>
      <c r="JW109" s="5"/>
      <c r="JX109" s="5"/>
      <c r="JY109" s="5"/>
      <c r="JZ109" s="5"/>
      <c r="KA109" s="5"/>
      <c r="KB109" s="5"/>
      <c r="KC109" s="5"/>
      <c r="KD109" s="5"/>
      <c r="KE109" s="5"/>
      <c r="KF109" s="5"/>
      <c r="KG109" s="5"/>
      <c r="KH109" s="5"/>
      <c r="KI109" s="5"/>
      <c r="KJ109" s="5"/>
      <c r="KK109" s="5"/>
      <c r="KL109" s="5"/>
      <c r="KM109" s="5"/>
      <c r="KN109" s="5"/>
      <c r="KO109" s="5"/>
      <c r="KP109" s="5"/>
      <c r="KQ109" s="5"/>
      <c r="KR109" s="5"/>
      <c r="KS109" s="5"/>
      <c r="KT109" s="5"/>
      <c r="KU109" s="5"/>
      <c r="KV109" s="5"/>
      <c r="KW109" s="5"/>
      <c r="KX109" s="5"/>
      <c r="KY109" s="5"/>
      <c r="KZ109" s="5"/>
      <c r="LA109" s="5"/>
      <c r="LB109" s="5"/>
      <c r="LC109" s="5"/>
      <c r="LD109" s="5"/>
      <c r="LE109" s="5"/>
      <c r="LF109" s="5"/>
      <c r="LG109" s="5"/>
      <c r="LH109" s="5"/>
      <c r="LI109" s="5"/>
      <c r="LJ109" s="5"/>
      <c r="LK109" s="5"/>
      <c r="LL109" s="5"/>
      <c r="LM109" s="5"/>
      <c r="LN109" s="5"/>
      <c r="LO109" s="5"/>
      <c r="LP109" s="5"/>
      <c r="LQ109" s="5"/>
      <c r="LR109" s="5"/>
      <c r="LS109" s="5"/>
      <c r="LT109" s="5"/>
      <c r="LU109" s="5"/>
      <c r="LV109" s="5"/>
      <c r="LW109" s="5"/>
      <c r="LX109" s="5"/>
      <c r="LY109" s="5"/>
      <c r="LZ109" s="5"/>
      <c r="MA109" s="5"/>
      <c r="MB109" s="5"/>
      <c r="MC109" s="5"/>
      <c r="MD109" s="5"/>
      <c r="ME109" s="5"/>
      <c r="MF109" s="5"/>
      <c r="MG109" s="5"/>
      <c r="MH109" s="5"/>
      <c r="MI109" s="5"/>
      <c r="MJ109" s="5"/>
      <c r="MK109" s="5"/>
      <c r="ML109" s="5"/>
      <c r="MM109" s="5"/>
      <c r="MN109" s="5"/>
      <c r="MO109" s="5"/>
      <c r="MP109" s="5"/>
      <c r="MQ109" s="5"/>
      <c r="MR109" s="5"/>
      <c r="MS109" s="5"/>
      <c r="MT109" s="5"/>
      <c r="MU109" s="5"/>
      <c r="MV109" s="5"/>
      <c r="MW109" s="5"/>
      <c r="MX109" s="5"/>
      <c r="MY109" s="5"/>
      <c r="MZ109" s="5"/>
      <c r="NA109" s="5"/>
      <c r="NB109" s="5"/>
      <c r="NC109" s="5"/>
      <c r="ND109" s="5"/>
      <c r="NE109" s="5"/>
      <c r="NF109" s="5"/>
      <c r="NG109" s="5"/>
      <c r="NH109" s="5"/>
      <c r="NI109" s="5"/>
      <c r="NJ109" s="5"/>
      <c r="NK109" s="5"/>
      <c r="NL109" s="5"/>
      <c r="NM109" s="5"/>
      <c r="NN109" s="5"/>
      <c r="NO109" s="5"/>
      <c r="NP109" s="5"/>
      <c r="NQ109" s="5"/>
      <c r="NR109" s="5"/>
      <c r="NS109" s="5"/>
      <c r="NT109" s="5"/>
      <c r="NU109" s="5"/>
      <c r="NV109" s="5"/>
      <c r="NW109" s="5"/>
      <c r="NX109" s="5"/>
      <c r="NY109" s="5"/>
      <c r="NZ109" s="5"/>
      <c r="OA109" s="5"/>
      <c r="OB109" s="5"/>
      <c r="OC109" s="5"/>
      <c r="OD109" s="5"/>
      <c r="OE109" s="5"/>
      <c r="OF109" s="5"/>
      <c r="OG109" s="5"/>
      <c r="OH109" s="5"/>
      <c r="OI109" s="5"/>
      <c r="OJ109" s="5"/>
      <c r="OK109" s="5"/>
      <c r="OL109" s="5"/>
      <c r="OM109" s="5"/>
      <c r="ON109" s="5"/>
      <c r="OO109" s="5"/>
      <c r="OP109" s="5"/>
      <c r="OQ109" s="5"/>
      <c r="OR109" s="5"/>
      <c r="OS109" s="5"/>
      <c r="OT109" s="5"/>
      <c r="OU109" s="5"/>
      <c r="OV109" s="5"/>
      <c r="OW109" s="5"/>
      <c r="OX109" s="5"/>
      <c r="OY109" s="5"/>
      <c r="OZ109" s="5"/>
      <c r="PA109" s="5"/>
      <c r="PB109" s="5"/>
      <c r="PC109" s="5"/>
      <c r="PD109" s="5"/>
      <c r="PE109" s="5"/>
      <c r="PF109" s="5"/>
      <c r="PG109" s="5"/>
      <c r="PH109" s="5"/>
      <c r="PI109" s="5"/>
      <c r="PJ109" s="5"/>
      <c r="PK109" s="5"/>
      <c r="PL109" s="5"/>
      <c r="PM109" s="5"/>
      <c r="PN109" s="5"/>
      <c r="PO109" s="5"/>
      <c r="PP109" s="5"/>
      <c r="PQ109" s="5"/>
      <c r="PR109" s="5"/>
      <c r="PS109" s="5"/>
      <c r="PT109" s="5"/>
      <c r="PU109" s="5"/>
      <c r="PV109" s="5"/>
      <c r="PW109" s="5"/>
      <c r="PX109" s="5"/>
      <c r="PY109" s="5"/>
      <c r="PZ109" s="5"/>
      <c r="QA109" s="5"/>
      <c r="QB109" s="5"/>
      <c r="QC109" s="5"/>
      <c r="QD109" s="5"/>
      <c r="QE109" s="5"/>
      <c r="QF109" s="5"/>
      <c r="QG109" s="5"/>
      <c r="QH109" s="5"/>
      <c r="QI109" s="5"/>
      <c r="QJ109" s="5"/>
      <c r="QK109" s="5"/>
      <c r="QL109" s="5"/>
      <c r="QM109" s="5"/>
      <c r="QN109" s="5"/>
      <c r="QO109" s="5"/>
      <c r="QP109" s="5"/>
      <c r="QQ109" s="5"/>
      <c r="QR109" s="5"/>
      <c r="QS109" s="5"/>
      <c r="QT109" s="5"/>
      <c r="QU109" s="5"/>
      <c r="QV109" s="5"/>
      <c r="QW109" s="5"/>
      <c r="QX109" s="5"/>
      <c r="QY109" s="5"/>
      <c r="QZ109" s="5"/>
      <c r="RA109" s="5"/>
      <c r="RB109" s="5"/>
      <c r="RC109" s="5"/>
      <c r="RD109" s="5"/>
      <c r="RE109" s="5"/>
      <c r="RF109" s="5"/>
      <c r="RG109" s="5"/>
      <c r="RH109" s="5"/>
      <c r="RI109" s="5"/>
      <c r="RJ109" s="5"/>
      <c r="RK109" s="5"/>
      <c r="RL109" s="5"/>
      <c r="RM109" s="5"/>
      <c r="RN109" s="5"/>
      <c r="RO109" s="5"/>
      <c r="RP109" s="5"/>
      <c r="RQ109" s="5"/>
      <c r="RR109" s="5"/>
      <c r="RS109" s="5"/>
      <c r="RT109" s="5"/>
      <c r="RU109" s="5"/>
      <c r="RV109" s="5"/>
      <c r="RW109" s="5"/>
      <c r="RX109" s="5"/>
      <c r="RY109" s="5"/>
      <c r="RZ109" s="5"/>
      <c r="SA109" s="5"/>
      <c r="SB109" s="5"/>
      <c r="SC109" s="5"/>
      <c r="SD109" s="5"/>
      <c r="SE109" s="5"/>
      <c r="SF109" s="5"/>
      <c r="SG109" s="5"/>
      <c r="SH109" s="5"/>
      <c r="SI109" s="5"/>
      <c r="SJ109" s="5"/>
      <c r="SK109" s="5"/>
      <c r="SL109" s="5"/>
      <c r="SM109" s="5"/>
      <c r="SN109" s="5"/>
      <c r="SO109" s="5"/>
      <c r="SP109" s="5"/>
      <c r="SQ109" s="5"/>
      <c r="SR109" s="5"/>
      <c r="SS109" s="5"/>
      <c r="ST109" s="5"/>
      <c r="SU109" s="5"/>
      <c r="SV109" s="5"/>
      <c r="SW109" s="5"/>
      <c r="SX109" s="5"/>
      <c r="SY109" s="5"/>
      <c r="SZ109" s="5"/>
      <c r="TA109" s="5"/>
      <c r="TB109" s="5"/>
      <c r="TC109" s="5"/>
      <c r="TD109" s="5"/>
      <c r="TE109" s="5"/>
      <c r="TF109" s="5"/>
      <c r="TG109" s="5"/>
      <c r="TH109" s="5"/>
      <c r="TI109" s="5"/>
      <c r="TJ109" s="5"/>
      <c r="TK109" s="5"/>
      <c r="TL109" s="5"/>
      <c r="TM109" s="5"/>
      <c r="TN109" s="5"/>
      <c r="TO109" s="5"/>
      <c r="TP109" s="5"/>
      <c r="TQ109" s="5"/>
      <c r="TR109" s="5"/>
      <c r="TS109" s="5"/>
      <c r="TT109" s="5"/>
      <c r="TU109" s="5"/>
      <c r="TV109" s="5"/>
      <c r="TW109" s="5"/>
      <c r="TX109" s="5"/>
      <c r="TY109" s="5"/>
      <c r="TZ109" s="5"/>
      <c r="UA109" s="5"/>
      <c r="UB109" s="5"/>
      <c r="UC109" s="5"/>
      <c r="UD109" s="5"/>
      <c r="UE109" s="5"/>
      <c r="UF109" s="5"/>
      <c r="UG109" s="5"/>
      <c r="UH109" s="5"/>
      <c r="UI109" s="5"/>
      <c r="UJ109" s="5"/>
      <c r="UK109" s="5"/>
      <c r="UL109" s="5"/>
      <c r="UM109" s="5"/>
      <c r="UN109" s="5"/>
      <c r="UO109" s="5"/>
      <c r="UP109" s="5"/>
      <c r="UQ109" s="5"/>
      <c r="UR109" s="5"/>
      <c r="US109" s="5"/>
      <c r="UT109" s="5"/>
      <c r="UU109" s="5"/>
      <c r="UV109" s="5"/>
      <c r="UW109" s="5"/>
      <c r="UX109" s="5"/>
      <c r="UY109" s="5"/>
      <c r="UZ109" s="5"/>
      <c r="VA109" s="5"/>
      <c r="VB109" s="5"/>
      <c r="VC109" s="5"/>
      <c r="VD109" s="5"/>
      <c r="VE109" s="5"/>
      <c r="VF109" s="5"/>
      <c r="VG109" s="5"/>
      <c r="VH109" s="5"/>
      <c r="VI109" s="5"/>
      <c r="VJ109" s="5"/>
      <c r="VK109" s="5"/>
      <c r="VL109" s="5"/>
      <c r="VM109" s="5"/>
      <c r="VN109" s="5"/>
      <c r="VO109" s="5"/>
      <c r="VP109" s="5"/>
      <c r="VQ109" s="5"/>
      <c r="VR109" s="5"/>
      <c r="VS109" s="5"/>
      <c r="VT109" s="5"/>
      <c r="VU109" s="5"/>
      <c r="VV109" s="5"/>
      <c r="VW109" s="5"/>
      <c r="VX109" s="5"/>
      <c r="VY109" s="5"/>
      <c r="VZ109" s="5"/>
      <c r="WA109" s="5"/>
      <c r="WB109" s="5"/>
      <c r="WC109" s="5"/>
      <c r="WD109" s="5"/>
      <c r="WE109" s="5"/>
      <c r="WF109" s="5"/>
      <c r="WG109" s="5"/>
      <c r="WH109" s="5"/>
      <c r="WI109" s="5"/>
      <c r="WJ109" s="5"/>
      <c r="WK109" s="5"/>
      <c r="WL109" s="5"/>
      <c r="WM109" s="5"/>
      <c r="WN109" s="5"/>
      <c r="WO109" s="5"/>
      <c r="WP109" s="5"/>
      <c r="WQ109" s="5"/>
      <c r="WR109" s="5"/>
      <c r="WS109" s="5"/>
      <c r="WT109" s="5"/>
      <c r="WU109" s="5"/>
      <c r="WV109" s="5"/>
      <c r="WW109" s="5"/>
      <c r="WX109" s="5"/>
      <c r="WY109" s="5"/>
      <c r="WZ109" s="5"/>
      <c r="XA109" s="5"/>
      <c r="XB109" s="5"/>
      <c r="XC109" s="5"/>
      <c r="XD109" s="5"/>
      <c r="XE109" s="5"/>
      <c r="XF109" s="5"/>
      <c r="XG109" s="5"/>
      <c r="XH109" s="5"/>
      <c r="XI109" s="5"/>
      <c r="XJ109" s="5"/>
      <c r="XK109" s="5"/>
      <c r="XL109" s="5"/>
      <c r="XM109" s="5"/>
      <c r="XN109" s="5"/>
      <c r="XO109" s="5"/>
      <c r="XP109" s="5"/>
      <c r="XQ109" s="5"/>
      <c r="XR109" s="5"/>
      <c r="XS109" s="5"/>
      <c r="XT109" s="5"/>
      <c r="XU109" s="5"/>
      <c r="XV109" s="5"/>
      <c r="XW109" s="5"/>
      <c r="XX109" s="5"/>
      <c r="XY109" s="5"/>
      <c r="XZ109" s="5"/>
      <c r="YA109" s="5"/>
      <c r="YB109" s="5"/>
      <c r="YC109" s="5"/>
      <c r="YD109" s="5"/>
      <c r="YE109" s="5"/>
      <c r="YF109" s="5"/>
      <c r="YG109" s="5"/>
      <c r="YH109" s="5"/>
      <c r="YI109" s="5"/>
      <c r="YJ109" s="5"/>
      <c r="YK109" s="5"/>
      <c r="YL109" s="5"/>
      <c r="YM109" s="5"/>
      <c r="YN109" s="5"/>
      <c r="YO109" s="5"/>
      <c r="YP109" s="5"/>
      <c r="YQ109" s="5"/>
      <c r="YR109" s="5"/>
      <c r="YS109" s="5"/>
      <c r="YT109" s="5"/>
      <c r="YU109" s="5"/>
      <c r="YV109" s="5"/>
      <c r="YW109" s="5"/>
      <c r="YX109" s="5"/>
      <c r="YY109" s="5"/>
      <c r="YZ109" s="5"/>
    </row>
    <row r="110" spans="1:676">
      <c r="A110" s="7">
        <v>100</v>
      </c>
      <c r="B110" s="7" t="s">
        <v>275</v>
      </c>
      <c r="C110" s="10" t="s">
        <v>276</v>
      </c>
      <c r="D110" s="7" t="s">
        <v>54</v>
      </c>
      <c r="E110" s="7" t="s">
        <v>99</v>
      </c>
      <c r="F110" s="7"/>
      <c r="G110" s="7"/>
      <c r="H110" s="7"/>
      <c r="I110" s="11">
        <v>0</v>
      </c>
      <c r="J110" s="11">
        <v>0</v>
      </c>
      <c r="K110" s="11">
        <v>0</v>
      </c>
      <c r="L110" s="11">
        <v>0</v>
      </c>
      <c r="M110" s="11">
        <v>0</v>
      </c>
      <c r="N110" s="11">
        <v>0</v>
      </c>
      <c r="O110" s="11">
        <v>0</v>
      </c>
      <c r="P110" s="11">
        <v>0</v>
      </c>
      <c r="Q110" s="11">
        <v>0</v>
      </c>
      <c r="R110" s="11">
        <v>0</v>
      </c>
      <c r="S110" s="11">
        <v>0</v>
      </c>
      <c r="T110" s="11">
        <v>0</v>
      </c>
      <c r="U110" s="11">
        <v>0</v>
      </c>
      <c r="V110" s="11">
        <v>0</v>
      </c>
      <c r="W110" s="13">
        <v>0</v>
      </c>
      <c r="X110" s="13">
        <v>0</v>
      </c>
      <c r="Y110" s="13" t="str">
        <f>MIN(W110,S110)</f>
        <v>0</v>
      </c>
      <c r="Z110" s="13" t="str">
        <f>MIN(X110,(S110-Y110))</f>
        <v>0</v>
      </c>
      <c r="AA110" s="13" t="str">
        <f>S110-SUM(Y110,Z110)</f>
        <v>0</v>
      </c>
      <c r="AB110" s="15"/>
      <c r="AC110" s="15"/>
      <c r="AD110" s="1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  <c r="CT110" s="5"/>
      <c r="CU110" s="5"/>
      <c r="CV110" s="5"/>
      <c r="CW110" s="5"/>
      <c r="CX110" s="5"/>
      <c r="CY110" s="5"/>
      <c r="CZ110" s="5"/>
      <c r="DA110" s="5"/>
      <c r="DB110" s="5"/>
      <c r="DC110" s="5"/>
      <c r="DD110" s="5"/>
      <c r="DE110" s="5"/>
      <c r="DF110" s="5"/>
      <c r="DG110" s="5"/>
      <c r="DH110" s="5"/>
      <c r="DI110" s="5"/>
      <c r="DJ110" s="5"/>
      <c r="DK110" s="5"/>
      <c r="DL110" s="5"/>
      <c r="DM110" s="5"/>
      <c r="DN110" s="5"/>
      <c r="DO110" s="5"/>
      <c r="DP110" s="5"/>
      <c r="DQ110" s="5"/>
      <c r="DR110" s="5"/>
      <c r="DS110" s="5"/>
      <c r="DT110" s="5"/>
      <c r="DU110" s="5"/>
      <c r="DV110" s="5"/>
      <c r="DW110" s="5"/>
      <c r="DX110" s="5"/>
      <c r="DY110" s="5"/>
      <c r="DZ110" s="5"/>
      <c r="EA110" s="5"/>
      <c r="EB110" s="5"/>
      <c r="EC110" s="5"/>
      <c r="ED110" s="5"/>
      <c r="EE110" s="5"/>
      <c r="EF110" s="5"/>
      <c r="EG110" s="5"/>
      <c r="EH110" s="5"/>
      <c r="EI110" s="5"/>
      <c r="EJ110" s="5"/>
      <c r="EK110" s="5"/>
      <c r="EL110" s="5"/>
      <c r="EM110" s="5"/>
      <c r="EN110" s="5"/>
      <c r="EO110" s="5"/>
      <c r="EP110" s="5"/>
      <c r="EQ110" s="5"/>
      <c r="ER110" s="5"/>
      <c r="ES110" s="5"/>
      <c r="ET110" s="5"/>
      <c r="EU110" s="5"/>
      <c r="EV110" s="5"/>
      <c r="EW110" s="5"/>
      <c r="EX110" s="5"/>
      <c r="EY110" s="5"/>
      <c r="EZ110" s="5"/>
      <c r="FA110" s="5"/>
      <c r="FB110" s="5"/>
      <c r="FC110" s="5"/>
      <c r="FD110" s="5"/>
      <c r="FE110" s="5"/>
      <c r="FF110" s="5"/>
      <c r="FG110" s="5"/>
      <c r="FH110" s="5"/>
      <c r="FI110" s="5"/>
      <c r="FJ110" s="5"/>
      <c r="FK110" s="5"/>
      <c r="FL110" s="5"/>
      <c r="FM110" s="5"/>
      <c r="FN110" s="5"/>
      <c r="FO110" s="5"/>
      <c r="FP110" s="5"/>
      <c r="FQ110" s="5"/>
      <c r="FR110" s="5"/>
      <c r="FS110" s="5"/>
      <c r="FT110" s="5"/>
      <c r="FU110" s="5"/>
      <c r="FV110" s="5"/>
      <c r="FW110" s="5"/>
      <c r="FX110" s="5"/>
      <c r="FY110" s="5"/>
      <c r="FZ110" s="5"/>
      <c r="GA110" s="5"/>
      <c r="GB110" s="5"/>
      <c r="GC110" s="5"/>
      <c r="GD110" s="5"/>
      <c r="GE110" s="5"/>
      <c r="GF110" s="5"/>
      <c r="GG110" s="5"/>
      <c r="GH110" s="5"/>
      <c r="GI110" s="5"/>
      <c r="GJ110" s="5"/>
      <c r="GK110" s="5"/>
      <c r="GL110" s="5"/>
      <c r="GM110" s="5"/>
      <c r="GN110" s="5"/>
      <c r="GO110" s="5"/>
      <c r="GP110" s="5"/>
      <c r="GQ110" s="5"/>
      <c r="GR110" s="5"/>
      <c r="GS110" s="5"/>
      <c r="GT110" s="5"/>
      <c r="GU110" s="5"/>
      <c r="GV110" s="5"/>
      <c r="GW110" s="5"/>
      <c r="GX110" s="5"/>
      <c r="GY110" s="5"/>
      <c r="GZ110" s="5"/>
      <c r="HA110" s="5"/>
      <c r="HB110" s="5"/>
      <c r="HC110" s="5"/>
      <c r="HD110" s="5"/>
      <c r="HE110" s="5"/>
      <c r="HF110" s="5"/>
      <c r="HG110" s="5"/>
      <c r="HH110" s="5"/>
      <c r="HI110" s="5"/>
      <c r="HJ110" s="5"/>
      <c r="HK110" s="5"/>
      <c r="HL110" s="5"/>
      <c r="HM110" s="5"/>
      <c r="HN110" s="5"/>
      <c r="HO110" s="5"/>
      <c r="HP110" s="5"/>
      <c r="HQ110" s="5"/>
      <c r="HR110" s="5"/>
      <c r="HS110" s="5"/>
      <c r="HT110" s="5"/>
      <c r="HU110" s="5"/>
      <c r="HV110" s="5"/>
      <c r="HW110" s="5"/>
      <c r="HX110" s="5"/>
      <c r="HY110" s="5"/>
      <c r="HZ110" s="5"/>
      <c r="IA110" s="5"/>
      <c r="IB110" s="5"/>
      <c r="IC110" s="5"/>
      <c r="ID110" s="5"/>
      <c r="IE110" s="5"/>
      <c r="IF110" s="5"/>
      <c r="IG110" s="5"/>
      <c r="IH110" s="5"/>
      <c r="II110" s="5"/>
      <c r="IJ110" s="5"/>
      <c r="IK110" s="5"/>
      <c r="IL110" s="5"/>
      <c r="IM110" s="5"/>
      <c r="IN110" s="5"/>
      <c r="IO110" s="5"/>
      <c r="IP110" s="5"/>
      <c r="IQ110" s="5"/>
      <c r="IR110" s="5"/>
      <c r="IS110" s="5"/>
      <c r="IT110" s="5"/>
      <c r="IU110" s="5"/>
      <c r="IV110" s="5"/>
      <c r="IW110" s="5"/>
      <c r="IX110" s="5"/>
      <c r="IY110" s="5"/>
      <c r="IZ110" s="5"/>
      <c r="JA110" s="5"/>
      <c r="JB110" s="5"/>
      <c r="JC110" s="5"/>
      <c r="JD110" s="5"/>
      <c r="JE110" s="5"/>
      <c r="JF110" s="5"/>
      <c r="JG110" s="5"/>
      <c r="JH110" s="5"/>
      <c r="JI110" s="5"/>
      <c r="JJ110" s="5"/>
      <c r="JK110" s="5"/>
      <c r="JL110" s="5"/>
      <c r="JM110" s="5"/>
      <c r="JN110" s="5"/>
      <c r="JO110" s="5"/>
      <c r="JP110" s="5"/>
      <c r="JQ110" s="5"/>
      <c r="JR110" s="5"/>
      <c r="JS110" s="5"/>
      <c r="JT110" s="5"/>
      <c r="JU110" s="5"/>
      <c r="JV110" s="5"/>
      <c r="JW110" s="5"/>
      <c r="JX110" s="5"/>
      <c r="JY110" s="5"/>
      <c r="JZ110" s="5"/>
      <c r="KA110" s="5"/>
      <c r="KB110" s="5"/>
      <c r="KC110" s="5"/>
      <c r="KD110" s="5"/>
      <c r="KE110" s="5"/>
      <c r="KF110" s="5"/>
      <c r="KG110" s="5"/>
      <c r="KH110" s="5"/>
      <c r="KI110" s="5"/>
      <c r="KJ110" s="5"/>
      <c r="KK110" s="5"/>
      <c r="KL110" s="5"/>
      <c r="KM110" s="5"/>
      <c r="KN110" s="5"/>
      <c r="KO110" s="5"/>
      <c r="KP110" s="5"/>
      <c r="KQ110" s="5"/>
      <c r="KR110" s="5"/>
      <c r="KS110" s="5"/>
      <c r="KT110" s="5"/>
      <c r="KU110" s="5"/>
      <c r="KV110" s="5"/>
      <c r="KW110" s="5"/>
      <c r="KX110" s="5"/>
      <c r="KY110" s="5"/>
      <c r="KZ110" s="5"/>
      <c r="LA110" s="5"/>
      <c r="LB110" s="5"/>
      <c r="LC110" s="5"/>
      <c r="LD110" s="5"/>
      <c r="LE110" s="5"/>
      <c r="LF110" s="5"/>
      <c r="LG110" s="5"/>
      <c r="LH110" s="5"/>
      <c r="LI110" s="5"/>
      <c r="LJ110" s="5"/>
      <c r="LK110" s="5"/>
      <c r="LL110" s="5"/>
      <c r="LM110" s="5"/>
      <c r="LN110" s="5"/>
      <c r="LO110" s="5"/>
      <c r="LP110" s="5"/>
      <c r="LQ110" s="5"/>
      <c r="LR110" s="5"/>
      <c r="LS110" s="5"/>
      <c r="LT110" s="5"/>
      <c r="LU110" s="5"/>
      <c r="LV110" s="5"/>
      <c r="LW110" s="5"/>
      <c r="LX110" s="5"/>
      <c r="LY110" s="5"/>
      <c r="LZ110" s="5"/>
      <c r="MA110" s="5"/>
      <c r="MB110" s="5"/>
      <c r="MC110" s="5"/>
      <c r="MD110" s="5"/>
      <c r="ME110" s="5"/>
      <c r="MF110" s="5"/>
      <c r="MG110" s="5"/>
      <c r="MH110" s="5"/>
      <c r="MI110" s="5"/>
      <c r="MJ110" s="5"/>
      <c r="MK110" s="5"/>
      <c r="ML110" s="5"/>
      <c r="MM110" s="5"/>
      <c r="MN110" s="5"/>
      <c r="MO110" s="5"/>
      <c r="MP110" s="5"/>
      <c r="MQ110" s="5"/>
      <c r="MR110" s="5"/>
      <c r="MS110" s="5"/>
      <c r="MT110" s="5"/>
      <c r="MU110" s="5"/>
      <c r="MV110" s="5"/>
      <c r="MW110" s="5"/>
      <c r="MX110" s="5"/>
      <c r="MY110" s="5"/>
      <c r="MZ110" s="5"/>
      <c r="NA110" s="5"/>
      <c r="NB110" s="5"/>
      <c r="NC110" s="5"/>
      <c r="ND110" s="5"/>
      <c r="NE110" s="5"/>
      <c r="NF110" s="5"/>
      <c r="NG110" s="5"/>
      <c r="NH110" s="5"/>
      <c r="NI110" s="5"/>
      <c r="NJ110" s="5"/>
      <c r="NK110" s="5"/>
      <c r="NL110" s="5"/>
      <c r="NM110" s="5"/>
      <c r="NN110" s="5"/>
      <c r="NO110" s="5"/>
      <c r="NP110" s="5"/>
      <c r="NQ110" s="5"/>
      <c r="NR110" s="5"/>
      <c r="NS110" s="5"/>
      <c r="NT110" s="5"/>
      <c r="NU110" s="5"/>
      <c r="NV110" s="5"/>
      <c r="NW110" s="5"/>
      <c r="NX110" s="5"/>
      <c r="NY110" s="5"/>
      <c r="NZ110" s="5"/>
      <c r="OA110" s="5"/>
      <c r="OB110" s="5"/>
      <c r="OC110" s="5"/>
      <c r="OD110" s="5"/>
      <c r="OE110" s="5"/>
      <c r="OF110" s="5"/>
      <c r="OG110" s="5"/>
      <c r="OH110" s="5"/>
      <c r="OI110" s="5"/>
      <c r="OJ110" s="5"/>
      <c r="OK110" s="5"/>
      <c r="OL110" s="5"/>
      <c r="OM110" s="5"/>
      <c r="ON110" s="5"/>
      <c r="OO110" s="5"/>
      <c r="OP110" s="5"/>
      <c r="OQ110" s="5"/>
      <c r="OR110" s="5"/>
      <c r="OS110" s="5"/>
      <c r="OT110" s="5"/>
      <c r="OU110" s="5"/>
      <c r="OV110" s="5"/>
      <c r="OW110" s="5"/>
      <c r="OX110" s="5"/>
      <c r="OY110" s="5"/>
      <c r="OZ110" s="5"/>
      <c r="PA110" s="5"/>
      <c r="PB110" s="5"/>
      <c r="PC110" s="5"/>
      <c r="PD110" s="5"/>
      <c r="PE110" s="5"/>
      <c r="PF110" s="5"/>
      <c r="PG110" s="5"/>
      <c r="PH110" s="5"/>
      <c r="PI110" s="5"/>
      <c r="PJ110" s="5"/>
      <c r="PK110" s="5"/>
      <c r="PL110" s="5"/>
      <c r="PM110" s="5"/>
      <c r="PN110" s="5"/>
      <c r="PO110" s="5"/>
      <c r="PP110" s="5"/>
      <c r="PQ110" s="5"/>
      <c r="PR110" s="5"/>
      <c r="PS110" s="5"/>
      <c r="PT110" s="5"/>
      <c r="PU110" s="5"/>
      <c r="PV110" s="5"/>
      <c r="PW110" s="5"/>
      <c r="PX110" s="5"/>
      <c r="PY110" s="5"/>
      <c r="PZ110" s="5"/>
      <c r="QA110" s="5"/>
      <c r="QB110" s="5"/>
      <c r="QC110" s="5"/>
      <c r="QD110" s="5"/>
      <c r="QE110" s="5"/>
      <c r="QF110" s="5"/>
      <c r="QG110" s="5"/>
      <c r="QH110" s="5"/>
      <c r="QI110" s="5"/>
      <c r="QJ110" s="5"/>
      <c r="QK110" s="5"/>
      <c r="QL110" s="5"/>
      <c r="QM110" s="5"/>
      <c r="QN110" s="5"/>
      <c r="QO110" s="5"/>
      <c r="QP110" s="5"/>
      <c r="QQ110" s="5"/>
      <c r="QR110" s="5"/>
      <c r="QS110" s="5"/>
      <c r="QT110" s="5"/>
      <c r="QU110" s="5"/>
      <c r="QV110" s="5"/>
      <c r="QW110" s="5"/>
      <c r="QX110" s="5"/>
      <c r="QY110" s="5"/>
      <c r="QZ110" s="5"/>
      <c r="RA110" s="5"/>
      <c r="RB110" s="5"/>
      <c r="RC110" s="5"/>
      <c r="RD110" s="5"/>
      <c r="RE110" s="5"/>
      <c r="RF110" s="5"/>
      <c r="RG110" s="5"/>
      <c r="RH110" s="5"/>
      <c r="RI110" s="5"/>
      <c r="RJ110" s="5"/>
      <c r="RK110" s="5"/>
      <c r="RL110" s="5"/>
      <c r="RM110" s="5"/>
      <c r="RN110" s="5"/>
      <c r="RO110" s="5"/>
      <c r="RP110" s="5"/>
      <c r="RQ110" s="5"/>
      <c r="RR110" s="5"/>
      <c r="RS110" s="5"/>
      <c r="RT110" s="5"/>
      <c r="RU110" s="5"/>
      <c r="RV110" s="5"/>
      <c r="RW110" s="5"/>
      <c r="RX110" s="5"/>
      <c r="RY110" s="5"/>
      <c r="RZ110" s="5"/>
      <c r="SA110" s="5"/>
      <c r="SB110" s="5"/>
      <c r="SC110" s="5"/>
      <c r="SD110" s="5"/>
      <c r="SE110" s="5"/>
      <c r="SF110" s="5"/>
      <c r="SG110" s="5"/>
      <c r="SH110" s="5"/>
      <c r="SI110" s="5"/>
      <c r="SJ110" s="5"/>
      <c r="SK110" s="5"/>
      <c r="SL110" s="5"/>
      <c r="SM110" s="5"/>
      <c r="SN110" s="5"/>
      <c r="SO110" s="5"/>
      <c r="SP110" s="5"/>
      <c r="SQ110" s="5"/>
      <c r="SR110" s="5"/>
      <c r="SS110" s="5"/>
      <c r="ST110" s="5"/>
      <c r="SU110" s="5"/>
      <c r="SV110" s="5"/>
      <c r="SW110" s="5"/>
      <c r="SX110" s="5"/>
      <c r="SY110" s="5"/>
      <c r="SZ110" s="5"/>
      <c r="TA110" s="5"/>
      <c r="TB110" s="5"/>
      <c r="TC110" s="5"/>
      <c r="TD110" s="5"/>
      <c r="TE110" s="5"/>
      <c r="TF110" s="5"/>
      <c r="TG110" s="5"/>
      <c r="TH110" s="5"/>
      <c r="TI110" s="5"/>
      <c r="TJ110" s="5"/>
      <c r="TK110" s="5"/>
      <c r="TL110" s="5"/>
      <c r="TM110" s="5"/>
      <c r="TN110" s="5"/>
      <c r="TO110" s="5"/>
      <c r="TP110" s="5"/>
      <c r="TQ110" s="5"/>
      <c r="TR110" s="5"/>
      <c r="TS110" s="5"/>
      <c r="TT110" s="5"/>
      <c r="TU110" s="5"/>
      <c r="TV110" s="5"/>
      <c r="TW110" s="5"/>
      <c r="TX110" s="5"/>
      <c r="TY110" s="5"/>
      <c r="TZ110" s="5"/>
      <c r="UA110" s="5"/>
      <c r="UB110" s="5"/>
      <c r="UC110" s="5"/>
      <c r="UD110" s="5"/>
      <c r="UE110" s="5"/>
      <c r="UF110" s="5"/>
      <c r="UG110" s="5"/>
      <c r="UH110" s="5"/>
      <c r="UI110" s="5"/>
      <c r="UJ110" s="5"/>
      <c r="UK110" s="5"/>
      <c r="UL110" s="5"/>
      <c r="UM110" s="5"/>
      <c r="UN110" s="5"/>
      <c r="UO110" s="5"/>
      <c r="UP110" s="5"/>
      <c r="UQ110" s="5"/>
      <c r="UR110" s="5"/>
      <c r="US110" s="5"/>
      <c r="UT110" s="5"/>
      <c r="UU110" s="5"/>
      <c r="UV110" s="5"/>
      <c r="UW110" s="5"/>
      <c r="UX110" s="5"/>
      <c r="UY110" s="5"/>
      <c r="UZ110" s="5"/>
      <c r="VA110" s="5"/>
      <c r="VB110" s="5"/>
      <c r="VC110" s="5"/>
      <c r="VD110" s="5"/>
      <c r="VE110" s="5"/>
      <c r="VF110" s="5"/>
      <c r="VG110" s="5"/>
      <c r="VH110" s="5"/>
      <c r="VI110" s="5"/>
      <c r="VJ110" s="5"/>
      <c r="VK110" s="5"/>
      <c r="VL110" s="5"/>
      <c r="VM110" s="5"/>
      <c r="VN110" s="5"/>
      <c r="VO110" s="5"/>
      <c r="VP110" s="5"/>
      <c r="VQ110" s="5"/>
      <c r="VR110" s="5"/>
      <c r="VS110" s="5"/>
      <c r="VT110" s="5"/>
      <c r="VU110" s="5"/>
      <c r="VV110" s="5"/>
      <c r="VW110" s="5"/>
      <c r="VX110" s="5"/>
      <c r="VY110" s="5"/>
      <c r="VZ110" s="5"/>
      <c r="WA110" s="5"/>
      <c r="WB110" s="5"/>
      <c r="WC110" s="5"/>
      <c r="WD110" s="5"/>
      <c r="WE110" s="5"/>
      <c r="WF110" s="5"/>
      <c r="WG110" s="5"/>
      <c r="WH110" s="5"/>
      <c r="WI110" s="5"/>
      <c r="WJ110" s="5"/>
      <c r="WK110" s="5"/>
      <c r="WL110" s="5"/>
      <c r="WM110" s="5"/>
      <c r="WN110" s="5"/>
      <c r="WO110" s="5"/>
      <c r="WP110" s="5"/>
      <c r="WQ110" s="5"/>
      <c r="WR110" s="5"/>
      <c r="WS110" s="5"/>
      <c r="WT110" s="5"/>
      <c r="WU110" s="5"/>
      <c r="WV110" s="5"/>
      <c r="WW110" s="5"/>
      <c r="WX110" s="5"/>
      <c r="WY110" s="5"/>
      <c r="WZ110" s="5"/>
      <c r="XA110" s="5"/>
      <c r="XB110" s="5"/>
      <c r="XC110" s="5"/>
      <c r="XD110" s="5"/>
      <c r="XE110" s="5"/>
      <c r="XF110" s="5"/>
      <c r="XG110" s="5"/>
      <c r="XH110" s="5"/>
      <c r="XI110" s="5"/>
      <c r="XJ110" s="5"/>
      <c r="XK110" s="5"/>
      <c r="XL110" s="5"/>
      <c r="XM110" s="5"/>
      <c r="XN110" s="5"/>
      <c r="XO110" s="5"/>
      <c r="XP110" s="5"/>
      <c r="XQ110" s="5"/>
      <c r="XR110" s="5"/>
      <c r="XS110" s="5"/>
      <c r="XT110" s="5"/>
      <c r="XU110" s="5"/>
      <c r="XV110" s="5"/>
      <c r="XW110" s="5"/>
      <c r="XX110" s="5"/>
      <c r="XY110" s="5"/>
      <c r="XZ110" s="5"/>
      <c r="YA110" s="5"/>
      <c r="YB110" s="5"/>
      <c r="YC110" s="5"/>
      <c r="YD110" s="5"/>
      <c r="YE110" s="5"/>
      <c r="YF110" s="5"/>
      <c r="YG110" s="5"/>
      <c r="YH110" s="5"/>
      <c r="YI110" s="5"/>
      <c r="YJ110" s="5"/>
      <c r="YK110" s="5"/>
      <c r="YL110" s="5"/>
      <c r="YM110" s="5"/>
      <c r="YN110" s="5"/>
      <c r="YO110" s="5"/>
      <c r="YP110" s="5"/>
      <c r="YQ110" s="5"/>
      <c r="YR110" s="5"/>
      <c r="YS110" s="5"/>
      <c r="YT110" s="5"/>
      <c r="YU110" s="5"/>
      <c r="YV110" s="5"/>
      <c r="YW110" s="5"/>
      <c r="YX110" s="5"/>
      <c r="YY110" s="5"/>
      <c r="YZ110" s="5"/>
    </row>
    <row r="111" spans="1:676">
      <c r="A111" s="7">
        <v>101</v>
      </c>
      <c r="B111" s="7" t="s">
        <v>277</v>
      </c>
      <c r="C111" s="10" t="s">
        <v>278</v>
      </c>
      <c r="D111" s="7" t="s">
        <v>51</v>
      </c>
      <c r="E111" s="7"/>
      <c r="F111" s="7"/>
      <c r="G111" s="7"/>
      <c r="H111" s="7"/>
      <c r="I111" s="11">
        <v>0</v>
      </c>
      <c r="J111" s="11">
        <v>0</v>
      </c>
      <c r="K111" s="11">
        <v>0</v>
      </c>
      <c r="L111" s="11">
        <v>0</v>
      </c>
      <c r="M111" s="11">
        <v>0</v>
      </c>
      <c r="N111" s="11">
        <v>0</v>
      </c>
      <c r="O111" s="11">
        <v>0</v>
      </c>
      <c r="P111" s="11">
        <v>0</v>
      </c>
      <c r="Q111" s="11">
        <v>0</v>
      </c>
      <c r="R111" s="11">
        <v>0</v>
      </c>
      <c r="S111" s="11">
        <v>0</v>
      </c>
      <c r="T111" s="11">
        <v>0</v>
      </c>
      <c r="U111" s="11">
        <v>0</v>
      </c>
      <c r="V111" s="11">
        <v>0</v>
      </c>
      <c r="W111" s="13">
        <v>0</v>
      </c>
      <c r="X111" s="13">
        <v>0</v>
      </c>
      <c r="Y111" s="13" t="str">
        <f>MIN(W111,S111)</f>
        <v>0</v>
      </c>
      <c r="Z111" s="13" t="str">
        <f>MIN(X111,(S111-Y111))</f>
        <v>0</v>
      </c>
      <c r="AA111" s="13" t="str">
        <f>S111-SUM(Y111,Z111)</f>
        <v>0</v>
      </c>
      <c r="AB111" s="15"/>
      <c r="AC111" s="15"/>
      <c r="AD111" s="1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T111" s="5"/>
      <c r="BU111" s="5"/>
      <c r="BV111" s="5"/>
      <c r="BW111" s="5"/>
      <c r="BX111" s="5"/>
      <c r="BY111" s="5"/>
      <c r="BZ111" s="5"/>
      <c r="CA111" s="5"/>
      <c r="CB111" s="5"/>
      <c r="CC111" s="5"/>
      <c r="CD111" s="5"/>
      <c r="CE111" s="5"/>
      <c r="CF111" s="5"/>
      <c r="CG111" s="5"/>
      <c r="CH111" s="5"/>
      <c r="CI111" s="5"/>
      <c r="CJ111" s="5"/>
      <c r="CK111" s="5"/>
      <c r="CL111" s="5"/>
      <c r="CM111" s="5"/>
      <c r="CN111" s="5"/>
      <c r="CO111" s="5"/>
      <c r="CP111" s="5"/>
      <c r="CQ111" s="5"/>
      <c r="CR111" s="5"/>
      <c r="CS111" s="5"/>
      <c r="CT111" s="5"/>
      <c r="CU111" s="5"/>
      <c r="CV111" s="5"/>
      <c r="CW111" s="5"/>
      <c r="CX111" s="5"/>
      <c r="CY111" s="5"/>
      <c r="CZ111" s="5"/>
      <c r="DA111" s="5"/>
      <c r="DB111" s="5"/>
      <c r="DC111" s="5"/>
      <c r="DD111" s="5"/>
      <c r="DE111" s="5"/>
      <c r="DF111" s="5"/>
      <c r="DG111" s="5"/>
      <c r="DH111" s="5"/>
      <c r="DI111" s="5"/>
      <c r="DJ111" s="5"/>
      <c r="DK111" s="5"/>
      <c r="DL111" s="5"/>
      <c r="DM111" s="5"/>
      <c r="DN111" s="5"/>
      <c r="DO111" s="5"/>
      <c r="DP111" s="5"/>
      <c r="DQ111" s="5"/>
      <c r="DR111" s="5"/>
      <c r="DS111" s="5"/>
      <c r="DT111" s="5"/>
      <c r="DU111" s="5"/>
      <c r="DV111" s="5"/>
      <c r="DW111" s="5"/>
      <c r="DX111" s="5"/>
      <c r="DY111" s="5"/>
      <c r="DZ111" s="5"/>
      <c r="EA111" s="5"/>
      <c r="EB111" s="5"/>
      <c r="EC111" s="5"/>
      <c r="ED111" s="5"/>
      <c r="EE111" s="5"/>
      <c r="EF111" s="5"/>
      <c r="EG111" s="5"/>
      <c r="EH111" s="5"/>
      <c r="EI111" s="5"/>
      <c r="EJ111" s="5"/>
      <c r="EK111" s="5"/>
      <c r="EL111" s="5"/>
      <c r="EM111" s="5"/>
      <c r="EN111" s="5"/>
      <c r="EO111" s="5"/>
      <c r="EP111" s="5"/>
      <c r="EQ111" s="5"/>
      <c r="ER111" s="5"/>
      <c r="ES111" s="5"/>
      <c r="ET111" s="5"/>
      <c r="EU111" s="5"/>
      <c r="EV111" s="5"/>
      <c r="EW111" s="5"/>
      <c r="EX111" s="5"/>
      <c r="EY111" s="5"/>
      <c r="EZ111" s="5"/>
      <c r="FA111" s="5"/>
      <c r="FB111" s="5"/>
      <c r="FC111" s="5"/>
      <c r="FD111" s="5"/>
      <c r="FE111" s="5"/>
      <c r="FF111" s="5"/>
      <c r="FG111" s="5"/>
      <c r="FH111" s="5"/>
      <c r="FI111" s="5"/>
      <c r="FJ111" s="5"/>
      <c r="FK111" s="5"/>
      <c r="FL111" s="5"/>
      <c r="FM111" s="5"/>
      <c r="FN111" s="5"/>
      <c r="FO111" s="5"/>
      <c r="FP111" s="5"/>
      <c r="FQ111" s="5"/>
      <c r="FR111" s="5"/>
      <c r="FS111" s="5"/>
      <c r="FT111" s="5"/>
      <c r="FU111" s="5"/>
      <c r="FV111" s="5"/>
      <c r="FW111" s="5"/>
      <c r="FX111" s="5"/>
      <c r="FY111" s="5"/>
      <c r="FZ111" s="5"/>
      <c r="GA111" s="5"/>
      <c r="GB111" s="5"/>
      <c r="GC111" s="5"/>
      <c r="GD111" s="5"/>
      <c r="GE111" s="5"/>
      <c r="GF111" s="5"/>
      <c r="GG111" s="5"/>
      <c r="GH111" s="5"/>
      <c r="GI111" s="5"/>
      <c r="GJ111" s="5"/>
      <c r="GK111" s="5"/>
      <c r="GL111" s="5"/>
      <c r="GM111" s="5"/>
      <c r="GN111" s="5"/>
      <c r="GO111" s="5"/>
      <c r="GP111" s="5"/>
      <c r="GQ111" s="5"/>
      <c r="GR111" s="5"/>
      <c r="GS111" s="5"/>
      <c r="GT111" s="5"/>
      <c r="GU111" s="5"/>
      <c r="GV111" s="5"/>
      <c r="GW111" s="5"/>
      <c r="GX111" s="5"/>
      <c r="GY111" s="5"/>
      <c r="GZ111" s="5"/>
      <c r="HA111" s="5"/>
      <c r="HB111" s="5"/>
      <c r="HC111" s="5"/>
      <c r="HD111" s="5"/>
      <c r="HE111" s="5"/>
      <c r="HF111" s="5"/>
      <c r="HG111" s="5"/>
      <c r="HH111" s="5"/>
      <c r="HI111" s="5"/>
      <c r="HJ111" s="5"/>
      <c r="HK111" s="5"/>
      <c r="HL111" s="5"/>
      <c r="HM111" s="5"/>
      <c r="HN111" s="5"/>
      <c r="HO111" s="5"/>
      <c r="HP111" s="5"/>
      <c r="HQ111" s="5"/>
      <c r="HR111" s="5"/>
      <c r="HS111" s="5"/>
      <c r="HT111" s="5"/>
      <c r="HU111" s="5"/>
      <c r="HV111" s="5"/>
      <c r="HW111" s="5"/>
      <c r="HX111" s="5"/>
      <c r="HY111" s="5"/>
      <c r="HZ111" s="5"/>
      <c r="IA111" s="5"/>
      <c r="IB111" s="5"/>
      <c r="IC111" s="5"/>
      <c r="ID111" s="5"/>
      <c r="IE111" s="5"/>
      <c r="IF111" s="5"/>
      <c r="IG111" s="5"/>
      <c r="IH111" s="5"/>
      <c r="II111" s="5"/>
      <c r="IJ111" s="5"/>
      <c r="IK111" s="5"/>
      <c r="IL111" s="5"/>
      <c r="IM111" s="5"/>
      <c r="IN111" s="5"/>
      <c r="IO111" s="5"/>
      <c r="IP111" s="5"/>
      <c r="IQ111" s="5"/>
      <c r="IR111" s="5"/>
      <c r="IS111" s="5"/>
      <c r="IT111" s="5"/>
      <c r="IU111" s="5"/>
      <c r="IV111" s="5"/>
      <c r="IW111" s="5"/>
      <c r="IX111" s="5"/>
      <c r="IY111" s="5"/>
      <c r="IZ111" s="5"/>
      <c r="JA111" s="5"/>
      <c r="JB111" s="5"/>
      <c r="JC111" s="5"/>
      <c r="JD111" s="5"/>
      <c r="JE111" s="5"/>
      <c r="JF111" s="5"/>
      <c r="JG111" s="5"/>
      <c r="JH111" s="5"/>
      <c r="JI111" s="5"/>
      <c r="JJ111" s="5"/>
      <c r="JK111" s="5"/>
      <c r="JL111" s="5"/>
      <c r="JM111" s="5"/>
      <c r="JN111" s="5"/>
      <c r="JO111" s="5"/>
      <c r="JP111" s="5"/>
      <c r="JQ111" s="5"/>
      <c r="JR111" s="5"/>
      <c r="JS111" s="5"/>
      <c r="JT111" s="5"/>
      <c r="JU111" s="5"/>
      <c r="JV111" s="5"/>
      <c r="JW111" s="5"/>
      <c r="JX111" s="5"/>
      <c r="JY111" s="5"/>
      <c r="JZ111" s="5"/>
      <c r="KA111" s="5"/>
      <c r="KB111" s="5"/>
      <c r="KC111" s="5"/>
      <c r="KD111" s="5"/>
      <c r="KE111" s="5"/>
      <c r="KF111" s="5"/>
      <c r="KG111" s="5"/>
      <c r="KH111" s="5"/>
      <c r="KI111" s="5"/>
      <c r="KJ111" s="5"/>
      <c r="KK111" s="5"/>
      <c r="KL111" s="5"/>
      <c r="KM111" s="5"/>
      <c r="KN111" s="5"/>
      <c r="KO111" s="5"/>
      <c r="KP111" s="5"/>
      <c r="KQ111" s="5"/>
      <c r="KR111" s="5"/>
      <c r="KS111" s="5"/>
      <c r="KT111" s="5"/>
      <c r="KU111" s="5"/>
      <c r="KV111" s="5"/>
      <c r="KW111" s="5"/>
      <c r="KX111" s="5"/>
      <c r="KY111" s="5"/>
      <c r="KZ111" s="5"/>
      <c r="LA111" s="5"/>
      <c r="LB111" s="5"/>
      <c r="LC111" s="5"/>
      <c r="LD111" s="5"/>
      <c r="LE111" s="5"/>
      <c r="LF111" s="5"/>
      <c r="LG111" s="5"/>
      <c r="LH111" s="5"/>
      <c r="LI111" s="5"/>
      <c r="LJ111" s="5"/>
      <c r="LK111" s="5"/>
      <c r="LL111" s="5"/>
      <c r="LM111" s="5"/>
      <c r="LN111" s="5"/>
      <c r="LO111" s="5"/>
      <c r="LP111" s="5"/>
      <c r="LQ111" s="5"/>
      <c r="LR111" s="5"/>
      <c r="LS111" s="5"/>
      <c r="LT111" s="5"/>
      <c r="LU111" s="5"/>
      <c r="LV111" s="5"/>
      <c r="LW111" s="5"/>
      <c r="LX111" s="5"/>
      <c r="LY111" s="5"/>
      <c r="LZ111" s="5"/>
      <c r="MA111" s="5"/>
      <c r="MB111" s="5"/>
      <c r="MC111" s="5"/>
      <c r="MD111" s="5"/>
      <c r="ME111" s="5"/>
      <c r="MF111" s="5"/>
      <c r="MG111" s="5"/>
      <c r="MH111" s="5"/>
      <c r="MI111" s="5"/>
      <c r="MJ111" s="5"/>
      <c r="MK111" s="5"/>
      <c r="ML111" s="5"/>
      <c r="MM111" s="5"/>
      <c r="MN111" s="5"/>
      <c r="MO111" s="5"/>
      <c r="MP111" s="5"/>
      <c r="MQ111" s="5"/>
      <c r="MR111" s="5"/>
      <c r="MS111" s="5"/>
      <c r="MT111" s="5"/>
      <c r="MU111" s="5"/>
      <c r="MV111" s="5"/>
      <c r="MW111" s="5"/>
      <c r="MX111" s="5"/>
      <c r="MY111" s="5"/>
      <c r="MZ111" s="5"/>
      <c r="NA111" s="5"/>
      <c r="NB111" s="5"/>
      <c r="NC111" s="5"/>
      <c r="ND111" s="5"/>
      <c r="NE111" s="5"/>
      <c r="NF111" s="5"/>
      <c r="NG111" s="5"/>
      <c r="NH111" s="5"/>
      <c r="NI111" s="5"/>
      <c r="NJ111" s="5"/>
      <c r="NK111" s="5"/>
      <c r="NL111" s="5"/>
      <c r="NM111" s="5"/>
      <c r="NN111" s="5"/>
      <c r="NO111" s="5"/>
      <c r="NP111" s="5"/>
      <c r="NQ111" s="5"/>
      <c r="NR111" s="5"/>
      <c r="NS111" s="5"/>
      <c r="NT111" s="5"/>
      <c r="NU111" s="5"/>
      <c r="NV111" s="5"/>
      <c r="NW111" s="5"/>
      <c r="NX111" s="5"/>
      <c r="NY111" s="5"/>
      <c r="NZ111" s="5"/>
      <c r="OA111" s="5"/>
      <c r="OB111" s="5"/>
      <c r="OC111" s="5"/>
      <c r="OD111" s="5"/>
      <c r="OE111" s="5"/>
      <c r="OF111" s="5"/>
      <c r="OG111" s="5"/>
      <c r="OH111" s="5"/>
      <c r="OI111" s="5"/>
      <c r="OJ111" s="5"/>
      <c r="OK111" s="5"/>
      <c r="OL111" s="5"/>
      <c r="OM111" s="5"/>
      <c r="ON111" s="5"/>
      <c r="OO111" s="5"/>
      <c r="OP111" s="5"/>
      <c r="OQ111" s="5"/>
      <c r="OR111" s="5"/>
      <c r="OS111" s="5"/>
      <c r="OT111" s="5"/>
      <c r="OU111" s="5"/>
      <c r="OV111" s="5"/>
      <c r="OW111" s="5"/>
      <c r="OX111" s="5"/>
      <c r="OY111" s="5"/>
      <c r="OZ111" s="5"/>
      <c r="PA111" s="5"/>
      <c r="PB111" s="5"/>
      <c r="PC111" s="5"/>
      <c r="PD111" s="5"/>
      <c r="PE111" s="5"/>
      <c r="PF111" s="5"/>
      <c r="PG111" s="5"/>
      <c r="PH111" s="5"/>
      <c r="PI111" s="5"/>
      <c r="PJ111" s="5"/>
      <c r="PK111" s="5"/>
      <c r="PL111" s="5"/>
      <c r="PM111" s="5"/>
      <c r="PN111" s="5"/>
      <c r="PO111" s="5"/>
      <c r="PP111" s="5"/>
      <c r="PQ111" s="5"/>
      <c r="PR111" s="5"/>
      <c r="PS111" s="5"/>
      <c r="PT111" s="5"/>
      <c r="PU111" s="5"/>
      <c r="PV111" s="5"/>
      <c r="PW111" s="5"/>
      <c r="PX111" s="5"/>
      <c r="PY111" s="5"/>
      <c r="PZ111" s="5"/>
      <c r="QA111" s="5"/>
      <c r="QB111" s="5"/>
      <c r="QC111" s="5"/>
      <c r="QD111" s="5"/>
      <c r="QE111" s="5"/>
      <c r="QF111" s="5"/>
      <c r="QG111" s="5"/>
      <c r="QH111" s="5"/>
      <c r="QI111" s="5"/>
      <c r="QJ111" s="5"/>
      <c r="QK111" s="5"/>
      <c r="QL111" s="5"/>
      <c r="QM111" s="5"/>
      <c r="QN111" s="5"/>
      <c r="QO111" s="5"/>
      <c r="QP111" s="5"/>
      <c r="QQ111" s="5"/>
      <c r="QR111" s="5"/>
      <c r="QS111" s="5"/>
      <c r="QT111" s="5"/>
      <c r="QU111" s="5"/>
      <c r="QV111" s="5"/>
      <c r="QW111" s="5"/>
      <c r="QX111" s="5"/>
      <c r="QY111" s="5"/>
      <c r="QZ111" s="5"/>
      <c r="RA111" s="5"/>
      <c r="RB111" s="5"/>
      <c r="RC111" s="5"/>
      <c r="RD111" s="5"/>
      <c r="RE111" s="5"/>
      <c r="RF111" s="5"/>
      <c r="RG111" s="5"/>
      <c r="RH111" s="5"/>
      <c r="RI111" s="5"/>
      <c r="RJ111" s="5"/>
      <c r="RK111" s="5"/>
      <c r="RL111" s="5"/>
      <c r="RM111" s="5"/>
      <c r="RN111" s="5"/>
      <c r="RO111" s="5"/>
      <c r="RP111" s="5"/>
      <c r="RQ111" s="5"/>
      <c r="RR111" s="5"/>
      <c r="RS111" s="5"/>
      <c r="RT111" s="5"/>
      <c r="RU111" s="5"/>
      <c r="RV111" s="5"/>
      <c r="RW111" s="5"/>
      <c r="RX111" s="5"/>
      <c r="RY111" s="5"/>
      <c r="RZ111" s="5"/>
      <c r="SA111" s="5"/>
      <c r="SB111" s="5"/>
      <c r="SC111" s="5"/>
      <c r="SD111" s="5"/>
      <c r="SE111" s="5"/>
      <c r="SF111" s="5"/>
      <c r="SG111" s="5"/>
      <c r="SH111" s="5"/>
      <c r="SI111" s="5"/>
      <c r="SJ111" s="5"/>
      <c r="SK111" s="5"/>
      <c r="SL111" s="5"/>
      <c r="SM111" s="5"/>
      <c r="SN111" s="5"/>
      <c r="SO111" s="5"/>
      <c r="SP111" s="5"/>
      <c r="SQ111" s="5"/>
      <c r="SR111" s="5"/>
      <c r="SS111" s="5"/>
      <c r="ST111" s="5"/>
      <c r="SU111" s="5"/>
      <c r="SV111" s="5"/>
      <c r="SW111" s="5"/>
      <c r="SX111" s="5"/>
      <c r="SY111" s="5"/>
      <c r="SZ111" s="5"/>
      <c r="TA111" s="5"/>
      <c r="TB111" s="5"/>
      <c r="TC111" s="5"/>
      <c r="TD111" s="5"/>
      <c r="TE111" s="5"/>
      <c r="TF111" s="5"/>
      <c r="TG111" s="5"/>
      <c r="TH111" s="5"/>
      <c r="TI111" s="5"/>
      <c r="TJ111" s="5"/>
      <c r="TK111" s="5"/>
      <c r="TL111" s="5"/>
      <c r="TM111" s="5"/>
      <c r="TN111" s="5"/>
      <c r="TO111" s="5"/>
      <c r="TP111" s="5"/>
      <c r="TQ111" s="5"/>
      <c r="TR111" s="5"/>
      <c r="TS111" s="5"/>
      <c r="TT111" s="5"/>
      <c r="TU111" s="5"/>
      <c r="TV111" s="5"/>
      <c r="TW111" s="5"/>
      <c r="TX111" s="5"/>
      <c r="TY111" s="5"/>
      <c r="TZ111" s="5"/>
      <c r="UA111" s="5"/>
      <c r="UB111" s="5"/>
      <c r="UC111" s="5"/>
      <c r="UD111" s="5"/>
      <c r="UE111" s="5"/>
      <c r="UF111" s="5"/>
      <c r="UG111" s="5"/>
      <c r="UH111" s="5"/>
      <c r="UI111" s="5"/>
      <c r="UJ111" s="5"/>
      <c r="UK111" s="5"/>
      <c r="UL111" s="5"/>
      <c r="UM111" s="5"/>
      <c r="UN111" s="5"/>
      <c r="UO111" s="5"/>
      <c r="UP111" s="5"/>
      <c r="UQ111" s="5"/>
      <c r="UR111" s="5"/>
      <c r="US111" s="5"/>
      <c r="UT111" s="5"/>
      <c r="UU111" s="5"/>
      <c r="UV111" s="5"/>
      <c r="UW111" s="5"/>
      <c r="UX111" s="5"/>
      <c r="UY111" s="5"/>
      <c r="UZ111" s="5"/>
      <c r="VA111" s="5"/>
      <c r="VB111" s="5"/>
      <c r="VC111" s="5"/>
      <c r="VD111" s="5"/>
      <c r="VE111" s="5"/>
      <c r="VF111" s="5"/>
      <c r="VG111" s="5"/>
      <c r="VH111" s="5"/>
      <c r="VI111" s="5"/>
      <c r="VJ111" s="5"/>
      <c r="VK111" s="5"/>
      <c r="VL111" s="5"/>
      <c r="VM111" s="5"/>
      <c r="VN111" s="5"/>
      <c r="VO111" s="5"/>
      <c r="VP111" s="5"/>
      <c r="VQ111" s="5"/>
      <c r="VR111" s="5"/>
      <c r="VS111" s="5"/>
      <c r="VT111" s="5"/>
      <c r="VU111" s="5"/>
      <c r="VV111" s="5"/>
      <c r="VW111" s="5"/>
      <c r="VX111" s="5"/>
      <c r="VY111" s="5"/>
      <c r="VZ111" s="5"/>
      <c r="WA111" s="5"/>
      <c r="WB111" s="5"/>
      <c r="WC111" s="5"/>
      <c r="WD111" s="5"/>
      <c r="WE111" s="5"/>
      <c r="WF111" s="5"/>
      <c r="WG111" s="5"/>
      <c r="WH111" s="5"/>
      <c r="WI111" s="5"/>
      <c r="WJ111" s="5"/>
      <c r="WK111" s="5"/>
      <c r="WL111" s="5"/>
      <c r="WM111" s="5"/>
      <c r="WN111" s="5"/>
      <c r="WO111" s="5"/>
      <c r="WP111" s="5"/>
      <c r="WQ111" s="5"/>
      <c r="WR111" s="5"/>
      <c r="WS111" s="5"/>
      <c r="WT111" s="5"/>
      <c r="WU111" s="5"/>
      <c r="WV111" s="5"/>
      <c r="WW111" s="5"/>
      <c r="WX111" s="5"/>
      <c r="WY111" s="5"/>
      <c r="WZ111" s="5"/>
      <c r="XA111" s="5"/>
      <c r="XB111" s="5"/>
      <c r="XC111" s="5"/>
      <c r="XD111" s="5"/>
      <c r="XE111" s="5"/>
      <c r="XF111" s="5"/>
      <c r="XG111" s="5"/>
      <c r="XH111" s="5"/>
      <c r="XI111" s="5"/>
      <c r="XJ111" s="5"/>
      <c r="XK111" s="5"/>
      <c r="XL111" s="5"/>
      <c r="XM111" s="5"/>
      <c r="XN111" s="5"/>
      <c r="XO111" s="5"/>
      <c r="XP111" s="5"/>
      <c r="XQ111" s="5"/>
      <c r="XR111" s="5"/>
      <c r="XS111" s="5"/>
      <c r="XT111" s="5"/>
      <c r="XU111" s="5"/>
      <c r="XV111" s="5"/>
      <c r="XW111" s="5"/>
      <c r="XX111" s="5"/>
      <c r="XY111" s="5"/>
      <c r="XZ111" s="5"/>
      <c r="YA111" s="5"/>
      <c r="YB111" s="5"/>
      <c r="YC111" s="5"/>
      <c r="YD111" s="5"/>
      <c r="YE111" s="5"/>
      <c r="YF111" s="5"/>
      <c r="YG111" s="5"/>
      <c r="YH111" s="5"/>
      <c r="YI111" s="5"/>
      <c r="YJ111" s="5"/>
      <c r="YK111" s="5"/>
      <c r="YL111" s="5"/>
      <c r="YM111" s="5"/>
      <c r="YN111" s="5"/>
      <c r="YO111" s="5"/>
      <c r="YP111" s="5"/>
      <c r="YQ111" s="5"/>
      <c r="YR111" s="5"/>
      <c r="YS111" s="5"/>
      <c r="YT111" s="5"/>
      <c r="YU111" s="5"/>
      <c r="YV111" s="5"/>
      <c r="YW111" s="5"/>
      <c r="YX111" s="5"/>
      <c r="YY111" s="5"/>
      <c r="YZ111" s="5"/>
    </row>
    <row r="112" spans="1:676">
      <c r="A112" s="7">
        <v>102</v>
      </c>
      <c r="B112" s="7" t="s">
        <v>279</v>
      </c>
      <c r="C112" s="10" t="s">
        <v>280</v>
      </c>
      <c r="D112" s="7" t="s">
        <v>48</v>
      </c>
      <c r="E112" s="7"/>
      <c r="F112" s="7"/>
      <c r="G112" s="7"/>
      <c r="H112" s="7"/>
      <c r="I112" s="11">
        <v>0</v>
      </c>
      <c r="J112" s="11">
        <v>0</v>
      </c>
      <c r="K112" s="11">
        <v>0</v>
      </c>
      <c r="L112" s="11">
        <v>0</v>
      </c>
      <c r="M112" s="11">
        <v>0</v>
      </c>
      <c r="N112" s="11">
        <v>0</v>
      </c>
      <c r="O112" s="11">
        <v>0</v>
      </c>
      <c r="P112" s="11">
        <v>0</v>
      </c>
      <c r="Q112" s="11">
        <v>0</v>
      </c>
      <c r="R112" s="11">
        <v>0</v>
      </c>
      <c r="S112" s="11">
        <v>0</v>
      </c>
      <c r="T112" s="11">
        <v>0</v>
      </c>
      <c r="U112" s="11">
        <v>0</v>
      </c>
      <c r="V112" s="11">
        <v>0</v>
      </c>
      <c r="W112" s="13">
        <v>0</v>
      </c>
      <c r="X112" s="13">
        <v>0</v>
      </c>
      <c r="Y112" s="13" t="str">
        <f>MIN(W112,S112)</f>
        <v>0</v>
      </c>
      <c r="Z112" s="13" t="str">
        <f>MIN(X112,(S112-Y112))</f>
        <v>0</v>
      </c>
      <c r="AA112" s="13" t="str">
        <f>S112-SUM(Y112,Z112)</f>
        <v>0</v>
      </c>
      <c r="AB112" s="15"/>
      <c r="AC112" s="15"/>
      <c r="AD112" s="1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  <c r="BW112" s="5"/>
      <c r="BX112" s="5"/>
      <c r="BY112" s="5"/>
      <c r="BZ112" s="5"/>
      <c r="CA112" s="5"/>
      <c r="CB112" s="5"/>
      <c r="CC112" s="5"/>
      <c r="CD112" s="5"/>
      <c r="CE112" s="5"/>
      <c r="CF112" s="5"/>
      <c r="CG112" s="5"/>
      <c r="CH112" s="5"/>
      <c r="CI112" s="5"/>
      <c r="CJ112" s="5"/>
      <c r="CK112" s="5"/>
      <c r="CL112" s="5"/>
      <c r="CM112" s="5"/>
      <c r="CN112" s="5"/>
      <c r="CO112" s="5"/>
      <c r="CP112" s="5"/>
      <c r="CQ112" s="5"/>
      <c r="CR112" s="5"/>
      <c r="CS112" s="5"/>
      <c r="CT112" s="5"/>
      <c r="CU112" s="5"/>
      <c r="CV112" s="5"/>
      <c r="CW112" s="5"/>
      <c r="CX112" s="5"/>
      <c r="CY112" s="5"/>
      <c r="CZ112" s="5"/>
      <c r="DA112" s="5"/>
      <c r="DB112" s="5"/>
      <c r="DC112" s="5"/>
      <c r="DD112" s="5"/>
      <c r="DE112" s="5"/>
      <c r="DF112" s="5"/>
      <c r="DG112" s="5"/>
      <c r="DH112" s="5"/>
      <c r="DI112" s="5"/>
      <c r="DJ112" s="5"/>
      <c r="DK112" s="5"/>
      <c r="DL112" s="5"/>
      <c r="DM112" s="5"/>
      <c r="DN112" s="5"/>
      <c r="DO112" s="5"/>
      <c r="DP112" s="5"/>
      <c r="DQ112" s="5"/>
      <c r="DR112" s="5"/>
      <c r="DS112" s="5"/>
      <c r="DT112" s="5"/>
      <c r="DU112" s="5"/>
      <c r="DV112" s="5"/>
      <c r="DW112" s="5"/>
      <c r="DX112" s="5"/>
      <c r="DY112" s="5"/>
      <c r="DZ112" s="5"/>
      <c r="EA112" s="5"/>
      <c r="EB112" s="5"/>
      <c r="EC112" s="5"/>
      <c r="ED112" s="5"/>
      <c r="EE112" s="5"/>
      <c r="EF112" s="5"/>
      <c r="EG112" s="5"/>
      <c r="EH112" s="5"/>
      <c r="EI112" s="5"/>
      <c r="EJ112" s="5"/>
      <c r="EK112" s="5"/>
      <c r="EL112" s="5"/>
      <c r="EM112" s="5"/>
      <c r="EN112" s="5"/>
      <c r="EO112" s="5"/>
      <c r="EP112" s="5"/>
      <c r="EQ112" s="5"/>
      <c r="ER112" s="5"/>
      <c r="ES112" s="5"/>
      <c r="ET112" s="5"/>
      <c r="EU112" s="5"/>
      <c r="EV112" s="5"/>
      <c r="EW112" s="5"/>
      <c r="EX112" s="5"/>
      <c r="EY112" s="5"/>
      <c r="EZ112" s="5"/>
      <c r="FA112" s="5"/>
      <c r="FB112" s="5"/>
      <c r="FC112" s="5"/>
      <c r="FD112" s="5"/>
      <c r="FE112" s="5"/>
      <c r="FF112" s="5"/>
      <c r="FG112" s="5"/>
      <c r="FH112" s="5"/>
      <c r="FI112" s="5"/>
      <c r="FJ112" s="5"/>
      <c r="FK112" s="5"/>
      <c r="FL112" s="5"/>
      <c r="FM112" s="5"/>
      <c r="FN112" s="5"/>
      <c r="FO112" s="5"/>
      <c r="FP112" s="5"/>
      <c r="FQ112" s="5"/>
      <c r="FR112" s="5"/>
      <c r="FS112" s="5"/>
      <c r="FT112" s="5"/>
      <c r="FU112" s="5"/>
      <c r="FV112" s="5"/>
      <c r="FW112" s="5"/>
      <c r="FX112" s="5"/>
      <c r="FY112" s="5"/>
      <c r="FZ112" s="5"/>
      <c r="GA112" s="5"/>
      <c r="GB112" s="5"/>
      <c r="GC112" s="5"/>
      <c r="GD112" s="5"/>
      <c r="GE112" s="5"/>
      <c r="GF112" s="5"/>
      <c r="GG112" s="5"/>
      <c r="GH112" s="5"/>
      <c r="GI112" s="5"/>
      <c r="GJ112" s="5"/>
      <c r="GK112" s="5"/>
      <c r="GL112" s="5"/>
      <c r="GM112" s="5"/>
      <c r="GN112" s="5"/>
      <c r="GO112" s="5"/>
      <c r="GP112" s="5"/>
      <c r="GQ112" s="5"/>
      <c r="GR112" s="5"/>
      <c r="GS112" s="5"/>
      <c r="GT112" s="5"/>
      <c r="GU112" s="5"/>
      <c r="GV112" s="5"/>
      <c r="GW112" s="5"/>
      <c r="GX112" s="5"/>
      <c r="GY112" s="5"/>
      <c r="GZ112" s="5"/>
      <c r="HA112" s="5"/>
      <c r="HB112" s="5"/>
      <c r="HC112" s="5"/>
      <c r="HD112" s="5"/>
      <c r="HE112" s="5"/>
      <c r="HF112" s="5"/>
      <c r="HG112" s="5"/>
      <c r="HH112" s="5"/>
      <c r="HI112" s="5"/>
      <c r="HJ112" s="5"/>
      <c r="HK112" s="5"/>
      <c r="HL112" s="5"/>
      <c r="HM112" s="5"/>
      <c r="HN112" s="5"/>
      <c r="HO112" s="5"/>
      <c r="HP112" s="5"/>
      <c r="HQ112" s="5"/>
      <c r="HR112" s="5"/>
      <c r="HS112" s="5"/>
      <c r="HT112" s="5"/>
      <c r="HU112" s="5"/>
      <c r="HV112" s="5"/>
      <c r="HW112" s="5"/>
      <c r="HX112" s="5"/>
      <c r="HY112" s="5"/>
      <c r="HZ112" s="5"/>
      <c r="IA112" s="5"/>
      <c r="IB112" s="5"/>
      <c r="IC112" s="5"/>
      <c r="ID112" s="5"/>
      <c r="IE112" s="5"/>
      <c r="IF112" s="5"/>
      <c r="IG112" s="5"/>
      <c r="IH112" s="5"/>
      <c r="II112" s="5"/>
      <c r="IJ112" s="5"/>
      <c r="IK112" s="5"/>
      <c r="IL112" s="5"/>
      <c r="IM112" s="5"/>
      <c r="IN112" s="5"/>
      <c r="IO112" s="5"/>
      <c r="IP112" s="5"/>
      <c r="IQ112" s="5"/>
      <c r="IR112" s="5"/>
      <c r="IS112" s="5"/>
      <c r="IT112" s="5"/>
      <c r="IU112" s="5"/>
      <c r="IV112" s="5"/>
      <c r="IW112" s="5"/>
      <c r="IX112" s="5"/>
      <c r="IY112" s="5"/>
      <c r="IZ112" s="5"/>
      <c r="JA112" s="5"/>
      <c r="JB112" s="5"/>
      <c r="JC112" s="5"/>
      <c r="JD112" s="5"/>
      <c r="JE112" s="5"/>
      <c r="JF112" s="5"/>
      <c r="JG112" s="5"/>
      <c r="JH112" s="5"/>
      <c r="JI112" s="5"/>
      <c r="JJ112" s="5"/>
      <c r="JK112" s="5"/>
      <c r="JL112" s="5"/>
      <c r="JM112" s="5"/>
      <c r="JN112" s="5"/>
      <c r="JO112" s="5"/>
      <c r="JP112" s="5"/>
      <c r="JQ112" s="5"/>
      <c r="JR112" s="5"/>
      <c r="JS112" s="5"/>
      <c r="JT112" s="5"/>
      <c r="JU112" s="5"/>
      <c r="JV112" s="5"/>
      <c r="JW112" s="5"/>
      <c r="JX112" s="5"/>
      <c r="JY112" s="5"/>
      <c r="JZ112" s="5"/>
      <c r="KA112" s="5"/>
      <c r="KB112" s="5"/>
      <c r="KC112" s="5"/>
      <c r="KD112" s="5"/>
      <c r="KE112" s="5"/>
      <c r="KF112" s="5"/>
      <c r="KG112" s="5"/>
      <c r="KH112" s="5"/>
      <c r="KI112" s="5"/>
      <c r="KJ112" s="5"/>
      <c r="KK112" s="5"/>
      <c r="KL112" s="5"/>
      <c r="KM112" s="5"/>
      <c r="KN112" s="5"/>
      <c r="KO112" s="5"/>
      <c r="KP112" s="5"/>
      <c r="KQ112" s="5"/>
      <c r="KR112" s="5"/>
      <c r="KS112" s="5"/>
      <c r="KT112" s="5"/>
      <c r="KU112" s="5"/>
      <c r="KV112" s="5"/>
      <c r="KW112" s="5"/>
      <c r="KX112" s="5"/>
      <c r="KY112" s="5"/>
      <c r="KZ112" s="5"/>
      <c r="LA112" s="5"/>
      <c r="LB112" s="5"/>
      <c r="LC112" s="5"/>
      <c r="LD112" s="5"/>
      <c r="LE112" s="5"/>
      <c r="LF112" s="5"/>
      <c r="LG112" s="5"/>
      <c r="LH112" s="5"/>
      <c r="LI112" s="5"/>
      <c r="LJ112" s="5"/>
      <c r="LK112" s="5"/>
      <c r="LL112" s="5"/>
      <c r="LM112" s="5"/>
      <c r="LN112" s="5"/>
      <c r="LO112" s="5"/>
      <c r="LP112" s="5"/>
      <c r="LQ112" s="5"/>
      <c r="LR112" s="5"/>
      <c r="LS112" s="5"/>
      <c r="LT112" s="5"/>
      <c r="LU112" s="5"/>
      <c r="LV112" s="5"/>
      <c r="LW112" s="5"/>
      <c r="LX112" s="5"/>
      <c r="LY112" s="5"/>
      <c r="LZ112" s="5"/>
      <c r="MA112" s="5"/>
      <c r="MB112" s="5"/>
      <c r="MC112" s="5"/>
      <c r="MD112" s="5"/>
      <c r="ME112" s="5"/>
      <c r="MF112" s="5"/>
      <c r="MG112" s="5"/>
      <c r="MH112" s="5"/>
      <c r="MI112" s="5"/>
      <c r="MJ112" s="5"/>
      <c r="MK112" s="5"/>
      <c r="ML112" s="5"/>
      <c r="MM112" s="5"/>
      <c r="MN112" s="5"/>
      <c r="MO112" s="5"/>
      <c r="MP112" s="5"/>
      <c r="MQ112" s="5"/>
      <c r="MR112" s="5"/>
      <c r="MS112" s="5"/>
      <c r="MT112" s="5"/>
      <c r="MU112" s="5"/>
      <c r="MV112" s="5"/>
      <c r="MW112" s="5"/>
      <c r="MX112" s="5"/>
      <c r="MY112" s="5"/>
      <c r="MZ112" s="5"/>
      <c r="NA112" s="5"/>
      <c r="NB112" s="5"/>
      <c r="NC112" s="5"/>
      <c r="ND112" s="5"/>
      <c r="NE112" s="5"/>
      <c r="NF112" s="5"/>
      <c r="NG112" s="5"/>
      <c r="NH112" s="5"/>
      <c r="NI112" s="5"/>
      <c r="NJ112" s="5"/>
      <c r="NK112" s="5"/>
      <c r="NL112" s="5"/>
      <c r="NM112" s="5"/>
      <c r="NN112" s="5"/>
      <c r="NO112" s="5"/>
      <c r="NP112" s="5"/>
      <c r="NQ112" s="5"/>
      <c r="NR112" s="5"/>
      <c r="NS112" s="5"/>
      <c r="NT112" s="5"/>
      <c r="NU112" s="5"/>
      <c r="NV112" s="5"/>
      <c r="NW112" s="5"/>
      <c r="NX112" s="5"/>
      <c r="NY112" s="5"/>
      <c r="NZ112" s="5"/>
      <c r="OA112" s="5"/>
      <c r="OB112" s="5"/>
      <c r="OC112" s="5"/>
      <c r="OD112" s="5"/>
      <c r="OE112" s="5"/>
      <c r="OF112" s="5"/>
      <c r="OG112" s="5"/>
      <c r="OH112" s="5"/>
      <c r="OI112" s="5"/>
      <c r="OJ112" s="5"/>
      <c r="OK112" s="5"/>
      <c r="OL112" s="5"/>
      <c r="OM112" s="5"/>
      <c r="ON112" s="5"/>
      <c r="OO112" s="5"/>
      <c r="OP112" s="5"/>
      <c r="OQ112" s="5"/>
      <c r="OR112" s="5"/>
      <c r="OS112" s="5"/>
      <c r="OT112" s="5"/>
      <c r="OU112" s="5"/>
      <c r="OV112" s="5"/>
      <c r="OW112" s="5"/>
      <c r="OX112" s="5"/>
      <c r="OY112" s="5"/>
      <c r="OZ112" s="5"/>
      <c r="PA112" s="5"/>
      <c r="PB112" s="5"/>
      <c r="PC112" s="5"/>
      <c r="PD112" s="5"/>
      <c r="PE112" s="5"/>
      <c r="PF112" s="5"/>
      <c r="PG112" s="5"/>
      <c r="PH112" s="5"/>
      <c r="PI112" s="5"/>
      <c r="PJ112" s="5"/>
      <c r="PK112" s="5"/>
      <c r="PL112" s="5"/>
      <c r="PM112" s="5"/>
      <c r="PN112" s="5"/>
      <c r="PO112" s="5"/>
      <c r="PP112" s="5"/>
      <c r="PQ112" s="5"/>
      <c r="PR112" s="5"/>
      <c r="PS112" s="5"/>
      <c r="PT112" s="5"/>
      <c r="PU112" s="5"/>
      <c r="PV112" s="5"/>
      <c r="PW112" s="5"/>
      <c r="PX112" s="5"/>
      <c r="PY112" s="5"/>
      <c r="PZ112" s="5"/>
      <c r="QA112" s="5"/>
      <c r="QB112" s="5"/>
      <c r="QC112" s="5"/>
      <c r="QD112" s="5"/>
      <c r="QE112" s="5"/>
      <c r="QF112" s="5"/>
      <c r="QG112" s="5"/>
      <c r="QH112" s="5"/>
      <c r="QI112" s="5"/>
      <c r="QJ112" s="5"/>
      <c r="QK112" s="5"/>
      <c r="QL112" s="5"/>
      <c r="QM112" s="5"/>
      <c r="QN112" s="5"/>
      <c r="QO112" s="5"/>
      <c r="QP112" s="5"/>
      <c r="QQ112" s="5"/>
      <c r="QR112" s="5"/>
      <c r="QS112" s="5"/>
      <c r="QT112" s="5"/>
      <c r="QU112" s="5"/>
      <c r="QV112" s="5"/>
      <c r="QW112" s="5"/>
      <c r="QX112" s="5"/>
      <c r="QY112" s="5"/>
      <c r="QZ112" s="5"/>
      <c r="RA112" s="5"/>
      <c r="RB112" s="5"/>
      <c r="RC112" s="5"/>
      <c r="RD112" s="5"/>
      <c r="RE112" s="5"/>
      <c r="RF112" s="5"/>
      <c r="RG112" s="5"/>
      <c r="RH112" s="5"/>
      <c r="RI112" s="5"/>
      <c r="RJ112" s="5"/>
      <c r="RK112" s="5"/>
      <c r="RL112" s="5"/>
      <c r="RM112" s="5"/>
      <c r="RN112" s="5"/>
      <c r="RO112" s="5"/>
      <c r="RP112" s="5"/>
      <c r="RQ112" s="5"/>
      <c r="RR112" s="5"/>
      <c r="RS112" s="5"/>
      <c r="RT112" s="5"/>
      <c r="RU112" s="5"/>
      <c r="RV112" s="5"/>
      <c r="RW112" s="5"/>
      <c r="RX112" s="5"/>
      <c r="RY112" s="5"/>
      <c r="RZ112" s="5"/>
      <c r="SA112" s="5"/>
      <c r="SB112" s="5"/>
      <c r="SC112" s="5"/>
      <c r="SD112" s="5"/>
      <c r="SE112" s="5"/>
      <c r="SF112" s="5"/>
      <c r="SG112" s="5"/>
      <c r="SH112" s="5"/>
      <c r="SI112" s="5"/>
      <c r="SJ112" s="5"/>
      <c r="SK112" s="5"/>
      <c r="SL112" s="5"/>
      <c r="SM112" s="5"/>
      <c r="SN112" s="5"/>
      <c r="SO112" s="5"/>
      <c r="SP112" s="5"/>
      <c r="SQ112" s="5"/>
      <c r="SR112" s="5"/>
      <c r="SS112" s="5"/>
      <c r="ST112" s="5"/>
      <c r="SU112" s="5"/>
      <c r="SV112" s="5"/>
      <c r="SW112" s="5"/>
      <c r="SX112" s="5"/>
      <c r="SY112" s="5"/>
      <c r="SZ112" s="5"/>
      <c r="TA112" s="5"/>
      <c r="TB112" s="5"/>
      <c r="TC112" s="5"/>
      <c r="TD112" s="5"/>
      <c r="TE112" s="5"/>
      <c r="TF112" s="5"/>
      <c r="TG112" s="5"/>
      <c r="TH112" s="5"/>
      <c r="TI112" s="5"/>
      <c r="TJ112" s="5"/>
      <c r="TK112" s="5"/>
      <c r="TL112" s="5"/>
      <c r="TM112" s="5"/>
      <c r="TN112" s="5"/>
      <c r="TO112" s="5"/>
      <c r="TP112" s="5"/>
      <c r="TQ112" s="5"/>
      <c r="TR112" s="5"/>
      <c r="TS112" s="5"/>
      <c r="TT112" s="5"/>
      <c r="TU112" s="5"/>
      <c r="TV112" s="5"/>
      <c r="TW112" s="5"/>
      <c r="TX112" s="5"/>
      <c r="TY112" s="5"/>
      <c r="TZ112" s="5"/>
      <c r="UA112" s="5"/>
      <c r="UB112" s="5"/>
      <c r="UC112" s="5"/>
      <c r="UD112" s="5"/>
      <c r="UE112" s="5"/>
      <c r="UF112" s="5"/>
      <c r="UG112" s="5"/>
      <c r="UH112" s="5"/>
      <c r="UI112" s="5"/>
      <c r="UJ112" s="5"/>
      <c r="UK112" s="5"/>
      <c r="UL112" s="5"/>
      <c r="UM112" s="5"/>
      <c r="UN112" s="5"/>
      <c r="UO112" s="5"/>
      <c r="UP112" s="5"/>
      <c r="UQ112" s="5"/>
      <c r="UR112" s="5"/>
      <c r="US112" s="5"/>
      <c r="UT112" s="5"/>
      <c r="UU112" s="5"/>
      <c r="UV112" s="5"/>
      <c r="UW112" s="5"/>
      <c r="UX112" s="5"/>
      <c r="UY112" s="5"/>
      <c r="UZ112" s="5"/>
      <c r="VA112" s="5"/>
      <c r="VB112" s="5"/>
      <c r="VC112" s="5"/>
      <c r="VD112" s="5"/>
      <c r="VE112" s="5"/>
      <c r="VF112" s="5"/>
      <c r="VG112" s="5"/>
      <c r="VH112" s="5"/>
      <c r="VI112" s="5"/>
      <c r="VJ112" s="5"/>
      <c r="VK112" s="5"/>
      <c r="VL112" s="5"/>
      <c r="VM112" s="5"/>
      <c r="VN112" s="5"/>
      <c r="VO112" s="5"/>
      <c r="VP112" s="5"/>
      <c r="VQ112" s="5"/>
      <c r="VR112" s="5"/>
      <c r="VS112" s="5"/>
      <c r="VT112" s="5"/>
      <c r="VU112" s="5"/>
      <c r="VV112" s="5"/>
      <c r="VW112" s="5"/>
      <c r="VX112" s="5"/>
      <c r="VY112" s="5"/>
      <c r="VZ112" s="5"/>
      <c r="WA112" s="5"/>
      <c r="WB112" s="5"/>
      <c r="WC112" s="5"/>
      <c r="WD112" s="5"/>
      <c r="WE112" s="5"/>
      <c r="WF112" s="5"/>
      <c r="WG112" s="5"/>
      <c r="WH112" s="5"/>
      <c r="WI112" s="5"/>
      <c r="WJ112" s="5"/>
      <c r="WK112" s="5"/>
      <c r="WL112" s="5"/>
      <c r="WM112" s="5"/>
      <c r="WN112" s="5"/>
      <c r="WO112" s="5"/>
      <c r="WP112" s="5"/>
      <c r="WQ112" s="5"/>
      <c r="WR112" s="5"/>
      <c r="WS112" s="5"/>
      <c r="WT112" s="5"/>
      <c r="WU112" s="5"/>
      <c r="WV112" s="5"/>
      <c r="WW112" s="5"/>
      <c r="WX112" s="5"/>
      <c r="WY112" s="5"/>
      <c r="WZ112" s="5"/>
      <c r="XA112" s="5"/>
      <c r="XB112" s="5"/>
      <c r="XC112" s="5"/>
      <c r="XD112" s="5"/>
      <c r="XE112" s="5"/>
      <c r="XF112" s="5"/>
      <c r="XG112" s="5"/>
      <c r="XH112" s="5"/>
      <c r="XI112" s="5"/>
      <c r="XJ112" s="5"/>
      <c r="XK112" s="5"/>
      <c r="XL112" s="5"/>
      <c r="XM112" s="5"/>
      <c r="XN112" s="5"/>
      <c r="XO112" s="5"/>
      <c r="XP112" s="5"/>
      <c r="XQ112" s="5"/>
      <c r="XR112" s="5"/>
      <c r="XS112" s="5"/>
      <c r="XT112" s="5"/>
      <c r="XU112" s="5"/>
      <c r="XV112" s="5"/>
      <c r="XW112" s="5"/>
      <c r="XX112" s="5"/>
      <c r="XY112" s="5"/>
      <c r="XZ112" s="5"/>
      <c r="YA112" s="5"/>
      <c r="YB112" s="5"/>
      <c r="YC112" s="5"/>
      <c r="YD112" s="5"/>
      <c r="YE112" s="5"/>
      <c r="YF112" s="5"/>
      <c r="YG112" s="5"/>
      <c r="YH112" s="5"/>
      <c r="YI112" s="5"/>
      <c r="YJ112" s="5"/>
      <c r="YK112" s="5"/>
      <c r="YL112" s="5"/>
      <c r="YM112" s="5"/>
      <c r="YN112" s="5"/>
      <c r="YO112" s="5"/>
      <c r="YP112" s="5"/>
      <c r="YQ112" s="5"/>
      <c r="YR112" s="5"/>
      <c r="YS112" s="5"/>
      <c r="YT112" s="5"/>
      <c r="YU112" s="5"/>
      <c r="YV112" s="5"/>
      <c r="YW112" s="5"/>
      <c r="YX112" s="5"/>
      <c r="YY112" s="5"/>
      <c r="YZ112" s="5"/>
    </row>
    <row r="113" spans="1:676">
      <c r="A113" s="7">
        <v>103</v>
      </c>
      <c r="B113" s="7" t="s">
        <v>281</v>
      </c>
      <c r="C113" s="10" t="s">
        <v>282</v>
      </c>
      <c r="D113" s="7" t="s">
        <v>48</v>
      </c>
      <c r="E113" s="7"/>
      <c r="F113" s="7"/>
      <c r="G113" s="7"/>
      <c r="H113" s="7"/>
      <c r="I113" s="11">
        <v>0</v>
      </c>
      <c r="J113" s="11">
        <v>0</v>
      </c>
      <c r="K113" s="11">
        <v>0</v>
      </c>
      <c r="L113" s="11">
        <v>0</v>
      </c>
      <c r="M113" s="11">
        <v>0</v>
      </c>
      <c r="N113" s="11">
        <v>0</v>
      </c>
      <c r="O113" s="11">
        <v>0</v>
      </c>
      <c r="P113" s="11">
        <v>0</v>
      </c>
      <c r="Q113" s="11">
        <v>0</v>
      </c>
      <c r="R113" s="11">
        <v>0</v>
      </c>
      <c r="S113" s="11">
        <v>0</v>
      </c>
      <c r="T113" s="11">
        <v>0</v>
      </c>
      <c r="U113" s="11">
        <v>0</v>
      </c>
      <c r="V113" s="11">
        <v>0</v>
      </c>
      <c r="W113" s="13">
        <v>0</v>
      </c>
      <c r="X113" s="13">
        <v>0</v>
      </c>
      <c r="Y113" s="13" t="str">
        <f>MIN(W113,S113)</f>
        <v>0</v>
      </c>
      <c r="Z113" s="13" t="str">
        <f>MIN(X113,(S113-Y113))</f>
        <v>0</v>
      </c>
      <c r="AA113" s="13" t="str">
        <f>S113-SUM(Y113,Z113)</f>
        <v>0</v>
      </c>
      <c r="AB113" s="15"/>
      <c r="AC113" s="15"/>
      <c r="AD113" s="1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  <c r="BW113" s="5"/>
      <c r="BX113" s="5"/>
      <c r="BY113" s="5"/>
      <c r="BZ113" s="5"/>
      <c r="CA113" s="5"/>
      <c r="CB113" s="5"/>
      <c r="CC113" s="5"/>
      <c r="CD113" s="5"/>
      <c r="CE113" s="5"/>
      <c r="CF113" s="5"/>
      <c r="CG113" s="5"/>
      <c r="CH113" s="5"/>
      <c r="CI113" s="5"/>
      <c r="CJ113" s="5"/>
      <c r="CK113" s="5"/>
      <c r="CL113" s="5"/>
      <c r="CM113" s="5"/>
      <c r="CN113" s="5"/>
      <c r="CO113" s="5"/>
      <c r="CP113" s="5"/>
      <c r="CQ113" s="5"/>
      <c r="CR113" s="5"/>
      <c r="CS113" s="5"/>
      <c r="CT113" s="5"/>
      <c r="CU113" s="5"/>
      <c r="CV113" s="5"/>
      <c r="CW113" s="5"/>
      <c r="CX113" s="5"/>
      <c r="CY113" s="5"/>
      <c r="CZ113" s="5"/>
      <c r="DA113" s="5"/>
      <c r="DB113" s="5"/>
      <c r="DC113" s="5"/>
      <c r="DD113" s="5"/>
      <c r="DE113" s="5"/>
      <c r="DF113" s="5"/>
      <c r="DG113" s="5"/>
      <c r="DH113" s="5"/>
      <c r="DI113" s="5"/>
      <c r="DJ113" s="5"/>
      <c r="DK113" s="5"/>
      <c r="DL113" s="5"/>
      <c r="DM113" s="5"/>
      <c r="DN113" s="5"/>
      <c r="DO113" s="5"/>
      <c r="DP113" s="5"/>
      <c r="DQ113" s="5"/>
      <c r="DR113" s="5"/>
      <c r="DS113" s="5"/>
      <c r="DT113" s="5"/>
      <c r="DU113" s="5"/>
      <c r="DV113" s="5"/>
      <c r="DW113" s="5"/>
      <c r="DX113" s="5"/>
      <c r="DY113" s="5"/>
      <c r="DZ113" s="5"/>
      <c r="EA113" s="5"/>
      <c r="EB113" s="5"/>
      <c r="EC113" s="5"/>
      <c r="ED113" s="5"/>
      <c r="EE113" s="5"/>
      <c r="EF113" s="5"/>
      <c r="EG113" s="5"/>
      <c r="EH113" s="5"/>
      <c r="EI113" s="5"/>
      <c r="EJ113" s="5"/>
      <c r="EK113" s="5"/>
      <c r="EL113" s="5"/>
      <c r="EM113" s="5"/>
      <c r="EN113" s="5"/>
      <c r="EO113" s="5"/>
      <c r="EP113" s="5"/>
      <c r="EQ113" s="5"/>
      <c r="ER113" s="5"/>
      <c r="ES113" s="5"/>
      <c r="ET113" s="5"/>
      <c r="EU113" s="5"/>
      <c r="EV113" s="5"/>
      <c r="EW113" s="5"/>
      <c r="EX113" s="5"/>
      <c r="EY113" s="5"/>
      <c r="EZ113" s="5"/>
      <c r="FA113" s="5"/>
      <c r="FB113" s="5"/>
      <c r="FC113" s="5"/>
      <c r="FD113" s="5"/>
      <c r="FE113" s="5"/>
      <c r="FF113" s="5"/>
      <c r="FG113" s="5"/>
      <c r="FH113" s="5"/>
      <c r="FI113" s="5"/>
      <c r="FJ113" s="5"/>
      <c r="FK113" s="5"/>
      <c r="FL113" s="5"/>
      <c r="FM113" s="5"/>
      <c r="FN113" s="5"/>
      <c r="FO113" s="5"/>
      <c r="FP113" s="5"/>
      <c r="FQ113" s="5"/>
      <c r="FR113" s="5"/>
      <c r="FS113" s="5"/>
      <c r="FT113" s="5"/>
      <c r="FU113" s="5"/>
      <c r="FV113" s="5"/>
      <c r="FW113" s="5"/>
      <c r="FX113" s="5"/>
      <c r="FY113" s="5"/>
      <c r="FZ113" s="5"/>
      <c r="GA113" s="5"/>
      <c r="GB113" s="5"/>
      <c r="GC113" s="5"/>
      <c r="GD113" s="5"/>
      <c r="GE113" s="5"/>
      <c r="GF113" s="5"/>
      <c r="GG113" s="5"/>
      <c r="GH113" s="5"/>
      <c r="GI113" s="5"/>
      <c r="GJ113" s="5"/>
      <c r="GK113" s="5"/>
      <c r="GL113" s="5"/>
      <c r="GM113" s="5"/>
      <c r="GN113" s="5"/>
      <c r="GO113" s="5"/>
      <c r="GP113" s="5"/>
      <c r="GQ113" s="5"/>
      <c r="GR113" s="5"/>
      <c r="GS113" s="5"/>
      <c r="GT113" s="5"/>
      <c r="GU113" s="5"/>
      <c r="GV113" s="5"/>
      <c r="GW113" s="5"/>
      <c r="GX113" s="5"/>
      <c r="GY113" s="5"/>
      <c r="GZ113" s="5"/>
      <c r="HA113" s="5"/>
      <c r="HB113" s="5"/>
      <c r="HC113" s="5"/>
      <c r="HD113" s="5"/>
      <c r="HE113" s="5"/>
      <c r="HF113" s="5"/>
      <c r="HG113" s="5"/>
      <c r="HH113" s="5"/>
      <c r="HI113" s="5"/>
      <c r="HJ113" s="5"/>
      <c r="HK113" s="5"/>
      <c r="HL113" s="5"/>
      <c r="HM113" s="5"/>
      <c r="HN113" s="5"/>
      <c r="HO113" s="5"/>
      <c r="HP113" s="5"/>
      <c r="HQ113" s="5"/>
      <c r="HR113" s="5"/>
      <c r="HS113" s="5"/>
      <c r="HT113" s="5"/>
      <c r="HU113" s="5"/>
      <c r="HV113" s="5"/>
      <c r="HW113" s="5"/>
      <c r="HX113" s="5"/>
      <c r="HY113" s="5"/>
      <c r="HZ113" s="5"/>
      <c r="IA113" s="5"/>
      <c r="IB113" s="5"/>
      <c r="IC113" s="5"/>
      <c r="ID113" s="5"/>
      <c r="IE113" s="5"/>
      <c r="IF113" s="5"/>
      <c r="IG113" s="5"/>
      <c r="IH113" s="5"/>
      <c r="II113" s="5"/>
      <c r="IJ113" s="5"/>
      <c r="IK113" s="5"/>
      <c r="IL113" s="5"/>
      <c r="IM113" s="5"/>
      <c r="IN113" s="5"/>
      <c r="IO113" s="5"/>
      <c r="IP113" s="5"/>
      <c r="IQ113" s="5"/>
      <c r="IR113" s="5"/>
      <c r="IS113" s="5"/>
      <c r="IT113" s="5"/>
      <c r="IU113" s="5"/>
      <c r="IV113" s="5"/>
      <c r="IW113" s="5"/>
      <c r="IX113" s="5"/>
      <c r="IY113" s="5"/>
      <c r="IZ113" s="5"/>
      <c r="JA113" s="5"/>
      <c r="JB113" s="5"/>
      <c r="JC113" s="5"/>
      <c r="JD113" s="5"/>
      <c r="JE113" s="5"/>
      <c r="JF113" s="5"/>
      <c r="JG113" s="5"/>
      <c r="JH113" s="5"/>
      <c r="JI113" s="5"/>
      <c r="JJ113" s="5"/>
      <c r="JK113" s="5"/>
      <c r="JL113" s="5"/>
      <c r="JM113" s="5"/>
      <c r="JN113" s="5"/>
      <c r="JO113" s="5"/>
      <c r="JP113" s="5"/>
      <c r="JQ113" s="5"/>
      <c r="JR113" s="5"/>
      <c r="JS113" s="5"/>
      <c r="JT113" s="5"/>
      <c r="JU113" s="5"/>
      <c r="JV113" s="5"/>
      <c r="JW113" s="5"/>
      <c r="JX113" s="5"/>
      <c r="JY113" s="5"/>
      <c r="JZ113" s="5"/>
      <c r="KA113" s="5"/>
      <c r="KB113" s="5"/>
      <c r="KC113" s="5"/>
      <c r="KD113" s="5"/>
      <c r="KE113" s="5"/>
      <c r="KF113" s="5"/>
      <c r="KG113" s="5"/>
      <c r="KH113" s="5"/>
      <c r="KI113" s="5"/>
      <c r="KJ113" s="5"/>
      <c r="KK113" s="5"/>
      <c r="KL113" s="5"/>
      <c r="KM113" s="5"/>
      <c r="KN113" s="5"/>
      <c r="KO113" s="5"/>
      <c r="KP113" s="5"/>
      <c r="KQ113" s="5"/>
      <c r="KR113" s="5"/>
      <c r="KS113" s="5"/>
      <c r="KT113" s="5"/>
      <c r="KU113" s="5"/>
      <c r="KV113" s="5"/>
      <c r="KW113" s="5"/>
      <c r="KX113" s="5"/>
      <c r="KY113" s="5"/>
      <c r="KZ113" s="5"/>
      <c r="LA113" s="5"/>
      <c r="LB113" s="5"/>
      <c r="LC113" s="5"/>
      <c r="LD113" s="5"/>
      <c r="LE113" s="5"/>
      <c r="LF113" s="5"/>
      <c r="LG113" s="5"/>
      <c r="LH113" s="5"/>
      <c r="LI113" s="5"/>
      <c r="LJ113" s="5"/>
      <c r="LK113" s="5"/>
      <c r="LL113" s="5"/>
      <c r="LM113" s="5"/>
      <c r="LN113" s="5"/>
      <c r="LO113" s="5"/>
      <c r="LP113" s="5"/>
      <c r="LQ113" s="5"/>
      <c r="LR113" s="5"/>
      <c r="LS113" s="5"/>
      <c r="LT113" s="5"/>
      <c r="LU113" s="5"/>
      <c r="LV113" s="5"/>
      <c r="LW113" s="5"/>
      <c r="LX113" s="5"/>
      <c r="LY113" s="5"/>
      <c r="LZ113" s="5"/>
      <c r="MA113" s="5"/>
      <c r="MB113" s="5"/>
      <c r="MC113" s="5"/>
      <c r="MD113" s="5"/>
      <c r="ME113" s="5"/>
      <c r="MF113" s="5"/>
      <c r="MG113" s="5"/>
      <c r="MH113" s="5"/>
      <c r="MI113" s="5"/>
      <c r="MJ113" s="5"/>
      <c r="MK113" s="5"/>
      <c r="ML113" s="5"/>
      <c r="MM113" s="5"/>
      <c r="MN113" s="5"/>
      <c r="MO113" s="5"/>
      <c r="MP113" s="5"/>
      <c r="MQ113" s="5"/>
      <c r="MR113" s="5"/>
      <c r="MS113" s="5"/>
      <c r="MT113" s="5"/>
      <c r="MU113" s="5"/>
      <c r="MV113" s="5"/>
      <c r="MW113" s="5"/>
      <c r="MX113" s="5"/>
      <c r="MY113" s="5"/>
      <c r="MZ113" s="5"/>
      <c r="NA113" s="5"/>
      <c r="NB113" s="5"/>
      <c r="NC113" s="5"/>
      <c r="ND113" s="5"/>
      <c r="NE113" s="5"/>
      <c r="NF113" s="5"/>
      <c r="NG113" s="5"/>
      <c r="NH113" s="5"/>
      <c r="NI113" s="5"/>
      <c r="NJ113" s="5"/>
      <c r="NK113" s="5"/>
      <c r="NL113" s="5"/>
      <c r="NM113" s="5"/>
      <c r="NN113" s="5"/>
      <c r="NO113" s="5"/>
      <c r="NP113" s="5"/>
      <c r="NQ113" s="5"/>
      <c r="NR113" s="5"/>
      <c r="NS113" s="5"/>
      <c r="NT113" s="5"/>
      <c r="NU113" s="5"/>
      <c r="NV113" s="5"/>
      <c r="NW113" s="5"/>
      <c r="NX113" s="5"/>
      <c r="NY113" s="5"/>
      <c r="NZ113" s="5"/>
      <c r="OA113" s="5"/>
      <c r="OB113" s="5"/>
      <c r="OC113" s="5"/>
      <c r="OD113" s="5"/>
      <c r="OE113" s="5"/>
      <c r="OF113" s="5"/>
      <c r="OG113" s="5"/>
      <c r="OH113" s="5"/>
      <c r="OI113" s="5"/>
      <c r="OJ113" s="5"/>
      <c r="OK113" s="5"/>
      <c r="OL113" s="5"/>
      <c r="OM113" s="5"/>
      <c r="ON113" s="5"/>
      <c r="OO113" s="5"/>
      <c r="OP113" s="5"/>
      <c r="OQ113" s="5"/>
      <c r="OR113" s="5"/>
      <c r="OS113" s="5"/>
      <c r="OT113" s="5"/>
      <c r="OU113" s="5"/>
      <c r="OV113" s="5"/>
      <c r="OW113" s="5"/>
      <c r="OX113" s="5"/>
      <c r="OY113" s="5"/>
      <c r="OZ113" s="5"/>
      <c r="PA113" s="5"/>
      <c r="PB113" s="5"/>
      <c r="PC113" s="5"/>
      <c r="PD113" s="5"/>
      <c r="PE113" s="5"/>
      <c r="PF113" s="5"/>
      <c r="PG113" s="5"/>
      <c r="PH113" s="5"/>
      <c r="PI113" s="5"/>
      <c r="PJ113" s="5"/>
      <c r="PK113" s="5"/>
      <c r="PL113" s="5"/>
      <c r="PM113" s="5"/>
      <c r="PN113" s="5"/>
      <c r="PO113" s="5"/>
      <c r="PP113" s="5"/>
      <c r="PQ113" s="5"/>
      <c r="PR113" s="5"/>
      <c r="PS113" s="5"/>
      <c r="PT113" s="5"/>
      <c r="PU113" s="5"/>
      <c r="PV113" s="5"/>
      <c r="PW113" s="5"/>
      <c r="PX113" s="5"/>
      <c r="PY113" s="5"/>
      <c r="PZ113" s="5"/>
      <c r="QA113" s="5"/>
      <c r="QB113" s="5"/>
      <c r="QC113" s="5"/>
      <c r="QD113" s="5"/>
      <c r="QE113" s="5"/>
      <c r="QF113" s="5"/>
      <c r="QG113" s="5"/>
      <c r="QH113" s="5"/>
      <c r="QI113" s="5"/>
      <c r="QJ113" s="5"/>
      <c r="QK113" s="5"/>
      <c r="QL113" s="5"/>
      <c r="QM113" s="5"/>
      <c r="QN113" s="5"/>
      <c r="QO113" s="5"/>
      <c r="QP113" s="5"/>
      <c r="QQ113" s="5"/>
      <c r="QR113" s="5"/>
      <c r="QS113" s="5"/>
      <c r="QT113" s="5"/>
      <c r="QU113" s="5"/>
      <c r="QV113" s="5"/>
      <c r="QW113" s="5"/>
      <c r="QX113" s="5"/>
      <c r="QY113" s="5"/>
      <c r="QZ113" s="5"/>
      <c r="RA113" s="5"/>
      <c r="RB113" s="5"/>
      <c r="RC113" s="5"/>
      <c r="RD113" s="5"/>
      <c r="RE113" s="5"/>
      <c r="RF113" s="5"/>
      <c r="RG113" s="5"/>
      <c r="RH113" s="5"/>
      <c r="RI113" s="5"/>
      <c r="RJ113" s="5"/>
      <c r="RK113" s="5"/>
      <c r="RL113" s="5"/>
      <c r="RM113" s="5"/>
      <c r="RN113" s="5"/>
      <c r="RO113" s="5"/>
      <c r="RP113" s="5"/>
      <c r="RQ113" s="5"/>
      <c r="RR113" s="5"/>
      <c r="RS113" s="5"/>
      <c r="RT113" s="5"/>
      <c r="RU113" s="5"/>
      <c r="RV113" s="5"/>
      <c r="RW113" s="5"/>
      <c r="RX113" s="5"/>
      <c r="RY113" s="5"/>
      <c r="RZ113" s="5"/>
      <c r="SA113" s="5"/>
      <c r="SB113" s="5"/>
      <c r="SC113" s="5"/>
      <c r="SD113" s="5"/>
      <c r="SE113" s="5"/>
      <c r="SF113" s="5"/>
      <c r="SG113" s="5"/>
      <c r="SH113" s="5"/>
      <c r="SI113" s="5"/>
      <c r="SJ113" s="5"/>
      <c r="SK113" s="5"/>
      <c r="SL113" s="5"/>
      <c r="SM113" s="5"/>
      <c r="SN113" s="5"/>
      <c r="SO113" s="5"/>
      <c r="SP113" s="5"/>
      <c r="SQ113" s="5"/>
      <c r="SR113" s="5"/>
      <c r="SS113" s="5"/>
      <c r="ST113" s="5"/>
      <c r="SU113" s="5"/>
      <c r="SV113" s="5"/>
      <c r="SW113" s="5"/>
      <c r="SX113" s="5"/>
      <c r="SY113" s="5"/>
      <c r="SZ113" s="5"/>
      <c r="TA113" s="5"/>
      <c r="TB113" s="5"/>
      <c r="TC113" s="5"/>
      <c r="TD113" s="5"/>
      <c r="TE113" s="5"/>
      <c r="TF113" s="5"/>
      <c r="TG113" s="5"/>
      <c r="TH113" s="5"/>
      <c r="TI113" s="5"/>
      <c r="TJ113" s="5"/>
      <c r="TK113" s="5"/>
      <c r="TL113" s="5"/>
      <c r="TM113" s="5"/>
      <c r="TN113" s="5"/>
      <c r="TO113" s="5"/>
      <c r="TP113" s="5"/>
      <c r="TQ113" s="5"/>
      <c r="TR113" s="5"/>
      <c r="TS113" s="5"/>
      <c r="TT113" s="5"/>
      <c r="TU113" s="5"/>
      <c r="TV113" s="5"/>
      <c r="TW113" s="5"/>
      <c r="TX113" s="5"/>
      <c r="TY113" s="5"/>
      <c r="TZ113" s="5"/>
      <c r="UA113" s="5"/>
      <c r="UB113" s="5"/>
      <c r="UC113" s="5"/>
      <c r="UD113" s="5"/>
      <c r="UE113" s="5"/>
      <c r="UF113" s="5"/>
      <c r="UG113" s="5"/>
      <c r="UH113" s="5"/>
      <c r="UI113" s="5"/>
      <c r="UJ113" s="5"/>
      <c r="UK113" s="5"/>
      <c r="UL113" s="5"/>
      <c r="UM113" s="5"/>
      <c r="UN113" s="5"/>
      <c r="UO113" s="5"/>
      <c r="UP113" s="5"/>
      <c r="UQ113" s="5"/>
      <c r="UR113" s="5"/>
      <c r="US113" s="5"/>
      <c r="UT113" s="5"/>
      <c r="UU113" s="5"/>
      <c r="UV113" s="5"/>
      <c r="UW113" s="5"/>
      <c r="UX113" s="5"/>
      <c r="UY113" s="5"/>
      <c r="UZ113" s="5"/>
      <c r="VA113" s="5"/>
      <c r="VB113" s="5"/>
      <c r="VC113" s="5"/>
      <c r="VD113" s="5"/>
      <c r="VE113" s="5"/>
      <c r="VF113" s="5"/>
      <c r="VG113" s="5"/>
      <c r="VH113" s="5"/>
      <c r="VI113" s="5"/>
      <c r="VJ113" s="5"/>
      <c r="VK113" s="5"/>
      <c r="VL113" s="5"/>
      <c r="VM113" s="5"/>
      <c r="VN113" s="5"/>
      <c r="VO113" s="5"/>
      <c r="VP113" s="5"/>
      <c r="VQ113" s="5"/>
      <c r="VR113" s="5"/>
      <c r="VS113" s="5"/>
      <c r="VT113" s="5"/>
      <c r="VU113" s="5"/>
      <c r="VV113" s="5"/>
      <c r="VW113" s="5"/>
      <c r="VX113" s="5"/>
      <c r="VY113" s="5"/>
      <c r="VZ113" s="5"/>
      <c r="WA113" s="5"/>
      <c r="WB113" s="5"/>
      <c r="WC113" s="5"/>
      <c r="WD113" s="5"/>
      <c r="WE113" s="5"/>
      <c r="WF113" s="5"/>
      <c r="WG113" s="5"/>
      <c r="WH113" s="5"/>
      <c r="WI113" s="5"/>
      <c r="WJ113" s="5"/>
      <c r="WK113" s="5"/>
      <c r="WL113" s="5"/>
      <c r="WM113" s="5"/>
      <c r="WN113" s="5"/>
      <c r="WO113" s="5"/>
      <c r="WP113" s="5"/>
      <c r="WQ113" s="5"/>
      <c r="WR113" s="5"/>
      <c r="WS113" s="5"/>
      <c r="WT113" s="5"/>
      <c r="WU113" s="5"/>
      <c r="WV113" s="5"/>
      <c r="WW113" s="5"/>
      <c r="WX113" s="5"/>
      <c r="WY113" s="5"/>
      <c r="WZ113" s="5"/>
      <c r="XA113" s="5"/>
      <c r="XB113" s="5"/>
      <c r="XC113" s="5"/>
      <c r="XD113" s="5"/>
      <c r="XE113" s="5"/>
      <c r="XF113" s="5"/>
      <c r="XG113" s="5"/>
      <c r="XH113" s="5"/>
      <c r="XI113" s="5"/>
      <c r="XJ113" s="5"/>
      <c r="XK113" s="5"/>
      <c r="XL113" s="5"/>
      <c r="XM113" s="5"/>
      <c r="XN113" s="5"/>
      <c r="XO113" s="5"/>
      <c r="XP113" s="5"/>
      <c r="XQ113" s="5"/>
      <c r="XR113" s="5"/>
      <c r="XS113" s="5"/>
      <c r="XT113" s="5"/>
      <c r="XU113" s="5"/>
      <c r="XV113" s="5"/>
      <c r="XW113" s="5"/>
      <c r="XX113" s="5"/>
      <c r="XY113" s="5"/>
      <c r="XZ113" s="5"/>
      <c r="YA113" s="5"/>
      <c r="YB113" s="5"/>
      <c r="YC113" s="5"/>
      <c r="YD113" s="5"/>
      <c r="YE113" s="5"/>
      <c r="YF113" s="5"/>
      <c r="YG113" s="5"/>
      <c r="YH113" s="5"/>
      <c r="YI113" s="5"/>
      <c r="YJ113" s="5"/>
      <c r="YK113" s="5"/>
      <c r="YL113" s="5"/>
      <c r="YM113" s="5"/>
      <c r="YN113" s="5"/>
      <c r="YO113" s="5"/>
      <c r="YP113" s="5"/>
      <c r="YQ113" s="5"/>
      <c r="YR113" s="5"/>
      <c r="YS113" s="5"/>
      <c r="YT113" s="5"/>
      <c r="YU113" s="5"/>
      <c r="YV113" s="5"/>
      <c r="YW113" s="5"/>
      <c r="YX113" s="5"/>
      <c r="YY113" s="5"/>
      <c r="YZ113" s="5"/>
    </row>
    <row r="114" spans="1:676">
      <c r="A114" s="7">
        <v>104</v>
      </c>
      <c r="B114" s="7" t="s">
        <v>283</v>
      </c>
      <c r="C114" s="10" t="s">
        <v>284</v>
      </c>
      <c r="D114" s="7" t="s">
        <v>54</v>
      </c>
      <c r="E114" s="7"/>
      <c r="F114" s="7"/>
      <c r="G114" s="7"/>
      <c r="H114" s="7"/>
      <c r="I114" s="11">
        <v>0</v>
      </c>
      <c r="J114" s="11">
        <v>0</v>
      </c>
      <c r="K114" s="11">
        <v>0</v>
      </c>
      <c r="L114" s="11">
        <v>0</v>
      </c>
      <c r="M114" s="11">
        <v>0</v>
      </c>
      <c r="N114" s="11">
        <v>0</v>
      </c>
      <c r="O114" s="11">
        <v>0</v>
      </c>
      <c r="P114" s="11">
        <v>0</v>
      </c>
      <c r="Q114" s="11">
        <v>0</v>
      </c>
      <c r="R114" s="11">
        <v>0</v>
      </c>
      <c r="S114" s="11">
        <v>0</v>
      </c>
      <c r="T114" s="11">
        <v>0</v>
      </c>
      <c r="U114" s="11">
        <v>0</v>
      </c>
      <c r="V114" s="11">
        <v>0</v>
      </c>
      <c r="W114" s="13">
        <v>0</v>
      </c>
      <c r="X114" s="13">
        <v>0</v>
      </c>
      <c r="Y114" s="13" t="str">
        <f>MIN(W114,S114)</f>
        <v>0</v>
      </c>
      <c r="Z114" s="13" t="str">
        <f>MIN(X114,(S114-Y114))</f>
        <v>0</v>
      </c>
      <c r="AA114" s="13" t="str">
        <f>S114-SUM(Y114,Z114)</f>
        <v>0</v>
      </c>
      <c r="AB114" s="15"/>
      <c r="AC114" s="15"/>
      <c r="AD114" s="1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5"/>
      <c r="BP114" s="5"/>
      <c r="BQ114" s="5"/>
      <c r="BR114" s="5"/>
      <c r="BS114" s="5"/>
      <c r="BT114" s="5"/>
      <c r="BU114" s="5"/>
      <c r="BV114" s="5"/>
      <c r="BW114" s="5"/>
      <c r="BX114" s="5"/>
      <c r="BY114" s="5"/>
      <c r="BZ114" s="5"/>
      <c r="CA114" s="5"/>
      <c r="CB114" s="5"/>
      <c r="CC114" s="5"/>
      <c r="CD114" s="5"/>
      <c r="CE114" s="5"/>
      <c r="CF114" s="5"/>
      <c r="CG114" s="5"/>
      <c r="CH114" s="5"/>
      <c r="CI114" s="5"/>
      <c r="CJ114" s="5"/>
      <c r="CK114" s="5"/>
      <c r="CL114" s="5"/>
      <c r="CM114" s="5"/>
      <c r="CN114" s="5"/>
      <c r="CO114" s="5"/>
      <c r="CP114" s="5"/>
      <c r="CQ114" s="5"/>
      <c r="CR114" s="5"/>
      <c r="CS114" s="5"/>
      <c r="CT114" s="5"/>
      <c r="CU114" s="5"/>
      <c r="CV114" s="5"/>
      <c r="CW114" s="5"/>
      <c r="CX114" s="5"/>
      <c r="CY114" s="5"/>
      <c r="CZ114" s="5"/>
      <c r="DA114" s="5"/>
      <c r="DB114" s="5"/>
      <c r="DC114" s="5"/>
      <c r="DD114" s="5"/>
      <c r="DE114" s="5"/>
      <c r="DF114" s="5"/>
      <c r="DG114" s="5"/>
      <c r="DH114" s="5"/>
      <c r="DI114" s="5"/>
      <c r="DJ114" s="5"/>
      <c r="DK114" s="5"/>
      <c r="DL114" s="5"/>
      <c r="DM114" s="5"/>
      <c r="DN114" s="5"/>
      <c r="DO114" s="5"/>
      <c r="DP114" s="5"/>
      <c r="DQ114" s="5"/>
      <c r="DR114" s="5"/>
      <c r="DS114" s="5"/>
      <c r="DT114" s="5"/>
      <c r="DU114" s="5"/>
      <c r="DV114" s="5"/>
      <c r="DW114" s="5"/>
      <c r="DX114" s="5"/>
      <c r="DY114" s="5"/>
      <c r="DZ114" s="5"/>
      <c r="EA114" s="5"/>
      <c r="EB114" s="5"/>
      <c r="EC114" s="5"/>
      <c r="ED114" s="5"/>
      <c r="EE114" s="5"/>
      <c r="EF114" s="5"/>
      <c r="EG114" s="5"/>
      <c r="EH114" s="5"/>
      <c r="EI114" s="5"/>
      <c r="EJ114" s="5"/>
      <c r="EK114" s="5"/>
      <c r="EL114" s="5"/>
      <c r="EM114" s="5"/>
      <c r="EN114" s="5"/>
      <c r="EO114" s="5"/>
      <c r="EP114" s="5"/>
      <c r="EQ114" s="5"/>
      <c r="ER114" s="5"/>
      <c r="ES114" s="5"/>
      <c r="ET114" s="5"/>
      <c r="EU114" s="5"/>
      <c r="EV114" s="5"/>
      <c r="EW114" s="5"/>
      <c r="EX114" s="5"/>
      <c r="EY114" s="5"/>
      <c r="EZ114" s="5"/>
      <c r="FA114" s="5"/>
      <c r="FB114" s="5"/>
      <c r="FC114" s="5"/>
      <c r="FD114" s="5"/>
      <c r="FE114" s="5"/>
      <c r="FF114" s="5"/>
      <c r="FG114" s="5"/>
      <c r="FH114" s="5"/>
      <c r="FI114" s="5"/>
      <c r="FJ114" s="5"/>
      <c r="FK114" s="5"/>
      <c r="FL114" s="5"/>
      <c r="FM114" s="5"/>
      <c r="FN114" s="5"/>
      <c r="FO114" s="5"/>
      <c r="FP114" s="5"/>
      <c r="FQ114" s="5"/>
      <c r="FR114" s="5"/>
      <c r="FS114" s="5"/>
      <c r="FT114" s="5"/>
      <c r="FU114" s="5"/>
      <c r="FV114" s="5"/>
      <c r="FW114" s="5"/>
      <c r="FX114" s="5"/>
      <c r="FY114" s="5"/>
      <c r="FZ114" s="5"/>
      <c r="GA114" s="5"/>
      <c r="GB114" s="5"/>
      <c r="GC114" s="5"/>
      <c r="GD114" s="5"/>
      <c r="GE114" s="5"/>
      <c r="GF114" s="5"/>
      <c r="GG114" s="5"/>
      <c r="GH114" s="5"/>
      <c r="GI114" s="5"/>
      <c r="GJ114" s="5"/>
      <c r="GK114" s="5"/>
      <c r="GL114" s="5"/>
      <c r="GM114" s="5"/>
      <c r="GN114" s="5"/>
      <c r="GO114" s="5"/>
      <c r="GP114" s="5"/>
      <c r="GQ114" s="5"/>
      <c r="GR114" s="5"/>
      <c r="GS114" s="5"/>
      <c r="GT114" s="5"/>
      <c r="GU114" s="5"/>
      <c r="GV114" s="5"/>
      <c r="GW114" s="5"/>
      <c r="GX114" s="5"/>
      <c r="GY114" s="5"/>
      <c r="GZ114" s="5"/>
      <c r="HA114" s="5"/>
      <c r="HB114" s="5"/>
      <c r="HC114" s="5"/>
      <c r="HD114" s="5"/>
      <c r="HE114" s="5"/>
      <c r="HF114" s="5"/>
      <c r="HG114" s="5"/>
      <c r="HH114" s="5"/>
      <c r="HI114" s="5"/>
      <c r="HJ114" s="5"/>
      <c r="HK114" s="5"/>
      <c r="HL114" s="5"/>
      <c r="HM114" s="5"/>
      <c r="HN114" s="5"/>
      <c r="HO114" s="5"/>
      <c r="HP114" s="5"/>
      <c r="HQ114" s="5"/>
      <c r="HR114" s="5"/>
      <c r="HS114" s="5"/>
      <c r="HT114" s="5"/>
      <c r="HU114" s="5"/>
      <c r="HV114" s="5"/>
      <c r="HW114" s="5"/>
      <c r="HX114" s="5"/>
      <c r="HY114" s="5"/>
      <c r="HZ114" s="5"/>
      <c r="IA114" s="5"/>
      <c r="IB114" s="5"/>
      <c r="IC114" s="5"/>
      <c r="ID114" s="5"/>
      <c r="IE114" s="5"/>
      <c r="IF114" s="5"/>
      <c r="IG114" s="5"/>
      <c r="IH114" s="5"/>
      <c r="II114" s="5"/>
      <c r="IJ114" s="5"/>
      <c r="IK114" s="5"/>
      <c r="IL114" s="5"/>
      <c r="IM114" s="5"/>
      <c r="IN114" s="5"/>
      <c r="IO114" s="5"/>
      <c r="IP114" s="5"/>
      <c r="IQ114" s="5"/>
      <c r="IR114" s="5"/>
      <c r="IS114" s="5"/>
      <c r="IT114" s="5"/>
      <c r="IU114" s="5"/>
      <c r="IV114" s="5"/>
      <c r="IW114" s="5"/>
      <c r="IX114" s="5"/>
      <c r="IY114" s="5"/>
      <c r="IZ114" s="5"/>
      <c r="JA114" s="5"/>
      <c r="JB114" s="5"/>
      <c r="JC114" s="5"/>
      <c r="JD114" s="5"/>
      <c r="JE114" s="5"/>
      <c r="JF114" s="5"/>
      <c r="JG114" s="5"/>
      <c r="JH114" s="5"/>
      <c r="JI114" s="5"/>
      <c r="JJ114" s="5"/>
      <c r="JK114" s="5"/>
      <c r="JL114" s="5"/>
      <c r="JM114" s="5"/>
      <c r="JN114" s="5"/>
      <c r="JO114" s="5"/>
      <c r="JP114" s="5"/>
      <c r="JQ114" s="5"/>
      <c r="JR114" s="5"/>
      <c r="JS114" s="5"/>
      <c r="JT114" s="5"/>
      <c r="JU114" s="5"/>
      <c r="JV114" s="5"/>
      <c r="JW114" s="5"/>
      <c r="JX114" s="5"/>
      <c r="JY114" s="5"/>
      <c r="JZ114" s="5"/>
      <c r="KA114" s="5"/>
      <c r="KB114" s="5"/>
      <c r="KC114" s="5"/>
      <c r="KD114" s="5"/>
      <c r="KE114" s="5"/>
      <c r="KF114" s="5"/>
      <c r="KG114" s="5"/>
      <c r="KH114" s="5"/>
      <c r="KI114" s="5"/>
      <c r="KJ114" s="5"/>
      <c r="KK114" s="5"/>
      <c r="KL114" s="5"/>
      <c r="KM114" s="5"/>
      <c r="KN114" s="5"/>
      <c r="KO114" s="5"/>
      <c r="KP114" s="5"/>
      <c r="KQ114" s="5"/>
      <c r="KR114" s="5"/>
      <c r="KS114" s="5"/>
      <c r="KT114" s="5"/>
      <c r="KU114" s="5"/>
      <c r="KV114" s="5"/>
      <c r="KW114" s="5"/>
      <c r="KX114" s="5"/>
      <c r="KY114" s="5"/>
      <c r="KZ114" s="5"/>
      <c r="LA114" s="5"/>
      <c r="LB114" s="5"/>
      <c r="LC114" s="5"/>
      <c r="LD114" s="5"/>
      <c r="LE114" s="5"/>
      <c r="LF114" s="5"/>
      <c r="LG114" s="5"/>
      <c r="LH114" s="5"/>
      <c r="LI114" s="5"/>
      <c r="LJ114" s="5"/>
      <c r="LK114" s="5"/>
      <c r="LL114" s="5"/>
      <c r="LM114" s="5"/>
      <c r="LN114" s="5"/>
      <c r="LO114" s="5"/>
      <c r="LP114" s="5"/>
      <c r="LQ114" s="5"/>
      <c r="LR114" s="5"/>
      <c r="LS114" s="5"/>
      <c r="LT114" s="5"/>
      <c r="LU114" s="5"/>
      <c r="LV114" s="5"/>
      <c r="LW114" s="5"/>
      <c r="LX114" s="5"/>
      <c r="LY114" s="5"/>
      <c r="LZ114" s="5"/>
      <c r="MA114" s="5"/>
      <c r="MB114" s="5"/>
      <c r="MC114" s="5"/>
      <c r="MD114" s="5"/>
      <c r="ME114" s="5"/>
      <c r="MF114" s="5"/>
      <c r="MG114" s="5"/>
      <c r="MH114" s="5"/>
      <c r="MI114" s="5"/>
      <c r="MJ114" s="5"/>
      <c r="MK114" s="5"/>
      <c r="ML114" s="5"/>
      <c r="MM114" s="5"/>
      <c r="MN114" s="5"/>
      <c r="MO114" s="5"/>
      <c r="MP114" s="5"/>
      <c r="MQ114" s="5"/>
      <c r="MR114" s="5"/>
      <c r="MS114" s="5"/>
      <c r="MT114" s="5"/>
      <c r="MU114" s="5"/>
      <c r="MV114" s="5"/>
      <c r="MW114" s="5"/>
      <c r="MX114" s="5"/>
      <c r="MY114" s="5"/>
      <c r="MZ114" s="5"/>
      <c r="NA114" s="5"/>
      <c r="NB114" s="5"/>
      <c r="NC114" s="5"/>
      <c r="ND114" s="5"/>
      <c r="NE114" s="5"/>
      <c r="NF114" s="5"/>
      <c r="NG114" s="5"/>
      <c r="NH114" s="5"/>
      <c r="NI114" s="5"/>
      <c r="NJ114" s="5"/>
      <c r="NK114" s="5"/>
      <c r="NL114" s="5"/>
      <c r="NM114" s="5"/>
      <c r="NN114" s="5"/>
      <c r="NO114" s="5"/>
      <c r="NP114" s="5"/>
      <c r="NQ114" s="5"/>
      <c r="NR114" s="5"/>
      <c r="NS114" s="5"/>
      <c r="NT114" s="5"/>
      <c r="NU114" s="5"/>
      <c r="NV114" s="5"/>
      <c r="NW114" s="5"/>
      <c r="NX114" s="5"/>
      <c r="NY114" s="5"/>
      <c r="NZ114" s="5"/>
      <c r="OA114" s="5"/>
      <c r="OB114" s="5"/>
      <c r="OC114" s="5"/>
      <c r="OD114" s="5"/>
      <c r="OE114" s="5"/>
      <c r="OF114" s="5"/>
      <c r="OG114" s="5"/>
      <c r="OH114" s="5"/>
      <c r="OI114" s="5"/>
      <c r="OJ114" s="5"/>
      <c r="OK114" s="5"/>
      <c r="OL114" s="5"/>
      <c r="OM114" s="5"/>
      <c r="ON114" s="5"/>
      <c r="OO114" s="5"/>
      <c r="OP114" s="5"/>
      <c r="OQ114" s="5"/>
      <c r="OR114" s="5"/>
      <c r="OS114" s="5"/>
      <c r="OT114" s="5"/>
      <c r="OU114" s="5"/>
      <c r="OV114" s="5"/>
      <c r="OW114" s="5"/>
      <c r="OX114" s="5"/>
      <c r="OY114" s="5"/>
      <c r="OZ114" s="5"/>
      <c r="PA114" s="5"/>
      <c r="PB114" s="5"/>
      <c r="PC114" s="5"/>
      <c r="PD114" s="5"/>
      <c r="PE114" s="5"/>
      <c r="PF114" s="5"/>
      <c r="PG114" s="5"/>
      <c r="PH114" s="5"/>
      <c r="PI114" s="5"/>
      <c r="PJ114" s="5"/>
      <c r="PK114" s="5"/>
      <c r="PL114" s="5"/>
      <c r="PM114" s="5"/>
      <c r="PN114" s="5"/>
      <c r="PO114" s="5"/>
      <c r="PP114" s="5"/>
      <c r="PQ114" s="5"/>
      <c r="PR114" s="5"/>
      <c r="PS114" s="5"/>
      <c r="PT114" s="5"/>
      <c r="PU114" s="5"/>
      <c r="PV114" s="5"/>
      <c r="PW114" s="5"/>
      <c r="PX114" s="5"/>
      <c r="PY114" s="5"/>
      <c r="PZ114" s="5"/>
      <c r="QA114" s="5"/>
      <c r="QB114" s="5"/>
      <c r="QC114" s="5"/>
      <c r="QD114" s="5"/>
      <c r="QE114" s="5"/>
      <c r="QF114" s="5"/>
      <c r="QG114" s="5"/>
      <c r="QH114" s="5"/>
      <c r="QI114" s="5"/>
      <c r="QJ114" s="5"/>
      <c r="QK114" s="5"/>
      <c r="QL114" s="5"/>
      <c r="QM114" s="5"/>
      <c r="QN114" s="5"/>
      <c r="QO114" s="5"/>
      <c r="QP114" s="5"/>
      <c r="QQ114" s="5"/>
      <c r="QR114" s="5"/>
      <c r="QS114" s="5"/>
      <c r="QT114" s="5"/>
      <c r="QU114" s="5"/>
      <c r="QV114" s="5"/>
      <c r="QW114" s="5"/>
      <c r="QX114" s="5"/>
      <c r="QY114" s="5"/>
      <c r="QZ114" s="5"/>
      <c r="RA114" s="5"/>
      <c r="RB114" s="5"/>
      <c r="RC114" s="5"/>
      <c r="RD114" s="5"/>
      <c r="RE114" s="5"/>
      <c r="RF114" s="5"/>
      <c r="RG114" s="5"/>
      <c r="RH114" s="5"/>
      <c r="RI114" s="5"/>
      <c r="RJ114" s="5"/>
      <c r="RK114" s="5"/>
      <c r="RL114" s="5"/>
      <c r="RM114" s="5"/>
      <c r="RN114" s="5"/>
      <c r="RO114" s="5"/>
      <c r="RP114" s="5"/>
      <c r="RQ114" s="5"/>
      <c r="RR114" s="5"/>
      <c r="RS114" s="5"/>
      <c r="RT114" s="5"/>
      <c r="RU114" s="5"/>
      <c r="RV114" s="5"/>
      <c r="RW114" s="5"/>
      <c r="RX114" s="5"/>
      <c r="RY114" s="5"/>
      <c r="RZ114" s="5"/>
      <c r="SA114" s="5"/>
      <c r="SB114" s="5"/>
      <c r="SC114" s="5"/>
      <c r="SD114" s="5"/>
      <c r="SE114" s="5"/>
      <c r="SF114" s="5"/>
      <c r="SG114" s="5"/>
      <c r="SH114" s="5"/>
      <c r="SI114" s="5"/>
      <c r="SJ114" s="5"/>
      <c r="SK114" s="5"/>
      <c r="SL114" s="5"/>
      <c r="SM114" s="5"/>
      <c r="SN114" s="5"/>
      <c r="SO114" s="5"/>
      <c r="SP114" s="5"/>
      <c r="SQ114" s="5"/>
      <c r="SR114" s="5"/>
      <c r="SS114" s="5"/>
      <c r="ST114" s="5"/>
      <c r="SU114" s="5"/>
      <c r="SV114" s="5"/>
      <c r="SW114" s="5"/>
      <c r="SX114" s="5"/>
      <c r="SY114" s="5"/>
      <c r="SZ114" s="5"/>
      <c r="TA114" s="5"/>
      <c r="TB114" s="5"/>
      <c r="TC114" s="5"/>
      <c r="TD114" s="5"/>
      <c r="TE114" s="5"/>
      <c r="TF114" s="5"/>
      <c r="TG114" s="5"/>
      <c r="TH114" s="5"/>
      <c r="TI114" s="5"/>
      <c r="TJ114" s="5"/>
      <c r="TK114" s="5"/>
      <c r="TL114" s="5"/>
      <c r="TM114" s="5"/>
      <c r="TN114" s="5"/>
      <c r="TO114" s="5"/>
      <c r="TP114" s="5"/>
      <c r="TQ114" s="5"/>
      <c r="TR114" s="5"/>
      <c r="TS114" s="5"/>
      <c r="TT114" s="5"/>
      <c r="TU114" s="5"/>
      <c r="TV114" s="5"/>
      <c r="TW114" s="5"/>
      <c r="TX114" s="5"/>
      <c r="TY114" s="5"/>
      <c r="TZ114" s="5"/>
      <c r="UA114" s="5"/>
      <c r="UB114" s="5"/>
      <c r="UC114" s="5"/>
      <c r="UD114" s="5"/>
      <c r="UE114" s="5"/>
      <c r="UF114" s="5"/>
      <c r="UG114" s="5"/>
      <c r="UH114" s="5"/>
      <c r="UI114" s="5"/>
      <c r="UJ114" s="5"/>
      <c r="UK114" s="5"/>
      <c r="UL114" s="5"/>
      <c r="UM114" s="5"/>
      <c r="UN114" s="5"/>
      <c r="UO114" s="5"/>
      <c r="UP114" s="5"/>
      <c r="UQ114" s="5"/>
      <c r="UR114" s="5"/>
      <c r="US114" s="5"/>
      <c r="UT114" s="5"/>
      <c r="UU114" s="5"/>
      <c r="UV114" s="5"/>
      <c r="UW114" s="5"/>
      <c r="UX114" s="5"/>
      <c r="UY114" s="5"/>
      <c r="UZ114" s="5"/>
      <c r="VA114" s="5"/>
      <c r="VB114" s="5"/>
      <c r="VC114" s="5"/>
      <c r="VD114" s="5"/>
      <c r="VE114" s="5"/>
      <c r="VF114" s="5"/>
      <c r="VG114" s="5"/>
      <c r="VH114" s="5"/>
      <c r="VI114" s="5"/>
      <c r="VJ114" s="5"/>
      <c r="VK114" s="5"/>
      <c r="VL114" s="5"/>
      <c r="VM114" s="5"/>
      <c r="VN114" s="5"/>
      <c r="VO114" s="5"/>
      <c r="VP114" s="5"/>
      <c r="VQ114" s="5"/>
      <c r="VR114" s="5"/>
      <c r="VS114" s="5"/>
      <c r="VT114" s="5"/>
      <c r="VU114" s="5"/>
      <c r="VV114" s="5"/>
      <c r="VW114" s="5"/>
      <c r="VX114" s="5"/>
      <c r="VY114" s="5"/>
      <c r="VZ114" s="5"/>
      <c r="WA114" s="5"/>
      <c r="WB114" s="5"/>
      <c r="WC114" s="5"/>
      <c r="WD114" s="5"/>
      <c r="WE114" s="5"/>
      <c r="WF114" s="5"/>
      <c r="WG114" s="5"/>
      <c r="WH114" s="5"/>
      <c r="WI114" s="5"/>
      <c r="WJ114" s="5"/>
      <c r="WK114" s="5"/>
      <c r="WL114" s="5"/>
      <c r="WM114" s="5"/>
      <c r="WN114" s="5"/>
      <c r="WO114" s="5"/>
      <c r="WP114" s="5"/>
      <c r="WQ114" s="5"/>
      <c r="WR114" s="5"/>
      <c r="WS114" s="5"/>
      <c r="WT114" s="5"/>
      <c r="WU114" s="5"/>
      <c r="WV114" s="5"/>
      <c r="WW114" s="5"/>
      <c r="WX114" s="5"/>
      <c r="WY114" s="5"/>
      <c r="WZ114" s="5"/>
      <c r="XA114" s="5"/>
      <c r="XB114" s="5"/>
      <c r="XC114" s="5"/>
      <c r="XD114" s="5"/>
      <c r="XE114" s="5"/>
      <c r="XF114" s="5"/>
      <c r="XG114" s="5"/>
      <c r="XH114" s="5"/>
      <c r="XI114" s="5"/>
      <c r="XJ114" s="5"/>
      <c r="XK114" s="5"/>
      <c r="XL114" s="5"/>
      <c r="XM114" s="5"/>
      <c r="XN114" s="5"/>
      <c r="XO114" s="5"/>
      <c r="XP114" s="5"/>
      <c r="XQ114" s="5"/>
      <c r="XR114" s="5"/>
      <c r="XS114" s="5"/>
      <c r="XT114" s="5"/>
      <c r="XU114" s="5"/>
      <c r="XV114" s="5"/>
      <c r="XW114" s="5"/>
      <c r="XX114" s="5"/>
      <c r="XY114" s="5"/>
      <c r="XZ114" s="5"/>
      <c r="YA114" s="5"/>
      <c r="YB114" s="5"/>
      <c r="YC114" s="5"/>
      <c r="YD114" s="5"/>
      <c r="YE114" s="5"/>
      <c r="YF114" s="5"/>
      <c r="YG114" s="5"/>
      <c r="YH114" s="5"/>
      <c r="YI114" s="5"/>
      <c r="YJ114" s="5"/>
      <c r="YK114" s="5"/>
      <c r="YL114" s="5"/>
      <c r="YM114" s="5"/>
      <c r="YN114" s="5"/>
      <c r="YO114" s="5"/>
      <c r="YP114" s="5"/>
      <c r="YQ114" s="5"/>
      <c r="YR114" s="5"/>
      <c r="YS114" s="5"/>
      <c r="YT114" s="5"/>
      <c r="YU114" s="5"/>
      <c r="YV114" s="5"/>
      <c r="YW114" s="5"/>
      <c r="YX114" s="5"/>
      <c r="YY114" s="5"/>
      <c r="YZ114" s="5"/>
    </row>
    <row r="115" spans="1:676">
      <c r="A115" s="7">
        <v>105</v>
      </c>
      <c r="B115" s="7" t="s">
        <v>285</v>
      </c>
      <c r="C115" s="10" t="s">
        <v>286</v>
      </c>
      <c r="D115" s="7" t="s">
        <v>60</v>
      </c>
      <c r="E115" s="7"/>
      <c r="F115" s="7"/>
      <c r="G115" s="7"/>
      <c r="H115" s="7"/>
      <c r="I115" s="11">
        <v>0</v>
      </c>
      <c r="J115" s="11">
        <v>0</v>
      </c>
      <c r="K115" s="11">
        <v>0</v>
      </c>
      <c r="L115" s="11">
        <v>0</v>
      </c>
      <c r="M115" s="11">
        <v>0</v>
      </c>
      <c r="N115" s="11">
        <v>0</v>
      </c>
      <c r="O115" s="11">
        <v>0</v>
      </c>
      <c r="P115" s="11">
        <v>0</v>
      </c>
      <c r="Q115" s="11">
        <v>0</v>
      </c>
      <c r="R115" s="11">
        <v>0</v>
      </c>
      <c r="S115" s="11">
        <v>0</v>
      </c>
      <c r="T115" s="11">
        <v>0</v>
      </c>
      <c r="U115" s="11">
        <v>0</v>
      </c>
      <c r="V115" s="11">
        <v>0</v>
      </c>
      <c r="W115" s="13">
        <v>0</v>
      </c>
      <c r="X115" s="13">
        <v>0</v>
      </c>
      <c r="Y115" s="13" t="str">
        <f>MIN(W115,S115)</f>
        <v>0</v>
      </c>
      <c r="Z115" s="13" t="str">
        <f>MIN(X115,(S115-Y115))</f>
        <v>0</v>
      </c>
      <c r="AA115" s="13" t="str">
        <f>S115-SUM(Y115,Z115)</f>
        <v>0</v>
      </c>
      <c r="AB115" s="15"/>
      <c r="AC115" s="15"/>
      <c r="AD115" s="1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  <c r="BR115" s="5"/>
      <c r="BS115" s="5"/>
      <c r="BT115" s="5"/>
      <c r="BU115" s="5"/>
      <c r="BV115" s="5"/>
      <c r="BW115" s="5"/>
      <c r="BX115" s="5"/>
      <c r="BY115" s="5"/>
      <c r="BZ115" s="5"/>
      <c r="CA115" s="5"/>
      <c r="CB115" s="5"/>
      <c r="CC115" s="5"/>
      <c r="CD115" s="5"/>
      <c r="CE115" s="5"/>
      <c r="CF115" s="5"/>
      <c r="CG115" s="5"/>
      <c r="CH115" s="5"/>
      <c r="CI115" s="5"/>
      <c r="CJ115" s="5"/>
      <c r="CK115" s="5"/>
      <c r="CL115" s="5"/>
      <c r="CM115" s="5"/>
      <c r="CN115" s="5"/>
      <c r="CO115" s="5"/>
      <c r="CP115" s="5"/>
      <c r="CQ115" s="5"/>
      <c r="CR115" s="5"/>
      <c r="CS115" s="5"/>
      <c r="CT115" s="5"/>
      <c r="CU115" s="5"/>
      <c r="CV115" s="5"/>
      <c r="CW115" s="5"/>
      <c r="CX115" s="5"/>
      <c r="CY115" s="5"/>
      <c r="CZ115" s="5"/>
      <c r="DA115" s="5"/>
      <c r="DB115" s="5"/>
      <c r="DC115" s="5"/>
      <c r="DD115" s="5"/>
      <c r="DE115" s="5"/>
      <c r="DF115" s="5"/>
      <c r="DG115" s="5"/>
      <c r="DH115" s="5"/>
      <c r="DI115" s="5"/>
      <c r="DJ115" s="5"/>
      <c r="DK115" s="5"/>
      <c r="DL115" s="5"/>
      <c r="DM115" s="5"/>
      <c r="DN115" s="5"/>
      <c r="DO115" s="5"/>
      <c r="DP115" s="5"/>
      <c r="DQ115" s="5"/>
      <c r="DR115" s="5"/>
      <c r="DS115" s="5"/>
      <c r="DT115" s="5"/>
      <c r="DU115" s="5"/>
      <c r="DV115" s="5"/>
      <c r="DW115" s="5"/>
      <c r="DX115" s="5"/>
      <c r="DY115" s="5"/>
      <c r="DZ115" s="5"/>
      <c r="EA115" s="5"/>
      <c r="EB115" s="5"/>
      <c r="EC115" s="5"/>
      <c r="ED115" s="5"/>
      <c r="EE115" s="5"/>
      <c r="EF115" s="5"/>
      <c r="EG115" s="5"/>
      <c r="EH115" s="5"/>
      <c r="EI115" s="5"/>
      <c r="EJ115" s="5"/>
      <c r="EK115" s="5"/>
      <c r="EL115" s="5"/>
      <c r="EM115" s="5"/>
      <c r="EN115" s="5"/>
      <c r="EO115" s="5"/>
      <c r="EP115" s="5"/>
      <c r="EQ115" s="5"/>
      <c r="ER115" s="5"/>
      <c r="ES115" s="5"/>
      <c r="ET115" s="5"/>
      <c r="EU115" s="5"/>
      <c r="EV115" s="5"/>
      <c r="EW115" s="5"/>
      <c r="EX115" s="5"/>
      <c r="EY115" s="5"/>
      <c r="EZ115" s="5"/>
      <c r="FA115" s="5"/>
      <c r="FB115" s="5"/>
      <c r="FC115" s="5"/>
      <c r="FD115" s="5"/>
      <c r="FE115" s="5"/>
      <c r="FF115" s="5"/>
      <c r="FG115" s="5"/>
      <c r="FH115" s="5"/>
      <c r="FI115" s="5"/>
      <c r="FJ115" s="5"/>
      <c r="FK115" s="5"/>
      <c r="FL115" s="5"/>
      <c r="FM115" s="5"/>
      <c r="FN115" s="5"/>
      <c r="FO115" s="5"/>
      <c r="FP115" s="5"/>
      <c r="FQ115" s="5"/>
      <c r="FR115" s="5"/>
      <c r="FS115" s="5"/>
      <c r="FT115" s="5"/>
      <c r="FU115" s="5"/>
      <c r="FV115" s="5"/>
      <c r="FW115" s="5"/>
      <c r="FX115" s="5"/>
      <c r="FY115" s="5"/>
      <c r="FZ115" s="5"/>
      <c r="GA115" s="5"/>
      <c r="GB115" s="5"/>
      <c r="GC115" s="5"/>
      <c r="GD115" s="5"/>
      <c r="GE115" s="5"/>
      <c r="GF115" s="5"/>
      <c r="GG115" s="5"/>
      <c r="GH115" s="5"/>
      <c r="GI115" s="5"/>
      <c r="GJ115" s="5"/>
      <c r="GK115" s="5"/>
      <c r="GL115" s="5"/>
      <c r="GM115" s="5"/>
      <c r="GN115" s="5"/>
      <c r="GO115" s="5"/>
      <c r="GP115" s="5"/>
      <c r="GQ115" s="5"/>
      <c r="GR115" s="5"/>
      <c r="GS115" s="5"/>
      <c r="GT115" s="5"/>
      <c r="GU115" s="5"/>
      <c r="GV115" s="5"/>
      <c r="GW115" s="5"/>
      <c r="GX115" s="5"/>
      <c r="GY115" s="5"/>
      <c r="GZ115" s="5"/>
      <c r="HA115" s="5"/>
      <c r="HB115" s="5"/>
      <c r="HC115" s="5"/>
      <c r="HD115" s="5"/>
      <c r="HE115" s="5"/>
      <c r="HF115" s="5"/>
      <c r="HG115" s="5"/>
      <c r="HH115" s="5"/>
      <c r="HI115" s="5"/>
      <c r="HJ115" s="5"/>
      <c r="HK115" s="5"/>
      <c r="HL115" s="5"/>
      <c r="HM115" s="5"/>
      <c r="HN115" s="5"/>
      <c r="HO115" s="5"/>
      <c r="HP115" s="5"/>
      <c r="HQ115" s="5"/>
      <c r="HR115" s="5"/>
      <c r="HS115" s="5"/>
      <c r="HT115" s="5"/>
      <c r="HU115" s="5"/>
      <c r="HV115" s="5"/>
      <c r="HW115" s="5"/>
      <c r="HX115" s="5"/>
      <c r="HY115" s="5"/>
      <c r="HZ115" s="5"/>
      <c r="IA115" s="5"/>
      <c r="IB115" s="5"/>
      <c r="IC115" s="5"/>
      <c r="ID115" s="5"/>
      <c r="IE115" s="5"/>
      <c r="IF115" s="5"/>
      <c r="IG115" s="5"/>
      <c r="IH115" s="5"/>
      <c r="II115" s="5"/>
      <c r="IJ115" s="5"/>
      <c r="IK115" s="5"/>
      <c r="IL115" s="5"/>
      <c r="IM115" s="5"/>
      <c r="IN115" s="5"/>
      <c r="IO115" s="5"/>
      <c r="IP115" s="5"/>
      <c r="IQ115" s="5"/>
      <c r="IR115" s="5"/>
      <c r="IS115" s="5"/>
      <c r="IT115" s="5"/>
      <c r="IU115" s="5"/>
      <c r="IV115" s="5"/>
      <c r="IW115" s="5"/>
      <c r="IX115" s="5"/>
      <c r="IY115" s="5"/>
      <c r="IZ115" s="5"/>
      <c r="JA115" s="5"/>
      <c r="JB115" s="5"/>
      <c r="JC115" s="5"/>
      <c r="JD115" s="5"/>
      <c r="JE115" s="5"/>
      <c r="JF115" s="5"/>
      <c r="JG115" s="5"/>
      <c r="JH115" s="5"/>
      <c r="JI115" s="5"/>
      <c r="JJ115" s="5"/>
      <c r="JK115" s="5"/>
      <c r="JL115" s="5"/>
      <c r="JM115" s="5"/>
      <c r="JN115" s="5"/>
      <c r="JO115" s="5"/>
      <c r="JP115" s="5"/>
      <c r="JQ115" s="5"/>
      <c r="JR115" s="5"/>
      <c r="JS115" s="5"/>
      <c r="JT115" s="5"/>
      <c r="JU115" s="5"/>
      <c r="JV115" s="5"/>
      <c r="JW115" s="5"/>
      <c r="JX115" s="5"/>
      <c r="JY115" s="5"/>
      <c r="JZ115" s="5"/>
      <c r="KA115" s="5"/>
      <c r="KB115" s="5"/>
      <c r="KC115" s="5"/>
      <c r="KD115" s="5"/>
      <c r="KE115" s="5"/>
      <c r="KF115" s="5"/>
      <c r="KG115" s="5"/>
      <c r="KH115" s="5"/>
      <c r="KI115" s="5"/>
      <c r="KJ115" s="5"/>
      <c r="KK115" s="5"/>
      <c r="KL115" s="5"/>
      <c r="KM115" s="5"/>
      <c r="KN115" s="5"/>
      <c r="KO115" s="5"/>
      <c r="KP115" s="5"/>
      <c r="KQ115" s="5"/>
      <c r="KR115" s="5"/>
      <c r="KS115" s="5"/>
      <c r="KT115" s="5"/>
      <c r="KU115" s="5"/>
      <c r="KV115" s="5"/>
      <c r="KW115" s="5"/>
      <c r="KX115" s="5"/>
      <c r="KY115" s="5"/>
      <c r="KZ115" s="5"/>
      <c r="LA115" s="5"/>
      <c r="LB115" s="5"/>
      <c r="LC115" s="5"/>
      <c r="LD115" s="5"/>
      <c r="LE115" s="5"/>
      <c r="LF115" s="5"/>
      <c r="LG115" s="5"/>
      <c r="LH115" s="5"/>
      <c r="LI115" s="5"/>
      <c r="LJ115" s="5"/>
      <c r="LK115" s="5"/>
      <c r="LL115" s="5"/>
      <c r="LM115" s="5"/>
      <c r="LN115" s="5"/>
      <c r="LO115" s="5"/>
      <c r="LP115" s="5"/>
      <c r="LQ115" s="5"/>
      <c r="LR115" s="5"/>
      <c r="LS115" s="5"/>
      <c r="LT115" s="5"/>
      <c r="LU115" s="5"/>
      <c r="LV115" s="5"/>
      <c r="LW115" s="5"/>
      <c r="LX115" s="5"/>
      <c r="LY115" s="5"/>
      <c r="LZ115" s="5"/>
      <c r="MA115" s="5"/>
      <c r="MB115" s="5"/>
      <c r="MC115" s="5"/>
      <c r="MD115" s="5"/>
      <c r="ME115" s="5"/>
      <c r="MF115" s="5"/>
      <c r="MG115" s="5"/>
      <c r="MH115" s="5"/>
      <c r="MI115" s="5"/>
      <c r="MJ115" s="5"/>
      <c r="MK115" s="5"/>
      <c r="ML115" s="5"/>
      <c r="MM115" s="5"/>
      <c r="MN115" s="5"/>
      <c r="MO115" s="5"/>
      <c r="MP115" s="5"/>
      <c r="MQ115" s="5"/>
      <c r="MR115" s="5"/>
      <c r="MS115" s="5"/>
      <c r="MT115" s="5"/>
      <c r="MU115" s="5"/>
      <c r="MV115" s="5"/>
      <c r="MW115" s="5"/>
      <c r="MX115" s="5"/>
      <c r="MY115" s="5"/>
      <c r="MZ115" s="5"/>
      <c r="NA115" s="5"/>
      <c r="NB115" s="5"/>
      <c r="NC115" s="5"/>
      <c r="ND115" s="5"/>
      <c r="NE115" s="5"/>
      <c r="NF115" s="5"/>
      <c r="NG115" s="5"/>
      <c r="NH115" s="5"/>
      <c r="NI115" s="5"/>
      <c r="NJ115" s="5"/>
      <c r="NK115" s="5"/>
      <c r="NL115" s="5"/>
      <c r="NM115" s="5"/>
      <c r="NN115" s="5"/>
      <c r="NO115" s="5"/>
      <c r="NP115" s="5"/>
      <c r="NQ115" s="5"/>
      <c r="NR115" s="5"/>
      <c r="NS115" s="5"/>
      <c r="NT115" s="5"/>
      <c r="NU115" s="5"/>
      <c r="NV115" s="5"/>
      <c r="NW115" s="5"/>
      <c r="NX115" s="5"/>
      <c r="NY115" s="5"/>
      <c r="NZ115" s="5"/>
      <c r="OA115" s="5"/>
      <c r="OB115" s="5"/>
      <c r="OC115" s="5"/>
      <c r="OD115" s="5"/>
      <c r="OE115" s="5"/>
      <c r="OF115" s="5"/>
      <c r="OG115" s="5"/>
      <c r="OH115" s="5"/>
      <c r="OI115" s="5"/>
      <c r="OJ115" s="5"/>
      <c r="OK115" s="5"/>
      <c r="OL115" s="5"/>
      <c r="OM115" s="5"/>
      <c r="ON115" s="5"/>
      <c r="OO115" s="5"/>
      <c r="OP115" s="5"/>
      <c r="OQ115" s="5"/>
      <c r="OR115" s="5"/>
      <c r="OS115" s="5"/>
      <c r="OT115" s="5"/>
      <c r="OU115" s="5"/>
      <c r="OV115" s="5"/>
      <c r="OW115" s="5"/>
      <c r="OX115" s="5"/>
      <c r="OY115" s="5"/>
      <c r="OZ115" s="5"/>
      <c r="PA115" s="5"/>
      <c r="PB115" s="5"/>
      <c r="PC115" s="5"/>
      <c r="PD115" s="5"/>
      <c r="PE115" s="5"/>
      <c r="PF115" s="5"/>
      <c r="PG115" s="5"/>
      <c r="PH115" s="5"/>
      <c r="PI115" s="5"/>
      <c r="PJ115" s="5"/>
      <c r="PK115" s="5"/>
      <c r="PL115" s="5"/>
      <c r="PM115" s="5"/>
      <c r="PN115" s="5"/>
      <c r="PO115" s="5"/>
      <c r="PP115" s="5"/>
      <c r="PQ115" s="5"/>
      <c r="PR115" s="5"/>
      <c r="PS115" s="5"/>
      <c r="PT115" s="5"/>
      <c r="PU115" s="5"/>
      <c r="PV115" s="5"/>
      <c r="PW115" s="5"/>
      <c r="PX115" s="5"/>
      <c r="PY115" s="5"/>
      <c r="PZ115" s="5"/>
      <c r="QA115" s="5"/>
      <c r="QB115" s="5"/>
      <c r="QC115" s="5"/>
      <c r="QD115" s="5"/>
      <c r="QE115" s="5"/>
      <c r="QF115" s="5"/>
      <c r="QG115" s="5"/>
      <c r="QH115" s="5"/>
      <c r="QI115" s="5"/>
      <c r="QJ115" s="5"/>
      <c r="QK115" s="5"/>
      <c r="QL115" s="5"/>
      <c r="QM115" s="5"/>
      <c r="QN115" s="5"/>
      <c r="QO115" s="5"/>
      <c r="QP115" s="5"/>
      <c r="QQ115" s="5"/>
      <c r="QR115" s="5"/>
      <c r="QS115" s="5"/>
      <c r="QT115" s="5"/>
      <c r="QU115" s="5"/>
      <c r="QV115" s="5"/>
      <c r="QW115" s="5"/>
      <c r="QX115" s="5"/>
      <c r="QY115" s="5"/>
      <c r="QZ115" s="5"/>
      <c r="RA115" s="5"/>
      <c r="RB115" s="5"/>
      <c r="RC115" s="5"/>
      <c r="RD115" s="5"/>
      <c r="RE115" s="5"/>
      <c r="RF115" s="5"/>
      <c r="RG115" s="5"/>
      <c r="RH115" s="5"/>
      <c r="RI115" s="5"/>
      <c r="RJ115" s="5"/>
      <c r="RK115" s="5"/>
      <c r="RL115" s="5"/>
      <c r="RM115" s="5"/>
      <c r="RN115" s="5"/>
      <c r="RO115" s="5"/>
      <c r="RP115" s="5"/>
      <c r="RQ115" s="5"/>
      <c r="RR115" s="5"/>
      <c r="RS115" s="5"/>
      <c r="RT115" s="5"/>
      <c r="RU115" s="5"/>
      <c r="RV115" s="5"/>
      <c r="RW115" s="5"/>
      <c r="RX115" s="5"/>
      <c r="RY115" s="5"/>
      <c r="RZ115" s="5"/>
      <c r="SA115" s="5"/>
      <c r="SB115" s="5"/>
      <c r="SC115" s="5"/>
      <c r="SD115" s="5"/>
      <c r="SE115" s="5"/>
      <c r="SF115" s="5"/>
      <c r="SG115" s="5"/>
      <c r="SH115" s="5"/>
      <c r="SI115" s="5"/>
      <c r="SJ115" s="5"/>
      <c r="SK115" s="5"/>
      <c r="SL115" s="5"/>
      <c r="SM115" s="5"/>
      <c r="SN115" s="5"/>
      <c r="SO115" s="5"/>
      <c r="SP115" s="5"/>
      <c r="SQ115" s="5"/>
      <c r="SR115" s="5"/>
      <c r="SS115" s="5"/>
      <c r="ST115" s="5"/>
      <c r="SU115" s="5"/>
      <c r="SV115" s="5"/>
      <c r="SW115" s="5"/>
      <c r="SX115" s="5"/>
      <c r="SY115" s="5"/>
      <c r="SZ115" s="5"/>
      <c r="TA115" s="5"/>
      <c r="TB115" s="5"/>
      <c r="TC115" s="5"/>
      <c r="TD115" s="5"/>
      <c r="TE115" s="5"/>
      <c r="TF115" s="5"/>
      <c r="TG115" s="5"/>
      <c r="TH115" s="5"/>
      <c r="TI115" s="5"/>
      <c r="TJ115" s="5"/>
      <c r="TK115" s="5"/>
      <c r="TL115" s="5"/>
      <c r="TM115" s="5"/>
      <c r="TN115" s="5"/>
      <c r="TO115" s="5"/>
      <c r="TP115" s="5"/>
      <c r="TQ115" s="5"/>
      <c r="TR115" s="5"/>
      <c r="TS115" s="5"/>
      <c r="TT115" s="5"/>
      <c r="TU115" s="5"/>
      <c r="TV115" s="5"/>
      <c r="TW115" s="5"/>
      <c r="TX115" s="5"/>
      <c r="TY115" s="5"/>
      <c r="TZ115" s="5"/>
      <c r="UA115" s="5"/>
      <c r="UB115" s="5"/>
      <c r="UC115" s="5"/>
      <c r="UD115" s="5"/>
      <c r="UE115" s="5"/>
      <c r="UF115" s="5"/>
      <c r="UG115" s="5"/>
      <c r="UH115" s="5"/>
      <c r="UI115" s="5"/>
      <c r="UJ115" s="5"/>
      <c r="UK115" s="5"/>
      <c r="UL115" s="5"/>
      <c r="UM115" s="5"/>
      <c r="UN115" s="5"/>
      <c r="UO115" s="5"/>
      <c r="UP115" s="5"/>
      <c r="UQ115" s="5"/>
      <c r="UR115" s="5"/>
      <c r="US115" s="5"/>
      <c r="UT115" s="5"/>
      <c r="UU115" s="5"/>
      <c r="UV115" s="5"/>
      <c r="UW115" s="5"/>
      <c r="UX115" s="5"/>
      <c r="UY115" s="5"/>
      <c r="UZ115" s="5"/>
      <c r="VA115" s="5"/>
      <c r="VB115" s="5"/>
      <c r="VC115" s="5"/>
      <c r="VD115" s="5"/>
      <c r="VE115" s="5"/>
      <c r="VF115" s="5"/>
      <c r="VG115" s="5"/>
      <c r="VH115" s="5"/>
      <c r="VI115" s="5"/>
      <c r="VJ115" s="5"/>
      <c r="VK115" s="5"/>
      <c r="VL115" s="5"/>
      <c r="VM115" s="5"/>
      <c r="VN115" s="5"/>
      <c r="VO115" s="5"/>
      <c r="VP115" s="5"/>
      <c r="VQ115" s="5"/>
      <c r="VR115" s="5"/>
      <c r="VS115" s="5"/>
      <c r="VT115" s="5"/>
      <c r="VU115" s="5"/>
      <c r="VV115" s="5"/>
      <c r="VW115" s="5"/>
      <c r="VX115" s="5"/>
      <c r="VY115" s="5"/>
      <c r="VZ115" s="5"/>
      <c r="WA115" s="5"/>
      <c r="WB115" s="5"/>
      <c r="WC115" s="5"/>
      <c r="WD115" s="5"/>
      <c r="WE115" s="5"/>
      <c r="WF115" s="5"/>
      <c r="WG115" s="5"/>
      <c r="WH115" s="5"/>
      <c r="WI115" s="5"/>
      <c r="WJ115" s="5"/>
      <c r="WK115" s="5"/>
      <c r="WL115" s="5"/>
      <c r="WM115" s="5"/>
      <c r="WN115" s="5"/>
      <c r="WO115" s="5"/>
      <c r="WP115" s="5"/>
      <c r="WQ115" s="5"/>
      <c r="WR115" s="5"/>
      <c r="WS115" s="5"/>
      <c r="WT115" s="5"/>
      <c r="WU115" s="5"/>
      <c r="WV115" s="5"/>
      <c r="WW115" s="5"/>
      <c r="WX115" s="5"/>
      <c r="WY115" s="5"/>
      <c r="WZ115" s="5"/>
      <c r="XA115" s="5"/>
      <c r="XB115" s="5"/>
      <c r="XC115" s="5"/>
      <c r="XD115" s="5"/>
      <c r="XE115" s="5"/>
      <c r="XF115" s="5"/>
      <c r="XG115" s="5"/>
      <c r="XH115" s="5"/>
      <c r="XI115" s="5"/>
      <c r="XJ115" s="5"/>
      <c r="XK115" s="5"/>
      <c r="XL115" s="5"/>
      <c r="XM115" s="5"/>
      <c r="XN115" s="5"/>
      <c r="XO115" s="5"/>
      <c r="XP115" s="5"/>
      <c r="XQ115" s="5"/>
      <c r="XR115" s="5"/>
      <c r="XS115" s="5"/>
      <c r="XT115" s="5"/>
      <c r="XU115" s="5"/>
      <c r="XV115" s="5"/>
      <c r="XW115" s="5"/>
      <c r="XX115" s="5"/>
      <c r="XY115" s="5"/>
      <c r="XZ115" s="5"/>
      <c r="YA115" s="5"/>
      <c r="YB115" s="5"/>
      <c r="YC115" s="5"/>
      <c r="YD115" s="5"/>
      <c r="YE115" s="5"/>
      <c r="YF115" s="5"/>
      <c r="YG115" s="5"/>
      <c r="YH115" s="5"/>
      <c r="YI115" s="5"/>
      <c r="YJ115" s="5"/>
      <c r="YK115" s="5"/>
      <c r="YL115" s="5"/>
      <c r="YM115" s="5"/>
      <c r="YN115" s="5"/>
      <c r="YO115" s="5"/>
      <c r="YP115" s="5"/>
      <c r="YQ115" s="5"/>
      <c r="YR115" s="5"/>
      <c r="YS115" s="5"/>
      <c r="YT115" s="5"/>
      <c r="YU115" s="5"/>
      <c r="YV115" s="5"/>
      <c r="YW115" s="5"/>
      <c r="YX115" s="5"/>
      <c r="YY115" s="5"/>
      <c r="YZ115" s="5"/>
    </row>
    <row r="116" spans="1:676">
      <c r="A116" s="7">
        <v>106</v>
      </c>
      <c r="B116" s="7" t="s">
        <v>287</v>
      </c>
      <c r="C116" s="10" t="s">
        <v>288</v>
      </c>
      <c r="D116" s="7" t="s">
        <v>40</v>
      </c>
      <c r="E116" s="7"/>
      <c r="F116" s="7"/>
      <c r="G116" s="7"/>
      <c r="H116" s="7"/>
      <c r="I116" s="11">
        <v>0</v>
      </c>
      <c r="J116" s="11">
        <v>0</v>
      </c>
      <c r="K116" s="11">
        <v>0</v>
      </c>
      <c r="L116" s="11">
        <v>0</v>
      </c>
      <c r="M116" s="11">
        <v>0</v>
      </c>
      <c r="N116" s="11">
        <v>0</v>
      </c>
      <c r="O116" s="11">
        <v>0</v>
      </c>
      <c r="P116" s="11">
        <v>0</v>
      </c>
      <c r="Q116" s="11">
        <v>0</v>
      </c>
      <c r="R116" s="11">
        <v>0</v>
      </c>
      <c r="S116" s="11">
        <v>0</v>
      </c>
      <c r="T116" s="11">
        <v>0</v>
      </c>
      <c r="U116" s="11">
        <v>0</v>
      </c>
      <c r="V116" s="11">
        <v>0</v>
      </c>
      <c r="W116" s="13">
        <v>0</v>
      </c>
      <c r="X116" s="13">
        <v>0</v>
      </c>
      <c r="Y116" s="13" t="str">
        <f>MIN(W116,S116)</f>
        <v>0</v>
      </c>
      <c r="Z116" s="13" t="str">
        <f>MIN(X116,(S116-Y116))</f>
        <v>0</v>
      </c>
      <c r="AA116" s="13" t="str">
        <f>S116-SUM(Y116,Z116)</f>
        <v>0</v>
      </c>
      <c r="AB116" s="15"/>
      <c r="AC116" s="15"/>
      <c r="AD116" s="1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  <c r="BQ116" s="5"/>
      <c r="BR116" s="5"/>
      <c r="BS116" s="5"/>
      <c r="BT116" s="5"/>
      <c r="BU116" s="5"/>
      <c r="BV116" s="5"/>
      <c r="BW116" s="5"/>
      <c r="BX116" s="5"/>
      <c r="BY116" s="5"/>
      <c r="BZ116" s="5"/>
      <c r="CA116" s="5"/>
      <c r="CB116" s="5"/>
      <c r="CC116" s="5"/>
      <c r="CD116" s="5"/>
      <c r="CE116" s="5"/>
      <c r="CF116" s="5"/>
      <c r="CG116" s="5"/>
      <c r="CH116" s="5"/>
      <c r="CI116" s="5"/>
      <c r="CJ116" s="5"/>
      <c r="CK116" s="5"/>
      <c r="CL116" s="5"/>
      <c r="CM116" s="5"/>
      <c r="CN116" s="5"/>
      <c r="CO116" s="5"/>
      <c r="CP116" s="5"/>
      <c r="CQ116" s="5"/>
      <c r="CR116" s="5"/>
      <c r="CS116" s="5"/>
      <c r="CT116" s="5"/>
      <c r="CU116" s="5"/>
      <c r="CV116" s="5"/>
      <c r="CW116" s="5"/>
      <c r="CX116" s="5"/>
      <c r="CY116" s="5"/>
      <c r="CZ116" s="5"/>
      <c r="DA116" s="5"/>
      <c r="DB116" s="5"/>
      <c r="DC116" s="5"/>
      <c r="DD116" s="5"/>
      <c r="DE116" s="5"/>
      <c r="DF116" s="5"/>
      <c r="DG116" s="5"/>
      <c r="DH116" s="5"/>
      <c r="DI116" s="5"/>
      <c r="DJ116" s="5"/>
      <c r="DK116" s="5"/>
      <c r="DL116" s="5"/>
      <c r="DM116" s="5"/>
      <c r="DN116" s="5"/>
      <c r="DO116" s="5"/>
      <c r="DP116" s="5"/>
      <c r="DQ116" s="5"/>
      <c r="DR116" s="5"/>
      <c r="DS116" s="5"/>
      <c r="DT116" s="5"/>
      <c r="DU116" s="5"/>
      <c r="DV116" s="5"/>
      <c r="DW116" s="5"/>
      <c r="DX116" s="5"/>
      <c r="DY116" s="5"/>
      <c r="DZ116" s="5"/>
      <c r="EA116" s="5"/>
      <c r="EB116" s="5"/>
      <c r="EC116" s="5"/>
      <c r="ED116" s="5"/>
      <c r="EE116" s="5"/>
      <c r="EF116" s="5"/>
      <c r="EG116" s="5"/>
      <c r="EH116" s="5"/>
      <c r="EI116" s="5"/>
      <c r="EJ116" s="5"/>
      <c r="EK116" s="5"/>
      <c r="EL116" s="5"/>
      <c r="EM116" s="5"/>
      <c r="EN116" s="5"/>
      <c r="EO116" s="5"/>
      <c r="EP116" s="5"/>
      <c r="EQ116" s="5"/>
      <c r="ER116" s="5"/>
      <c r="ES116" s="5"/>
      <c r="ET116" s="5"/>
      <c r="EU116" s="5"/>
      <c r="EV116" s="5"/>
      <c r="EW116" s="5"/>
      <c r="EX116" s="5"/>
      <c r="EY116" s="5"/>
      <c r="EZ116" s="5"/>
      <c r="FA116" s="5"/>
      <c r="FB116" s="5"/>
      <c r="FC116" s="5"/>
      <c r="FD116" s="5"/>
      <c r="FE116" s="5"/>
      <c r="FF116" s="5"/>
      <c r="FG116" s="5"/>
      <c r="FH116" s="5"/>
      <c r="FI116" s="5"/>
      <c r="FJ116" s="5"/>
      <c r="FK116" s="5"/>
      <c r="FL116" s="5"/>
      <c r="FM116" s="5"/>
      <c r="FN116" s="5"/>
      <c r="FO116" s="5"/>
      <c r="FP116" s="5"/>
      <c r="FQ116" s="5"/>
      <c r="FR116" s="5"/>
      <c r="FS116" s="5"/>
      <c r="FT116" s="5"/>
      <c r="FU116" s="5"/>
      <c r="FV116" s="5"/>
      <c r="FW116" s="5"/>
      <c r="FX116" s="5"/>
      <c r="FY116" s="5"/>
      <c r="FZ116" s="5"/>
      <c r="GA116" s="5"/>
      <c r="GB116" s="5"/>
      <c r="GC116" s="5"/>
      <c r="GD116" s="5"/>
      <c r="GE116" s="5"/>
      <c r="GF116" s="5"/>
      <c r="GG116" s="5"/>
      <c r="GH116" s="5"/>
      <c r="GI116" s="5"/>
      <c r="GJ116" s="5"/>
      <c r="GK116" s="5"/>
      <c r="GL116" s="5"/>
      <c r="GM116" s="5"/>
      <c r="GN116" s="5"/>
      <c r="GO116" s="5"/>
      <c r="GP116" s="5"/>
      <c r="GQ116" s="5"/>
      <c r="GR116" s="5"/>
      <c r="GS116" s="5"/>
      <c r="GT116" s="5"/>
      <c r="GU116" s="5"/>
      <c r="GV116" s="5"/>
      <c r="GW116" s="5"/>
      <c r="GX116" s="5"/>
      <c r="GY116" s="5"/>
      <c r="GZ116" s="5"/>
      <c r="HA116" s="5"/>
      <c r="HB116" s="5"/>
      <c r="HC116" s="5"/>
      <c r="HD116" s="5"/>
      <c r="HE116" s="5"/>
      <c r="HF116" s="5"/>
      <c r="HG116" s="5"/>
      <c r="HH116" s="5"/>
      <c r="HI116" s="5"/>
      <c r="HJ116" s="5"/>
      <c r="HK116" s="5"/>
      <c r="HL116" s="5"/>
      <c r="HM116" s="5"/>
      <c r="HN116" s="5"/>
      <c r="HO116" s="5"/>
      <c r="HP116" s="5"/>
      <c r="HQ116" s="5"/>
      <c r="HR116" s="5"/>
      <c r="HS116" s="5"/>
      <c r="HT116" s="5"/>
      <c r="HU116" s="5"/>
      <c r="HV116" s="5"/>
      <c r="HW116" s="5"/>
      <c r="HX116" s="5"/>
      <c r="HY116" s="5"/>
      <c r="HZ116" s="5"/>
      <c r="IA116" s="5"/>
      <c r="IB116" s="5"/>
      <c r="IC116" s="5"/>
      <c r="ID116" s="5"/>
      <c r="IE116" s="5"/>
      <c r="IF116" s="5"/>
      <c r="IG116" s="5"/>
      <c r="IH116" s="5"/>
      <c r="II116" s="5"/>
      <c r="IJ116" s="5"/>
      <c r="IK116" s="5"/>
      <c r="IL116" s="5"/>
      <c r="IM116" s="5"/>
      <c r="IN116" s="5"/>
      <c r="IO116" s="5"/>
      <c r="IP116" s="5"/>
      <c r="IQ116" s="5"/>
      <c r="IR116" s="5"/>
      <c r="IS116" s="5"/>
      <c r="IT116" s="5"/>
      <c r="IU116" s="5"/>
      <c r="IV116" s="5"/>
      <c r="IW116" s="5"/>
      <c r="IX116" s="5"/>
      <c r="IY116" s="5"/>
      <c r="IZ116" s="5"/>
      <c r="JA116" s="5"/>
      <c r="JB116" s="5"/>
      <c r="JC116" s="5"/>
      <c r="JD116" s="5"/>
      <c r="JE116" s="5"/>
      <c r="JF116" s="5"/>
      <c r="JG116" s="5"/>
      <c r="JH116" s="5"/>
      <c r="JI116" s="5"/>
      <c r="JJ116" s="5"/>
      <c r="JK116" s="5"/>
      <c r="JL116" s="5"/>
      <c r="JM116" s="5"/>
      <c r="JN116" s="5"/>
      <c r="JO116" s="5"/>
      <c r="JP116" s="5"/>
      <c r="JQ116" s="5"/>
      <c r="JR116" s="5"/>
      <c r="JS116" s="5"/>
      <c r="JT116" s="5"/>
      <c r="JU116" s="5"/>
      <c r="JV116" s="5"/>
      <c r="JW116" s="5"/>
      <c r="JX116" s="5"/>
      <c r="JY116" s="5"/>
      <c r="JZ116" s="5"/>
      <c r="KA116" s="5"/>
      <c r="KB116" s="5"/>
      <c r="KC116" s="5"/>
      <c r="KD116" s="5"/>
      <c r="KE116" s="5"/>
      <c r="KF116" s="5"/>
      <c r="KG116" s="5"/>
      <c r="KH116" s="5"/>
      <c r="KI116" s="5"/>
      <c r="KJ116" s="5"/>
      <c r="KK116" s="5"/>
      <c r="KL116" s="5"/>
      <c r="KM116" s="5"/>
      <c r="KN116" s="5"/>
      <c r="KO116" s="5"/>
      <c r="KP116" s="5"/>
      <c r="KQ116" s="5"/>
      <c r="KR116" s="5"/>
      <c r="KS116" s="5"/>
      <c r="KT116" s="5"/>
      <c r="KU116" s="5"/>
      <c r="KV116" s="5"/>
      <c r="KW116" s="5"/>
      <c r="KX116" s="5"/>
      <c r="KY116" s="5"/>
      <c r="KZ116" s="5"/>
      <c r="LA116" s="5"/>
      <c r="LB116" s="5"/>
      <c r="LC116" s="5"/>
      <c r="LD116" s="5"/>
      <c r="LE116" s="5"/>
      <c r="LF116" s="5"/>
      <c r="LG116" s="5"/>
      <c r="LH116" s="5"/>
      <c r="LI116" s="5"/>
      <c r="LJ116" s="5"/>
      <c r="LK116" s="5"/>
      <c r="LL116" s="5"/>
      <c r="LM116" s="5"/>
      <c r="LN116" s="5"/>
      <c r="LO116" s="5"/>
      <c r="LP116" s="5"/>
      <c r="LQ116" s="5"/>
      <c r="LR116" s="5"/>
      <c r="LS116" s="5"/>
      <c r="LT116" s="5"/>
      <c r="LU116" s="5"/>
      <c r="LV116" s="5"/>
      <c r="LW116" s="5"/>
      <c r="LX116" s="5"/>
      <c r="LY116" s="5"/>
      <c r="LZ116" s="5"/>
      <c r="MA116" s="5"/>
      <c r="MB116" s="5"/>
      <c r="MC116" s="5"/>
      <c r="MD116" s="5"/>
      <c r="ME116" s="5"/>
      <c r="MF116" s="5"/>
      <c r="MG116" s="5"/>
      <c r="MH116" s="5"/>
      <c r="MI116" s="5"/>
      <c r="MJ116" s="5"/>
      <c r="MK116" s="5"/>
      <c r="ML116" s="5"/>
      <c r="MM116" s="5"/>
      <c r="MN116" s="5"/>
      <c r="MO116" s="5"/>
      <c r="MP116" s="5"/>
      <c r="MQ116" s="5"/>
      <c r="MR116" s="5"/>
      <c r="MS116" s="5"/>
      <c r="MT116" s="5"/>
      <c r="MU116" s="5"/>
      <c r="MV116" s="5"/>
      <c r="MW116" s="5"/>
      <c r="MX116" s="5"/>
      <c r="MY116" s="5"/>
      <c r="MZ116" s="5"/>
      <c r="NA116" s="5"/>
      <c r="NB116" s="5"/>
      <c r="NC116" s="5"/>
      <c r="ND116" s="5"/>
      <c r="NE116" s="5"/>
      <c r="NF116" s="5"/>
      <c r="NG116" s="5"/>
      <c r="NH116" s="5"/>
      <c r="NI116" s="5"/>
      <c r="NJ116" s="5"/>
      <c r="NK116" s="5"/>
      <c r="NL116" s="5"/>
      <c r="NM116" s="5"/>
      <c r="NN116" s="5"/>
      <c r="NO116" s="5"/>
      <c r="NP116" s="5"/>
      <c r="NQ116" s="5"/>
      <c r="NR116" s="5"/>
      <c r="NS116" s="5"/>
      <c r="NT116" s="5"/>
      <c r="NU116" s="5"/>
      <c r="NV116" s="5"/>
      <c r="NW116" s="5"/>
      <c r="NX116" s="5"/>
      <c r="NY116" s="5"/>
      <c r="NZ116" s="5"/>
      <c r="OA116" s="5"/>
      <c r="OB116" s="5"/>
      <c r="OC116" s="5"/>
      <c r="OD116" s="5"/>
      <c r="OE116" s="5"/>
      <c r="OF116" s="5"/>
      <c r="OG116" s="5"/>
      <c r="OH116" s="5"/>
      <c r="OI116" s="5"/>
      <c r="OJ116" s="5"/>
      <c r="OK116" s="5"/>
      <c r="OL116" s="5"/>
      <c r="OM116" s="5"/>
      <c r="ON116" s="5"/>
      <c r="OO116" s="5"/>
      <c r="OP116" s="5"/>
      <c r="OQ116" s="5"/>
      <c r="OR116" s="5"/>
      <c r="OS116" s="5"/>
      <c r="OT116" s="5"/>
      <c r="OU116" s="5"/>
      <c r="OV116" s="5"/>
      <c r="OW116" s="5"/>
      <c r="OX116" s="5"/>
      <c r="OY116" s="5"/>
      <c r="OZ116" s="5"/>
      <c r="PA116" s="5"/>
      <c r="PB116" s="5"/>
      <c r="PC116" s="5"/>
      <c r="PD116" s="5"/>
      <c r="PE116" s="5"/>
      <c r="PF116" s="5"/>
      <c r="PG116" s="5"/>
      <c r="PH116" s="5"/>
      <c r="PI116" s="5"/>
      <c r="PJ116" s="5"/>
      <c r="PK116" s="5"/>
      <c r="PL116" s="5"/>
      <c r="PM116" s="5"/>
      <c r="PN116" s="5"/>
      <c r="PO116" s="5"/>
      <c r="PP116" s="5"/>
      <c r="PQ116" s="5"/>
      <c r="PR116" s="5"/>
      <c r="PS116" s="5"/>
      <c r="PT116" s="5"/>
      <c r="PU116" s="5"/>
      <c r="PV116" s="5"/>
      <c r="PW116" s="5"/>
      <c r="PX116" s="5"/>
      <c r="PY116" s="5"/>
      <c r="PZ116" s="5"/>
      <c r="QA116" s="5"/>
      <c r="QB116" s="5"/>
      <c r="QC116" s="5"/>
      <c r="QD116" s="5"/>
      <c r="QE116" s="5"/>
      <c r="QF116" s="5"/>
      <c r="QG116" s="5"/>
      <c r="QH116" s="5"/>
      <c r="QI116" s="5"/>
      <c r="QJ116" s="5"/>
      <c r="QK116" s="5"/>
      <c r="QL116" s="5"/>
      <c r="QM116" s="5"/>
      <c r="QN116" s="5"/>
      <c r="QO116" s="5"/>
      <c r="QP116" s="5"/>
      <c r="QQ116" s="5"/>
      <c r="QR116" s="5"/>
      <c r="QS116" s="5"/>
      <c r="QT116" s="5"/>
      <c r="QU116" s="5"/>
      <c r="QV116" s="5"/>
      <c r="QW116" s="5"/>
      <c r="QX116" s="5"/>
      <c r="QY116" s="5"/>
      <c r="QZ116" s="5"/>
      <c r="RA116" s="5"/>
      <c r="RB116" s="5"/>
      <c r="RC116" s="5"/>
      <c r="RD116" s="5"/>
      <c r="RE116" s="5"/>
      <c r="RF116" s="5"/>
      <c r="RG116" s="5"/>
      <c r="RH116" s="5"/>
      <c r="RI116" s="5"/>
      <c r="RJ116" s="5"/>
      <c r="RK116" s="5"/>
      <c r="RL116" s="5"/>
      <c r="RM116" s="5"/>
      <c r="RN116" s="5"/>
      <c r="RO116" s="5"/>
      <c r="RP116" s="5"/>
      <c r="RQ116" s="5"/>
      <c r="RR116" s="5"/>
      <c r="RS116" s="5"/>
      <c r="RT116" s="5"/>
      <c r="RU116" s="5"/>
      <c r="RV116" s="5"/>
      <c r="RW116" s="5"/>
      <c r="RX116" s="5"/>
      <c r="RY116" s="5"/>
      <c r="RZ116" s="5"/>
      <c r="SA116" s="5"/>
      <c r="SB116" s="5"/>
      <c r="SC116" s="5"/>
      <c r="SD116" s="5"/>
      <c r="SE116" s="5"/>
      <c r="SF116" s="5"/>
      <c r="SG116" s="5"/>
      <c r="SH116" s="5"/>
      <c r="SI116" s="5"/>
      <c r="SJ116" s="5"/>
      <c r="SK116" s="5"/>
      <c r="SL116" s="5"/>
      <c r="SM116" s="5"/>
      <c r="SN116" s="5"/>
      <c r="SO116" s="5"/>
      <c r="SP116" s="5"/>
      <c r="SQ116" s="5"/>
      <c r="SR116" s="5"/>
      <c r="SS116" s="5"/>
      <c r="ST116" s="5"/>
      <c r="SU116" s="5"/>
      <c r="SV116" s="5"/>
      <c r="SW116" s="5"/>
      <c r="SX116" s="5"/>
      <c r="SY116" s="5"/>
      <c r="SZ116" s="5"/>
      <c r="TA116" s="5"/>
      <c r="TB116" s="5"/>
      <c r="TC116" s="5"/>
      <c r="TD116" s="5"/>
      <c r="TE116" s="5"/>
      <c r="TF116" s="5"/>
      <c r="TG116" s="5"/>
      <c r="TH116" s="5"/>
      <c r="TI116" s="5"/>
      <c r="TJ116" s="5"/>
      <c r="TK116" s="5"/>
      <c r="TL116" s="5"/>
      <c r="TM116" s="5"/>
      <c r="TN116" s="5"/>
      <c r="TO116" s="5"/>
      <c r="TP116" s="5"/>
      <c r="TQ116" s="5"/>
      <c r="TR116" s="5"/>
      <c r="TS116" s="5"/>
      <c r="TT116" s="5"/>
      <c r="TU116" s="5"/>
      <c r="TV116" s="5"/>
      <c r="TW116" s="5"/>
      <c r="TX116" s="5"/>
      <c r="TY116" s="5"/>
      <c r="TZ116" s="5"/>
      <c r="UA116" s="5"/>
      <c r="UB116" s="5"/>
      <c r="UC116" s="5"/>
      <c r="UD116" s="5"/>
      <c r="UE116" s="5"/>
      <c r="UF116" s="5"/>
      <c r="UG116" s="5"/>
      <c r="UH116" s="5"/>
      <c r="UI116" s="5"/>
      <c r="UJ116" s="5"/>
      <c r="UK116" s="5"/>
      <c r="UL116" s="5"/>
      <c r="UM116" s="5"/>
      <c r="UN116" s="5"/>
      <c r="UO116" s="5"/>
      <c r="UP116" s="5"/>
      <c r="UQ116" s="5"/>
      <c r="UR116" s="5"/>
      <c r="US116" s="5"/>
      <c r="UT116" s="5"/>
      <c r="UU116" s="5"/>
      <c r="UV116" s="5"/>
      <c r="UW116" s="5"/>
      <c r="UX116" s="5"/>
      <c r="UY116" s="5"/>
      <c r="UZ116" s="5"/>
      <c r="VA116" s="5"/>
      <c r="VB116" s="5"/>
      <c r="VC116" s="5"/>
      <c r="VD116" s="5"/>
      <c r="VE116" s="5"/>
      <c r="VF116" s="5"/>
      <c r="VG116" s="5"/>
      <c r="VH116" s="5"/>
      <c r="VI116" s="5"/>
      <c r="VJ116" s="5"/>
      <c r="VK116" s="5"/>
      <c r="VL116" s="5"/>
      <c r="VM116" s="5"/>
      <c r="VN116" s="5"/>
      <c r="VO116" s="5"/>
      <c r="VP116" s="5"/>
      <c r="VQ116" s="5"/>
      <c r="VR116" s="5"/>
      <c r="VS116" s="5"/>
      <c r="VT116" s="5"/>
      <c r="VU116" s="5"/>
      <c r="VV116" s="5"/>
      <c r="VW116" s="5"/>
      <c r="VX116" s="5"/>
      <c r="VY116" s="5"/>
      <c r="VZ116" s="5"/>
      <c r="WA116" s="5"/>
      <c r="WB116" s="5"/>
      <c r="WC116" s="5"/>
      <c r="WD116" s="5"/>
      <c r="WE116" s="5"/>
      <c r="WF116" s="5"/>
      <c r="WG116" s="5"/>
      <c r="WH116" s="5"/>
      <c r="WI116" s="5"/>
      <c r="WJ116" s="5"/>
      <c r="WK116" s="5"/>
      <c r="WL116" s="5"/>
      <c r="WM116" s="5"/>
      <c r="WN116" s="5"/>
      <c r="WO116" s="5"/>
      <c r="WP116" s="5"/>
      <c r="WQ116" s="5"/>
      <c r="WR116" s="5"/>
      <c r="WS116" s="5"/>
      <c r="WT116" s="5"/>
      <c r="WU116" s="5"/>
      <c r="WV116" s="5"/>
      <c r="WW116" s="5"/>
      <c r="WX116" s="5"/>
      <c r="WY116" s="5"/>
      <c r="WZ116" s="5"/>
      <c r="XA116" s="5"/>
      <c r="XB116" s="5"/>
      <c r="XC116" s="5"/>
      <c r="XD116" s="5"/>
      <c r="XE116" s="5"/>
      <c r="XF116" s="5"/>
      <c r="XG116" s="5"/>
      <c r="XH116" s="5"/>
      <c r="XI116" s="5"/>
      <c r="XJ116" s="5"/>
      <c r="XK116" s="5"/>
      <c r="XL116" s="5"/>
      <c r="XM116" s="5"/>
      <c r="XN116" s="5"/>
      <c r="XO116" s="5"/>
      <c r="XP116" s="5"/>
      <c r="XQ116" s="5"/>
      <c r="XR116" s="5"/>
      <c r="XS116" s="5"/>
      <c r="XT116" s="5"/>
      <c r="XU116" s="5"/>
      <c r="XV116" s="5"/>
      <c r="XW116" s="5"/>
      <c r="XX116" s="5"/>
      <c r="XY116" s="5"/>
      <c r="XZ116" s="5"/>
      <c r="YA116" s="5"/>
      <c r="YB116" s="5"/>
      <c r="YC116" s="5"/>
      <c r="YD116" s="5"/>
      <c r="YE116" s="5"/>
      <c r="YF116" s="5"/>
      <c r="YG116" s="5"/>
      <c r="YH116" s="5"/>
      <c r="YI116" s="5"/>
      <c r="YJ116" s="5"/>
      <c r="YK116" s="5"/>
      <c r="YL116" s="5"/>
      <c r="YM116" s="5"/>
      <c r="YN116" s="5"/>
      <c r="YO116" s="5"/>
      <c r="YP116" s="5"/>
      <c r="YQ116" s="5"/>
      <c r="YR116" s="5"/>
      <c r="YS116" s="5"/>
      <c r="YT116" s="5"/>
      <c r="YU116" s="5"/>
      <c r="YV116" s="5"/>
      <c r="YW116" s="5"/>
      <c r="YX116" s="5"/>
      <c r="YY116" s="5"/>
      <c r="YZ116" s="5"/>
    </row>
    <row r="117" spans="1:676">
      <c r="A117" s="7">
        <v>107</v>
      </c>
      <c r="B117" s="7" t="s">
        <v>289</v>
      </c>
      <c r="C117" s="10" t="s">
        <v>290</v>
      </c>
      <c r="D117" s="7" t="s">
        <v>60</v>
      </c>
      <c r="E117" s="7"/>
      <c r="F117" s="7"/>
      <c r="G117" s="7"/>
      <c r="H117" s="7"/>
      <c r="I117" s="11">
        <v>0</v>
      </c>
      <c r="J117" s="11">
        <v>0</v>
      </c>
      <c r="K117" s="11">
        <v>0</v>
      </c>
      <c r="L117" s="11">
        <v>0</v>
      </c>
      <c r="M117" s="11">
        <v>0</v>
      </c>
      <c r="N117" s="11">
        <v>0</v>
      </c>
      <c r="O117" s="11">
        <v>0</v>
      </c>
      <c r="P117" s="11">
        <v>0</v>
      </c>
      <c r="Q117" s="11">
        <v>0</v>
      </c>
      <c r="R117" s="11">
        <v>0</v>
      </c>
      <c r="S117" s="11">
        <v>0</v>
      </c>
      <c r="T117" s="11">
        <v>0</v>
      </c>
      <c r="U117" s="11">
        <v>0</v>
      </c>
      <c r="V117" s="11">
        <v>0</v>
      </c>
      <c r="W117" s="13">
        <v>0</v>
      </c>
      <c r="X117" s="13">
        <v>0</v>
      </c>
      <c r="Y117" s="13" t="str">
        <f>MIN(W117,S117)</f>
        <v>0</v>
      </c>
      <c r="Z117" s="13" t="str">
        <f>MIN(X117,(S117-Y117))</f>
        <v>0</v>
      </c>
      <c r="AA117" s="13" t="str">
        <f>S117-SUM(Y117,Z117)</f>
        <v>0</v>
      </c>
      <c r="AB117" s="15"/>
      <c r="AC117" s="15"/>
      <c r="AD117" s="1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T117" s="5"/>
      <c r="BU117" s="5"/>
      <c r="BV117" s="5"/>
      <c r="BW117" s="5"/>
      <c r="BX117" s="5"/>
      <c r="BY117" s="5"/>
      <c r="BZ117" s="5"/>
      <c r="CA117" s="5"/>
      <c r="CB117" s="5"/>
      <c r="CC117" s="5"/>
      <c r="CD117" s="5"/>
      <c r="CE117" s="5"/>
      <c r="CF117" s="5"/>
      <c r="CG117" s="5"/>
      <c r="CH117" s="5"/>
      <c r="CI117" s="5"/>
      <c r="CJ117" s="5"/>
      <c r="CK117" s="5"/>
      <c r="CL117" s="5"/>
      <c r="CM117" s="5"/>
      <c r="CN117" s="5"/>
      <c r="CO117" s="5"/>
      <c r="CP117" s="5"/>
      <c r="CQ117" s="5"/>
      <c r="CR117" s="5"/>
      <c r="CS117" s="5"/>
      <c r="CT117" s="5"/>
      <c r="CU117" s="5"/>
      <c r="CV117" s="5"/>
      <c r="CW117" s="5"/>
      <c r="CX117" s="5"/>
      <c r="CY117" s="5"/>
      <c r="CZ117" s="5"/>
      <c r="DA117" s="5"/>
      <c r="DB117" s="5"/>
      <c r="DC117" s="5"/>
      <c r="DD117" s="5"/>
      <c r="DE117" s="5"/>
      <c r="DF117" s="5"/>
      <c r="DG117" s="5"/>
      <c r="DH117" s="5"/>
      <c r="DI117" s="5"/>
      <c r="DJ117" s="5"/>
      <c r="DK117" s="5"/>
      <c r="DL117" s="5"/>
      <c r="DM117" s="5"/>
      <c r="DN117" s="5"/>
      <c r="DO117" s="5"/>
      <c r="DP117" s="5"/>
      <c r="DQ117" s="5"/>
      <c r="DR117" s="5"/>
      <c r="DS117" s="5"/>
      <c r="DT117" s="5"/>
      <c r="DU117" s="5"/>
      <c r="DV117" s="5"/>
      <c r="DW117" s="5"/>
      <c r="DX117" s="5"/>
      <c r="DY117" s="5"/>
      <c r="DZ117" s="5"/>
      <c r="EA117" s="5"/>
      <c r="EB117" s="5"/>
      <c r="EC117" s="5"/>
      <c r="ED117" s="5"/>
      <c r="EE117" s="5"/>
      <c r="EF117" s="5"/>
      <c r="EG117" s="5"/>
      <c r="EH117" s="5"/>
      <c r="EI117" s="5"/>
      <c r="EJ117" s="5"/>
      <c r="EK117" s="5"/>
      <c r="EL117" s="5"/>
      <c r="EM117" s="5"/>
      <c r="EN117" s="5"/>
      <c r="EO117" s="5"/>
      <c r="EP117" s="5"/>
      <c r="EQ117" s="5"/>
      <c r="ER117" s="5"/>
      <c r="ES117" s="5"/>
      <c r="ET117" s="5"/>
      <c r="EU117" s="5"/>
      <c r="EV117" s="5"/>
      <c r="EW117" s="5"/>
      <c r="EX117" s="5"/>
      <c r="EY117" s="5"/>
      <c r="EZ117" s="5"/>
      <c r="FA117" s="5"/>
      <c r="FB117" s="5"/>
      <c r="FC117" s="5"/>
      <c r="FD117" s="5"/>
      <c r="FE117" s="5"/>
      <c r="FF117" s="5"/>
      <c r="FG117" s="5"/>
      <c r="FH117" s="5"/>
      <c r="FI117" s="5"/>
      <c r="FJ117" s="5"/>
      <c r="FK117" s="5"/>
      <c r="FL117" s="5"/>
      <c r="FM117" s="5"/>
      <c r="FN117" s="5"/>
      <c r="FO117" s="5"/>
      <c r="FP117" s="5"/>
      <c r="FQ117" s="5"/>
      <c r="FR117" s="5"/>
      <c r="FS117" s="5"/>
      <c r="FT117" s="5"/>
      <c r="FU117" s="5"/>
      <c r="FV117" s="5"/>
      <c r="FW117" s="5"/>
      <c r="FX117" s="5"/>
      <c r="FY117" s="5"/>
      <c r="FZ117" s="5"/>
      <c r="GA117" s="5"/>
      <c r="GB117" s="5"/>
      <c r="GC117" s="5"/>
      <c r="GD117" s="5"/>
      <c r="GE117" s="5"/>
      <c r="GF117" s="5"/>
      <c r="GG117" s="5"/>
      <c r="GH117" s="5"/>
      <c r="GI117" s="5"/>
      <c r="GJ117" s="5"/>
      <c r="GK117" s="5"/>
      <c r="GL117" s="5"/>
      <c r="GM117" s="5"/>
      <c r="GN117" s="5"/>
      <c r="GO117" s="5"/>
      <c r="GP117" s="5"/>
      <c r="GQ117" s="5"/>
      <c r="GR117" s="5"/>
      <c r="GS117" s="5"/>
      <c r="GT117" s="5"/>
      <c r="GU117" s="5"/>
      <c r="GV117" s="5"/>
      <c r="GW117" s="5"/>
      <c r="GX117" s="5"/>
      <c r="GY117" s="5"/>
      <c r="GZ117" s="5"/>
      <c r="HA117" s="5"/>
      <c r="HB117" s="5"/>
      <c r="HC117" s="5"/>
      <c r="HD117" s="5"/>
      <c r="HE117" s="5"/>
      <c r="HF117" s="5"/>
      <c r="HG117" s="5"/>
      <c r="HH117" s="5"/>
      <c r="HI117" s="5"/>
      <c r="HJ117" s="5"/>
      <c r="HK117" s="5"/>
      <c r="HL117" s="5"/>
      <c r="HM117" s="5"/>
      <c r="HN117" s="5"/>
      <c r="HO117" s="5"/>
      <c r="HP117" s="5"/>
      <c r="HQ117" s="5"/>
      <c r="HR117" s="5"/>
      <c r="HS117" s="5"/>
      <c r="HT117" s="5"/>
      <c r="HU117" s="5"/>
      <c r="HV117" s="5"/>
      <c r="HW117" s="5"/>
      <c r="HX117" s="5"/>
      <c r="HY117" s="5"/>
      <c r="HZ117" s="5"/>
      <c r="IA117" s="5"/>
      <c r="IB117" s="5"/>
      <c r="IC117" s="5"/>
      <c r="ID117" s="5"/>
      <c r="IE117" s="5"/>
      <c r="IF117" s="5"/>
      <c r="IG117" s="5"/>
      <c r="IH117" s="5"/>
      <c r="II117" s="5"/>
      <c r="IJ117" s="5"/>
      <c r="IK117" s="5"/>
      <c r="IL117" s="5"/>
      <c r="IM117" s="5"/>
      <c r="IN117" s="5"/>
      <c r="IO117" s="5"/>
      <c r="IP117" s="5"/>
      <c r="IQ117" s="5"/>
      <c r="IR117" s="5"/>
      <c r="IS117" s="5"/>
      <c r="IT117" s="5"/>
      <c r="IU117" s="5"/>
      <c r="IV117" s="5"/>
      <c r="IW117" s="5"/>
      <c r="IX117" s="5"/>
      <c r="IY117" s="5"/>
      <c r="IZ117" s="5"/>
      <c r="JA117" s="5"/>
      <c r="JB117" s="5"/>
      <c r="JC117" s="5"/>
      <c r="JD117" s="5"/>
      <c r="JE117" s="5"/>
      <c r="JF117" s="5"/>
      <c r="JG117" s="5"/>
      <c r="JH117" s="5"/>
      <c r="JI117" s="5"/>
      <c r="JJ117" s="5"/>
      <c r="JK117" s="5"/>
      <c r="JL117" s="5"/>
      <c r="JM117" s="5"/>
      <c r="JN117" s="5"/>
      <c r="JO117" s="5"/>
      <c r="JP117" s="5"/>
      <c r="JQ117" s="5"/>
      <c r="JR117" s="5"/>
      <c r="JS117" s="5"/>
      <c r="JT117" s="5"/>
      <c r="JU117" s="5"/>
      <c r="JV117" s="5"/>
      <c r="JW117" s="5"/>
      <c r="JX117" s="5"/>
      <c r="JY117" s="5"/>
      <c r="JZ117" s="5"/>
      <c r="KA117" s="5"/>
      <c r="KB117" s="5"/>
      <c r="KC117" s="5"/>
      <c r="KD117" s="5"/>
      <c r="KE117" s="5"/>
      <c r="KF117" s="5"/>
      <c r="KG117" s="5"/>
      <c r="KH117" s="5"/>
      <c r="KI117" s="5"/>
      <c r="KJ117" s="5"/>
      <c r="KK117" s="5"/>
      <c r="KL117" s="5"/>
      <c r="KM117" s="5"/>
      <c r="KN117" s="5"/>
      <c r="KO117" s="5"/>
      <c r="KP117" s="5"/>
      <c r="KQ117" s="5"/>
      <c r="KR117" s="5"/>
      <c r="KS117" s="5"/>
      <c r="KT117" s="5"/>
      <c r="KU117" s="5"/>
      <c r="KV117" s="5"/>
      <c r="KW117" s="5"/>
      <c r="KX117" s="5"/>
      <c r="KY117" s="5"/>
      <c r="KZ117" s="5"/>
      <c r="LA117" s="5"/>
      <c r="LB117" s="5"/>
      <c r="LC117" s="5"/>
      <c r="LD117" s="5"/>
      <c r="LE117" s="5"/>
      <c r="LF117" s="5"/>
      <c r="LG117" s="5"/>
      <c r="LH117" s="5"/>
      <c r="LI117" s="5"/>
      <c r="LJ117" s="5"/>
      <c r="LK117" s="5"/>
      <c r="LL117" s="5"/>
      <c r="LM117" s="5"/>
      <c r="LN117" s="5"/>
      <c r="LO117" s="5"/>
      <c r="LP117" s="5"/>
      <c r="LQ117" s="5"/>
      <c r="LR117" s="5"/>
      <c r="LS117" s="5"/>
      <c r="LT117" s="5"/>
      <c r="LU117" s="5"/>
      <c r="LV117" s="5"/>
      <c r="LW117" s="5"/>
      <c r="LX117" s="5"/>
      <c r="LY117" s="5"/>
      <c r="LZ117" s="5"/>
      <c r="MA117" s="5"/>
      <c r="MB117" s="5"/>
      <c r="MC117" s="5"/>
      <c r="MD117" s="5"/>
      <c r="ME117" s="5"/>
      <c r="MF117" s="5"/>
      <c r="MG117" s="5"/>
      <c r="MH117" s="5"/>
      <c r="MI117" s="5"/>
      <c r="MJ117" s="5"/>
      <c r="MK117" s="5"/>
      <c r="ML117" s="5"/>
      <c r="MM117" s="5"/>
      <c r="MN117" s="5"/>
      <c r="MO117" s="5"/>
      <c r="MP117" s="5"/>
      <c r="MQ117" s="5"/>
      <c r="MR117" s="5"/>
      <c r="MS117" s="5"/>
      <c r="MT117" s="5"/>
      <c r="MU117" s="5"/>
      <c r="MV117" s="5"/>
      <c r="MW117" s="5"/>
      <c r="MX117" s="5"/>
      <c r="MY117" s="5"/>
      <c r="MZ117" s="5"/>
      <c r="NA117" s="5"/>
      <c r="NB117" s="5"/>
      <c r="NC117" s="5"/>
      <c r="ND117" s="5"/>
      <c r="NE117" s="5"/>
      <c r="NF117" s="5"/>
      <c r="NG117" s="5"/>
      <c r="NH117" s="5"/>
      <c r="NI117" s="5"/>
      <c r="NJ117" s="5"/>
      <c r="NK117" s="5"/>
      <c r="NL117" s="5"/>
      <c r="NM117" s="5"/>
      <c r="NN117" s="5"/>
      <c r="NO117" s="5"/>
      <c r="NP117" s="5"/>
      <c r="NQ117" s="5"/>
      <c r="NR117" s="5"/>
      <c r="NS117" s="5"/>
      <c r="NT117" s="5"/>
      <c r="NU117" s="5"/>
      <c r="NV117" s="5"/>
      <c r="NW117" s="5"/>
      <c r="NX117" s="5"/>
      <c r="NY117" s="5"/>
      <c r="NZ117" s="5"/>
      <c r="OA117" s="5"/>
      <c r="OB117" s="5"/>
      <c r="OC117" s="5"/>
      <c r="OD117" s="5"/>
      <c r="OE117" s="5"/>
      <c r="OF117" s="5"/>
      <c r="OG117" s="5"/>
      <c r="OH117" s="5"/>
      <c r="OI117" s="5"/>
      <c r="OJ117" s="5"/>
      <c r="OK117" s="5"/>
      <c r="OL117" s="5"/>
      <c r="OM117" s="5"/>
      <c r="ON117" s="5"/>
      <c r="OO117" s="5"/>
      <c r="OP117" s="5"/>
      <c r="OQ117" s="5"/>
      <c r="OR117" s="5"/>
      <c r="OS117" s="5"/>
      <c r="OT117" s="5"/>
      <c r="OU117" s="5"/>
      <c r="OV117" s="5"/>
      <c r="OW117" s="5"/>
      <c r="OX117" s="5"/>
      <c r="OY117" s="5"/>
      <c r="OZ117" s="5"/>
      <c r="PA117" s="5"/>
      <c r="PB117" s="5"/>
      <c r="PC117" s="5"/>
      <c r="PD117" s="5"/>
      <c r="PE117" s="5"/>
      <c r="PF117" s="5"/>
      <c r="PG117" s="5"/>
      <c r="PH117" s="5"/>
      <c r="PI117" s="5"/>
      <c r="PJ117" s="5"/>
      <c r="PK117" s="5"/>
      <c r="PL117" s="5"/>
      <c r="PM117" s="5"/>
      <c r="PN117" s="5"/>
      <c r="PO117" s="5"/>
      <c r="PP117" s="5"/>
      <c r="PQ117" s="5"/>
      <c r="PR117" s="5"/>
      <c r="PS117" s="5"/>
      <c r="PT117" s="5"/>
      <c r="PU117" s="5"/>
      <c r="PV117" s="5"/>
      <c r="PW117" s="5"/>
      <c r="PX117" s="5"/>
      <c r="PY117" s="5"/>
      <c r="PZ117" s="5"/>
      <c r="QA117" s="5"/>
      <c r="QB117" s="5"/>
      <c r="QC117" s="5"/>
      <c r="QD117" s="5"/>
      <c r="QE117" s="5"/>
      <c r="QF117" s="5"/>
      <c r="QG117" s="5"/>
      <c r="QH117" s="5"/>
      <c r="QI117" s="5"/>
      <c r="QJ117" s="5"/>
      <c r="QK117" s="5"/>
      <c r="QL117" s="5"/>
      <c r="QM117" s="5"/>
      <c r="QN117" s="5"/>
      <c r="QO117" s="5"/>
      <c r="QP117" s="5"/>
      <c r="QQ117" s="5"/>
      <c r="QR117" s="5"/>
      <c r="QS117" s="5"/>
      <c r="QT117" s="5"/>
      <c r="QU117" s="5"/>
      <c r="QV117" s="5"/>
      <c r="QW117" s="5"/>
      <c r="QX117" s="5"/>
      <c r="QY117" s="5"/>
      <c r="QZ117" s="5"/>
      <c r="RA117" s="5"/>
      <c r="RB117" s="5"/>
      <c r="RC117" s="5"/>
      <c r="RD117" s="5"/>
      <c r="RE117" s="5"/>
      <c r="RF117" s="5"/>
      <c r="RG117" s="5"/>
      <c r="RH117" s="5"/>
      <c r="RI117" s="5"/>
      <c r="RJ117" s="5"/>
      <c r="RK117" s="5"/>
      <c r="RL117" s="5"/>
      <c r="RM117" s="5"/>
      <c r="RN117" s="5"/>
      <c r="RO117" s="5"/>
      <c r="RP117" s="5"/>
      <c r="RQ117" s="5"/>
      <c r="RR117" s="5"/>
      <c r="RS117" s="5"/>
      <c r="RT117" s="5"/>
      <c r="RU117" s="5"/>
      <c r="RV117" s="5"/>
      <c r="RW117" s="5"/>
      <c r="RX117" s="5"/>
      <c r="RY117" s="5"/>
      <c r="RZ117" s="5"/>
      <c r="SA117" s="5"/>
      <c r="SB117" s="5"/>
      <c r="SC117" s="5"/>
      <c r="SD117" s="5"/>
      <c r="SE117" s="5"/>
      <c r="SF117" s="5"/>
      <c r="SG117" s="5"/>
      <c r="SH117" s="5"/>
      <c r="SI117" s="5"/>
      <c r="SJ117" s="5"/>
      <c r="SK117" s="5"/>
      <c r="SL117" s="5"/>
      <c r="SM117" s="5"/>
      <c r="SN117" s="5"/>
      <c r="SO117" s="5"/>
      <c r="SP117" s="5"/>
      <c r="SQ117" s="5"/>
      <c r="SR117" s="5"/>
      <c r="SS117" s="5"/>
      <c r="ST117" s="5"/>
      <c r="SU117" s="5"/>
      <c r="SV117" s="5"/>
      <c r="SW117" s="5"/>
      <c r="SX117" s="5"/>
      <c r="SY117" s="5"/>
      <c r="SZ117" s="5"/>
      <c r="TA117" s="5"/>
      <c r="TB117" s="5"/>
      <c r="TC117" s="5"/>
      <c r="TD117" s="5"/>
      <c r="TE117" s="5"/>
      <c r="TF117" s="5"/>
      <c r="TG117" s="5"/>
      <c r="TH117" s="5"/>
      <c r="TI117" s="5"/>
      <c r="TJ117" s="5"/>
      <c r="TK117" s="5"/>
      <c r="TL117" s="5"/>
      <c r="TM117" s="5"/>
      <c r="TN117" s="5"/>
      <c r="TO117" s="5"/>
      <c r="TP117" s="5"/>
      <c r="TQ117" s="5"/>
      <c r="TR117" s="5"/>
      <c r="TS117" s="5"/>
      <c r="TT117" s="5"/>
      <c r="TU117" s="5"/>
      <c r="TV117" s="5"/>
      <c r="TW117" s="5"/>
      <c r="TX117" s="5"/>
      <c r="TY117" s="5"/>
      <c r="TZ117" s="5"/>
      <c r="UA117" s="5"/>
      <c r="UB117" s="5"/>
      <c r="UC117" s="5"/>
      <c r="UD117" s="5"/>
      <c r="UE117" s="5"/>
      <c r="UF117" s="5"/>
      <c r="UG117" s="5"/>
      <c r="UH117" s="5"/>
      <c r="UI117" s="5"/>
      <c r="UJ117" s="5"/>
      <c r="UK117" s="5"/>
      <c r="UL117" s="5"/>
      <c r="UM117" s="5"/>
      <c r="UN117" s="5"/>
      <c r="UO117" s="5"/>
      <c r="UP117" s="5"/>
      <c r="UQ117" s="5"/>
      <c r="UR117" s="5"/>
      <c r="US117" s="5"/>
      <c r="UT117" s="5"/>
      <c r="UU117" s="5"/>
      <c r="UV117" s="5"/>
      <c r="UW117" s="5"/>
      <c r="UX117" s="5"/>
      <c r="UY117" s="5"/>
      <c r="UZ117" s="5"/>
      <c r="VA117" s="5"/>
      <c r="VB117" s="5"/>
      <c r="VC117" s="5"/>
      <c r="VD117" s="5"/>
      <c r="VE117" s="5"/>
      <c r="VF117" s="5"/>
      <c r="VG117" s="5"/>
      <c r="VH117" s="5"/>
      <c r="VI117" s="5"/>
      <c r="VJ117" s="5"/>
      <c r="VK117" s="5"/>
      <c r="VL117" s="5"/>
      <c r="VM117" s="5"/>
      <c r="VN117" s="5"/>
      <c r="VO117" s="5"/>
      <c r="VP117" s="5"/>
      <c r="VQ117" s="5"/>
      <c r="VR117" s="5"/>
      <c r="VS117" s="5"/>
      <c r="VT117" s="5"/>
      <c r="VU117" s="5"/>
      <c r="VV117" s="5"/>
      <c r="VW117" s="5"/>
      <c r="VX117" s="5"/>
      <c r="VY117" s="5"/>
      <c r="VZ117" s="5"/>
      <c r="WA117" s="5"/>
      <c r="WB117" s="5"/>
      <c r="WC117" s="5"/>
      <c r="WD117" s="5"/>
      <c r="WE117" s="5"/>
      <c r="WF117" s="5"/>
      <c r="WG117" s="5"/>
      <c r="WH117" s="5"/>
      <c r="WI117" s="5"/>
      <c r="WJ117" s="5"/>
      <c r="WK117" s="5"/>
      <c r="WL117" s="5"/>
      <c r="WM117" s="5"/>
      <c r="WN117" s="5"/>
      <c r="WO117" s="5"/>
      <c r="WP117" s="5"/>
      <c r="WQ117" s="5"/>
      <c r="WR117" s="5"/>
      <c r="WS117" s="5"/>
      <c r="WT117" s="5"/>
      <c r="WU117" s="5"/>
      <c r="WV117" s="5"/>
      <c r="WW117" s="5"/>
      <c r="WX117" s="5"/>
      <c r="WY117" s="5"/>
      <c r="WZ117" s="5"/>
      <c r="XA117" s="5"/>
      <c r="XB117" s="5"/>
      <c r="XC117" s="5"/>
      <c r="XD117" s="5"/>
      <c r="XE117" s="5"/>
      <c r="XF117" s="5"/>
      <c r="XG117" s="5"/>
      <c r="XH117" s="5"/>
      <c r="XI117" s="5"/>
      <c r="XJ117" s="5"/>
      <c r="XK117" s="5"/>
      <c r="XL117" s="5"/>
      <c r="XM117" s="5"/>
      <c r="XN117" s="5"/>
      <c r="XO117" s="5"/>
      <c r="XP117" s="5"/>
      <c r="XQ117" s="5"/>
      <c r="XR117" s="5"/>
      <c r="XS117" s="5"/>
      <c r="XT117" s="5"/>
      <c r="XU117" s="5"/>
      <c r="XV117" s="5"/>
      <c r="XW117" s="5"/>
      <c r="XX117" s="5"/>
      <c r="XY117" s="5"/>
      <c r="XZ117" s="5"/>
      <c r="YA117" s="5"/>
      <c r="YB117" s="5"/>
      <c r="YC117" s="5"/>
      <c r="YD117" s="5"/>
      <c r="YE117" s="5"/>
      <c r="YF117" s="5"/>
      <c r="YG117" s="5"/>
      <c r="YH117" s="5"/>
      <c r="YI117" s="5"/>
      <c r="YJ117" s="5"/>
      <c r="YK117" s="5"/>
      <c r="YL117" s="5"/>
      <c r="YM117" s="5"/>
      <c r="YN117" s="5"/>
      <c r="YO117" s="5"/>
      <c r="YP117" s="5"/>
      <c r="YQ117" s="5"/>
      <c r="YR117" s="5"/>
      <c r="YS117" s="5"/>
      <c r="YT117" s="5"/>
      <c r="YU117" s="5"/>
      <c r="YV117" s="5"/>
      <c r="YW117" s="5"/>
      <c r="YX117" s="5"/>
      <c r="YY117" s="5"/>
      <c r="YZ117" s="5"/>
    </row>
    <row r="118" spans="1:676">
      <c r="A118" s="7">
        <v>108</v>
      </c>
      <c r="B118" s="7" t="s">
        <v>291</v>
      </c>
      <c r="C118" s="10" t="s">
        <v>292</v>
      </c>
      <c r="D118" s="7" t="s">
        <v>48</v>
      </c>
      <c r="E118" s="7"/>
      <c r="F118" s="7"/>
      <c r="G118" s="7"/>
      <c r="H118" s="7"/>
      <c r="I118" s="11">
        <v>0</v>
      </c>
      <c r="J118" s="11">
        <v>0</v>
      </c>
      <c r="K118" s="11">
        <v>0</v>
      </c>
      <c r="L118" s="11">
        <v>0</v>
      </c>
      <c r="M118" s="11">
        <v>0</v>
      </c>
      <c r="N118" s="11">
        <v>0</v>
      </c>
      <c r="O118" s="11">
        <v>0</v>
      </c>
      <c r="P118" s="11">
        <v>0</v>
      </c>
      <c r="Q118" s="11">
        <v>0</v>
      </c>
      <c r="R118" s="11">
        <v>0</v>
      </c>
      <c r="S118" s="11">
        <v>0</v>
      </c>
      <c r="T118" s="11">
        <v>0</v>
      </c>
      <c r="U118" s="11">
        <v>0</v>
      </c>
      <c r="V118" s="11">
        <v>0</v>
      </c>
      <c r="W118" s="13">
        <v>0</v>
      </c>
      <c r="X118" s="13">
        <v>0</v>
      </c>
      <c r="Y118" s="13" t="str">
        <f>MIN(W118,S118)</f>
        <v>0</v>
      </c>
      <c r="Z118" s="13" t="str">
        <f>MIN(X118,(S118-Y118))</f>
        <v>0</v>
      </c>
      <c r="AA118" s="13" t="str">
        <f>S118-SUM(Y118,Z118)</f>
        <v>0</v>
      </c>
      <c r="AB118" s="15"/>
      <c r="AC118" s="15"/>
      <c r="AD118" s="1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5"/>
      <c r="BP118" s="5"/>
      <c r="BQ118" s="5"/>
      <c r="BR118" s="5"/>
      <c r="BS118" s="5"/>
      <c r="BT118" s="5"/>
      <c r="BU118" s="5"/>
      <c r="BV118" s="5"/>
      <c r="BW118" s="5"/>
      <c r="BX118" s="5"/>
      <c r="BY118" s="5"/>
      <c r="BZ118" s="5"/>
      <c r="CA118" s="5"/>
      <c r="CB118" s="5"/>
      <c r="CC118" s="5"/>
      <c r="CD118" s="5"/>
      <c r="CE118" s="5"/>
      <c r="CF118" s="5"/>
      <c r="CG118" s="5"/>
      <c r="CH118" s="5"/>
      <c r="CI118" s="5"/>
      <c r="CJ118" s="5"/>
      <c r="CK118" s="5"/>
      <c r="CL118" s="5"/>
      <c r="CM118" s="5"/>
      <c r="CN118" s="5"/>
      <c r="CO118" s="5"/>
      <c r="CP118" s="5"/>
      <c r="CQ118" s="5"/>
      <c r="CR118" s="5"/>
      <c r="CS118" s="5"/>
      <c r="CT118" s="5"/>
      <c r="CU118" s="5"/>
      <c r="CV118" s="5"/>
      <c r="CW118" s="5"/>
      <c r="CX118" s="5"/>
      <c r="CY118" s="5"/>
      <c r="CZ118" s="5"/>
      <c r="DA118" s="5"/>
      <c r="DB118" s="5"/>
      <c r="DC118" s="5"/>
      <c r="DD118" s="5"/>
      <c r="DE118" s="5"/>
      <c r="DF118" s="5"/>
      <c r="DG118" s="5"/>
      <c r="DH118" s="5"/>
      <c r="DI118" s="5"/>
      <c r="DJ118" s="5"/>
      <c r="DK118" s="5"/>
      <c r="DL118" s="5"/>
      <c r="DM118" s="5"/>
      <c r="DN118" s="5"/>
      <c r="DO118" s="5"/>
      <c r="DP118" s="5"/>
      <c r="DQ118" s="5"/>
      <c r="DR118" s="5"/>
      <c r="DS118" s="5"/>
      <c r="DT118" s="5"/>
      <c r="DU118" s="5"/>
      <c r="DV118" s="5"/>
      <c r="DW118" s="5"/>
      <c r="DX118" s="5"/>
      <c r="DY118" s="5"/>
      <c r="DZ118" s="5"/>
      <c r="EA118" s="5"/>
      <c r="EB118" s="5"/>
      <c r="EC118" s="5"/>
      <c r="ED118" s="5"/>
      <c r="EE118" s="5"/>
      <c r="EF118" s="5"/>
      <c r="EG118" s="5"/>
      <c r="EH118" s="5"/>
      <c r="EI118" s="5"/>
      <c r="EJ118" s="5"/>
      <c r="EK118" s="5"/>
      <c r="EL118" s="5"/>
      <c r="EM118" s="5"/>
      <c r="EN118" s="5"/>
      <c r="EO118" s="5"/>
      <c r="EP118" s="5"/>
      <c r="EQ118" s="5"/>
      <c r="ER118" s="5"/>
      <c r="ES118" s="5"/>
      <c r="ET118" s="5"/>
      <c r="EU118" s="5"/>
      <c r="EV118" s="5"/>
      <c r="EW118" s="5"/>
      <c r="EX118" s="5"/>
      <c r="EY118" s="5"/>
      <c r="EZ118" s="5"/>
      <c r="FA118" s="5"/>
      <c r="FB118" s="5"/>
      <c r="FC118" s="5"/>
      <c r="FD118" s="5"/>
      <c r="FE118" s="5"/>
      <c r="FF118" s="5"/>
      <c r="FG118" s="5"/>
      <c r="FH118" s="5"/>
      <c r="FI118" s="5"/>
      <c r="FJ118" s="5"/>
      <c r="FK118" s="5"/>
      <c r="FL118" s="5"/>
      <c r="FM118" s="5"/>
      <c r="FN118" s="5"/>
      <c r="FO118" s="5"/>
      <c r="FP118" s="5"/>
      <c r="FQ118" s="5"/>
      <c r="FR118" s="5"/>
      <c r="FS118" s="5"/>
      <c r="FT118" s="5"/>
      <c r="FU118" s="5"/>
      <c r="FV118" s="5"/>
      <c r="FW118" s="5"/>
      <c r="FX118" s="5"/>
      <c r="FY118" s="5"/>
      <c r="FZ118" s="5"/>
      <c r="GA118" s="5"/>
      <c r="GB118" s="5"/>
      <c r="GC118" s="5"/>
      <c r="GD118" s="5"/>
      <c r="GE118" s="5"/>
      <c r="GF118" s="5"/>
      <c r="GG118" s="5"/>
      <c r="GH118" s="5"/>
      <c r="GI118" s="5"/>
      <c r="GJ118" s="5"/>
      <c r="GK118" s="5"/>
      <c r="GL118" s="5"/>
      <c r="GM118" s="5"/>
      <c r="GN118" s="5"/>
      <c r="GO118" s="5"/>
      <c r="GP118" s="5"/>
      <c r="GQ118" s="5"/>
      <c r="GR118" s="5"/>
      <c r="GS118" s="5"/>
      <c r="GT118" s="5"/>
      <c r="GU118" s="5"/>
      <c r="GV118" s="5"/>
      <c r="GW118" s="5"/>
      <c r="GX118" s="5"/>
      <c r="GY118" s="5"/>
      <c r="GZ118" s="5"/>
      <c r="HA118" s="5"/>
      <c r="HB118" s="5"/>
      <c r="HC118" s="5"/>
      <c r="HD118" s="5"/>
      <c r="HE118" s="5"/>
      <c r="HF118" s="5"/>
      <c r="HG118" s="5"/>
      <c r="HH118" s="5"/>
      <c r="HI118" s="5"/>
      <c r="HJ118" s="5"/>
      <c r="HK118" s="5"/>
      <c r="HL118" s="5"/>
      <c r="HM118" s="5"/>
      <c r="HN118" s="5"/>
      <c r="HO118" s="5"/>
      <c r="HP118" s="5"/>
      <c r="HQ118" s="5"/>
      <c r="HR118" s="5"/>
      <c r="HS118" s="5"/>
      <c r="HT118" s="5"/>
      <c r="HU118" s="5"/>
      <c r="HV118" s="5"/>
      <c r="HW118" s="5"/>
      <c r="HX118" s="5"/>
      <c r="HY118" s="5"/>
      <c r="HZ118" s="5"/>
      <c r="IA118" s="5"/>
      <c r="IB118" s="5"/>
      <c r="IC118" s="5"/>
      <c r="ID118" s="5"/>
      <c r="IE118" s="5"/>
      <c r="IF118" s="5"/>
      <c r="IG118" s="5"/>
      <c r="IH118" s="5"/>
      <c r="II118" s="5"/>
      <c r="IJ118" s="5"/>
      <c r="IK118" s="5"/>
      <c r="IL118" s="5"/>
      <c r="IM118" s="5"/>
      <c r="IN118" s="5"/>
      <c r="IO118" s="5"/>
      <c r="IP118" s="5"/>
      <c r="IQ118" s="5"/>
      <c r="IR118" s="5"/>
      <c r="IS118" s="5"/>
      <c r="IT118" s="5"/>
      <c r="IU118" s="5"/>
      <c r="IV118" s="5"/>
      <c r="IW118" s="5"/>
      <c r="IX118" s="5"/>
      <c r="IY118" s="5"/>
      <c r="IZ118" s="5"/>
      <c r="JA118" s="5"/>
      <c r="JB118" s="5"/>
      <c r="JC118" s="5"/>
      <c r="JD118" s="5"/>
      <c r="JE118" s="5"/>
      <c r="JF118" s="5"/>
      <c r="JG118" s="5"/>
      <c r="JH118" s="5"/>
      <c r="JI118" s="5"/>
      <c r="JJ118" s="5"/>
      <c r="JK118" s="5"/>
      <c r="JL118" s="5"/>
      <c r="JM118" s="5"/>
      <c r="JN118" s="5"/>
      <c r="JO118" s="5"/>
      <c r="JP118" s="5"/>
      <c r="JQ118" s="5"/>
      <c r="JR118" s="5"/>
      <c r="JS118" s="5"/>
      <c r="JT118" s="5"/>
      <c r="JU118" s="5"/>
      <c r="JV118" s="5"/>
      <c r="JW118" s="5"/>
      <c r="JX118" s="5"/>
      <c r="JY118" s="5"/>
      <c r="JZ118" s="5"/>
      <c r="KA118" s="5"/>
      <c r="KB118" s="5"/>
      <c r="KC118" s="5"/>
      <c r="KD118" s="5"/>
      <c r="KE118" s="5"/>
      <c r="KF118" s="5"/>
      <c r="KG118" s="5"/>
      <c r="KH118" s="5"/>
      <c r="KI118" s="5"/>
      <c r="KJ118" s="5"/>
      <c r="KK118" s="5"/>
      <c r="KL118" s="5"/>
      <c r="KM118" s="5"/>
      <c r="KN118" s="5"/>
      <c r="KO118" s="5"/>
      <c r="KP118" s="5"/>
      <c r="KQ118" s="5"/>
      <c r="KR118" s="5"/>
      <c r="KS118" s="5"/>
      <c r="KT118" s="5"/>
      <c r="KU118" s="5"/>
      <c r="KV118" s="5"/>
      <c r="KW118" s="5"/>
      <c r="KX118" s="5"/>
      <c r="KY118" s="5"/>
      <c r="KZ118" s="5"/>
      <c r="LA118" s="5"/>
      <c r="LB118" s="5"/>
      <c r="LC118" s="5"/>
      <c r="LD118" s="5"/>
      <c r="LE118" s="5"/>
      <c r="LF118" s="5"/>
      <c r="LG118" s="5"/>
      <c r="LH118" s="5"/>
      <c r="LI118" s="5"/>
      <c r="LJ118" s="5"/>
      <c r="LK118" s="5"/>
      <c r="LL118" s="5"/>
      <c r="LM118" s="5"/>
      <c r="LN118" s="5"/>
      <c r="LO118" s="5"/>
      <c r="LP118" s="5"/>
      <c r="LQ118" s="5"/>
      <c r="LR118" s="5"/>
      <c r="LS118" s="5"/>
      <c r="LT118" s="5"/>
      <c r="LU118" s="5"/>
      <c r="LV118" s="5"/>
      <c r="LW118" s="5"/>
      <c r="LX118" s="5"/>
      <c r="LY118" s="5"/>
      <c r="LZ118" s="5"/>
      <c r="MA118" s="5"/>
      <c r="MB118" s="5"/>
      <c r="MC118" s="5"/>
      <c r="MD118" s="5"/>
      <c r="ME118" s="5"/>
      <c r="MF118" s="5"/>
      <c r="MG118" s="5"/>
      <c r="MH118" s="5"/>
      <c r="MI118" s="5"/>
      <c r="MJ118" s="5"/>
      <c r="MK118" s="5"/>
      <c r="ML118" s="5"/>
      <c r="MM118" s="5"/>
      <c r="MN118" s="5"/>
      <c r="MO118" s="5"/>
      <c r="MP118" s="5"/>
      <c r="MQ118" s="5"/>
      <c r="MR118" s="5"/>
      <c r="MS118" s="5"/>
      <c r="MT118" s="5"/>
      <c r="MU118" s="5"/>
      <c r="MV118" s="5"/>
      <c r="MW118" s="5"/>
      <c r="MX118" s="5"/>
      <c r="MY118" s="5"/>
      <c r="MZ118" s="5"/>
      <c r="NA118" s="5"/>
      <c r="NB118" s="5"/>
      <c r="NC118" s="5"/>
      <c r="ND118" s="5"/>
      <c r="NE118" s="5"/>
      <c r="NF118" s="5"/>
      <c r="NG118" s="5"/>
      <c r="NH118" s="5"/>
      <c r="NI118" s="5"/>
      <c r="NJ118" s="5"/>
      <c r="NK118" s="5"/>
      <c r="NL118" s="5"/>
      <c r="NM118" s="5"/>
      <c r="NN118" s="5"/>
      <c r="NO118" s="5"/>
      <c r="NP118" s="5"/>
      <c r="NQ118" s="5"/>
      <c r="NR118" s="5"/>
      <c r="NS118" s="5"/>
      <c r="NT118" s="5"/>
      <c r="NU118" s="5"/>
      <c r="NV118" s="5"/>
      <c r="NW118" s="5"/>
      <c r="NX118" s="5"/>
      <c r="NY118" s="5"/>
      <c r="NZ118" s="5"/>
      <c r="OA118" s="5"/>
      <c r="OB118" s="5"/>
      <c r="OC118" s="5"/>
      <c r="OD118" s="5"/>
      <c r="OE118" s="5"/>
      <c r="OF118" s="5"/>
      <c r="OG118" s="5"/>
      <c r="OH118" s="5"/>
      <c r="OI118" s="5"/>
      <c r="OJ118" s="5"/>
      <c r="OK118" s="5"/>
      <c r="OL118" s="5"/>
      <c r="OM118" s="5"/>
      <c r="ON118" s="5"/>
      <c r="OO118" s="5"/>
      <c r="OP118" s="5"/>
      <c r="OQ118" s="5"/>
      <c r="OR118" s="5"/>
      <c r="OS118" s="5"/>
      <c r="OT118" s="5"/>
      <c r="OU118" s="5"/>
      <c r="OV118" s="5"/>
      <c r="OW118" s="5"/>
      <c r="OX118" s="5"/>
      <c r="OY118" s="5"/>
      <c r="OZ118" s="5"/>
      <c r="PA118" s="5"/>
      <c r="PB118" s="5"/>
      <c r="PC118" s="5"/>
      <c r="PD118" s="5"/>
      <c r="PE118" s="5"/>
      <c r="PF118" s="5"/>
      <c r="PG118" s="5"/>
      <c r="PH118" s="5"/>
      <c r="PI118" s="5"/>
      <c r="PJ118" s="5"/>
      <c r="PK118" s="5"/>
      <c r="PL118" s="5"/>
      <c r="PM118" s="5"/>
      <c r="PN118" s="5"/>
      <c r="PO118" s="5"/>
      <c r="PP118" s="5"/>
      <c r="PQ118" s="5"/>
      <c r="PR118" s="5"/>
      <c r="PS118" s="5"/>
      <c r="PT118" s="5"/>
      <c r="PU118" s="5"/>
      <c r="PV118" s="5"/>
      <c r="PW118" s="5"/>
      <c r="PX118" s="5"/>
      <c r="PY118" s="5"/>
      <c r="PZ118" s="5"/>
      <c r="QA118" s="5"/>
      <c r="QB118" s="5"/>
      <c r="QC118" s="5"/>
      <c r="QD118" s="5"/>
      <c r="QE118" s="5"/>
      <c r="QF118" s="5"/>
      <c r="QG118" s="5"/>
      <c r="QH118" s="5"/>
      <c r="QI118" s="5"/>
      <c r="QJ118" s="5"/>
      <c r="QK118" s="5"/>
      <c r="QL118" s="5"/>
      <c r="QM118" s="5"/>
      <c r="QN118" s="5"/>
      <c r="QO118" s="5"/>
      <c r="QP118" s="5"/>
      <c r="QQ118" s="5"/>
      <c r="QR118" s="5"/>
      <c r="QS118" s="5"/>
      <c r="QT118" s="5"/>
      <c r="QU118" s="5"/>
      <c r="QV118" s="5"/>
      <c r="QW118" s="5"/>
      <c r="QX118" s="5"/>
      <c r="QY118" s="5"/>
      <c r="QZ118" s="5"/>
      <c r="RA118" s="5"/>
      <c r="RB118" s="5"/>
      <c r="RC118" s="5"/>
      <c r="RD118" s="5"/>
      <c r="RE118" s="5"/>
      <c r="RF118" s="5"/>
      <c r="RG118" s="5"/>
      <c r="RH118" s="5"/>
      <c r="RI118" s="5"/>
      <c r="RJ118" s="5"/>
      <c r="RK118" s="5"/>
      <c r="RL118" s="5"/>
      <c r="RM118" s="5"/>
      <c r="RN118" s="5"/>
      <c r="RO118" s="5"/>
      <c r="RP118" s="5"/>
      <c r="RQ118" s="5"/>
      <c r="RR118" s="5"/>
      <c r="RS118" s="5"/>
      <c r="RT118" s="5"/>
      <c r="RU118" s="5"/>
      <c r="RV118" s="5"/>
      <c r="RW118" s="5"/>
      <c r="RX118" s="5"/>
      <c r="RY118" s="5"/>
      <c r="RZ118" s="5"/>
      <c r="SA118" s="5"/>
      <c r="SB118" s="5"/>
      <c r="SC118" s="5"/>
      <c r="SD118" s="5"/>
      <c r="SE118" s="5"/>
      <c r="SF118" s="5"/>
      <c r="SG118" s="5"/>
      <c r="SH118" s="5"/>
      <c r="SI118" s="5"/>
      <c r="SJ118" s="5"/>
      <c r="SK118" s="5"/>
      <c r="SL118" s="5"/>
      <c r="SM118" s="5"/>
      <c r="SN118" s="5"/>
      <c r="SO118" s="5"/>
      <c r="SP118" s="5"/>
      <c r="SQ118" s="5"/>
      <c r="SR118" s="5"/>
      <c r="SS118" s="5"/>
      <c r="ST118" s="5"/>
      <c r="SU118" s="5"/>
      <c r="SV118" s="5"/>
      <c r="SW118" s="5"/>
      <c r="SX118" s="5"/>
      <c r="SY118" s="5"/>
      <c r="SZ118" s="5"/>
      <c r="TA118" s="5"/>
      <c r="TB118" s="5"/>
      <c r="TC118" s="5"/>
      <c r="TD118" s="5"/>
      <c r="TE118" s="5"/>
      <c r="TF118" s="5"/>
      <c r="TG118" s="5"/>
      <c r="TH118" s="5"/>
      <c r="TI118" s="5"/>
      <c r="TJ118" s="5"/>
      <c r="TK118" s="5"/>
      <c r="TL118" s="5"/>
      <c r="TM118" s="5"/>
      <c r="TN118" s="5"/>
      <c r="TO118" s="5"/>
      <c r="TP118" s="5"/>
      <c r="TQ118" s="5"/>
      <c r="TR118" s="5"/>
      <c r="TS118" s="5"/>
      <c r="TT118" s="5"/>
      <c r="TU118" s="5"/>
      <c r="TV118" s="5"/>
      <c r="TW118" s="5"/>
      <c r="TX118" s="5"/>
      <c r="TY118" s="5"/>
      <c r="TZ118" s="5"/>
      <c r="UA118" s="5"/>
      <c r="UB118" s="5"/>
      <c r="UC118" s="5"/>
      <c r="UD118" s="5"/>
      <c r="UE118" s="5"/>
      <c r="UF118" s="5"/>
      <c r="UG118" s="5"/>
      <c r="UH118" s="5"/>
      <c r="UI118" s="5"/>
      <c r="UJ118" s="5"/>
      <c r="UK118" s="5"/>
      <c r="UL118" s="5"/>
      <c r="UM118" s="5"/>
      <c r="UN118" s="5"/>
      <c r="UO118" s="5"/>
      <c r="UP118" s="5"/>
      <c r="UQ118" s="5"/>
      <c r="UR118" s="5"/>
      <c r="US118" s="5"/>
      <c r="UT118" s="5"/>
      <c r="UU118" s="5"/>
      <c r="UV118" s="5"/>
      <c r="UW118" s="5"/>
      <c r="UX118" s="5"/>
      <c r="UY118" s="5"/>
      <c r="UZ118" s="5"/>
      <c r="VA118" s="5"/>
      <c r="VB118" s="5"/>
      <c r="VC118" s="5"/>
      <c r="VD118" s="5"/>
      <c r="VE118" s="5"/>
      <c r="VF118" s="5"/>
      <c r="VG118" s="5"/>
      <c r="VH118" s="5"/>
      <c r="VI118" s="5"/>
      <c r="VJ118" s="5"/>
      <c r="VK118" s="5"/>
      <c r="VL118" s="5"/>
      <c r="VM118" s="5"/>
      <c r="VN118" s="5"/>
      <c r="VO118" s="5"/>
      <c r="VP118" s="5"/>
      <c r="VQ118" s="5"/>
      <c r="VR118" s="5"/>
      <c r="VS118" s="5"/>
      <c r="VT118" s="5"/>
      <c r="VU118" s="5"/>
      <c r="VV118" s="5"/>
      <c r="VW118" s="5"/>
      <c r="VX118" s="5"/>
      <c r="VY118" s="5"/>
      <c r="VZ118" s="5"/>
      <c r="WA118" s="5"/>
      <c r="WB118" s="5"/>
      <c r="WC118" s="5"/>
      <c r="WD118" s="5"/>
      <c r="WE118" s="5"/>
      <c r="WF118" s="5"/>
      <c r="WG118" s="5"/>
      <c r="WH118" s="5"/>
      <c r="WI118" s="5"/>
      <c r="WJ118" s="5"/>
      <c r="WK118" s="5"/>
      <c r="WL118" s="5"/>
      <c r="WM118" s="5"/>
      <c r="WN118" s="5"/>
      <c r="WO118" s="5"/>
      <c r="WP118" s="5"/>
      <c r="WQ118" s="5"/>
      <c r="WR118" s="5"/>
      <c r="WS118" s="5"/>
      <c r="WT118" s="5"/>
      <c r="WU118" s="5"/>
      <c r="WV118" s="5"/>
      <c r="WW118" s="5"/>
      <c r="WX118" s="5"/>
      <c r="WY118" s="5"/>
      <c r="WZ118" s="5"/>
      <c r="XA118" s="5"/>
      <c r="XB118" s="5"/>
      <c r="XC118" s="5"/>
      <c r="XD118" s="5"/>
      <c r="XE118" s="5"/>
      <c r="XF118" s="5"/>
      <c r="XG118" s="5"/>
      <c r="XH118" s="5"/>
      <c r="XI118" s="5"/>
      <c r="XJ118" s="5"/>
      <c r="XK118" s="5"/>
      <c r="XL118" s="5"/>
      <c r="XM118" s="5"/>
      <c r="XN118" s="5"/>
      <c r="XO118" s="5"/>
      <c r="XP118" s="5"/>
      <c r="XQ118" s="5"/>
      <c r="XR118" s="5"/>
      <c r="XS118" s="5"/>
      <c r="XT118" s="5"/>
      <c r="XU118" s="5"/>
      <c r="XV118" s="5"/>
      <c r="XW118" s="5"/>
      <c r="XX118" s="5"/>
      <c r="XY118" s="5"/>
      <c r="XZ118" s="5"/>
      <c r="YA118" s="5"/>
      <c r="YB118" s="5"/>
      <c r="YC118" s="5"/>
      <c r="YD118" s="5"/>
      <c r="YE118" s="5"/>
      <c r="YF118" s="5"/>
      <c r="YG118" s="5"/>
      <c r="YH118" s="5"/>
      <c r="YI118" s="5"/>
      <c r="YJ118" s="5"/>
      <c r="YK118" s="5"/>
      <c r="YL118" s="5"/>
      <c r="YM118" s="5"/>
      <c r="YN118" s="5"/>
      <c r="YO118" s="5"/>
      <c r="YP118" s="5"/>
      <c r="YQ118" s="5"/>
      <c r="YR118" s="5"/>
      <c r="YS118" s="5"/>
      <c r="YT118" s="5"/>
      <c r="YU118" s="5"/>
      <c r="YV118" s="5"/>
      <c r="YW118" s="5"/>
      <c r="YX118" s="5"/>
      <c r="YY118" s="5"/>
      <c r="YZ118" s="5"/>
    </row>
    <row r="119" spans="1:676">
      <c r="A119" s="7">
        <v>109</v>
      </c>
      <c r="B119" s="7" t="s">
        <v>293</v>
      </c>
      <c r="C119" s="10" t="s">
        <v>294</v>
      </c>
      <c r="D119" s="7" t="s">
        <v>54</v>
      </c>
      <c r="E119" s="7"/>
      <c r="F119" s="7"/>
      <c r="G119" s="7"/>
      <c r="H119" s="7"/>
      <c r="I119" s="11">
        <v>0</v>
      </c>
      <c r="J119" s="11">
        <v>0</v>
      </c>
      <c r="K119" s="11">
        <v>0</v>
      </c>
      <c r="L119" s="11">
        <v>0</v>
      </c>
      <c r="M119" s="11">
        <v>0</v>
      </c>
      <c r="N119" s="11">
        <v>0</v>
      </c>
      <c r="O119" s="11">
        <v>0</v>
      </c>
      <c r="P119" s="11">
        <v>0</v>
      </c>
      <c r="Q119" s="11">
        <v>0</v>
      </c>
      <c r="R119" s="11">
        <v>0</v>
      </c>
      <c r="S119" s="11">
        <v>0</v>
      </c>
      <c r="T119" s="11">
        <v>0</v>
      </c>
      <c r="U119" s="11">
        <v>0</v>
      </c>
      <c r="V119" s="11">
        <v>0</v>
      </c>
      <c r="W119" s="13">
        <v>0</v>
      </c>
      <c r="X119" s="13">
        <v>0</v>
      </c>
      <c r="Y119" s="13" t="str">
        <f>MIN(W119,S119)</f>
        <v>0</v>
      </c>
      <c r="Z119" s="13" t="str">
        <f>MIN(X119,(S119-Y119))</f>
        <v>0</v>
      </c>
      <c r="AA119" s="13" t="str">
        <f>S119-SUM(Y119,Z119)</f>
        <v>0</v>
      </c>
      <c r="AB119" s="15"/>
      <c r="AC119" s="15"/>
      <c r="AD119" s="1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  <c r="BO119" s="5"/>
      <c r="BP119" s="5"/>
      <c r="BQ119" s="5"/>
      <c r="BR119" s="5"/>
      <c r="BS119" s="5"/>
      <c r="BT119" s="5"/>
      <c r="BU119" s="5"/>
      <c r="BV119" s="5"/>
      <c r="BW119" s="5"/>
      <c r="BX119" s="5"/>
      <c r="BY119" s="5"/>
      <c r="BZ119" s="5"/>
      <c r="CA119" s="5"/>
      <c r="CB119" s="5"/>
      <c r="CC119" s="5"/>
      <c r="CD119" s="5"/>
      <c r="CE119" s="5"/>
      <c r="CF119" s="5"/>
      <c r="CG119" s="5"/>
      <c r="CH119" s="5"/>
      <c r="CI119" s="5"/>
      <c r="CJ119" s="5"/>
      <c r="CK119" s="5"/>
      <c r="CL119" s="5"/>
      <c r="CM119" s="5"/>
      <c r="CN119" s="5"/>
      <c r="CO119" s="5"/>
      <c r="CP119" s="5"/>
      <c r="CQ119" s="5"/>
      <c r="CR119" s="5"/>
      <c r="CS119" s="5"/>
      <c r="CT119" s="5"/>
      <c r="CU119" s="5"/>
      <c r="CV119" s="5"/>
      <c r="CW119" s="5"/>
      <c r="CX119" s="5"/>
      <c r="CY119" s="5"/>
      <c r="CZ119" s="5"/>
      <c r="DA119" s="5"/>
      <c r="DB119" s="5"/>
      <c r="DC119" s="5"/>
      <c r="DD119" s="5"/>
      <c r="DE119" s="5"/>
      <c r="DF119" s="5"/>
      <c r="DG119" s="5"/>
      <c r="DH119" s="5"/>
      <c r="DI119" s="5"/>
      <c r="DJ119" s="5"/>
      <c r="DK119" s="5"/>
      <c r="DL119" s="5"/>
      <c r="DM119" s="5"/>
      <c r="DN119" s="5"/>
      <c r="DO119" s="5"/>
      <c r="DP119" s="5"/>
      <c r="DQ119" s="5"/>
      <c r="DR119" s="5"/>
      <c r="DS119" s="5"/>
      <c r="DT119" s="5"/>
      <c r="DU119" s="5"/>
      <c r="DV119" s="5"/>
      <c r="DW119" s="5"/>
      <c r="DX119" s="5"/>
      <c r="DY119" s="5"/>
      <c r="DZ119" s="5"/>
      <c r="EA119" s="5"/>
      <c r="EB119" s="5"/>
      <c r="EC119" s="5"/>
      <c r="ED119" s="5"/>
      <c r="EE119" s="5"/>
      <c r="EF119" s="5"/>
      <c r="EG119" s="5"/>
      <c r="EH119" s="5"/>
      <c r="EI119" s="5"/>
      <c r="EJ119" s="5"/>
      <c r="EK119" s="5"/>
      <c r="EL119" s="5"/>
      <c r="EM119" s="5"/>
      <c r="EN119" s="5"/>
      <c r="EO119" s="5"/>
      <c r="EP119" s="5"/>
      <c r="EQ119" s="5"/>
      <c r="ER119" s="5"/>
      <c r="ES119" s="5"/>
      <c r="ET119" s="5"/>
      <c r="EU119" s="5"/>
      <c r="EV119" s="5"/>
      <c r="EW119" s="5"/>
      <c r="EX119" s="5"/>
      <c r="EY119" s="5"/>
      <c r="EZ119" s="5"/>
      <c r="FA119" s="5"/>
      <c r="FB119" s="5"/>
      <c r="FC119" s="5"/>
      <c r="FD119" s="5"/>
      <c r="FE119" s="5"/>
      <c r="FF119" s="5"/>
      <c r="FG119" s="5"/>
      <c r="FH119" s="5"/>
      <c r="FI119" s="5"/>
      <c r="FJ119" s="5"/>
      <c r="FK119" s="5"/>
      <c r="FL119" s="5"/>
      <c r="FM119" s="5"/>
      <c r="FN119" s="5"/>
      <c r="FO119" s="5"/>
      <c r="FP119" s="5"/>
      <c r="FQ119" s="5"/>
      <c r="FR119" s="5"/>
      <c r="FS119" s="5"/>
      <c r="FT119" s="5"/>
      <c r="FU119" s="5"/>
      <c r="FV119" s="5"/>
      <c r="FW119" s="5"/>
      <c r="FX119" s="5"/>
      <c r="FY119" s="5"/>
      <c r="FZ119" s="5"/>
      <c r="GA119" s="5"/>
      <c r="GB119" s="5"/>
      <c r="GC119" s="5"/>
      <c r="GD119" s="5"/>
      <c r="GE119" s="5"/>
      <c r="GF119" s="5"/>
      <c r="GG119" s="5"/>
      <c r="GH119" s="5"/>
      <c r="GI119" s="5"/>
      <c r="GJ119" s="5"/>
      <c r="GK119" s="5"/>
      <c r="GL119" s="5"/>
      <c r="GM119" s="5"/>
      <c r="GN119" s="5"/>
      <c r="GO119" s="5"/>
      <c r="GP119" s="5"/>
      <c r="GQ119" s="5"/>
      <c r="GR119" s="5"/>
      <c r="GS119" s="5"/>
      <c r="GT119" s="5"/>
      <c r="GU119" s="5"/>
      <c r="GV119" s="5"/>
      <c r="GW119" s="5"/>
      <c r="GX119" s="5"/>
      <c r="GY119" s="5"/>
      <c r="GZ119" s="5"/>
      <c r="HA119" s="5"/>
      <c r="HB119" s="5"/>
      <c r="HC119" s="5"/>
      <c r="HD119" s="5"/>
      <c r="HE119" s="5"/>
      <c r="HF119" s="5"/>
      <c r="HG119" s="5"/>
      <c r="HH119" s="5"/>
      <c r="HI119" s="5"/>
      <c r="HJ119" s="5"/>
      <c r="HK119" s="5"/>
      <c r="HL119" s="5"/>
      <c r="HM119" s="5"/>
      <c r="HN119" s="5"/>
      <c r="HO119" s="5"/>
      <c r="HP119" s="5"/>
      <c r="HQ119" s="5"/>
      <c r="HR119" s="5"/>
      <c r="HS119" s="5"/>
      <c r="HT119" s="5"/>
      <c r="HU119" s="5"/>
      <c r="HV119" s="5"/>
      <c r="HW119" s="5"/>
      <c r="HX119" s="5"/>
      <c r="HY119" s="5"/>
      <c r="HZ119" s="5"/>
      <c r="IA119" s="5"/>
      <c r="IB119" s="5"/>
      <c r="IC119" s="5"/>
      <c r="ID119" s="5"/>
      <c r="IE119" s="5"/>
      <c r="IF119" s="5"/>
      <c r="IG119" s="5"/>
      <c r="IH119" s="5"/>
      <c r="II119" s="5"/>
      <c r="IJ119" s="5"/>
      <c r="IK119" s="5"/>
      <c r="IL119" s="5"/>
      <c r="IM119" s="5"/>
      <c r="IN119" s="5"/>
      <c r="IO119" s="5"/>
      <c r="IP119" s="5"/>
      <c r="IQ119" s="5"/>
      <c r="IR119" s="5"/>
      <c r="IS119" s="5"/>
      <c r="IT119" s="5"/>
      <c r="IU119" s="5"/>
      <c r="IV119" s="5"/>
      <c r="IW119" s="5"/>
      <c r="IX119" s="5"/>
      <c r="IY119" s="5"/>
      <c r="IZ119" s="5"/>
      <c r="JA119" s="5"/>
      <c r="JB119" s="5"/>
      <c r="JC119" s="5"/>
      <c r="JD119" s="5"/>
      <c r="JE119" s="5"/>
      <c r="JF119" s="5"/>
      <c r="JG119" s="5"/>
      <c r="JH119" s="5"/>
      <c r="JI119" s="5"/>
      <c r="JJ119" s="5"/>
      <c r="JK119" s="5"/>
      <c r="JL119" s="5"/>
      <c r="JM119" s="5"/>
      <c r="JN119" s="5"/>
      <c r="JO119" s="5"/>
      <c r="JP119" s="5"/>
      <c r="JQ119" s="5"/>
      <c r="JR119" s="5"/>
      <c r="JS119" s="5"/>
      <c r="JT119" s="5"/>
      <c r="JU119" s="5"/>
      <c r="JV119" s="5"/>
      <c r="JW119" s="5"/>
      <c r="JX119" s="5"/>
      <c r="JY119" s="5"/>
      <c r="JZ119" s="5"/>
      <c r="KA119" s="5"/>
      <c r="KB119" s="5"/>
      <c r="KC119" s="5"/>
      <c r="KD119" s="5"/>
      <c r="KE119" s="5"/>
      <c r="KF119" s="5"/>
      <c r="KG119" s="5"/>
      <c r="KH119" s="5"/>
      <c r="KI119" s="5"/>
      <c r="KJ119" s="5"/>
      <c r="KK119" s="5"/>
      <c r="KL119" s="5"/>
      <c r="KM119" s="5"/>
      <c r="KN119" s="5"/>
      <c r="KO119" s="5"/>
      <c r="KP119" s="5"/>
      <c r="KQ119" s="5"/>
      <c r="KR119" s="5"/>
      <c r="KS119" s="5"/>
      <c r="KT119" s="5"/>
      <c r="KU119" s="5"/>
      <c r="KV119" s="5"/>
      <c r="KW119" s="5"/>
      <c r="KX119" s="5"/>
      <c r="KY119" s="5"/>
      <c r="KZ119" s="5"/>
      <c r="LA119" s="5"/>
      <c r="LB119" s="5"/>
      <c r="LC119" s="5"/>
      <c r="LD119" s="5"/>
      <c r="LE119" s="5"/>
      <c r="LF119" s="5"/>
      <c r="LG119" s="5"/>
      <c r="LH119" s="5"/>
      <c r="LI119" s="5"/>
      <c r="LJ119" s="5"/>
      <c r="LK119" s="5"/>
      <c r="LL119" s="5"/>
      <c r="LM119" s="5"/>
      <c r="LN119" s="5"/>
      <c r="LO119" s="5"/>
      <c r="LP119" s="5"/>
      <c r="LQ119" s="5"/>
      <c r="LR119" s="5"/>
      <c r="LS119" s="5"/>
      <c r="LT119" s="5"/>
      <c r="LU119" s="5"/>
      <c r="LV119" s="5"/>
      <c r="LW119" s="5"/>
      <c r="LX119" s="5"/>
      <c r="LY119" s="5"/>
      <c r="LZ119" s="5"/>
      <c r="MA119" s="5"/>
      <c r="MB119" s="5"/>
      <c r="MC119" s="5"/>
      <c r="MD119" s="5"/>
      <c r="ME119" s="5"/>
      <c r="MF119" s="5"/>
      <c r="MG119" s="5"/>
      <c r="MH119" s="5"/>
      <c r="MI119" s="5"/>
      <c r="MJ119" s="5"/>
      <c r="MK119" s="5"/>
      <c r="ML119" s="5"/>
      <c r="MM119" s="5"/>
      <c r="MN119" s="5"/>
      <c r="MO119" s="5"/>
      <c r="MP119" s="5"/>
      <c r="MQ119" s="5"/>
      <c r="MR119" s="5"/>
      <c r="MS119" s="5"/>
      <c r="MT119" s="5"/>
      <c r="MU119" s="5"/>
      <c r="MV119" s="5"/>
      <c r="MW119" s="5"/>
      <c r="MX119" s="5"/>
      <c r="MY119" s="5"/>
      <c r="MZ119" s="5"/>
      <c r="NA119" s="5"/>
      <c r="NB119" s="5"/>
      <c r="NC119" s="5"/>
      <c r="ND119" s="5"/>
      <c r="NE119" s="5"/>
      <c r="NF119" s="5"/>
      <c r="NG119" s="5"/>
      <c r="NH119" s="5"/>
      <c r="NI119" s="5"/>
      <c r="NJ119" s="5"/>
      <c r="NK119" s="5"/>
      <c r="NL119" s="5"/>
      <c r="NM119" s="5"/>
      <c r="NN119" s="5"/>
      <c r="NO119" s="5"/>
      <c r="NP119" s="5"/>
      <c r="NQ119" s="5"/>
      <c r="NR119" s="5"/>
      <c r="NS119" s="5"/>
      <c r="NT119" s="5"/>
      <c r="NU119" s="5"/>
      <c r="NV119" s="5"/>
      <c r="NW119" s="5"/>
      <c r="NX119" s="5"/>
      <c r="NY119" s="5"/>
      <c r="NZ119" s="5"/>
      <c r="OA119" s="5"/>
      <c r="OB119" s="5"/>
      <c r="OC119" s="5"/>
      <c r="OD119" s="5"/>
      <c r="OE119" s="5"/>
      <c r="OF119" s="5"/>
      <c r="OG119" s="5"/>
      <c r="OH119" s="5"/>
      <c r="OI119" s="5"/>
      <c r="OJ119" s="5"/>
      <c r="OK119" s="5"/>
      <c r="OL119" s="5"/>
      <c r="OM119" s="5"/>
      <c r="ON119" s="5"/>
      <c r="OO119" s="5"/>
      <c r="OP119" s="5"/>
      <c r="OQ119" s="5"/>
      <c r="OR119" s="5"/>
      <c r="OS119" s="5"/>
      <c r="OT119" s="5"/>
      <c r="OU119" s="5"/>
      <c r="OV119" s="5"/>
      <c r="OW119" s="5"/>
      <c r="OX119" s="5"/>
      <c r="OY119" s="5"/>
      <c r="OZ119" s="5"/>
      <c r="PA119" s="5"/>
      <c r="PB119" s="5"/>
      <c r="PC119" s="5"/>
      <c r="PD119" s="5"/>
      <c r="PE119" s="5"/>
      <c r="PF119" s="5"/>
      <c r="PG119" s="5"/>
      <c r="PH119" s="5"/>
      <c r="PI119" s="5"/>
      <c r="PJ119" s="5"/>
      <c r="PK119" s="5"/>
      <c r="PL119" s="5"/>
      <c r="PM119" s="5"/>
      <c r="PN119" s="5"/>
      <c r="PO119" s="5"/>
      <c r="PP119" s="5"/>
      <c r="PQ119" s="5"/>
      <c r="PR119" s="5"/>
      <c r="PS119" s="5"/>
      <c r="PT119" s="5"/>
      <c r="PU119" s="5"/>
      <c r="PV119" s="5"/>
      <c r="PW119" s="5"/>
      <c r="PX119" s="5"/>
      <c r="PY119" s="5"/>
      <c r="PZ119" s="5"/>
      <c r="QA119" s="5"/>
      <c r="QB119" s="5"/>
      <c r="QC119" s="5"/>
      <c r="QD119" s="5"/>
      <c r="QE119" s="5"/>
      <c r="QF119" s="5"/>
      <c r="QG119" s="5"/>
      <c r="QH119" s="5"/>
      <c r="QI119" s="5"/>
      <c r="QJ119" s="5"/>
      <c r="QK119" s="5"/>
      <c r="QL119" s="5"/>
      <c r="QM119" s="5"/>
      <c r="QN119" s="5"/>
      <c r="QO119" s="5"/>
      <c r="QP119" s="5"/>
      <c r="QQ119" s="5"/>
      <c r="QR119" s="5"/>
      <c r="QS119" s="5"/>
      <c r="QT119" s="5"/>
      <c r="QU119" s="5"/>
      <c r="QV119" s="5"/>
      <c r="QW119" s="5"/>
      <c r="QX119" s="5"/>
      <c r="QY119" s="5"/>
      <c r="QZ119" s="5"/>
      <c r="RA119" s="5"/>
      <c r="RB119" s="5"/>
      <c r="RC119" s="5"/>
      <c r="RD119" s="5"/>
      <c r="RE119" s="5"/>
      <c r="RF119" s="5"/>
      <c r="RG119" s="5"/>
      <c r="RH119" s="5"/>
      <c r="RI119" s="5"/>
      <c r="RJ119" s="5"/>
      <c r="RK119" s="5"/>
      <c r="RL119" s="5"/>
      <c r="RM119" s="5"/>
      <c r="RN119" s="5"/>
      <c r="RO119" s="5"/>
      <c r="RP119" s="5"/>
      <c r="RQ119" s="5"/>
      <c r="RR119" s="5"/>
      <c r="RS119" s="5"/>
      <c r="RT119" s="5"/>
      <c r="RU119" s="5"/>
      <c r="RV119" s="5"/>
      <c r="RW119" s="5"/>
      <c r="RX119" s="5"/>
      <c r="RY119" s="5"/>
      <c r="RZ119" s="5"/>
      <c r="SA119" s="5"/>
      <c r="SB119" s="5"/>
      <c r="SC119" s="5"/>
      <c r="SD119" s="5"/>
      <c r="SE119" s="5"/>
      <c r="SF119" s="5"/>
      <c r="SG119" s="5"/>
      <c r="SH119" s="5"/>
      <c r="SI119" s="5"/>
      <c r="SJ119" s="5"/>
      <c r="SK119" s="5"/>
      <c r="SL119" s="5"/>
      <c r="SM119" s="5"/>
      <c r="SN119" s="5"/>
      <c r="SO119" s="5"/>
      <c r="SP119" s="5"/>
      <c r="SQ119" s="5"/>
      <c r="SR119" s="5"/>
      <c r="SS119" s="5"/>
      <c r="ST119" s="5"/>
      <c r="SU119" s="5"/>
      <c r="SV119" s="5"/>
      <c r="SW119" s="5"/>
      <c r="SX119" s="5"/>
      <c r="SY119" s="5"/>
      <c r="SZ119" s="5"/>
      <c r="TA119" s="5"/>
      <c r="TB119" s="5"/>
      <c r="TC119" s="5"/>
      <c r="TD119" s="5"/>
      <c r="TE119" s="5"/>
      <c r="TF119" s="5"/>
      <c r="TG119" s="5"/>
      <c r="TH119" s="5"/>
      <c r="TI119" s="5"/>
      <c r="TJ119" s="5"/>
      <c r="TK119" s="5"/>
      <c r="TL119" s="5"/>
      <c r="TM119" s="5"/>
      <c r="TN119" s="5"/>
      <c r="TO119" s="5"/>
      <c r="TP119" s="5"/>
      <c r="TQ119" s="5"/>
      <c r="TR119" s="5"/>
      <c r="TS119" s="5"/>
      <c r="TT119" s="5"/>
      <c r="TU119" s="5"/>
      <c r="TV119" s="5"/>
      <c r="TW119" s="5"/>
      <c r="TX119" s="5"/>
      <c r="TY119" s="5"/>
      <c r="TZ119" s="5"/>
      <c r="UA119" s="5"/>
      <c r="UB119" s="5"/>
      <c r="UC119" s="5"/>
      <c r="UD119" s="5"/>
      <c r="UE119" s="5"/>
      <c r="UF119" s="5"/>
      <c r="UG119" s="5"/>
      <c r="UH119" s="5"/>
      <c r="UI119" s="5"/>
      <c r="UJ119" s="5"/>
      <c r="UK119" s="5"/>
      <c r="UL119" s="5"/>
      <c r="UM119" s="5"/>
      <c r="UN119" s="5"/>
      <c r="UO119" s="5"/>
      <c r="UP119" s="5"/>
      <c r="UQ119" s="5"/>
      <c r="UR119" s="5"/>
      <c r="US119" s="5"/>
      <c r="UT119" s="5"/>
      <c r="UU119" s="5"/>
      <c r="UV119" s="5"/>
      <c r="UW119" s="5"/>
      <c r="UX119" s="5"/>
      <c r="UY119" s="5"/>
      <c r="UZ119" s="5"/>
      <c r="VA119" s="5"/>
      <c r="VB119" s="5"/>
      <c r="VC119" s="5"/>
      <c r="VD119" s="5"/>
      <c r="VE119" s="5"/>
      <c r="VF119" s="5"/>
      <c r="VG119" s="5"/>
      <c r="VH119" s="5"/>
      <c r="VI119" s="5"/>
      <c r="VJ119" s="5"/>
      <c r="VK119" s="5"/>
      <c r="VL119" s="5"/>
      <c r="VM119" s="5"/>
      <c r="VN119" s="5"/>
      <c r="VO119" s="5"/>
      <c r="VP119" s="5"/>
      <c r="VQ119" s="5"/>
      <c r="VR119" s="5"/>
      <c r="VS119" s="5"/>
      <c r="VT119" s="5"/>
      <c r="VU119" s="5"/>
      <c r="VV119" s="5"/>
      <c r="VW119" s="5"/>
      <c r="VX119" s="5"/>
      <c r="VY119" s="5"/>
      <c r="VZ119" s="5"/>
      <c r="WA119" s="5"/>
      <c r="WB119" s="5"/>
      <c r="WC119" s="5"/>
      <c r="WD119" s="5"/>
      <c r="WE119" s="5"/>
      <c r="WF119" s="5"/>
      <c r="WG119" s="5"/>
      <c r="WH119" s="5"/>
      <c r="WI119" s="5"/>
      <c r="WJ119" s="5"/>
      <c r="WK119" s="5"/>
      <c r="WL119" s="5"/>
      <c r="WM119" s="5"/>
      <c r="WN119" s="5"/>
      <c r="WO119" s="5"/>
      <c r="WP119" s="5"/>
      <c r="WQ119" s="5"/>
      <c r="WR119" s="5"/>
      <c r="WS119" s="5"/>
      <c r="WT119" s="5"/>
      <c r="WU119" s="5"/>
      <c r="WV119" s="5"/>
      <c r="WW119" s="5"/>
      <c r="WX119" s="5"/>
      <c r="WY119" s="5"/>
      <c r="WZ119" s="5"/>
      <c r="XA119" s="5"/>
      <c r="XB119" s="5"/>
      <c r="XC119" s="5"/>
      <c r="XD119" s="5"/>
      <c r="XE119" s="5"/>
      <c r="XF119" s="5"/>
      <c r="XG119" s="5"/>
      <c r="XH119" s="5"/>
      <c r="XI119" s="5"/>
      <c r="XJ119" s="5"/>
      <c r="XK119" s="5"/>
      <c r="XL119" s="5"/>
      <c r="XM119" s="5"/>
      <c r="XN119" s="5"/>
      <c r="XO119" s="5"/>
      <c r="XP119" s="5"/>
      <c r="XQ119" s="5"/>
      <c r="XR119" s="5"/>
      <c r="XS119" s="5"/>
      <c r="XT119" s="5"/>
      <c r="XU119" s="5"/>
      <c r="XV119" s="5"/>
      <c r="XW119" s="5"/>
      <c r="XX119" s="5"/>
      <c r="XY119" s="5"/>
      <c r="XZ119" s="5"/>
      <c r="YA119" s="5"/>
      <c r="YB119" s="5"/>
      <c r="YC119" s="5"/>
      <c r="YD119" s="5"/>
      <c r="YE119" s="5"/>
      <c r="YF119" s="5"/>
      <c r="YG119" s="5"/>
      <c r="YH119" s="5"/>
      <c r="YI119" s="5"/>
      <c r="YJ119" s="5"/>
      <c r="YK119" s="5"/>
      <c r="YL119" s="5"/>
      <c r="YM119" s="5"/>
      <c r="YN119" s="5"/>
      <c r="YO119" s="5"/>
      <c r="YP119" s="5"/>
      <c r="YQ119" s="5"/>
      <c r="YR119" s="5"/>
      <c r="YS119" s="5"/>
      <c r="YT119" s="5"/>
      <c r="YU119" s="5"/>
      <c r="YV119" s="5"/>
      <c r="YW119" s="5"/>
      <c r="YX119" s="5"/>
      <c r="YY119" s="5"/>
      <c r="YZ119" s="5"/>
    </row>
    <row r="123" spans="1:676">
      <c r="A123" s="16"/>
      <c r="B123" s="16" t="s">
        <v>295</v>
      </c>
      <c r="C123" s="16"/>
      <c r="D123" s="16"/>
      <c r="E123" s="16"/>
      <c r="F123" s="16"/>
      <c r="G123" s="16"/>
      <c r="H123" s="16"/>
      <c r="I123" s="16" t="s">
        <v>296</v>
      </c>
      <c r="J123" s="16"/>
      <c r="K123" s="16"/>
      <c r="L123" s="16"/>
      <c r="M123" s="16"/>
      <c r="N123" s="16"/>
      <c r="O123" s="16"/>
      <c r="P123" s="16"/>
      <c r="Q123" s="16"/>
    </row>
    <row r="124" spans="1:676">
      <c r="A124" s="16"/>
      <c r="B124" s="16" t="s">
        <v>297</v>
      </c>
      <c r="C124" s="16"/>
      <c r="D124" s="16"/>
      <c r="E124" s="16"/>
      <c r="F124" s="16"/>
      <c r="G124" s="16"/>
      <c r="H124" s="16"/>
      <c r="I124" s="16" t="s">
        <v>298</v>
      </c>
      <c r="J124" s="16"/>
      <c r="K124" s="16"/>
      <c r="L124" s="16"/>
      <c r="M124" s="16"/>
      <c r="N124" s="16"/>
      <c r="O124" s="16"/>
      <c r="P124" s="16"/>
      <c r="Q124" s="16"/>
    </row>
    <row r="125" spans="1:676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</row>
    <row r="126" spans="1:676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</row>
    <row r="127" spans="1:676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</row>
    <row r="128" spans="1:676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</row>
    <row r="129" spans="1:676">
      <c r="A129" s="16"/>
      <c r="B129" s="16" t="s">
        <v>299</v>
      </c>
      <c r="C129" s="16"/>
      <c r="D129" s="16"/>
      <c r="E129" s="16"/>
      <c r="F129" s="16"/>
      <c r="G129" s="16"/>
      <c r="H129" s="16"/>
      <c r="I129" s="16" t="s">
        <v>300</v>
      </c>
      <c r="J129" s="16"/>
      <c r="K129" s="16"/>
      <c r="L129" s="16"/>
      <c r="M129" s="16"/>
      <c r="N129" s="16"/>
      <c r="O129" s="16"/>
      <c r="P129" s="16"/>
      <c r="Q129" s="16"/>
    </row>
    <row r="130" spans="1:676">
      <c r="A130" s="16"/>
      <c r="B130" s="16" t="s">
        <v>301</v>
      </c>
      <c r="C130" s="16"/>
      <c r="D130" s="16"/>
      <c r="E130" s="16"/>
      <c r="F130" s="16"/>
      <c r="G130" s="16"/>
      <c r="H130" s="16"/>
      <c r="I130" s="16" t="s">
        <v>301</v>
      </c>
      <c r="J130" s="16"/>
      <c r="K130" s="16"/>
      <c r="L130" s="16"/>
      <c r="M130" s="16"/>
      <c r="N130" s="16"/>
      <c r="O130" s="16"/>
      <c r="P130" s="16"/>
      <c r="Q130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Januari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2019-12-31T10:01:49+07:00</dcterms:created>
  <dcterms:modified xsi:type="dcterms:W3CDTF">2019-12-31T10:01:49+07:00</dcterms:modified>
  <dc:title>Untitled Spreadsheet</dc:title>
  <dc:description/>
  <dc:subject/>
  <cp:keywords/>
  <cp:category/>
</cp:coreProperties>
</file>