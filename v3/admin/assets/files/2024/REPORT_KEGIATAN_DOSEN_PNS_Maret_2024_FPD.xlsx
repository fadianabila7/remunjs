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Mar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<sst xmlns="http://schemas.openxmlformats.org/spreadsheetml/2006/main" uniqueCount="242">
  <si>
    <t>KEMENTERIAN RISET, TEKNOLOGI DAN PENDIDIKAN TINGGI</t>
  </si>
  <si>
    <t>UNIVERSITAS RIAU</t>
  </si>
  <si>
    <t>FAKULTAS KEDOKTERAN</t>
  </si>
  <si>
    <t>Kampus Bina Widya Km 12,5 Simpang Baru Pekanbaru 28293</t>
  </si>
  <si>
    <t>Telepon (0761) 63266, Faksimile (0761) 63279</t>
  </si>
  <si>
    <t xml:space="preserve">Laman : www.unri.ac.id </t>
  </si>
  <si>
    <t>Bulan</t>
  </si>
  <si>
    <t>Maret 2024</t>
  </si>
  <si>
    <t>NO</t>
  </si>
  <si>
    <t>NIP</t>
  </si>
  <si>
    <t>NAMA</t>
  </si>
  <si>
    <t>PROGRAM STUDI</t>
  </si>
  <si>
    <t>GOLONGAN</t>
  </si>
  <si>
    <t>JABATAN FUNGSIONAL</t>
  </si>
  <si>
    <t>GRADE</t>
  </si>
  <si>
    <t>JABATAN STRUKTURAL</t>
  </si>
  <si>
    <t>SKS GAJI MAKS
(M)</t>
  </si>
  <si>
    <t>SKS KINERJA
MAKS
(N)</t>
  </si>
  <si>
    <t>SKS STRUKTURAL</t>
  </si>
  <si>
    <t>JUMLAH SKS BID. PENDIDIKAN</t>
  </si>
  <si>
    <t>JUMLAH SKS BID. PENELITIAN</t>
  </si>
  <si>
    <t>JUMLAH SKS BID. PENGABDIAN</t>
  </si>
  <si>
    <t>JUMLAH SKS BID. PENUNJANG</t>
  </si>
  <si>
    <t>JUMLAH SKS BID. NON STRUKTURAL</t>
  </si>
  <si>
    <t>JUMLAH SKS
(S)</t>
  </si>
  <si>
    <t>TOTAL SISA SKS
S.D BULAN SEBELUMNYA
(V)</t>
  </si>
  <si>
    <t>TOTAL SKS
(W = S + V)</t>
  </si>
  <si>
    <t>TOTAL SKS GAJI
(X = MIN(M,W), X &gt;=0)</t>
  </si>
  <si>
    <t>TOTAL SKS KINERJA
(Y = MIN(N,W), Y &gt;=0)</t>
  </si>
  <si>
    <t>TOTAL SISA
KELEBIHAN SKS
(Z=W-X-Y)</t>
  </si>
  <si>
    <t>SKS Gaji MAX 
Dari AWAL BULAN
(W)</t>
  </si>
  <si>
    <t>SKS KINERJA MAKS 
DARI AWAL BULAN
(X)</t>
  </si>
  <si>
    <t>TOTAL SKS GAJI
DARI AWAL BULAN
(Y=MIN(W,S)</t>
  </si>
  <si>
    <t>TOTAL SKS KINERJA
DARI AWAL BULAN
(Z=MIN(X,(S-Y))</t>
  </si>
  <si>
    <t>SISAKELEBIHAN SKS
DARI AWAL BULAN
(AA=S-(SUM(Y,Z)))</t>
  </si>
  <si>
    <t>SKS * GAJI</t>
  </si>
  <si>
    <t>SKS * KINERJA</t>
  </si>
  <si>
    <t>TOTAL
(AA=AB+AC)</t>
  </si>
  <si>
    <t>197606292001121003</t>
  </si>
  <si>
    <t>Prof. Dr. dr. Dedi Afandi, DFM, Sp.FM., Subsp.EM(K), MM, MARS.</t>
  </si>
  <si>
    <t>Profesi Dokter</t>
  </si>
  <si>
    <t>IV/d</t>
  </si>
  <si>
    <t>Profesor</t>
  </si>
  <si>
    <t>Direktur Pascasarjana Gol. IV</t>
  </si>
  <si>
    <t>197512152000121002</t>
  </si>
  <si>
    <t>Dr. ZAHTAMAL, S.K.M., M.Kes</t>
  </si>
  <si>
    <t>Kedokteran</t>
  </si>
  <si>
    <t>IV/a</t>
  </si>
  <si>
    <t>Lektor Kepala Gol. IV</t>
  </si>
  <si>
    <t>Tidak ada jabatan struktural Gol. IV</t>
  </si>
  <si>
    <t>197002052000032002</t>
  </si>
  <si>
    <t>Dr. dr. Elda Nazriati, M.Kes, Sp.KKLP</t>
  </si>
  <si>
    <t>197512182001122003</t>
  </si>
  <si>
    <t>Dr. dr. ISMAWATI, M.Biomed</t>
  </si>
  <si>
    <t>Wakil Dekan II B Gol. IV</t>
  </si>
  <si>
    <t>197109042000031001</t>
  </si>
  <si>
    <t>Dr. dr. M.Yulis Hamidy, M.Kes, M.Pd.Ked., Sp.KKLP</t>
  </si>
  <si>
    <t>IV/b</t>
  </si>
  <si>
    <t>197608272008011008</t>
  </si>
  <si>
    <t>Dr. dr.Tubagus Odih Rhomdani Wahid , SpBA Subsp Dig (K)., MKM., FISQua</t>
  </si>
  <si>
    <t>III/d</t>
  </si>
  <si>
    <t>Lektor Kepala Gol. III</t>
  </si>
  <si>
    <t>Wakil Dekan III B Gol. III</t>
  </si>
  <si>
    <t>197206222000122002</t>
  </si>
  <si>
    <t>dr. Arfianti, M.Biomed., M.Sc., Ph.D</t>
  </si>
  <si>
    <t xml:space="preserve">Dekan B Gol. IV </t>
  </si>
  <si>
    <t>197012252001122002</t>
  </si>
  <si>
    <t>drg. RITA ENDRIANI, M.Kes</t>
  </si>
  <si>
    <t>196905271999031004</t>
  </si>
  <si>
    <t>Dr. dr. DONEL S., Sp.OG(K)</t>
  </si>
  <si>
    <t>Lektor Gol. IV</t>
  </si>
  <si>
    <t>Koordinator Program Studi B Gol IV</t>
  </si>
  <si>
    <t>197706032002122008</t>
  </si>
  <si>
    <t>Dr. dr. Dewi Anggraini, Sp.MK (K)</t>
  </si>
  <si>
    <t>Lektor Gol. III</t>
  </si>
  <si>
    <t>Ketua Bagian FK Gol. III</t>
  </si>
  <si>
    <t>197602072001122001</t>
  </si>
  <si>
    <t>Dr. dr. Fatmawati, Sp.PK (K)</t>
  </si>
  <si>
    <t>III/b</t>
  </si>
  <si>
    <t>Tidak ada jabatan struktural Gol. III</t>
  </si>
  <si>
    <t>197405162003122002</t>
  </si>
  <si>
    <t>Dr. dr. Maya Savira, M.Kes</t>
  </si>
  <si>
    <t>III/c</t>
  </si>
  <si>
    <t>Wakil Dekan I B Gol. III</t>
  </si>
  <si>
    <t>197812202008121002</t>
  </si>
  <si>
    <t>Dr. dr. Riki Sukiandra, Sp.S</t>
  </si>
  <si>
    <t>199308312018031001</t>
  </si>
  <si>
    <t>Rahmat Azhari Kemal, M.Si</t>
  </si>
  <si>
    <t>Kepala Laboratorium Gol. III</t>
  </si>
  <si>
    <t>196604121997031005</t>
  </si>
  <si>
    <t>dr. AMRU SOFIAN, Sp.OG (K) Onk</t>
  </si>
  <si>
    <t>197903032014041001</t>
  </si>
  <si>
    <t>dr. Andrea Valentino, Sp.BS (K)</t>
  </si>
  <si>
    <t>197512272010122002</t>
  </si>
  <si>
    <t>dr. DANI ROSDIANA, Sp.PD</t>
  </si>
  <si>
    <t>Koordinator Program Studi A Gol III</t>
  </si>
  <si>
    <t>197807282005012002</t>
  </si>
  <si>
    <t>dr. DINA FAUZIA, Sp.FK</t>
  </si>
  <si>
    <t>198709202014041002</t>
  </si>
  <si>
    <t>dr. Darmawi, M.Biomed., PhD</t>
  </si>
  <si>
    <t>Koordinator Program Studi B Gol III</t>
  </si>
  <si>
    <t>198801252010121009</t>
  </si>
  <si>
    <t>dr. Desby Juananda, M.Sc., Sp.N</t>
  </si>
  <si>
    <t>198002182010121005</t>
  </si>
  <si>
    <t>dr. Dimas Pramita Nugraha, M.Sc</t>
  </si>
  <si>
    <t>197803062010121001</t>
  </si>
  <si>
    <t>dr. Dino Irawan, Sp.An</t>
  </si>
  <si>
    <t>196608121997031002</t>
  </si>
  <si>
    <t>dr. Edy Fakhrizal, Sp.OG (K)</t>
  </si>
  <si>
    <t>198008172006042002</t>
  </si>
  <si>
    <t>dr. Eka Bebasari, M.Sc</t>
  </si>
  <si>
    <t>197810072008012002</t>
  </si>
  <si>
    <t>dr. Elva Susanty, MKT, Sp.KKLP</t>
  </si>
  <si>
    <t>197405292003122001</t>
  </si>
  <si>
    <t>dr. Enikarmila Asni, M.Biomed., M.Med.Ed</t>
  </si>
  <si>
    <t>198002272005012002</t>
  </si>
  <si>
    <t>dr. Enny Lestari, Sp.S., M.Biomed</t>
  </si>
  <si>
    <t>197904072005012003</t>
  </si>
  <si>
    <t>dr. Esy Maryanti, M.Biomed., Sp.ParK</t>
  </si>
  <si>
    <t>Sekretaris Jurusan A Gol. III</t>
  </si>
  <si>
    <t>197305242006042001</t>
  </si>
  <si>
    <t>dr. FAUZIA ANDRINI DJOJOSUGITO, M.Kes</t>
  </si>
  <si>
    <t>197906142012121001</t>
  </si>
  <si>
    <t>dr. Firdaus, M.Med.Ed, Sp.KKLP</t>
  </si>
  <si>
    <t>197707012003122001</t>
  </si>
  <si>
    <t>dr. Handayani, MKK., Sp.KKLP</t>
  </si>
  <si>
    <t>196905272000121004</t>
  </si>
  <si>
    <t>dr. Hotber Edwin Rolan Pasaribu, M.Si.Med, Sp.A</t>
  </si>
  <si>
    <t>197506142003122002</t>
  </si>
  <si>
    <t>dr. Inayah, M.Sc</t>
  </si>
  <si>
    <t>196701072000121001</t>
  </si>
  <si>
    <t>dr. LAODE BURHANUDDIN, M.Kes</t>
  </si>
  <si>
    <t>Koordinator Pusat Gol. III</t>
  </si>
  <si>
    <t>197007222001122002</t>
  </si>
  <si>
    <t>dr. LILLY HASLINDA, M.Biomed</t>
  </si>
  <si>
    <t>198011122009121002</t>
  </si>
  <si>
    <t>dr. Mohammad Tegar Indrayana, Sp.FM</t>
  </si>
  <si>
    <t>197206132002121001</t>
  </si>
  <si>
    <t>dr. Mukhyarjon, Sp.PD., M.Biomed</t>
  </si>
  <si>
    <t>198003012005012001</t>
  </si>
  <si>
    <t>dr. RINA AMTARINA, M.Sc, Sp.KJ</t>
  </si>
  <si>
    <t>198112262008121002</t>
  </si>
  <si>
    <t>dr. Romy Deviandri, M.Kes-AIFO, Sp.OT (K)</t>
  </si>
  <si>
    <t>198604082012122002</t>
  </si>
  <si>
    <t>dr. Sari Harahap, M.Ked(PD)., Sp.PD-KKV</t>
  </si>
  <si>
    <t>Sekretaris SPI, BPU, Bagian FK dan Bagian FH Gol. III</t>
  </si>
  <si>
    <t>197906012003122002</t>
  </si>
  <si>
    <t>dr. Suri Dwi Lesmana, M.Biomed., Sp.ParK</t>
  </si>
  <si>
    <t>197509302005011001</t>
  </si>
  <si>
    <t>dr. Suyanto, MPH., Ph.D, Sp.KKLP</t>
  </si>
  <si>
    <t>197201292003121002</t>
  </si>
  <si>
    <t>dr. Winarto, M.Kes</t>
  </si>
  <si>
    <t>197008222000122001</t>
  </si>
  <si>
    <t>dr. Wiwit Ade Fidiawati, M.Biomed, Sp.PA</t>
  </si>
  <si>
    <t>198009202006042003</t>
  </si>
  <si>
    <t>dr. Yossi Maryanti, Sp.S., M.Biomed</t>
  </si>
  <si>
    <t>198102222006042002</t>
  </si>
  <si>
    <t>dr. Yulia Wardani, Sp.M</t>
  </si>
  <si>
    <t>197901292005011001</t>
  </si>
  <si>
    <t>dr. Zulharman, M.Med.Ed, Sp.KKLP</t>
  </si>
  <si>
    <t>198708232019032012</t>
  </si>
  <si>
    <t>Armoni Suci Dewi, MKM</t>
  </si>
  <si>
    <t>Asisten Ahli Gol. III</t>
  </si>
  <si>
    <t>197003011998032004</t>
  </si>
  <si>
    <t>Dr. dr. FACHRIANI PUTRI, MKM</t>
  </si>
  <si>
    <t xml:space="preserve">Asisten Ahli Gol. IV </t>
  </si>
  <si>
    <t>197306132002122001</t>
  </si>
  <si>
    <t>Dr. dr. Sri Wahyuni, M.Kes, Sp.KKLP</t>
  </si>
  <si>
    <t>197103222000122001</t>
  </si>
  <si>
    <t>Fifia Chandra, S.K.M., M.K.M</t>
  </si>
  <si>
    <t>199005012022032008</t>
  </si>
  <si>
    <t>Ridha Restila, M.K.M</t>
  </si>
  <si>
    <t>Dosen belum punya Jabatan Gol. III</t>
  </si>
  <si>
    <t>197909162008121001</t>
  </si>
  <si>
    <t>dr. Ade Wirdayanto, Sp.BS</t>
  </si>
  <si>
    <t>198909072022031007</t>
  </si>
  <si>
    <t>dr. Adri Yandra Hidayat, Sp.O.T</t>
  </si>
  <si>
    <t>197502152002122001</t>
  </si>
  <si>
    <t>dr. Alida Widiawaty, M.Biomed., Sp.KK</t>
  </si>
  <si>
    <t>Dosen Tugas Belajar Gol. III</t>
  </si>
  <si>
    <t>199307172019032021</t>
  </si>
  <si>
    <t>dr. Ariza Julia Paulina</t>
  </si>
  <si>
    <t>199406132019031010</t>
  </si>
  <si>
    <t>dr. Bayu Fajar Pratama</t>
  </si>
  <si>
    <t>197702052002121002</t>
  </si>
  <si>
    <t>dr. Chandra Wijaya, M.Biomed., Sp.JP</t>
  </si>
  <si>
    <t>199304242019032032</t>
  </si>
  <si>
    <t>dr. Dita Kartika Sari, M.Biomed</t>
  </si>
  <si>
    <t>197105282000121002</t>
  </si>
  <si>
    <t>dr. EDDY AHMAD SYAHPUTRA, SpB-KBD</t>
  </si>
  <si>
    <t>Dosen belum punya Jabatan Gol. IV</t>
  </si>
  <si>
    <t>199003022014041001</t>
  </si>
  <si>
    <t>dr. Fajri Marindra Siregar, M.Kom., M.Biomed</t>
  </si>
  <si>
    <t>198304132010121005</t>
  </si>
  <si>
    <t>dr. Hendra Asputra, Sp.PD</t>
  </si>
  <si>
    <t>197908032005012001</t>
  </si>
  <si>
    <t>dr. Huriatul Masdar, M.Sc</t>
  </si>
  <si>
    <t>197012062000121004</t>
  </si>
  <si>
    <t>dr. Ibrahim Irsan Nasution, Sp.THT-KL(K)</t>
  </si>
  <si>
    <t xml:space="preserve">Dosen Tugas Belajar Gol. IV </t>
  </si>
  <si>
    <t>198110132006042001</t>
  </si>
  <si>
    <t>dr. Ilhami Romus, Sp.PA</t>
  </si>
  <si>
    <t>199106262022031007</t>
  </si>
  <si>
    <t>dr. Indi Esha, M.Si., Sp.P(K)</t>
  </si>
  <si>
    <t>196908012000121001</t>
  </si>
  <si>
    <t>dr. Irwan, Sp.JP-FIHA</t>
  </si>
  <si>
    <t>197808012006041005</t>
  </si>
  <si>
    <t>dr. JOKO PITOYO, Sp.U</t>
  </si>
  <si>
    <t>198407222012122001</t>
  </si>
  <si>
    <t>dr. Jojor Sihotang, Sp.OG., M.Ked.Klin</t>
  </si>
  <si>
    <t>197101022005021001</t>
  </si>
  <si>
    <t>dr. LIGAT PRIBADI SEMBIRING, Sp.PD. FINASIM</t>
  </si>
  <si>
    <t>197703142010121003</t>
  </si>
  <si>
    <t>dr. Nicko Pisceski Kusika S, Sp.OG (K)</t>
  </si>
  <si>
    <t>198011022010121001</t>
  </si>
  <si>
    <t>dr. Nopian Hidayat, Sp.An (K)</t>
  </si>
  <si>
    <t>199208222019032029</t>
  </si>
  <si>
    <t>dr. Nurfi Pratiwi</t>
  </si>
  <si>
    <t>198708202012122003</t>
  </si>
  <si>
    <t>dr. Nurhasanah, Sp.GK</t>
  </si>
  <si>
    <t>197409212003121006</t>
  </si>
  <si>
    <t>dr. SURYA HAJAR FITRIADANA, Sp.P(K) FCCP</t>
  </si>
  <si>
    <t>Direktur RS Pendidikan Gol IV</t>
  </si>
  <si>
    <t>197507292009122001</t>
  </si>
  <si>
    <t>dr. Sri Melati Munir, Sp.P (K)</t>
  </si>
  <si>
    <t>198610112020122007</t>
  </si>
  <si>
    <t>dr. Ulfah, M.Sc</t>
  </si>
  <si>
    <t>198904102022031005</t>
  </si>
  <si>
    <t>dr. Wiwin Suhandri, Sp.OG</t>
  </si>
  <si>
    <t>197605062002122001</t>
  </si>
  <si>
    <t>dr. Yolazenia, M.Biomed, Sp.THT-KL</t>
  </si>
  <si>
    <t>197806172010122002</t>
  </si>
  <si>
    <t>dr. Yuni Eka Anggraini, M.Med.Ed, M.Sc, Sp.KK</t>
  </si>
  <si>
    <t>197408302005022004</t>
  </si>
  <si>
    <t>drg. YUSDIANA, M.Si</t>
  </si>
  <si>
    <t>Menyetujui,</t>
  </si>
  <si>
    <t>Pekanbaru, 8 Juni 2024</t>
  </si>
  <si>
    <t>Wakil Dekan Bidang Akademik</t>
  </si>
  <si>
    <t>Admin Fakultas</t>
  </si>
  <si>
    <t>(..............................................)</t>
  </si>
  <si>
    <t>( Admin Kedokteran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</si>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</sst>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88ce280"/>
        <bgColor rgb="FF000000"/>
      </patternFill>
    </fill>
    <fill>
      <patternFill patternType="solid">
        <fgColor rgb="3087CEFA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5" numFmtId="0" fillId="0" borderId="1" applyFont="1" applyNumberFormat="0" applyFill="0" applyBorder="1" applyAlignment="1">
      <alignment horizontal="left" vertical="bottom" textRotation="0" wrapText="true" shrinkToFit="false"/>
    </xf>
    <xf xfId="0" fontId="5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5" numFmtId="2" fillId="2" borderId="1" applyFont="1" applyNumberFormat="1" applyFill="1" applyBorder="1" applyAlignment="1">
      <alignment horizontal="center" vertical="bottom" textRotation="0" wrapText="true" shrinkToFit="false"/>
    </xf>
    <xf xfId="0" fontId="0" numFmtId="2" fillId="2" borderId="1" applyFont="0" applyNumberFormat="1" applyFill="1" applyBorder="1" applyAlignment="1">
      <alignment horizontal="center" vertical="bottom" textRotation="0" wrapText="true" shrinkToFit="false"/>
    </xf>
    <xf xfId="0" fontId="5" numFmtId="4" fillId="3" borderId="1" applyFont="1" applyNumberFormat="1" applyFill="1" applyBorder="1" applyAlignment="1">
      <alignment horizontal="center" vertical="bottom" textRotation="0" wrapText="true" shrinkToFit="false"/>
    </xf>
    <xf xfId="0" fontId="0" numFmtId="4" fillId="3" borderId="1" applyFont="0" applyNumberFormat="1" applyFill="1" applyBorder="1" applyAlignment="1">
      <alignment horizontal="center" vertical="bottom" textRotation="0" wrapText="tru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4fd1c4081be09ff7e7e76d4dfd665ea0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133475" cy="1143000"/>
    <xdr:pic>
      <xdr:nvPicPr>
        <xdr:cNvPr id="1" name="Sample image" descr="Sample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Z102"/>
  <sheetViews>
    <sheetView tabSelected="1" workbookViewId="0" showGridLines="true" showRowColHeaders="1">
      <selection activeCell="A95" sqref="A95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40" customWidth="true" style="0"/>
    <col min="4" max="4" width="25" customWidth="true" style="0"/>
    <col min="5" max="5" width="15" customWidth="true" style="0"/>
    <col min="6" max="6" width="33" customWidth="true" style="0"/>
    <col min="7" max="7" width="15" customWidth="true" style="0"/>
    <col min="8" max="8" width="35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  <col min="17" max="17" width="13" customWidth="true" style="0"/>
    <col min="18" max="18" width="13" customWidth="true" style="0"/>
    <col min="19" max="19" width="13" customWidth="true" style="0"/>
    <col min="20" max="20" width="13" customWidth="true" style="0"/>
    <col min="21" max="21" width="13" customWidth="true" style="0"/>
    <col min="22" max="22" width="13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</cols>
  <sheetData>
    <row r="1" spans="1:676">
      <c r="B1"/>
      <c r="C1" s="1" t="s">
        <v>0</v>
      </c>
    </row>
    <row r="2" spans="1:676">
      <c r="C2" s="1" t="s">
        <v>1</v>
      </c>
    </row>
    <row r="3" spans="1:676">
      <c r="C3" s="2" t="s">
        <v>2</v>
      </c>
    </row>
    <row r="4" spans="1:676">
      <c r="C4" s="3" t="s">
        <v>3</v>
      </c>
    </row>
    <row r="5" spans="1:676">
      <c r="C5" s="3" t="s">
        <v>4</v>
      </c>
    </row>
    <row r="6" spans="1:676">
      <c r="C6" s="3" t="s">
        <v>5</v>
      </c>
    </row>
    <row r="8" spans="1:676">
      <c r="B8" s="4" t="s">
        <v>6</v>
      </c>
      <c r="C8" s="4" t="s">
        <v>7</v>
      </c>
    </row>
    <row r="10" spans="1:676">
      <c r="A10" s="6" t="s">
        <v>8</v>
      </c>
      <c r="B10" s="6" t="s">
        <v>9</v>
      </c>
      <c r="C10" s="8" t="s">
        <v>10</v>
      </c>
      <c r="D10" s="6" t="s">
        <v>11</v>
      </c>
      <c r="E10" s="6" t="s">
        <v>12</v>
      </c>
      <c r="F10" s="6" t="s">
        <v>13</v>
      </c>
      <c r="G10" s="6" t="s">
        <v>14</v>
      </c>
      <c r="H10" s="6" t="s">
        <v>15</v>
      </c>
      <c r="I10" s="9" t="s">
        <v>16</v>
      </c>
      <c r="J10" s="9" t="s">
        <v>17</v>
      </c>
      <c r="K10" s="9" t="s">
        <v>18</v>
      </c>
      <c r="L10" s="9" t="s">
        <v>19</v>
      </c>
      <c r="M10" s="9" t="s">
        <v>20</v>
      </c>
      <c r="N10" s="9" t="s">
        <v>21</v>
      </c>
      <c r="O10" s="9" t="s">
        <v>22</v>
      </c>
      <c r="P10" s="9" t="s">
        <v>23</v>
      </c>
      <c r="Q10" s="9" t="s">
        <v>24</v>
      </c>
      <c r="R10" s="9" t="s">
        <v>25</v>
      </c>
      <c r="S10" s="9" t="s">
        <v>26</v>
      </c>
      <c r="T10" s="9" t="s">
        <v>27</v>
      </c>
      <c r="U10" s="9" t="s">
        <v>28</v>
      </c>
      <c r="V10" s="9" t="s">
        <v>29</v>
      </c>
      <c r="W10" s="12" t="s">
        <v>30</v>
      </c>
      <c r="X10" s="12" t="s">
        <v>31</v>
      </c>
      <c r="Y10" s="12" t="s">
        <v>32</v>
      </c>
      <c r="Z10" s="12" t="s">
        <v>33</v>
      </c>
      <c r="AA10" s="12" t="s">
        <v>34</v>
      </c>
      <c r="AB10" s="14" t="s">
        <v>35</v>
      </c>
      <c r="AC10" s="14" t="s">
        <v>36</v>
      </c>
      <c r="AD10" s="14" t="s">
        <v>37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</row>
    <row r="11" spans="1:676">
      <c r="A11" s="7">
        <v>1</v>
      </c>
      <c r="B11" s="7" t="s">
        <v>38</v>
      </c>
      <c r="C11" s="10" t="s">
        <v>39</v>
      </c>
      <c r="D11" s="7" t="s">
        <v>40</v>
      </c>
      <c r="E11" s="7" t="s">
        <v>41</v>
      </c>
      <c r="F11" s="7" t="s">
        <v>42</v>
      </c>
      <c r="G11" s="7"/>
      <c r="H11" s="7" t="s">
        <v>43</v>
      </c>
      <c r="I11" s="11">
        <v>2.67</v>
      </c>
      <c r="J11" s="11">
        <v>3</v>
      </c>
      <c r="K11" s="11">
        <v>1.67</v>
      </c>
      <c r="L11" s="11">
        <v>5.480000000000001</v>
      </c>
      <c r="M11" s="11">
        <v>0.24</v>
      </c>
      <c r="N11" s="11">
        <v>0</v>
      </c>
      <c r="O11" s="11">
        <v>2</v>
      </c>
      <c r="P11" s="11">
        <v>2.97</v>
      </c>
      <c r="Q11" s="11">
        <v>12.35999999999999</v>
      </c>
      <c r="R11" s="11">
        <v>25.81999999999999</v>
      </c>
      <c r="S11" s="11">
        <v>38.17999999999999</v>
      </c>
      <c r="T11" s="11">
        <v>2.67</v>
      </c>
      <c r="U11" s="11">
        <v>3</v>
      </c>
      <c r="V11" s="11">
        <v>32.50999999999998</v>
      </c>
      <c r="W11" s="13">
        <v>8.01</v>
      </c>
      <c r="X11" s="13">
        <v>9</v>
      </c>
      <c r="Y11" s="13" t="str">
        <f>MIN(W11,S11)</f>
        <v>0</v>
      </c>
      <c r="Z11" s="13" t="str">
        <f>MIN(X11,(S11-Y11))</f>
        <v>0</v>
      </c>
      <c r="AA11" s="13" t="str">
        <f>S11-SUM(Y11,Z11)</f>
        <v>0</v>
      </c>
      <c r="AB11" s="15"/>
      <c r="AC11" s="15"/>
      <c r="AD11" s="1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</row>
    <row r="12" spans="1:676">
      <c r="A12" s="7">
        <v>2</v>
      </c>
      <c r="B12" s="7" t="s">
        <v>44</v>
      </c>
      <c r="C12" s="10" t="s">
        <v>45</v>
      </c>
      <c r="D12" s="7" t="s">
        <v>46</v>
      </c>
      <c r="E12" s="7" t="s">
        <v>47</v>
      </c>
      <c r="F12" s="7" t="s">
        <v>48</v>
      </c>
      <c r="G12" s="7"/>
      <c r="H12" s="7" t="s">
        <v>49</v>
      </c>
      <c r="I12" s="11">
        <v>2</v>
      </c>
      <c r="J12" s="11">
        <v>3</v>
      </c>
      <c r="K12" s="11">
        <v>0</v>
      </c>
      <c r="L12" s="11">
        <v>3.040000000000001</v>
      </c>
      <c r="M12" s="11">
        <v>0.5600000000000001</v>
      </c>
      <c r="N12" s="11">
        <v>0</v>
      </c>
      <c r="O12" s="11">
        <v>0.7599999999999999</v>
      </c>
      <c r="P12" s="11">
        <v>2.62</v>
      </c>
      <c r="Q12" s="11">
        <v>6.979999999999997</v>
      </c>
      <c r="R12" s="11">
        <v>14.57999999999999</v>
      </c>
      <c r="S12" s="11">
        <v>21.55999999999999</v>
      </c>
      <c r="T12" s="11">
        <v>2</v>
      </c>
      <c r="U12" s="11">
        <v>3</v>
      </c>
      <c r="V12" s="11">
        <v>16.55999999999999</v>
      </c>
      <c r="W12" s="13">
        <v>6</v>
      </c>
      <c r="X12" s="13">
        <v>9</v>
      </c>
      <c r="Y12" s="13" t="str">
        <f>MIN(W12,S12)</f>
        <v>0</v>
      </c>
      <c r="Z12" s="13" t="str">
        <f>MIN(X12,(S12-Y12))</f>
        <v>0</v>
      </c>
      <c r="AA12" s="13" t="str">
        <f>S12-SUM(Y12,Z12)</f>
        <v>0</v>
      </c>
      <c r="AB12" s="15"/>
      <c r="AC12" s="15"/>
      <c r="AD12" s="1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</row>
    <row r="13" spans="1:676">
      <c r="A13" s="7">
        <v>3</v>
      </c>
      <c r="B13" s="7" t="s">
        <v>50</v>
      </c>
      <c r="C13" s="10" t="s">
        <v>51</v>
      </c>
      <c r="D13" s="7" t="s">
        <v>46</v>
      </c>
      <c r="E13" s="7" t="s">
        <v>47</v>
      </c>
      <c r="F13" s="7" t="s">
        <v>48</v>
      </c>
      <c r="G13" s="7"/>
      <c r="H13" s="7" t="s">
        <v>49</v>
      </c>
      <c r="I13" s="11">
        <v>2</v>
      </c>
      <c r="J13" s="11">
        <v>3</v>
      </c>
      <c r="K13" s="11">
        <v>0</v>
      </c>
      <c r="L13" s="11">
        <v>2.500000000000001</v>
      </c>
      <c r="M13" s="11">
        <v>0.32</v>
      </c>
      <c r="N13" s="11">
        <v>0</v>
      </c>
      <c r="O13" s="11">
        <v>0.6599999999999999</v>
      </c>
      <c r="P13" s="11">
        <v>2.91</v>
      </c>
      <c r="Q13" s="11">
        <v>6.390000000000001</v>
      </c>
      <c r="R13" s="11">
        <v>9.879999999999999</v>
      </c>
      <c r="S13" s="11">
        <v>16.27</v>
      </c>
      <c r="T13" s="11">
        <v>2</v>
      </c>
      <c r="U13" s="11">
        <v>3</v>
      </c>
      <c r="V13" s="11">
        <v>11.27</v>
      </c>
      <c r="W13" s="13">
        <v>6</v>
      </c>
      <c r="X13" s="13">
        <v>9</v>
      </c>
      <c r="Y13" s="13" t="str">
        <f>MIN(W13,S13)</f>
        <v>0</v>
      </c>
      <c r="Z13" s="13" t="str">
        <f>MIN(X13,(S13-Y13))</f>
        <v>0</v>
      </c>
      <c r="AA13" s="13" t="str">
        <f>S13-SUM(Y13,Z13)</f>
        <v>0</v>
      </c>
      <c r="AB13" s="15"/>
      <c r="AC13" s="15"/>
      <c r="AD13" s="1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</row>
    <row r="14" spans="1:676">
      <c r="A14" s="7">
        <v>4</v>
      </c>
      <c r="B14" s="7" t="s">
        <v>52</v>
      </c>
      <c r="C14" s="10" t="s">
        <v>53</v>
      </c>
      <c r="D14" s="7" t="s">
        <v>46</v>
      </c>
      <c r="E14" s="7" t="s">
        <v>47</v>
      </c>
      <c r="F14" s="7" t="s">
        <v>48</v>
      </c>
      <c r="G14" s="7"/>
      <c r="H14" s="7" t="s">
        <v>54</v>
      </c>
      <c r="I14" s="11">
        <v>2</v>
      </c>
      <c r="J14" s="11">
        <v>3</v>
      </c>
      <c r="K14" s="11">
        <v>1.33</v>
      </c>
      <c r="L14" s="11">
        <v>4.33</v>
      </c>
      <c r="M14" s="11">
        <v>0.48</v>
      </c>
      <c r="N14" s="11">
        <v>0</v>
      </c>
      <c r="O14" s="11">
        <v>1</v>
      </c>
      <c r="P14" s="11">
        <v>12.85</v>
      </c>
      <c r="Q14" s="11">
        <v>19.99</v>
      </c>
      <c r="R14" s="11">
        <v>36.33000000000001</v>
      </c>
      <c r="S14" s="11">
        <v>56.32000000000001</v>
      </c>
      <c r="T14" s="11">
        <v>2</v>
      </c>
      <c r="U14" s="11">
        <v>3</v>
      </c>
      <c r="V14" s="11">
        <v>51.32000000000001</v>
      </c>
      <c r="W14" s="13">
        <v>6</v>
      </c>
      <c r="X14" s="13">
        <v>9</v>
      </c>
      <c r="Y14" s="13" t="str">
        <f>MIN(W14,S14)</f>
        <v>0</v>
      </c>
      <c r="Z14" s="13" t="str">
        <f>MIN(X14,(S14-Y14))</f>
        <v>0</v>
      </c>
      <c r="AA14" s="13" t="str">
        <f>S14-SUM(Y14,Z14)</f>
        <v>0</v>
      </c>
      <c r="AB14" s="15"/>
      <c r="AC14" s="15"/>
      <c r="AD14" s="1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</row>
    <row r="15" spans="1:676">
      <c r="A15" s="7">
        <v>5</v>
      </c>
      <c r="B15" s="7" t="s">
        <v>55</v>
      </c>
      <c r="C15" s="10" t="s">
        <v>56</v>
      </c>
      <c r="D15" s="7" t="s">
        <v>46</v>
      </c>
      <c r="E15" s="7" t="s">
        <v>57</v>
      </c>
      <c r="F15" s="7" t="s">
        <v>48</v>
      </c>
      <c r="G15" s="7"/>
      <c r="H15" s="7" t="s">
        <v>49</v>
      </c>
      <c r="I15" s="11">
        <v>2</v>
      </c>
      <c r="J15" s="11">
        <v>3</v>
      </c>
      <c r="K15" s="11">
        <v>0</v>
      </c>
      <c r="L15" s="11">
        <v>2.640000000000001</v>
      </c>
      <c r="M15" s="11">
        <v>0.7199999999999999</v>
      </c>
      <c r="N15" s="11">
        <v>0</v>
      </c>
      <c r="O15" s="11">
        <v>0.88</v>
      </c>
      <c r="P15" s="11">
        <v>2.31</v>
      </c>
      <c r="Q15" s="11">
        <v>6.550000000000002</v>
      </c>
      <c r="R15" s="11">
        <v>12.14</v>
      </c>
      <c r="S15" s="11">
        <v>18.69</v>
      </c>
      <c r="T15" s="11">
        <v>2</v>
      </c>
      <c r="U15" s="11">
        <v>3</v>
      </c>
      <c r="V15" s="11">
        <v>13.69</v>
      </c>
      <c r="W15" s="13">
        <v>6</v>
      </c>
      <c r="X15" s="13">
        <v>9</v>
      </c>
      <c r="Y15" s="13" t="str">
        <f>MIN(W15,S15)</f>
        <v>0</v>
      </c>
      <c r="Z15" s="13" t="str">
        <f>MIN(X15,(S15-Y15))</f>
        <v>0</v>
      </c>
      <c r="AA15" s="13" t="str">
        <f>S15-SUM(Y15,Z15)</f>
        <v>0</v>
      </c>
      <c r="AB15" s="15"/>
      <c r="AC15" s="15"/>
      <c r="AD15" s="1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</row>
    <row r="16" spans="1:676">
      <c r="A16" s="7">
        <v>6</v>
      </c>
      <c r="B16" s="7" t="s">
        <v>58</v>
      </c>
      <c r="C16" s="10" t="s">
        <v>59</v>
      </c>
      <c r="D16" s="7" t="s">
        <v>40</v>
      </c>
      <c r="E16" s="7" t="s">
        <v>60</v>
      </c>
      <c r="F16" s="7" t="s">
        <v>61</v>
      </c>
      <c r="G16" s="7"/>
      <c r="H16" s="7" t="s">
        <v>62</v>
      </c>
      <c r="I16" s="11">
        <v>2</v>
      </c>
      <c r="J16" s="11">
        <v>3</v>
      </c>
      <c r="K16" s="11">
        <v>1.33</v>
      </c>
      <c r="L16" s="11">
        <v>5.190000000000003</v>
      </c>
      <c r="M16" s="11">
        <v>0.48</v>
      </c>
      <c r="N16" s="11">
        <v>0</v>
      </c>
      <c r="O16" s="11">
        <v>0.98</v>
      </c>
      <c r="P16" s="11">
        <v>13.68</v>
      </c>
      <c r="Q16" s="11">
        <v>21.66</v>
      </c>
      <c r="R16" s="11">
        <v>46.36000000000001</v>
      </c>
      <c r="S16" s="11">
        <v>68.02000000000001</v>
      </c>
      <c r="T16" s="11">
        <v>2</v>
      </c>
      <c r="U16" s="11">
        <v>3</v>
      </c>
      <c r="V16" s="11">
        <v>63.02000000000001</v>
      </c>
      <c r="W16" s="13">
        <v>6</v>
      </c>
      <c r="X16" s="13">
        <v>9</v>
      </c>
      <c r="Y16" s="13" t="str">
        <f>MIN(W16,S16)</f>
        <v>0</v>
      </c>
      <c r="Z16" s="13" t="str">
        <f>MIN(X16,(S16-Y16))</f>
        <v>0</v>
      </c>
      <c r="AA16" s="13" t="str">
        <f>S16-SUM(Y16,Z16)</f>
        <v>0</v>
      </c>
      <c r="AB16" s="15"/>
      <c r="AC16" s="15"/>
      <c r="AD16" s="1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</row>
    <row r="17" spans="1:676">
      <c r="A17" s="7">
        <v>7</v>
      </c>
      <c r="B17" s="7" t="s">
        <v>63</v>
      </c>
      <c r="C17" s="10" t="s">
        <v>64</v>
      </c>
      <c r="D17" s="7" t="s">
        <v>46</v>
      </c>
      <c r="E17" s="7" t="s">
        <v>47</v>
      </c>
      <c r="F17" s="7" t="s">
        <v>48</v>
      </c>
      <c r="G17" s="7"/>
      <c r="H17" s="7" t="s">
        <v>65</v>
      </c>
      <c r="I17" s="11">
        <v>2</v>
      </c>
      <c r="J17" s="11">
        <v>3</v>
      </c>
      <c r="K17" s="11">
        <v>1.67</v>
      </c>
      <c r="L17" s="11">
        <v>1.95</v>
      </c>
      <c r="M17" s="11">
        <v>0.78</v>
      </c>
      <c r="N17" s="11">
        <v>0</v>
      </c>
      <c r="O17" s="11">
        <v>1.26</v>
      </c>
      <c r="P17" s="11">
        <v>13.68</v>
      </c>
      <c r="Q17" s="11">
        <v>19.34</v>
      </c>
      <c r="R17" s="11">
        <v>35.31000000000001</v>
      </c>
      <c r="S17" s="11">
        <v>54.65000000000001</v>
      </c>
      <c r="T17" s="11">
        <v>2</v>
      </c>
      <c r="U17" s="11">
        <v>3</v>
      </c>
      <c r="V17" s="11">
        <v>49.65000000000001</v>
      </c>
      <c r="W17" s="13">
        <v>6</v>
      </c>
      <c r="X17" s="13">
        <v>9</v>
      </c>
      <c r="Y17" s="13" t="str">
        <f>MIN(W17,S17)</f>
        <v>0</v>
      </c>
      <c r="Z17" s="13" t="str">
        <f>MIN(X17,(S17-Y17))</f>
        <v>0</v>
      </c>
      <c r="AA17" s="13" t="str">
        <f>S17-SUM(Y17,Z17)</f>
        <v>0</v>
      </c>
      <c r="AB17" s="15"/>
      <c r="AC17" s="15"/>
      <c r="AD17" s="1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</row>
    <row r="18" spans="1:676">
      <c r="A18" s="7">
        <v>8</v>
      </c>
      <c r="B18" s="7" t="s">
        <v>66</v>
      </c>
      <c r="C18" s="10" t="s">
        <v>67</v>
      </c>
      <c r="D18" s="7" t="s">
        <v>46</v>
      </c>
      <c r="E18" s="7" t="s">
        <v>47</v>
      </c>
      <c r="F18" s="7" t="s">
        <v>48</v>
      </c>
      <c r="G18" s="7"/>
      <c r="H18" s="7" t="s">
        <v>49</v>
      </c>
      <c r="I18" s="11">
        <v>2</v>
      </c>
      <c r="J18" s="11">
        <v>3</v>
      </c>
      <c r="K18" s="11">
        <v>0</v>
      </c>
      <c r="L18" s="11">
        <v>3.940000000000001</v>
      </c>
      <c r="M18" s="11">
        <v>0.4</v>
      </c>
      <c r="N18" s="11">
        <v>0</v>
      </c>
      <c r="O18" s="11">
        <v>0.6799999999999999</v>
      </c>
      <c r="P18" s="11">
        <v>3.08</v>
      </c>
      <c r="Q18" s="11">
        <v>8.1</v>
      </c>
      <c r="R18" s="11">
        <v>12.89</v>
      </c>
      <c r="S18" s="11">
        <v>20.99</v>
      </c>
      <c r="T18" s="11">
        <v>2</v>
      </c>
      <c r="U18" s="11">
        <v>3</v>
      </c>
      <c r="V18" s="11">
        <v>15.99</v>
      </c>
      <c r="W18" s="13">
        <v>6</v>
      </c>
      <c r="X18" s="13">
        <v>9</v>
      </c>
      <c r="Y18" s="13" t="str">
        <f>MIN(W18,S18)</f>
        <v>0</v>
      </c>
      <c r="Z18" s="13" t="str">
        <f>MIN(X18,(S18-Y18))</f>
        <v>0</v>
      </c>
      <c r="AA18" s="13" t="str">
        <f>S18-SUM(Y18,Z18)</f>
        <v>0</v>
      </c>
      <c r="AB18" s="15"/>
      <c r="AC18" s="15"/>
      <c r="AD18" s="1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</row>
    <row r="19" spans="1:676">
      <c r="A19" s="7">
        <v>9</v>
      </c>
      <c r="B19" s="7" t="s">
        <v>68</v>
      </c>
      <c r="C19" s="10" t="s">
        <v>69</v>
      </c>
      <c r="D19" s="7" t="s">
        <v>46</v>
      </c>
      <c r="E19" s="7" t="s">
        <v>57</v>
      </c>
      <c r="F19" s="7" t="s">
        <v>70</v>
      </c>
      <c r="G19" s="7"/>
      <c r="H19" s="7" t="s">
        <v>71</v>
      </c>
      <c r="I19" s="11">
        <v>2</v>
      </c>
      <c r="J19" s="11">
        <v>3</v>
      </c>
      <c r="K19" s="11">
        <v>0.95</v>
      </c>
      <c r="L19" s="11">
        <v>4.390000000000001</v>
      </c>
      <c r="M19" s="11">
        <v>0.32</v>
      </c>
      <c r="N19" s="11">
        <v>0</v>
      </c>
      <c r="O19" s="11">
        <v>0.46</v>
      </c>
      <c r="P19" s="11">
        <v>1.48</v>
      </c>
      <c r="Q19" s="11">
        <v>7.600000000000003</v>
      </c>
      <c r="R19" s="11">
        <v>22.40000000000001</v>
      </c>
      <c r="S19" s="11">
        <v>30.00000000000001</v>
      </c>
      <c r="T19" s="11">
        <v>2</v>
      </c>
      <c r="U19" s="11">
        <v>3</v>
      </c>
      <c r="V19" s="11">
        <v>25.00000000000001</v>
      </c>
      <c r="W19" s="13">
        <v>6</v>
      </c>
      <c r="X19" s="13">
        <v>9</v>
      </c>
      <c r="Y19" s="13" t="str">
        <f>MIN(W19,S19)</f>
        <v>0</v>
      </c>
      <c r="Z19" s="13" t="str">
        <f>MIN(X19,(S19-Y19))</f>
        <v>0</v>
      </c>
      <c r="AA19" s="13" t="str">
        <f>S19-SUM(Y19,Z19)</f>
        <v>0</v>
      </c>
      <c r="AB19" s="15"/>
      <c r="AC19" s="15"/>
      <c r="AD19" s="1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</row>
    <row r="20" spans="1:676">
      <c r="A20" s="7">
        <v>10</v>
      </c>
      <c r="B20" s="7" t="s">
        <v>72</v>
      </c>
      <c r="C20" s="10" t="s">
        <v>73</v>
      </c>
      <c r="D20" s="7" t="s">
        <v>46</v>
      </c>
      <c r="E20" s="7" t="s">
        <v>60</v>
      </c>
      <c r="F20" s="7" t="s">
        <v>74</v>
      </c>
      <c r="G20" s="7"/>
      <c r="H20" s="7" t="s">
        <v>75</v>
      </c>
      <c r="I20" s="11">
        <v>2</v>
      </c>
      <c r="J20" s="11">
        <v>3</v>
      </c>
      <c r="K20" s="11">
        <v>0.83</v>
      </c>
      <c r="L20" s="11">
        <v>4.180000000000001</v>
      </c>
      <c r="M20" s="11">
        <v>0.64</v>
      </c>
      <c r="N20" s="11">
        <v>0</v>
      </c>
      <c r="O20" s="11">
        <v>0.41</v>
      </c>
      <c r="P20" s="11">
        <v>2.45</v>
      </c>
      <c r="Q20" s="11">
        <v>8.510000000000002</v>
      </c>
      <c r="R20" s="11">
        <v>15.22</v>
      </c>
      <c r="S20" s="11">
        <v>23.73</v>
      </c>
      <c r="T20" s="11">
        <v>2</v>
      </c>
      <c r="U20" s="11">
        <v>3</v>
      </c>
      <c r="V20" s="11">
        <v>18.73</v>
      </c>
      <c r="W20" s="13">
        <v>6</v>
      </c>
      <c r="X20" s="13">
        <v>9</v>
      </c>
      <c r="Y20" s="13" t="str">
        <f>MIN(W20,S20)</f>
        <v>0</v>
      </c>
      <c r="Z20" s="13" t="str">
        <f>MIN(X20,(S20-Y20))</f>
        <v>0</v>
      </c>
      <c r="AA20" s="13" t="str">
        <f>S20-SUM(Y20,Z20)</f>
        <v>0</v>
      </c>
      <c r="AB20" s="15"/>
      <c r="AC20" s="15"/>
      <c r="AD20" s="1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</row>
    <row r="21" spans="1:676">
      <c r="A21" s="7">
        <v>11</v>
      </c>
      <c r="B21" s="7" t="s">
        <v>76</v>
      </c>
      <c r="C21" s="10" t="s">
        <v>77</v>
      </c>
      <c r="D21" s="7" t="s">
        <v>46</v>
      </c>
      <c r="E21" s="7" t="s">
        <v>78</v>
      </c>
      <c r="F21" s="7" t="s">
        <v>74</v>
      </c>
      <c r="G21" s="7"/>
      <c r="H21" s="7" t="s">
        <v>79</v>
      </c>
      <c r="I21" s="11">
        <v>2</v>
      </c>
      <c r="J21" s="11">
        <v>3</v>
      </c>
      <c r="K21" s="11">
        <v>0</v>
      </c>
      <c r="L21" s="11">
        <v>4.149999999999999</v>
      </c>
      <c r="M21" s="11">
        <v>0.32</v>
      </c>
      <c r="N21" s="11">
        <v>0</v>
      </c>
      <c r="O21" s="11">
        <v>0.18</v>
      </c>
      <c r="P21" s="11">
        <v>1.31</v>
      </c>
      <c r="Q21" s="11">
        <v>5.96</v>
      </c>
      <c r="R21" s="11">
        <v>7.08</v>
      </c>
      <c r="S21" s="11">
        <v>13.04</v>
      </c>
      <c r="T21" s="11">
        <v>2</v>
      </c>
      <c r="U21" s="11">
        <v>3</v>
      </c>
      <c r="V21" s="11">
        <v>8.039999999999999</v>
      </c>
      <c r="W21" s="13">
        <v>6</v>
      </c>
      <c r="X21" s="13">
        <v>9</v>
      </c>
      <c r="Y21" s="13" t="str">
        <f>MIN(W21,S21)</f>
        <v>0</v>
      </c>
      <c r="Z21" s="13" t="str">
        <f>MIN(X21,(S21-Y21))</f>
        <v>0</v>
      </c>
      <c r="AA21" s="13" t="str">
        <f>S21-SUM(Y21,Z21)</f>
        <v>0</v>
      </c>
      <c r="AB21" s="15"/>
      <c r="AC21" s="15"/>
      <c r="AD21" s="1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</row>
    <row r="22" spans="1:676">
      <c r="A22" s="7">
        <v>12</v>
      </c>
      <c r="B22" s="7" t="s">
        <v>80</v>
      </c>
      <c r="C22" s="10" t="s">
        <v>81</v>
      </c>
      <c r="D22" s="7" t="s">
        <v>46</v>
      </c>
      <c r="E22" s="7" t="s">
        <v>82</v>
      </c>
      <c r="F22" s="7" t="s">
        <v>74</v>
      </c>
      <c r="G22" s="7"/>
      <c r="H22" s="7" t="s">
        <v>83</v>
      </c>
      <c r="I22" s="11">
        <v>2</v>
      </c>
      <c r="J22" s="11">
        <v>3</v>
      </c>
      <c r="K22" s="11">
        <v>1.33</v>
      </c>
      <c r="L22" s="11">
        <v>5.540000000000001</v>
      </c>
      <c r="M22" s="11">
        <v>0.64</v>
      </c>
      <c r="N22" s="11">
        <v>0</v>
      </c>
      <c r="O22" s="11">
        <v>1.27</v>
      </c>
      <c r="P22" s="11">
        <v>12.85</v>
      </c>
      <c r="Q22" s="11">
        <v>21.63</v>
      </c>
      <c r="R22" s="11">
        <v>35.76000000000001</v>
      </c>
      <c r="S22" s="11">
        <v>57.39000000000001</v>
      </c>
      <c r="T22" s="11">
        <v>2</v>
      </c>
      <c r="U22" s="11">
        <v>3</v>
      </c>
      <c r="V22" s="11">
        <v>52.39000000000001</v>
      </c>
      <c r="W22" s="13">
        <v>6</v>
      </c>
      <c r="X22" s="13">
        <v>9</v>
      </c>
      <c r="Y22" s="13" t="str">
        <f>MIN(W22,S22)</f>
        <v>0</v>
      </c>
      <c r="Z22" s="13" t="str">
        <f>MIN(X22,(S22-Y22))</f>
        <v>0</v>
      </c>
      <c r="AA22" s="13" t="str">
        <f>S22-SUM(Y22,Z22)</f>
        <v>0</v>
      </c>
      <c r="AB22" s="15"/>
      <c r="AC22" s="15"/>
      <c r="AD22" s="1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</row>
    <row r="23" spans="1:676">
      <c r="A23" s="7">
        <v>13</v>
      </c>
      <c r="B23" s="7" t="s">
        <v>84</v>
      </c>
      <c r="C23" s="10" t="s">
        <v>85</v>
      </c>
      <c r="D23" s="7" t="s">
        <v>40</v>
      </c>
      <c r="E23" s="7" t="s">
        <v>60</v>
      </c>
      <c r="F23" s="7" t="s">
        <v>74</v>
      </c>
      <c r="G23" s="7"/>
      <c r="H23" s="7" t="s">
        <v>75</v>
      </c>
      <c r="I23" s="11">
        <v>2</v>
      </c>
      <c r="J23" s="11">
        <v>3</v>
      </c>
      <c r="K23" s="11">
        <v>0.83</v>
      </c>
      <c r="L23" s="11">
        <v>2.410000000000001</v>
      </c>
      <c r="M23" s="11">
        <v>0.16</v>
      </c>
      <c r="N23" s="11">
        <v>0</v>
      </c>
      <c r="O23" s="11">
        <v>0.35</v>
      </c>
      <c r="P23" s="11">
        <v>1.65</v>
      </c>
      <c r="Q23" s="11">
        <v>5.400000000000001</v>
      </c>
      <c r="R23" s="11">
        <v>10.97</v>
      </c>
      <c r="S23" s="11">
        <v>16.37</v>
      </c>
      <c r="T23" s="11">
        <v>2</v>
      </c>
      <c r="U23" s="11">
        <v>3</v>
      </c>
      <c r="V23" s="11">
        <v>11.37</v>
      </c>
      <c r="W23" s="13">
        <v>6</v>
      </c>
      <c r="X23" s="13">
        <v>9</v>
      </c>
      <c r="Y23" s="13" t="str">
        <f>MIN(W23,S23)</f>
        <v>0</v>
      </c>
      <c r="Z23" s="13" t="str">
        <f>MIN(X23,(S23-Y23))</f>
        <v>0</v>
      </c>
      <c r="AA23" s="13" t="str">
        <f>S23-SUM(Y23,Z23)</f>
        <v>0</v>
      </c>
      <c r="AB23" s="15"/>
      <c r="AC23" s="15"/>
      <c r="AD23" s="1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</row>
    <row r="24" spans="1:676">
      <c r="A24" s="7">
        <v>14</v>
      </c>
      <c r="B24" s="7" t="s">
        <v>86</v>
      </c>
      <c r="C24" s="10" t="s">
        <v>87</v>
      </c>
      <c r="D24" s="7" t="s">
        <v>46</v>
      </c>
      <c r="E24" s="7" t="s">
        <v>78</v>
      </c>
      <c r="F24" s="7" t="s">
        <v>74</v>
      </c>
      <c r="G24" s="7"/>
      <c r="H24" s="7" t="s">
        <v>88</v>
      </c>
      <c r="I24" s="11">
        <v>2</v>
      </c>
      <c r="J24" s="11">
        <v>3</v>
      </c>
      <c r="K24" s="11">
        <v>0.95</v>
      </c>
      <c r="L24" s="11">
        <v>4.129999999999999</v>
      </c>
      <c r="M24" s="11">
        <v>0.48</v>
      </c>
      <c r="N24" s="11">
        <v>0</v>
      </c>
      <c r="O24" s="11">
        <v>0.48</v>
      </c>
      <c r="P24" s="11">
        <v>2.45</v>
      </c>
      <c r="Q24" s="11">
        <v>8.489999999999995</v>
      </c>
      <c r="R24" s="11">
        <v>14.2</v>
      </c>
      <c r="S24" s="11">
        <v>22.68999999999999</v>
      </c>
      <c r="T24" s="11">
        <v>2</v>
      </c>
      <c r="U24" s="11">
        <v>3</v>
      </c>
      <c r="V24" s="11">
        <v>17.68999999999999</v>
      </c>
      <c r="W24" s="13">
        <v>6</v>
      </c>
      <c r="X24" s="13">
        <v>9</v>
      </c>
      <c r="Y24" s="13" t="str">
        <f>MIN(W24,S24)</f>
        <v>0</v>
      </c>
      <c r="Z24" s="13" t="str">
        <f>MIN(X24,(S24-Y24))</f>
        <v>0</v>
      </c>
      <c r="AA24" s="13" t="str">
        <f>S24-SUM(Y24,Z24)</f>
        <v>0</v>
      </c>
      <c r="AB24" s="15"/>
      <c r="AC24" s="15"/>
      <c r="AD24" s="1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</row>
    <row r="25" spans="1:676">
      <c r="A25" s="7">
        <v>15</v>
      </c>
      <c r="B25" s="7" t="s">
        <v>89</v>
      </c>
      <c r="C25" s="10" t="s">
        <v>90</v>
      </c>
      <c r="D25" s="7" t="s">
        <v>46</v>
      </c>
      <c r="E25" s="7" t="s">
        <v>82</v>
      </c>
      <c r="F25" s="7" t="s">
        <v>74</v>
      </c>
      <c r="G25" s="7"/>
      <c r="H25" s="7" t="s">
        <v>79</v>
      </c>
      <c r="I25" s="11">
        <v>2</v>
      </c>
      <c r="J25" s="11">
        <v>3</v>
      </c>
      <c r="K25" s="11">
        <v>0</v>
      </c>
      <c r="L25" s="11">
        <v>1.880000000000001</v>
      </c>
      <c r="M25" s="11">
        <v>0.16</v>
      </c>
      <c r="N25" s="11">
        <v>0</v>
      </c>
      <c r="O25" s="11">
        <v>0.18</v>
      </c>
      <c r="P25" s="11">
        <v>0.51</v>
      </c>
      <c r="Q25" s="11">
        <v>2.730000000000001</v>
      </c>
      <c r="R25" s="11">
        <v>4.510000000000002</v>
      </c>
      <c r="S25" s="11">
        <v>7.240000000000003</v>
      </c>
      <c r="T25" s="11">
        <v>2</v>
      </c>
      <c r="U25" s="11">
        <v>3</v>
      </c>
      <c r="V25" s="11">
        <v>2.240000000000003</v>
      </c>
      <c r="W25" s="13">
        <v>6</v>
      </c>
      <c r="X25" s="13">
        <v>9</v>
      </c>
      <c r="Y25" s="13" t="str">
        <f>MIN(W25,S25)</f>
        <v>0</v>
      </c>
      <c r="Z25" s="13" t="str">
        <f>MIN(X25,(S25-Y25))</f>
        <v>0</v>
      </c>
      <c r="AA25" s="13" t="str">
        <f>S25-SUM(Y25,Z25)</f>
        <v>0</v>
      </c>
      <c r="AB25" s="15"/>
      <c r="AC25" s="15"/>
      <c r="AD25" s="1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</row>
    <row r="26" spans="1:676">
      <c r="A26" s="7">
        <v>16</v>
      </c>
      <c r="B26" s="7" t="s">
        <v>91</v>
      </c>
      <c r="C26" s="10" t="s">
        <v>92</v>
      </c>
      <c r="D26" s="7" t="s">
        <v>40</v>
      </c>
      <c r="E26" s="7" t="s">
        <v>82</v>
      </c>
      <c r="F26" s="7" t="s">
        <v>74</v>
      </c>
      <c r="G26" s="7"/>
      <c r="H26" s="7" t="s">
        <v>79</v>
      </c>
      <c r="I26" s="11">
        <v>2</v>
      </c>
      <c r="J26" s="11">
        <v>3</v>
      </c>
      <c r="K26" s="11">
        <v>0</v>
      </c>
      <c r="L26" s="11">
        <v>5.160000000000003</v>
      </c>
      <c r="M26" s="11">
        <v>0.24</v>
      </c>
      <c r="N26" s="11">
        <v>0</v>
      </c>
      <c r="O26" s="11">
        <v>0.2</v>
      </c>
      <c r="P26" s="11">
        <v>0.68</v>
      </c>
      <c r="Q26" s="11">
        <v>6.280000000000003</v>
      </c>
      <c r="R26" s="11">
        <v>18.42000000000001</v>
      </c>
      <c r="S26" s="11">
        <v>24.70000000000001</v>
      </c>
      <c r="T26" s="11">
        <v>2</v>
      </c>
      <c r="U26" s="11">
        <v>3</v>
      </c>
      <c r="V26" s="11">
        <v>19.70000000000001</v>
      </c>
      <c r="W26" s="13">
        <v>6</v>
      </c>
      <c r="X26" s="13">
        <v>9</v>
      </c>
      <c r="Y26" s="13" t="str">
        <f>MIN(W26,S26)</f>
        <v>0</v>
      </c>
      <c r="Z26" s="13" t="str">
        <f>MIN(X26,(S26-Y26))</f>
        <v>0</v>
      </c>
      <c r="AA26" s="13" t="str">
        <f>S26-SUM(Y26,Z26)</f>
        <v>0</v>
      </c>
      <c r="AB26" s="15"/>
      <c r="AC26" s="15"/>
      <c r="AD26" s="1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</row>
    <row r="27" spans="1:676">
      <c r="A27" s="7">
        <v>17</v>
      </c>
      <c r="B27" s="7" t="s">
        <v>93</v>
      </c>
      <c r="C27" s="10" t="s">
        <v>94</v>
      </c>
      <c r="D27" s="7" t="s">
        <v>40</v>
      </c>
      <c r="E27" s="7" t="s">
        <v>60</v>
      </c>
      <c r="F27" s="7" t="s">
        <v>74</v>
      </c>
      <c r="G27" s="7"/>
      <c r="H27" s="7" t="s">
        <v>95</v>
      </c>
      <c r="I27" s="11">
        <v>2</v>
      </c>
      <c r="J27" s="11">
        <v>3</v>
      </c>
      <c r="K27" s="11">
        <v>0.95</v>
      </c>
      <c r="L27" s="11">
        <v>6.750000000000004</v>
      </c>
      <c r="M27" s="11">
        <v>0.32</v>
      </c>
      <c r="N27" s="11">
        <v>0</v>
      </c>
      <c r="O27" s="11">
        <v>0.36</v>
      </c>
      <c r="P27" s="11">
        <v>2.11</v>
      </c>
      <c r="Q27" s="11">
        <v>10.49</v>
      </c>
      <c r="R27" s="11">
        <v>11.93</v>
      </c>
      <c r="S27" s="11">
        <v>22.42</v>
      </c>
      <c r="T27" s="11">
        <v>2</v>
      </c>
      <c r="U27" s="11">
        <v>3</v>
      </c>
      <c r="V27" s="11">
        <v>17.42</v>
      </c>
      <c r="W27" s="13">
        <v>6</v>
      </c>
      <c r="X27" s="13">
        <v>9</v>
      </c>
      <c r="Y27" s="13" t="str">
        <f>MIN(W27,S27)</f>
        <v>0</v>
      </c>
      <c r="Z27" s="13" t="str">
        <f>MIN(X27,(S27-Y27))</f>
        <v>0</v>
      </c>
      <c r="AA27" s="13" t="str">
        <f>S27-SUM(Y27,Z27)</f>
        <v>0</v>
      </c>
      <c r="AB27" s="15"/>
      <c r="AC27" s="15"/>
      <c r="AD27" s="1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</row>
    <row r="28" spans="1:676">
      <c r="A28" s="7">
        <v>18</v>
      </c>
      <c r="B28" s="7" t="s">
        <v>96</v>
      </c>
      <c r="C28" s="10" t="s">
        <v>97</v>
      </c>
      <c r="D28" s="7" t="s">
        <v>46</v>
      </c>
      <c r="E28" s="7" t="s">
        <v>60</v>
      </c>
      <c r="F28" s="7" t="s">
        <v>74</v>
      </c>
      <c r="G28" s="7"/>
      <c r="H28" s="7" t="s">
        <v>79</v>
      </c>
      <c r="I28" s="11">
        <v>2</v>
      </c>
      <c r="J28" s="11">
        <v>3</v>
      </c>
      <c r="K28" s="11">
        <v>0</v>
      </c>
      <c r="L28" s="11">
        <v>1.56</v>
      </c>
      <c r="M28" s="11">
        <v>0.16</v>
      </c>
      <c r="N28" s="11">
        <v>0</v>
      </c>
      <c r="O28" s="11">
        <v>0.46</v>
      </c>
      <c r="P28" s="11">
        <v>1.14</v>
      </c>
      <c r="Q28" s="11">
        <v>3.320000000000001</v>
      </c>
      <c r="R28" s="11">
        <v>7.279999999999999</v>
      </c>
      <c r="S28" s="11">
        <v>10.6</v>
      </c>
      <c r="T28" s="11">
        <v>2</v>
      </c>
      <c r="U28" s="11">
        <v>3</v>
      </c>
      <c r="V28" s="11">
        <v>5.600000000000001</v>
      </c>
      <c r="W28" s="13">
        <v>6</v>
      </c>
      <c r="X28" s="13">
        <v>9</v>
      </c>
      <c r="Y28" s="13" t="str">
        <f>MIN(W28,S28)</f>
        <v>0</v>
      </c>
      <c r="Z28" s="13" t="str">
        <f>MIN(X28,(S28-Y28))</f>
        <v>0</v>
      </c>
      <c r="AA28" s="13" t="str">
        <f>S28-SUM(Y28,Z28)</f>
        <v>0</v>
      </c>
      <c r="AB28" s="15"/>
      <c r="AC28" s="15"/>
      <c r="AD28" s="1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</row>
    <row r="29" spans="1:676">
      <c r="A29" s="7">
        <v>19</v>
      </c>
      <c r="B29" s="7" t="s">
        <v>98</v>
      </c>
      <c r="C29" s="10" t="s">
        <v>99</v>
      </c>
      <c r="D29" s="7" t="s">
        <v>46</v>
      </c>
      <c r="E29" s="7" t="s">
        <v>82</v>
      </c>
      <c r="F29" s="7" t="s">
        <v>74</v>
      </c>
      <c r="G29" s="7"/>
      <c r="H29" s="7" t="s">
        <v>100</v>
      </c>
      <c r="I29" s="11">
        <v>2</v>
      </c>
      <c r="J29" s="11">
        <v>3</v>
      </c>
      <c r="K29" s="11">
        <v>0.95</v>
      </c>
      <c r="L29" s="11">
        <v>2.9</v>
      </c>
      <c r="M29" s="11">
        <v>1.04</v>
      </c>
      <c r="N29" s="11">
        <v>0</v>
      </c>
      <c r="O29" s="11">
        <v>0.38</v>
      </c>
      <c r="P29" s="11">
        <v>1.65</v>
      </c>
      <c r="Q29" s="11">
        <v>6.92</v>
      </c>
      <c r="R29" s="11">
        <v>13.05</v>
      </c>
      <c r="S29" s="11">
        <v>19.97</v>
      </c>
      <c r="T29" s="11">
        <v>2</v>
      </c>
      <c r="U29" s="11">
        <v>3</v>
      </c>
      <c r="V29" s="11">
        <v>14.97</v>
      </c>
      <c r="W29" s="13">
        <v>6</v>
      </c>
      <c r="X29" s="13">
        <v>9</v>
      </c>
      <c r="Y29" s="13" t="str">
        <f>MIN(W29,S29)</f>
        <v>0</v>
      </c>
      <c r="Z29" s="13" t="str">
        <f>MIN(X29,(S29-Y29))</f>
        <v>0</v>
      </c>
      <c r="AA29" s="13" t="str">
        <f>S29-SUM(Y29,Z29)</f>
        <v>0</v>
      </c>
      <c r="AB29" s="15"/>
      <c r="AC29" s="15"/>
      <c r="AD29" s="1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</row>
    <row r="30" spans="1:676">
      <c r="A30" s="7">
        <v>20</v>
      </c>
      <c r="B30" s="7" t="s">
        <v>101</v>
      </c>
      <c r="C30" s="10" t="s">
        <v>102</v>
      </c>
      <c r="D30" s="7" t="s">
        <v>46</v>
      </c>
      <c r="E30" s="7" t="s">
        <v>82</v>
      </c>
      <c r="F30" s="7" t="s">
        <v>74</v>
      </c>
      <c r="G30" s="7"/>
      <c r="H30" s="7" t="s">
        <v>79</v>
      </c>
      <c r="I30" s="11">
        <v>2</v>
      </c>
      <c r="J30" s="11">
        <v>3</v>
      </c>
      <c r="K30" s="11">
        <v>0</v>
      </c>
      <c r="L30" s="11">
        <v>3.500000000000002</v>
      </c>
      <c r="M30" s="11">
        <v>0.4</v>
      </c>
      <c r="N30" s="11">
        <v>0</v>
      </c>
      <c r="O30" s="11">
        <v>0.72</v>
      </c>
      <c r="P30" s="11">
        <v>2.28</v>
      </c>
      <c r="Q30" s="11">
        <v>6.9</v>
      </c>
      <c r="R30" s="11">
        <v>10.35</v>
      </c>
      <c r="S30" s="11">
        <v>17.25</v>
      </c>
      <c r="T30" s="11">
        <v>2</v>
      </c>
      <c r="U30" s="11">
        <v>3</v>
      </c>
      <c r="V30" s="11">
        <v>12.25</v>
      </c>
      <c r="W30" s="13">
        <v>6</v>
      </c>
      <c r="X30" s="13">
        <v>9</v>
      </c>
      <c r="Y30" s="13" t="str">
        <f>MIN(W30,S30)</f>
        <v>0</v>
      </c>
      <c r="Z30" s="13" t="str">
        <f>MIN(X30,(S30-Y30))</f>
        <v>0</v>
      </c>
      <c r="AA30" s="13" t="str">
        <f>S30-SUM(Y30,Z30)</f>
        <v>0</v>
      </c>
      <c r="AB30" s="15"/>
      <c r="AC30" s="15"/>
      <c r="AD30" s="1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</row>
    <row r="31" spans="1:676">
      <c r="A31" s="7">
        <v>21</v>
      </c>
      <c r="B31" s="7" t="s">
        <v>103</v>
      </c>
      <c r="C31" s="10" t="s">
        <v>104</v>
      </c>
      <c r="D31" s="7" t="s">
        <v>46</v>
      </c>
      <c r="E31" s="7" t="s">
        <v>82</v>
      </c>
      <c r="F31" s="7" t="s">
        <v>74</v>
      </c>
      <c r="G31" s="7"/>
      <c r="H31" s="7" t="s">
        <v>79</v>
      </c>
      <c r="I31" s="11">
        <v>2</v>
      </c>
      <c r="J31" s="11">
        <v>3</v>
      </c>
      <c r="K31" s="11">
        <v>0</v>
      </c>
      <c r="L31" s="11">
        <v>3.610000000000002</v>
      </c>
      <c r="M31" s="11">
        <v>0.4</v>
      </c>
      <c r="N31" s="11">
        <v>0</v>
      </c>
      <c r="O31" s="11">
        <v>0.65</v>
      </c>
      <c r="P31" s="11">
        <v>3.71</v>
      </c>
      <c r="Q31" s="11">
        <v>8.369999999999997</v>
      </c>
      <c r="R31" s="11">
        <v>13.47</v>
      </c>
      <c r="S31" s="11">
        <v>21.84</v>
      </c>
      <c r="T31" s="11">
        <v>2</v>
      </c>
      <c r="U31" s="11">
        <v>3</v>
      </c>
      <c r="V31" s="11">
        <v>16.84</v>
      </c>
      <c r="W31" s="13">
        <v>6</v>
      </c>
      <c r="X31" s="13">
        <v>9</v>
      </c>
      <c r="Y31" s="13" t="str">
        <f>MIN(W31,S31)</f>
        <v>0</v>
      </c>
      <c r="Z31" s="13" t="str">
        <f>MIN(X31,(S31-Y31))</f>
        <v>0</v>
      </c>
      <c r="AA31" s="13" t="str">
        <f>S31-SUM(Y31,Z31)</f>
        <v>0</v>
      </c>
      <c r="AB31" s="15"/>
      <c r="AC31" s="15"/>
      <c r="AD31" s="1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</row>
    <row r="32" spans="1:676">
      <c r="A32" s="7">
        <v>22</v>
      </c>
      <c r="B32" s="7" t="s">
        <v>105</v>
      </c>
      <c r="C32" s="10" t="s">
        <v>106</v>
      </c>
      <c r="D32" s="7" t="s">
        <v>40</v>
      </c>
      <c r="E32" s="7" t="s">
        <v>82</v>
      </c>
      <c r="F32" s="7" t="s">
        <v>74</v>
      </c>
      <c r="G32" s="7"/>
      <c r="H32" s="7" t="s">
        <v>79</v>
      </c>
      <c r="I32" s="11">
        <v>2</v>
      </c>
      <c r="J32" s="11">
        <v>3</v>
      </c>
      <c r="K32" s="11">
        <v>0</v>
      </c>
      <c r="L32" s="11">
        <v>3.800000000000002</v>
      </c>
      <c r="M32" s="11">
        <v>0.16</v>
      </c>
      <c r="N32" s="11">
        <v>0</v>
      </c>
      <c r="O32" s="11">
        <v>0.18</v>
      </c>
      <c r="P32" s="11">
        <v>1.31</v>
      </c>
      <c r="Q32" s="11">
        <v>5.450000000000003</v>
      </c>
      <c r="R32" s="11">
        <v>10.44</v>
      </c>
      <c r="S32" s="11">
        <v>15.89000000000001</v>
      </c>
      <c r="T32" s="11">
        <v>2</v>
      </c>
      <c r="U32" s="11">
        <v>3</v>
      </c>
      <c r="V32" s="11">
        <v>10.89000000000001</v>
      </c>
      <c r="W32" s="13">
        <v>6</v>
      </c>
      <c r="X32" s="13">
        <v>9</v>
      </c>
      <c r="Y32" s="13" t="str">
        <f>MIN(W32,S32)</f>
        <v>0</v>
      </c>
      <c r="Z32" s="13" t="str">
        <f>MIN(X32,(S32-Y32))</f>
        <v>0</v>
      </c>
      <c r="AA32" s="13" t="str">
        <f>S32-SUM(Y32,Z32)</f>
        <v>0</v>
      </c>
      <c r="AB32" s="15"/>
      <c r="AC32" s="15"/>
      <c r="AD32" s="1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</row>
    <row r="33" spans="1:676">
      <c r="A33" s="7">
        <v>23</v>
      </c>
      <c r="B33" s="7" t="s">
        <v>107</v>
      </c>
      <c r="C33" s="10" t="s">
        <v>108</v>
      </c>
      <c r="D33" s="7" t="s">
        <v>40</v>
      </c>
      <c r="E33" s="7" t="s">
        <v>60</v>
      </c>
      <c r="F33" s="7" t="s">
        <v>74</v>
      </c>
      <c r="G33" s="7"/>
      <c r="H33" s="7" t="s">
        <v>79</v>
      </c>
      <c r="I33" s="11">
        <v>2</v>
      </c>
      <c r="J33" s="11">
        <v>3</v>
      </c>
      <c r="K33" s="11">
        <v>0</v>
      </c>
      <c r="L33" s="11">
        <v>4.760000000000002</v>
      </c>
      <c r="M33" s="11">
        <v>0.48</v>
      </c>
      <c r="N33" s="11">
        <v>0</v>
      </c>
      <c r="O33" s="11">
        <v>0.18</v>
      </c>
      <c r="P33" s="11">
        <v>1.77</v>
      </c>
      <c r="Q33" s="11">
        <v>7.190000000000004</v>
      </c>
      <c r="R33" s="11">
        <v>15.6</v>
      </c>
      <c r="S33" s="11">
        <v>22.79000000000001</v>
      </c>
      <c r="T33" s="11">
        <v>2</v>
      </c>
      <c r="U33" s="11">
        <v>3</v>
      </c>
      <c r="V33" s="11">
        <v>17.79000000000001</v>
      </c>
      <c r="W33" s="13">
        <v>6</v>
      </c>
      <c r="X33" s="13">
        <v>9</v>
      </c>
      <c r="Y33" s="13" t="str">
        <f>MIN(W33,S33)</f>
        <v>0</v>
      </c>
      <c r="Z33" s="13" t="str">
        <f>MIN(X33,(S33-Y33))</f>
        <v>0</v>
      </c>
      <c r="AA33" s="13" t="str">
        <f>S33-SUM(Y33,Z33)</f>
        <v>0</v>
      </c>
      <c r="AB33" s="15"/>
      <c r="AC33" s="15"/>
      <c r="AD33" s="1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</row>
    <row r="34" spans="1:676">
      <c r="A34" s="7">
        <v>24</v>
      </c>
      <c r="B34" s="7" t="s">
        <v>109</v>
      </c>
      <c r="C34" s="10" t="s">
        <v>110</v>
      </c>
      <c r="D34" s="7" t="s">
        <v>46</v>
      </c>
      <c r="E34" s="7" t="s">
        <v>82</v>
      </c>
      <c r="F34" s="7" t="s">
        <v>74</v>
      </c>
      <c r="G34" s="7"/>
      <c r="H34" s="7" t="s">
        <v>95</v>
      </c>
      <c r="I34" s="11">
        <v>2</v>
      </c>
      <c r="J34" s="11">
        <v>3</v>
      </c>
      <c r="K34" s="11">
        <v>0.95</v>
      </c>
      <c r="L34" s="11">
        <v>1.54</v>
      </c>
      <c r="M34" s="11">
        <v>0.32</v>
      </c>
      <c r="N34" s="11">
        <v>0</v>
      </c>
      <c r="O34" s="11">
        <v>0.55</v>
      </c>
      <c r="P34" s="11">
        <v>1.48</v>
      </c>
      <c r="Q34" s="11">
        <v>4.840000000000002</v>
      </c>
      <c r="R34" s="11">
        <v>11.53</v>
      </c>
      <c r="S34" s="11">
        <v>16.37</v>
      </c>
      <c r="T34" s="11">
        <v>2</v>
      </c>
      <c r="U34" s="11">
        <v>3</v>
      </c>
      <c r="V34" s="11">
        <v>11.37</v>
      </c>
      <c r="W34" s="13">
        <v>6</v>
      </c>
      <c r="X34" s="13">
        <v>9</v>
      </c>
      <c r="Y34" s="13" t="str">
        <f>MIN(W34,S34)</f>
        <v>0</v>
      </c>
      <c r="Z34" s="13" t="str">
        <f>MIN(X34,(S34-Y34))</f>
        <v>0</v>
      </c>
      <c r="AA34" s="13" t="str">
        <f>S34-SUM(Y34,Z34)</f>
        <v>0</v>
      </c>
      <c r="AB34" s="15"/>
      <c r="AC34" s="15"/>
      <c r="AD34" s="1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</row>
    <row r="35" spans="1:676">
      <c r="A35" s="7">
        <v>25</v>
      </c>
      <c r="B35" s="7" t="s">
        <v>111</v>
      </c>
      <c r="C35" s="10" t="s">
        <v>112</v>
      </c>
      <c r="D35" s="7" t="s">
        <v>46</v>
      </c>
      <c r="E35" s="7" t="s">
        <v>82</v>
      </c>
      <c r="F35" s="7" t="s">
        <v>74</v>
      </c>
      <c r="G35" s="7"/>
      <c r="H35" s="7" t="s">
        <v>79</v>
      </c>
      <c r="I35" s="11">
        <v>2</v>
      </c>
      <c r="J35" s="11">
        <v>3</v>
      </c>
      <c r="K35" s="11">
        <v>0</v>
      </c>
      <c r="L35" s="11">
        <v>2.26</v>
      </c>
      <c r="M35" s="11">
        <v>0.32</v>
      </c>
      <c r="N35" s="11">
        <v>0</v>
      </c>
      <c r="O35" s="11">
        <v>0.45</v>
      </c>
      <c r="P35" s="11">
        <v>2.45</v>
      </c>
      <c r="Q35" s="11">
        <v>5.480000000000001</v>
      </c>
      <c r="R35" s="11">
        <v>9.590000000000002</v>
      </c>
      <c r="S35" s="11">
        <v>15.07</v>
      </c>
      <c r="T35" s="11">
        <v>2</v>
      </c>
      <c r="U35" s="11">
        <v>3</v>
      </c>
      <c r="V35" s="11">
        <v>10.07</v>
      </c>
      <c r="W35" s="13">
        <v>6</v>
      </c>
      <c r="X35" s="13">
        <v>9</v>
      </c>
      <c r="Y35" s="13" t="str">
        <f>MIN(W35,S35)</f>
        <v>0</v>
      </c>
      <c r="Z35" s="13" t="str">
        <f>MIN(X35,(S35-Y35))</f>
        <v>0</v>
      </c>
      <c r="AA35" s="13" t="str">
        <f>S35-SUM(Y35,Z35)</f>
        <v>0</v>
      </c>
      <c r="AB35" s="15"/>
      <c r="AC35" s="15"/>
      <c r="AD35" s="1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</row>
    <row r="36" spans="1:676">
      <c r="A36" s="7">
        <v>26</v>
      </c>
      <c r="B36" s="7" t="s">
        <v>113</v>
      </c>
      <c r="C36" s="10" t="s">
        <v>114</v>
      </c>
      <c r="D36" s="7" t="s">
        <v>46</v>
      </c>
      <c r="E36" s="7" t="s">
        <v>60</v>
      </c>
      <c r="F36" s="7" t="s">
        <v>74</v>
      </c>
      <c r="G36" s="7"/>
      <c r="H36" s="7" t="s">
        <v>100</v>
      </c>
      <c r="I36" s="11">
        <v>2</v>
      </c>
      <c r="J36" s="11">
        <v>3</v>
      </c>
      <c r="K36" s="11">
        <v>0.95</v>
      </c>
      <c r="L36" s="11">
        <v>2.100000000000001</v>
      </c>
      <c r="M36" s="11">
        <v>0.32</v>
      </c>
      <c r="N36" s="11">
        <v>0</v>
      </c>
      <c r="O36" s="11">
        <v>0.63</v>
      </c>
      <c r="P36" s="11">
        <v>2.11</v>
      </c>
      <c r="Q36" s="11">
        <v>6.11</v>
      </c>
      <c r="R36" s="11">
        <v>11.02</v>
      </c>
      <c r="S36" s="11">
        <v>17.13</v>
      </c>
      <c r="T36" s="11">
        <v>2</v>
      </c>
      <c r="U36" s="11">
        <v>3</v>
      </c>
      <c r="V36" s="11">
        <v>12.13</v>
      </c>
      <c r="W36" s="13">
        <v>6</v>
      </c>
      <c r="X36" s="13">
        <v>9</v>
      </c>
      <c r="Y36" s="13" t="str">
        <f>MIN(W36,S36)</f>
        <v>0</v>
      </c>
      <c r="Z36" s="13" t="str">
        <f>MIN(X36,(S36-Y36))</f>
        <v>0</v>
      </c>
      <c r="AA36" s="13" t="str">
        <f>S36-SUM(Y36,Z36)</f>
        <v>0</v>
      </c>
      <c r="AB36" s="15"/>
      <c r="AC36" s="15"/>
      <c r="AD36" s="1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</row>
    <row r="37" spans="1:676">
      <c r="A37" s="7">
        <v>27</v>
      </c>
      <c r="B37" s="7" t="s">
        <v>115</v>
      </c>
      <c r="C37" s="10" t="s">
        <v>116</v>
      </c>
      <c r="D37" s="7" t="s">
        <v>40</v>
      </c>
      <c r="E37" s="7" t="s">
        <v>82</v>
      </c>
      <c r="F37" s="7" t="s">
        <v>74</v>
      </c>
      <c r="G37" s="7"/>
      <c r="H37" s="7" t="s">
        <v>79</v>
      </c>
      <c r="I37" s="11">
        <v>2</v>
      </c>
      <c r="J37" s="11">
        <v>3</v>
      </c>
      <c r="K37" s="11">
        <v>0</v>
      </c>
      <c r="L37" s="11">
        <v>1.09</v>
      </c>
      <c r="M37" s="11">
        <v>0</v>
      </c>
      <c r="N37" s="11">
        <v>0</v>
      </c>
      <c r="O37" s="11">
        <v>0.44</v>
      </c>
      <c r="P37" s="11">
        <v>1.65</v>
      </c>
      <c r="Q37" s="11">
        <v>3.180000000000001</v>
      </c>
      <c r="R37" s="11">
        <v>6.250000000000002</v>
      </c>
      <c r="S37" s="11">
        <v>9.430000000000003</v>
      </c>
      <c r="T37" s="11">
        <v>2</v>
      </c>
      <c r="U37" s="11">
        <v>3</v>
      </c>
      <c r="V37" s="11">
        <v>4.430000000000003</v>
      </c>
      <c r="W37" s="13">
        <v>6</v>
      </c>
      <c r="X37" s="13">
        <v>9</v>
      </c>
      <c r="Y37" s="13" t="str">
        <f>MIN(W37,S37)</f>
        <v>0</v>
      </c>
      <c r="Z37" s="13" t="str">
        <f>MIN(X37,(S37-Y37))</f>
        <v>0</v>
      </c>
      <c r="AA37" s="13" t="str">
        <f>S37-SUM(Y37,Z37)</f>
        <v>0</v>
      </c>
      <c r="AB37" s="15"/>
      <c r="AC37" s="15"/>
      <c r="AD37" s="1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</row>
    <row r="38" spans="1:676">
      <c r="A38" s="7">
        <v>28</v>
      </c>
      <c r="B38" s="7" t="s">
        <v>117</v>
      </c>
      <c r="C38" s="10" t="s">
        <v>118</v>
      </c>
      <c r="D38" s="7" t="s">
        <v>46</v>
      </c>
      <c r="E38" s="7" t="s">
        <v>60</v>
      </c>
      <c r="F38" s="7" t="s">
        <v>74</v>
      </c>
      <c r="G38" s="7"/>
      <c r="H38" s="7" t="s">
        <v>119</v>
      </c>
      <c r="I38" s="11">
        <v>2</v>
      </c>
      <c r="J38" s="11">
        <v>3</v>
      </c>
      <c r="K38" s="11">
        <v>0.95</v>
      </c>
      <c r="L38" s="11">
        <v>2.190000000000001</v>
      </c>
      <c r="M38" s="11">
        <v>0.48</v>
      </c>
      <c r="N38" s="11">
        <v>0</v>
      </c>
      <c r="O38" s="11">
        <v>0.5800000000000001</v>
      </c>
      <c r="P38" s="11">
        <v>2.19</v>
      </c>
      <c r="Q38" s="11">
        <v>6.390000000000001</v>
      </c>
      <c r="R38" s="11">
        <v>12.64</v>
      </c>
      <c r="S38" s="11">
        <v>19.03</v>
      </c>
      <c r="T38" s="11">
        <v>2</v>
      </c>
      <c r="U38" s="11">
        <v>3</v>
      </c>
      <c r="V38" s="11">
        <v>14.03</v>
      </c>
      <c r="W38" s="13">
        <v>6</v>
      </c>
      <c r="X38" s="13">
        <v>9</v>
      </c>
      <c r="Y38" s="13" t="str">
        <f>MIN(W38,S38)</f>
        <v>0</v>
      </c>
      <c r="Z38" s="13" t="str">
        <f>MIN(X38,(S38-Y38))</f>
        <v>0</v>
      </c>
      <c r="AA38" s="13" t="str">
        <f>S38-SUM(Y38,Z38)</f>
        <v>0</v>
      </c>
      <c r="AB38" s="15"/>
      <c r="AC38" s="15"/>
      <c r="AD38" s="1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</row>
    <row r="39" spans="1:676">
      <c r="A39" s="7">
        <v>29</v>
      </c>
      <c r="B39" s="7" t="s">
        <v>120</v>
      </c>
      <c r="C39" s="10" t="s">
        <v>121</v>
      </c>
      <c r="D39" s="7" t="s">
        <v>46</v>
      </c>
      <c r="E39" s="7" t="s">
        <v>60</v>
      </c>
      <c r="F39" s="7" t="s">
        <v>74</v>
      </c>
      <c r="G39" s="7"/>
      <c r="H39" s="7" t="s">
        <v>79</v>
      </c>
      <c r="I39" s="11">
        <v>2</v>
      </c>
      <c r="J39" s="11">
        <v>3</v>
      </c>
      <c r="K39" s="11">
        <v>0</v>
      </c>
      <c r="L39" s="11">
        <v>0.2</v>
      </c>
      <c r="M39" s="11">
        <v>0</v>
      </c>
      <c r="N39" s="11">
        <v>0</v>
      </c>
      <c r="O39" s="11">
        <v>0</v>
      </c>
      <c r="P39" s="11">
        <v>0.8500000000000001</v>
      </c>
      <c r="Q39" s="11">
        <v>1.05</v>
      </c>
      <c r="R39" s="11">
        <v>3.68</v>
      </c>
      <c r="S39" s="11">
        <v>4.73</v>
      </c>
      <c r="T39" s="11">
        <v>2</v>
      </c>
      <c r="U39" s="11">
        <v>2.73</v>
      </c>
      <c r="V39" s="11">
        <v>0</v>
      </c>
      <c r="W39" s="13">
        <v>6</v>
      </c>
      <c r="X39" s="13">
        <v>9</v>
      </c>
      <c r="Y39" s="13" t="str">
        <f>MIN(W39,S39)</f>
        <v>0</v>
      </c>
      <c r="Z39" s="13" t="str">
        <f>MIN(X39,(S39-Y39))</f>
        <v>0</v>
      </c>
      <c r="AA39" s="13" t="str">
        <f>S39-SUM(Y39,Z39)</f>
        <v>0</v>
      </c>
      <c r="AB39" s="15"/>
      <c r="AC39" s="15"/>
      <c r="AD39" s="1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</row>
    <row r="40" spans="1:676">
      <c r="A40" s="7">
        <v>30</v>
      </c>
      <c r="B40" s="7" t="s">
        <v>122</v>
      </c>
      <c r="C40" s="10" t="s">
        <v>123</v>
      </c>
      <c r="D40" s="7" t="s">
        <v>46</v>
      </c>
      <c r="E40" s="7" t="s">
        <v>82</v>
      </c>
      <c r="F40" s="7" t="s">
        <v>74</v>
      </c>
      <c r="G40" s="7"/>
      <c r="H40" s="7" t="s">
        <v>79</v>
      </c>
      <c r="I40" s="11">
        <v>2</v>
      </c>
      <c r="J40" s="11">
        <v>3</v>
      </c>
      <c r="K40" s="11">
        <v>0</v>
      </c>
      <c r="L40" s="11">
        <v>2.950000000000002</v>
      </c>
      <c r="M40" s="11">
        <v>0.32</v>
      </c>
      <c r="N40" s="11">
        <v>0</v>
      </c>
      <c r="O40" s="11">
        <v>0.55</v>
      </c>
      <c r="P40" s="11">
        <v>2.62</v>
      </c>
      <c r="Q40" s="11">
        <v>6.44</v>
      </c>
      <c r="R40" s="11">
        <v>9.170000000000002</v>
      </c>
      <c r="S40" s="11">
        <v>15.61</v>
      </c>
      <c r="T40" s="11">
        <v>2</v>
      </c>
      <c r="U40" s="11">
        <v>3</v>
      </c>
      <c r="V40" s="11">
        <v>10.61</v>
      </c>
      <c r="W40" s="13">
        <v>6</v>
      </c>
      <c r="X40" s="13">
        <v>9</v>
      </c>
      <c r="Y40" s="13" t="str">
        <f>MIN(W40,S40)</f>
        <v>0</v>
      </c>
      <c r="Z40" s="13" t="str">
        <f>MIN(X40,(S40-Y40))</f>
        <v>0</v>
      </c>
      <c r="AA40" s="13" t="str">
        <f>S40-SUM(Y40,Z40)</f>
        <v>0</v>
      </c>
      <c r="AB40" s="15"/>
      <c r="AC40" s="15"/>
      <c r="AD40" s="1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</row>
    <row r="41" spans="1:676">
      <c r="A41" s="7">
        <v>31</v>
      </c>
      <c r="B41" s="7" t="s">
        <v>124</v>
      </c>
      <c r="C41" s="10" t="s">
        <v>125</v>
      </c>
      <c r="D41" s="7" t="s">
        <v>40</v>
      </c>
      <c r="E41" s="7" t="s">
        <v>82</v>
      </c>
      <c r="F41" s="7" t="s">
        <v>74</v>
      </c>
      <c r="G41" s="7"/>
      <c r="H41" s="7" t="s">
        <v>79</v>
      </c>
      <c r="I41" s="11">
        <v>2</v>
      </c>
      <c r="J41" s="11">
        <v>3</v>
      </c>
      <c r="K41" s="11">
        <v>0</v>
      </c>
      <c r="L41" s="11">
        <v>5.870000000000002</v>
      </c>
      <c r="M41" s="11">
        <v>1.14</v>
      </c>
      <c r="N41" s="11">
        <v>0</v>
      </c>
      <c r="O41" s="11">
        <v>0.18</v>
      </c>
      <c r="P41" s="11">
        <v>1.31</v>
      </c>
      <c r="Q41" s="11">
        <v>8.499999999999996</v>
      </c>
      <c r="R41" s="11">
        <v>13.48</v>
      </c>
      <c r="S41" s="11">
        <v>21.97999999999999</v>
      </c>
      <c r="T41" s="11">
        <v>2</v>
      </c>
      <c r="U41" s="11">
        <v>3</v>
      </c>
      <c r="V41" s="11">
        <v>16.97999999999999</v>
      </c>
      <c r="W41" s="13">
        <v>6</v>
      </c>
      <c r="X41" s="13">
        <v>9</v>
      </c>
      <c r="Y41" s="13" t="str">
        <f>MIN(W41,S41)</f>
        <v>0</v>
      </c>
      <c r="Z41" s="13" t="str">
        <f>MIN(X41,(S41-Y41))</f>
        <v>0</v>
      </c>
      <c r="AA41" s="13" t="str">
        <f>S41-SUM(Y41,Z41)</f>
        <v>0</v>
      </c>
      <c r="AB41" s="15"/>
      <c r="AC41" s="15"/>
      <c r="AD41" s="1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5"/>
      <c r="SR41" s="5"/>
      <c r="SS41" s="5"/>
      <c r="ST41" s="5"/>
      <c r="SU41" s="5"/>
      <c r="SV41" s="5"/>
      <c r="SW41" s="5"/>
      <c r="SX41" s="5"/>
      <c r="SY41" s="5"/>
      <c r="SZ41" s="5"/>
      <c r="TA41" s="5"/>
      <c r="TB41" s="5"/>
      <c r="TC41" s="5"/>
      <c r="TD41" s="5"/>
      <c r="TE41" s="5"/>
      <c r="TF41" s="5"/>
      <c r="TG41" s="5"/>
      <c r="TH41" s="5"/>
      <c r="TI41" s="5"/>
      <c r="TJ41" s="5"/>
      <c r="TK41" s="5"/>
      <c r="TL41" s="5"/>
      <c r="TM41" s="5"/>
      <c r="TN41" s="5"/>
      <c r="TO41" s="5"/>
      <c r="TP41" s="5"/>
      <c r="TQ41" s="5"/>
      <c r="TR41" s="5"/>
      <c r="TS41" s="5"/>
      <c r="TT41" s="5"/>
      <c r="TU41" s="5"/>
      <c r="TV41" s="5"/>
      <c r="TW41" s="5"/>
      <c r="TX41" s="5"/>
      <c r="TY41" s="5"/>
      <c r="TZ41" s="5"/>
      <c r="UA41" s="5"/>
      <c r="UB41" s="5"/>
      <c r="UC41" s="5"/>
      <c r="UD41" s="5"/>
      <c r="UE41" s="5"/>
      <c r="UF41" s="5"/>
      <c r="UG41" s="5"/>
      <c r="UH41" s="5"/>
      <c r="UI41" s="5"/>
      <c r="UJ41" s="5"/>
      <c r="UK41" s="5"/>
      <c r="UL41" s="5"/>
      <c r="UM41" s="5"/>
      <c r="UN41" s="5"/>
      <c r="UO41" s="5"/>
      <c r="UP41" s="5"/>
      <c r="UQ41" s="5"/>
      <c r="UR41" s="5"/>
      <c r="US41" s="5"/>
      <c r="UT41" s="5"/>
      <c r="UU41" s="5"/>
      <c r="UV41" s="5"/>
      <c r="UW41" s="5"/>
      <c r="UX41" s="5"/>
      <c r="UY41" s="5"/>
      <c r="UZ41" s="5"/>
      <c r="VA41" s="5"/>
      <c r="VB41" s="5"/>
      <c r="VC41" s="5"/>
      <c r="VD41" s="5"/>
      <c r="VE41" s="5"/>
      <c r="VF41" s="5"/>
      <c r="VG41" s="5"/>
      <c r="VH41" s="5"/>
      <c r="VI41" s="5"/>
      <c r="VJ41" s="5"/>
      <c r="VK41" s="5"/>
      <c r="VL41" s="5"/>
      <c r="VM41" s="5"/>
      <c r="VN41" s="5"/>
      <c r="VO41" s="5"/>
      <c r="VP41" s="5"/>
      <c r="VQ41" s="5"/>
      <c r="VR41" s="5"/>
      <c r="VS41" s="5"/>
      <c r="VT41" s="5"/>
      <c r="VU41" s="5"/>
      <c r="VV41" s="5"/>
      <c r="VW41" s="5"/>
      <c r="VX41" s="5"/>
      <c r="VY41" s="5"/>
      <c r="VZ41" s="5"/>
      <c r="WA41" s="5"/>
      <c r="WB41" s="5"/>
      <c r="WC41" s="5"/>
      <c r="WD41" s="5"/>
      <c r="WE41" s="5"/>
      <c r="WF41" s="5"/>
      <c r="WG41" s="5"/>
      <c r="WH41" s="5"/>
      <c r="WI41" s="5"/>
      <c r="WJ41" s="5"/>
      <c r="WK41" s="5"/>
      <c r="WL41" s="5"/>
      <c r="WM41" s="5"/>
      <c r="WN41" s="5"/>
      <c r="WO41" s="5"/>
      <c r="WP41" s="5"/>
      <c r="WQ41" s="5"/>
      <c r="WR41" s="5"/>
      <c r="WS41" s="5"/>
      <c r="WT41" s="5"/>
      <c r="WU41" s="5"/>
      <c r="WV41" s="5"/>
      <c r="WW41" s="5"/>
      <c r="WX41" s="5"/>
      <c r="WY41" s="5"/>
      <c r="WZ41" s="5"/>
      <c r="XA41" s="5"/>
      <c r="XB41" s="5"/>
      <c r="XC41" s="5"/>
      <c r="XD41" s="5"/>
      <c r="XE41" s="5"/>
      <c r="XF41" s="5"/>
      <c r="XG41" s="5"/>
      <c r="XH41" s="5"/>
      <c r="XI41" s="5"/>
      <c r="XJ41" s="5"/>
      <c r="XK41" s="5"/>
      <c r="XL41" s="5"/>
      <c r="XM41" s="5"/>
      <c r="XN41" s="5"/>
      <c r="XO41" s="5"/>
      <c r="XP41" s="5"/>
      <c r="XQ41" s="5"/>
      <c r="XR41" s="5"/>
      <c r="XS41" s="5"/>
      <c r="XT41" s="5"/>
      <c r="XU41" s="5"/>
      <c r="XV41" s="5"/>
      <c r="XW41" s="5"/>
      <c r="XX41" s="5"/>
      <c r="XY41" s="5"/>
      <c r="XZ41" s="5"/>
      <c r="YA41" s="5"/>
      <c r="YB41" s="5"/>
      <c r="YC41" s="5"/>
      <c r="YD41" s="5"/>
      <c r="YE41" s="5"/>
      <c r="YF41" s="5"/>
      <c r="YG41" s="5"/>
      <c r="YH41" s="5"/>
      <c r="YI41" s="5"/>
      <c r="YJ41" s="5"/>
      <c r="YK41" s="5"/>
      <c r="YL41" s="5"/>
      <c r="YM41" s="5"/>
      <c r="YN41" s="5"/>
      <c r="YO41" s="5"/>
      <c r="YP41" s="5"/>
      <c r="YQ41" s="5"/>
      <c r="YR41" s="5"/>
      <c r="YS41" s="5"/>
      <c r="YT41" s="5"/>
      <c r="YU41" s="5"/>
      <c r="YV41" s="5"/>
      <c r="YW41" s="5"/>
      <c r="YX41" s="5"/>
      <c r="YY41" s="5"/>
      <c r="YZ41" s="5"/>
    </row>
    <row r="42" spans="1:676">
      <c r="A42" s="7">
        <v>32</v>
      </c>
      <c r="B42" s="7" t="s">
        <v>126</v>
      </c>
      <c r="C42" s="10" t="s">
        <v>127</v>
      </c>
      <c r="D42" s="7" t="s">
        <v>40</v>
      </c>
      <c r="E42" s="7" t="s">
        <v>57</v>
      </c>
      <c r="F42" s="7" t="s">
        <v>70</v>
      </c>
      <c r="G42" s="7"/>
      <c r="H42" s="7" t="s">
        <v>49</v>
      </c>
      <c r="I42" s="11">
        <v>2</v>
      </c>
      <c r="J42" s="11">
        <v>3</v>
      </c>
      <c r="K42" s="11">
        <v>0</v>
      </c>
      <c r="L42" s="11">
        <v>3.780000000000002</v>
      </c>
      <c r="M42" s="11">
        <v>0</v>
      </c>
      <c r="N42" s="11">
        <v>0</v>
      </c>
      <c r="O42" s="11">
        <v>0.18</v>
      </c>
      <c r="P42" s="11">
        <v>0.51</v>
      </c>
      <c r="Q42" s="11">
        <v>4.470000000000002</v>
      </c>
      <c r="R42" s="11">
        <v>5.420000000000002</v>
      </c>
      <c r="S42" s="11">
        <v>9.890000000000004</v>
      </c>
      <c r="T42" s="11">
        <v>2</v>
      </c>
      <c r="U42" s="11">
        <v>3</v>
      </c>
      <c r="V42" s="11">
        <v>4.890000000000004</v>
      </c>
      <c r="W42" s="13">
        <v>6</v>
      </c>
      <c r="X42" s="13">
        <v>9</v>
      </c>
      <c r="Y42" s="13" t="str">
        <f>MIN(W42,S42)</f>
        <v>0</v>
      </c>
      <c r="Z42" s="13" t="str">
        <f>MIN(X42,(S42-Y42))</f>
        <v>0</v>
      </c>
      <c r="AA42" s="13" t="str">
        <f>S42-SUM(Y42,Z42)</f>
        <v>0</v>
      </c>
      <c r="AB42" s="15"/>
      <c r="AC42" s="15"/>
      <c r="AD42" s="1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  <c r="PX42" s="5"/>
      <c r="PY42" s="5"/>
      <c r="PZ42" s="5"/>
      <c r="QA42" s="5"/>
      <c r="QB42" s="5"/>
      <c r="QC42" s="5"/>
      <c r="QD42" s="5"/>
      <c r="QE42" s="5"/>
      <c r="QF42" s="5"/>
      <c r="QG42" s="5"/>
      <c r="QH42" s="5"/>
      <c r="QI42" s="5"/>
      <c r="QJ42" s="5"/>
      <c r="QK42" s="5"/>
      <c r="QL42" s="5"/>
      <c r="QM42" s="5"/>
      <c r="QN42" s="5"/>
      <c r="QO42" s="5"/>
      <c r="QP42" s="5"/>
      <c r="QQ42" s="5"/>
      <c r="QR42" s="5"/>
      <c r="QS42" s="5"/>
      <c r="QT42" s="5"/>
      <c r="QU42" s="5"/>
      <c r="QV42" s="5"/>
      <c r="QW42" s="5"/>
      <c r="QX42" s="5"/>
      <c r="QY42" s="5"/>
      <c r="QZ42" s="5"/>
      <c r="RA42" s="5"/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  <c r="SG42" s="5"/>
      <c r="SH42" s="5"/>
      <c r="SI42" s="5"/>
      <c r="SJ42" s="5"/>
      <c r="SK42" s="5"/>
      <c r="SL42" s="5"/>
      <c r="SM42" s="5"/>
      <c r="SN42" s="5"/>
      <c r="SO42" s="5"/>
      <c r="SP42" s="5"/>
      <c r="SQ42" s="5"/>
      <c r="SR42" s="5"/>
      <c r="SS42" s="5"/>
      <c r="ST42" s="5"/>
      <c r="SU42" s="5"/>
      <c r="SV42" s="5"/>
      <c r="SW42" s="5"/>
      <c r="SX42" s="5"/>
      <c r="SY42" s="5"/>
      <c r="SZ42" s="5"/>
      <c r="TA42" s="5"/>
      <c r="TB42" s="5"/>
      <c r="TC42" s="5"/>
      <c r="TD42" s="5"/>
      <c r="TE42" s="5"/>
      <c r="TF42" s="5"/>
      <c r="TG42" s="5"/>
      <c r="TH42" s="5"/>
      <c r="TI42" s="5"/>
      <c r="TJ42" s="5"/>
      <c r="TK42" s="5"/>
      <c r="TL42" s="5"/>
      <c r="TM42" s="5"/>
      <c r="TN42" s="5"/>
      <c r="TO42" s="5"/>
      <c r="TP42" s="5"/>
      <c r="TQ42" s="5"/>
      <c r="TR42" s="5"/>
      <c r="TS42" s="5"/>
      <c r="TT42" s="5"/>
      <c r="TU42" s="5"/>
      <c r="TV42" s="5"/>
      <c r="TW42" s="5"/>
      <c r="TX42" s="5"/>
      <c r="TY42" s="5"/>
      <c r="TZ42" s="5"/>
      <c r="UA42" s="5"/>
      <c r="UB42" s="5"/>
      <c r="UC42" s="5"/>
      <c r="UD42" s="5"/>
      <c r="UE42" s="5"/>
      <c r="UF42" s="5"/>
      <c r="UG42" s="5"/>
      <c r="UH42" s="5"/>
      <c r="UI42" s="5"/>
      <c r="UJ42" s="5"/>
      <c r="UK42" s="5"/>
      <c r="UL42" s="5"/>
      <c r="UM42" s="5"/>
      <c r="UN42" s="5"/>
      <c r="UO42" s="5"/>
      <c r="UP42" s="5"/>
      <c r="UQ42" s="5"/>
      <c r="UR42" s="5"/>
      <c r="US42" s="5"/>
      <c r="UT42" s="5"/>
      <c r="UU42" s="5"/>
      <c r="UV42" s="5"/>
      <c r="UW42" s="5"/>
      <c r="UX42" s="5"/>
      <c r="UY42" s="5"/>
      <c r="UZ42" s="5"/>
      <c r="VA42" s="5"/>
      <c r="VB42" s="5"/>
      <c r="VC42" s="5"/>
      <c r="VD42" s="5"/>
      <c r="VE42" s="5"/>
      <c r="VF42" s="5"/>
      <c r="VG42" s="5"/>
      <c r="VH42" s="5"/>
      <c r="VI42" s="5"/>
      <c r="VJ42" s="5"/>
      <c r="VK42" s="5"/>
      <c r="VL42" s="5"/>
      <c r="VM42" s="5"/>
      <c r="VN42" s="5"/>
      <c r="VO42" s="5"/>
      <c r="VP42" s="5"/>
      <c r="VQ42" s="5"/>
      <c r="VR42" s="5"/>
      <c r="VS42" s="5"/>
      <c r="VT42" s="5"/>
      <c r="VU42" s="5"/>
      <c r="VV42" s="5"/>
      <c r="VW42" s="5"/>
      <c r="VX42" s="5"/>
      <c r="VY42" s="5"/>
      <c r="VZ42" s="5"/>
      <c r="WA42" s="5"/>
      <c r="WB42" s="5"/>
      <c r="WC42" s="5"/>
      <c r="WD42" s="5"/>
      <c r="WE42" s="5"/>
      <c r="WF42" s="5"/>
      <c r="WG42" s="5"/>
      <c r="WH42" s="5"/>
      <c r="WI42" s="5"/>
      <c r="WJ42" s="5"/>
      <c r="WK42" s="5"/>
      <c r="WL42" s="5"/>
      <c r="WM42" s="5"/>
      <c r="WN42" s="5"/>
      <c r="WO42" s="5"/>
      <c r="WP42" s="5"/>
      <c r="WQ42" s="5"/>
      <c r="WR42" s="5"/>
      <c r="WS42" s="5"/>
      <c r="WT42" s="5"/>
      <c r="WU42" s="5"/>
      <c r="WV42" s="5"/>
      <c r="WW42" s="5"/>
      <c r="WX42" s="5"/>
      <c r="WY42" s="5"/>
      <c r="WZ42" s="5"/>
      <c r="XA42" s="5"/>
      <c r="XB42" s="5"/>
      <c r="XC42" s="5"/>
      <c r="XD42" s="5"/>
      <c r="XE42" s="5"/>
      <c r="XF42" s="5"/>
      <c r="XG42" s="5"/>
      <c r="XH42" s="5"/>
      <c r="XI42" s="5"/>
      <c r="XJ42" s="5"/>
      <c r="XK42" s="5"/>
      <c r="XL42" s="5"/>
      <c r="XM42" s="5"/>
      <c r="XN42" s="5"/>
      <c r="XO42" s="5"/>
      <c r="XP42" s="5"/>
      <c r="XQ42" s="5"/>
      <c r="XR42" s="5"/>
      <c r="XS42" s="5"/>
      <c r="XT42" s="5"/>
      <c r="XU42" s="5"/>
      <c r="XV42" s="5"/>
      <c r="XW42" s="5"/>
      <c r="XX42" s="5"/>
      <c r="XY42" s="5"/>
      <c r="XZ42" s="5"/>
      <c r="YA42" s="5"/>
      <c r="YB42" s="5"/>
      <c r="YC42" s="5"/>
      <c r="YD42" s="5"/>
      <c r="YE42" s="5"/>
      <c r="YF42" s="5"/>
      <c r="YG42" s="5"/>
      <c r="YH42" s="5"/>
      <c r="YI42" s="5"/>
      <c r="YJ42" s="5"/>
      <c r="YK42" s="5"/>
      <c r="YL42" s="5"/>
      <c r="YM42" s="5"/>
      <c r="YN42" s="5"/>
      <c r="YO42" s="5"/>
      <c r="YP42" s="5"/>
      <c r="YQ42" s="5"/>
      <c r="YR42" s="5"/>
      <c r="YS42" s="5"/>
      <c r="YT42" s="5"/>
      <c r="YU42" s="5"/>
      <c r="YV42" s="5"/>
      <c r="YW42" s="5"/>
      <c r="YX42" s="5"/>
      <c r="YY42" s="5"/>
      <c r="YZ42" s="5"/>
    </row>
    <row r="43" spans="1:676">
      <c r="A43" s="7">
        <v>33</v>
      </c>
      <c r="B43" s="7" t="s">
        <v>128</v>
      </c>
      <c r="C43" s="10" t="s">
        <v>129</v>
      </c>
      <c r="D43" s="7" t="s">
        <v>46</v>
      </c>
      <c r="E43" s="7" t="s">
        <v>82</v>
      </c>
      <c r="F43" s="7" t="s">
        <v>74</v>
      </c>
      <c r="G43" s="7"/>
      <c r="H43" s="7" t="s">
        <v>79</v>
      </c>
      <c r="I43" s="11">
        <v>2</v>
      </c>
      <c r="J43" s="11">
        <v>3</v>
      </c>
      <c r="K43" s="11">
        <v>0</v>
      </c>
      <c r="L43" s="11">
        <v>3.100000000000001</v>
      </c>
      <c r="M43" s="11">
        <v>0.16</v>
      </c>
      <c r="N43" s="11">
        <v>0</v>
      </c>
      <c r="O43" s="11">
        <v>1.18</v>
      </c>
      <c r="P43" s="11">
        <v>1.48</v>
      </c>
      <c r="Q43" s="11">
        <v>5.920000000000002</v>
      </c>
      <c r="R43" s="11">
        <v>8.880000000000003</v>
      </c>
      <c r="S43" s="11">
        <v>14.8</v>
      </c>
      <c r="T43" s="11">
        <v>2</v>
      </c>
      <c r="U43" s="11">
        <v>3</v>
      </c>
      <c r="V43" s="11">
        <v>9.800000000000004</v>
      </c>
      <c r="W43" s="13">
        <v>6</v>
      </c>
      <c r="X43" s="13">
        <v>9</v>
      </c>
      <c r="Y43" s="13" t="str">
        <f>MIN(W43,S43)</f>
        <v>0</v>
      </c>
      <c r="Z43" s="13" t="str">
        <f>MIN(X43,(S43-Y43))</f>
        <v>0</v>
      </c>
      <c r="AA43" s="13" t="str">
        <f>S43-SUM(Y43,Z43)</f>
        <v>0</v>
      </c>
      <c r="AB43" s="15"/>
      <c r="AC43" s="15"/>
      <c r="AD43" s="1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/>
      <c r="PH43" s="5"/>
      <c r="PI43" s="5"/>
      <c r="PJ43" s="5"/>
      <c r="PK43" s="5"/>
      <c r="PL43" s="5"/>
      <c r="PM43" s="5"/>
      <c r="PN43" s="5"/>
      <c r="PO43" s="5"/>
      <c r="PP43" s="5"/>
      <c r="PQ43" s="5"/>
      <c r="PR43" s="5"/>
      <c r="PS43" s="5"/>
      <c r="PT43" s="5"/>
      <c r="PU43" s="5"/>
      <c r="PV43" s="5"/>
      <c r="PW43" s="5"/>
      <c r="PX43" s="5"/>
      <c r="PY43" s="5"/>
      <c r="PZ43" s="5"/>
      <c r="QA43" s="5"/>
      <c r="QB43" s="5"/>
      <c r="QC43" s="5"/>
      <c r="QD43" s="5"/>
      <c r="QE43" s="5"/>
      <c r="QF43" s="5"/>
      <c r="QG43" s="5"/>
      <c r="QH43" s="5"/>
      <c r="QI43" s="5"/>
      <c r="QJ43" s="5"/>
      <c r="QK43" s="5"/>
      <c r="QL43" s="5"/>
      <c r="QM43" s="5"/>
      <c r="QN43" s="5"/>
      <c r="QO43" s="5"/>
      <c r="QP43" s="5"/>
      <c r="QQ43" s="5"/>
      <c r="QR43" s="5"/>
      <c r="QS43" s="5"/>
      <c r="QT43" s="5"/>
      <c r="QU43" s="5"/>
      <c r="QV43" s="5"/>
      <c r="QW43" s="5"/>
      <c r="QX43" s="5"/>
      <c r="QY43" s="5"/>
      <c r="QZ43" s="5"/>
      <c r="RA43" s="5"/>
      <c r="RB43" s="5"/>
      <c r="RC43" s="5"/>
      <c r="RD43" s="5"/>
      <c r="RE43" s="5"/>
      <c r="RF43" s="5"/>
      <c r="RG43" s="5"/>
      <c r="RH43" s="5"/>
      <c r="RI43" s="5"/>
      <c r="RJ43" s="5"/>
      <c r="RK43" s="5"/>
      <c r="RL43" s="5"/>
      <c r="RM43" s="5"/>
      <c r="RN43" s="5"/>
      <c r="RO43" s="5"/>
      <c r="RP43" s="5"/>
      <c r="RQ43" s="5"/>
      <c r="RR43" s="5"/>
      <c r="RS43" s="5"/>
      <c r="RT43" s="5"/>
      <c r="RU43" s="5"/>
      <c r="RV43" s="5"/>
      <c r="RW43" s="5"/>
      <c r="RX43" s="5"/>
      <c r="RY43" s="5"/>
      <c r="RZ43" s="5"/>
      <c r="SA43" s="5"/>
      <c r="SB43" s="5"/>
      <c r="SC43" s="5"/>
      <c r="SD43" s="5"/>
      <c r="SE43" s="5"/>
      <c r="SF43" s="5"/>
      <c r="SG43" s="5"/>
      <c r="SH43" s="5"/>
      <c r="SI43" s="5"/>
      <c r="SJ43" s="5"/>
      <c r="SK43" s="5"/>
      <c r="SL43" s="5"/>
      <c r="SM43" s="5"/>
      <c r="SN43" s="5"/>
      <c r="SO43" s="5"/>
      <c r="SP43" s="5"/>
      <c r="SQ43" s="5"/>
      <c r="SR43" s="5"/>
      <c r="SS43" s="5"/>
      <c r="ST43" s="5"/>
      <c r="SU43" s="5"/>
      <c r="SV43" s="5"/>
      <c r="SW43" s="5"/>
      <c r="SX43" s="5"/>
      <c r="SY43" s="5"/>
      <c r="SZ43" s="5"/>
      <c r="TA43" s="5"/>
      <c r="TB43" s="5"/>
      <c r="TC43" s="5"/>
      <c r="TD43" s="5"/>
      <c r="TE43" s="5"/>
      <c r="TF43" s="5"/>
      <c r="TG43" s="5"/>
      <c r="TH43" s="5"/>
      <c r="TI43" s="5"/>
      <c r="TJ43" s="5"/>
      <c r="TK43" s="5"/>
      <c r="TL43" s="5"/>
      <c r="TM43" s="5"/>
      <c r="TN43" s="5"/>
      <c r="TO43" s="5"/>
      <c r="TP43" s="5"/>
      <c r="TQ43" s="5"/>
      <c r="TR43" s="5"/>
      <c r="TS43" s="5"/>
      <c r="TT43" s="5"/>
      <c r="TU43" s="5"/>
      <c r="TV43" s="5"/>
      <c r="TW43" s="5"/>
      <c r="TX43" s="5"/>
      <c r="TY43" s="5"/>
      <c r="TZ43" s="5"/>
      <c r="UA43" s="5"/>
      <c r="UB43" s="5"/>
      <c r="UC43" s="5"/>
      <c r="UD43" s="5"/>
      <c r="UE43" s="5"/>
      <c r="UF43" s="5"/>
      <c r="UG43" s="5"/>
      <c r="UH43" s="5"/>
      <c r="UI43" s="5"/>
      <c r="UJ43" s="5"/>
      <c r="UK43" s="5"/>
      <c r="UL43" s="5"/>
      <c r="UM43" s="5"/>
      <c r="UN43" s="5"/>
      <c r="UO43" s="5"/>
      <c r="UP43" s="5"/>
      <c r="UQ43" s="5"/>
      <c r="UR43" s="5"/>
      <c r="US43" s="5"/>
      <c r="UT43" s="5"/>
      <c r="UU43" s="5"/>
      <c r="UV43" s="5"/>
      <c r="UW43" s="5"/>
      <c r="UX43" s="5"/>
      <c r="UY43" s="5"/>
      <c r="UZ43" s="5"/>
      <c r="VA43" s="5"/>
      <c r="VB43" s="5"/>
      <c r="VC43" s="5"/>
      <c r="VD43" s="5"/>
      <c r="VE43" s="5"/>
      <c r="VF43" s="5"/>
      <c r="VG43" s="5"/>
      <c r="VH43" s="5"/>
      <c r="VI43" s="5"/>
      <c r="VJ43" s="5"/>
      <c r="VK43" s="5"/>
      <c r="VL43" s="5"/>
      <c r="VM43" s="5"/>
      <c r="VN43" s="5"/>
      <c r="VO43" s="5"/>
      <c r="VP43" s="5"/>
      <c r="VQ43" s="5"/>
      <c r="VR43" s="5"/>
      <c r="VS43" s="5"/>
      <c r="VT43" s="5"/>
      <c r="VU43" s="5"/>
      <c r="VV43" s="5"/>
      <c r="VW43" s="5"/>
      <c r="VX43" s="5"/>
      <c r="VY43" s="5"/>
      <c r="VZ43" s="5"/>
      <c r="WA43" s="5"/>
      <c r="WB43" s="5"/>
      <c r="WC43" s="5"/>
      <c r="WD43" s="5"/>
      <c r="WE43" s="5"/>
      <c r="WF43" s="5"/>
      <c r="WG43" s="5"/>
      <c r="WH43" s="5"/>
      <c r="WI43" s="5"/>
      <c r="WJ43" s="5"/>
      <c r="WK43" s="5"/>
      <c r="WL43" s="5"/>
      <c r="WM43" s="5"/>
      <c r="WN43" s="5"/>
      <c r="WO43" s="5"/>
      <c r="WP43" s="5"/>
      <c r="WQ43" s="5"/>
      <c r="WR43" s="5"/>
      <c r="WS43" s="5"/>
      <c r="WT43" s="5"/>
      <c r="WU43" s="5"/>
      <c r="WV43" s="5"/>
      <c r="WW43" s="5"/>
      <c r="WX43" s="5"/>
      <c r="WY43" s="5"/>
      <c r="WZ43" s="5"/>
      <c r="XA43" s="5"/>
      <c r="XB43" s="5"/>
      <c r="XC43" s="5"/>
      <c r="XD43" s="5"/>
      <c r="XE43" s="5"/>
      <c r="XF43" s="5"/>
      <c r="XG43" s="5"/>
      <c r="XH43" s="5"/>
      <c r="XI43" s="5"/>
      <c r="XJ43" s="5"/>
      <c r="XK43" s="5"/>
      <c r="XL43" s="5"/>
      <c r="XM43" s="5"/>
      <c r="XN43" s="5"/>
      <c r="XO43" s="5"/>
      <c r="XP43" s="5"/>
      <c r="XQ43" s="5"/>
      <c r="XR43" s="5"/>
      <c r="XS43" s="5"/>
      <c r="XT43" s="5"/>
      <c r="XU43" s="5"/>
      <c r="XV43" s="5"/>
      <c r="XW43" s="5"/>
      <c r="XX43" s="5"/>
      <c r="XY43" s="5"/>
      <c r="XZ43" s="5"/>
      <c r="YA43" s="5"/>
      <c r="YB43" s="5"/>
      <c r="YC43" s="5"/>
      <c r="YD43" s="5"/>
      <c r="YE43" s="5"/>
      <c r="YF43" s="5"/>
      <c r="YG43" s="5"/>
      <c r="YH43" s="5"/>
      <c r="YI43" s="5"/>
      <c r="YJ43" s="5"/>
      <c r="YK43" s="5"/>
      <c r="YL43" s="5"/>
      <c r="YM43" s="5"/>
      <c r="YN43" s="5"/>
      <c r="YO43" s="5"/>
      <c r="YP43" s="5"/>
      <c r="YQ43" s="5"/>
      <c r="YR43" s="5"/>
      <c r="YS43" s="5"/>
      <c r="YT43" s="5"/>
      <c r="YU43" s="5"/>
      <c r="YV43" s="5"/>
      <c r="YW43" s="5"/>
      <c r="YX43" s="5"/>
      <c r="YY43" s="5"/>
      <c r="YZ43" s="5"/>
    </row>
    <row r="44" spans="1:676">
      <c r="A44" s="7">
        <v>34</v>
      </c>
      <c r="B44" s="7" t="s">
        <v>130</v>
      </c>
      <c r="C44" s="10" t="s">
        <v>131</v>
      </c>
      <c r="D44" s="7" t="s">
        <v>46</v>
      </c>
      <c r="E44" s="7" t="s">
        <v>82</v>
      </c>
      <c r="F44" s="7" t="s">
        <v>74</v>
      </c>
      <c r="G44" s="7"/>
      <c r="H44" s="7" t="s">
        <v>132</v>
      </c>
      <c r="I44" s="11">
        <v>2</v>
      </c>
      <c r="J44" s="11">
        <v>3</v>
      </c>
      <c r="K44" s="11">
        <v>0.95</v>
      </c>
      <c r="L44" s="11">
        <v>1.33</v>
      </c>
      <c r="M44" s="11">
        <v>0.32</v>
      </c>
      <c r="N44" s="11">
        <v>0</v>
      </c>
      <c r="O44" s="11">
        <v>0.18</v>
      </c>
      <c r="P44" s="11">
        <v>0.34</v>
      </c>
      <c r="Q44" s="11">
        <v>3.120000000000001</v>
      </c>
      <c r="R44" s="11">
        <v>6.480000000000001</v>
      </c>
      <c r="S44" s="11">
        <v>9.600000000000001</v>
      </c>
      <c r="T44" s="11">
        <v>2</v>
      </c>
      <c r="U44" s="11">
        <v>3</v>
      </c>
      <c r="V44" s="11">
        <v>4.600000000000001</v>
      </c>
      <c r="W44" s="13">
        <v>6</v>
      </c>
      <c r="X44" s="13">
        <v>9</v>
      </c>
      <c r="Y44" s="13" t="str">
        <f>MIN(W44,S44)</f>
        <v>0</v>
      </c>
      <c r="Z44" s="13" t="str">
        <f>MIN(X44,(S44-Y44))</f>
        <v>0</v>
      </c>
      <c r="AA44" s="13" t="str">
        <f>S44-SUM(Y44,Z44)</f>
        <v>0</v>
      </c>
      <c r="AB44" s="15"/>
      <c r="AC44" s="15"/>
      <c r="AD44" s="1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  <c r="IZ44" s="5"/>
      <c r="JA44" s="5"/>
      <c r="JB44" s="5"/>
      <c r="JC44" s="5"/>
      <c r="JD44" s="5"/>
      <c r="JE44" s="5"/>
      <c r="JF44" s="5"/>
      <c r="JG44" s="5"/>
      <c r="JH44" s="5"/>
      <c r="JI44" s="5"/>
      <c r="JJ44" s="5"/>
      <c r="JK44" s="5"/>
      <c r="JL44" s="5"/>
      <c r="JM44" s="5"/>
      <c r="JN44" s="5"/>
      <c r="JO44" s="5"/>
      <c r="JP44" s="5"/>
      <c r="JQ44" s="5"/>
      <c r="JR44" s="5"/>
      <c r="JS44" s="5"/>
      <c r="JT44" s="5"/>
      <c r="JU44" s="5"/>
      <c r="JV44" s="5"/>
      <c r="JW44" s="5"/>
      <c r="JX44" s="5"/>
      <c r="JY44" s="5"/>
      <c r="JZ44" s="5"/>
      <c r="KA44" s="5"/>
      <c r="KB44" s="5"/>
      <c r="KC44" s="5"/>
      <c r="KD44" s="5"/>
      <c r="KE44" s="5"/>
      <c r="KF44" s="5"/>
      <c r="KG44" s="5"/>
      <c r="KH44" s="5"/>
      <c r="KI44" s="5"/>
      <c r="KJ44" s="5"/>
      <c r="KK44" s="5"/>
      <c r="KL44" s="5"/>
      <c r="KM44" s="5"/>
      <c r="KN44" s="5"/>
      <c r="KO44" s="5"/>
      <c r="KP44" s="5"/>
      <c r="KQ44" s="5"/>
      <c r="KR44" s="5"/>
      <c r="KS44" s="5"/>
      <c r="KT44" s="5"/>
      <c r="KU44" s="5"/>
      <c r="KV44" s="5"/>
      <c r="KW44" s="5"/>
      <c r="KX44" s="5"/>
      <c r="KY44" s="5"/>
      <c r="KZ44" s="5"/>
      <c r="LA44" s="5"/>
      <c r="LB44" s="5"/>
      <c r="LC44" s="5"/>
      <c r="LD44" s="5"/>
      <c r="LE44" s="5"/>
      <c r="LF44" s="5"/>
      <c r="LG44" s="5"/>
      <c r="LH44" s="5"/>
      <c r="LI44" s="5"/>
      <c r="LJ44" s="5"/>
      <c r="LK44" s="5"/>
      <c r="LL44" s="5"/>
      <c r="LM44" s="5"/>
      <c r="LN44" s="5"/>
      <c r="LO44" s="5"/>
      <c r="LP44" s="5"/>
      <c r="LQ44" s="5"/>
      <c r="LR44" s="5"/>
      <c r="LS44" s="5"/>
      <c r="LT44" s="5"/>
      <c r="LU44" s="5"/>
      <c r="LV44" s="5"/>
      <c r="LW44" s="5"/>
      <c r="LX44" s="5"/>
      <c r="LY44" s="5"/>
      <c r="LZ44" s="5"/>
      <c r="MA44" s="5"/>
      <c r="MB44" s="5"/>
      <c r="MC44" s="5"/>
      <c r="MD44" s="5"/>
      <c r="ME44" s="5"/>
      <c r="MF44" s="5"/>
      <c r="MG44" s="5"/>
      <c r="MH44" s="5"/>
      <c r="MI44" s="5"/>
      <c r="MJ44" s="5"/>
      <c r="MK44" s="5"/>
      <c r="ML44" s="5"/>
      <c r="MM44" s="5"/>
      <c r="MN44" s="5"/>
      <c r="MO44" s="5"/>
      <c r="MP44" s="5"/>
      <c r="MQ44" s="5"/>
      <c r="MR44" s="5"/>
      <c r="MS44" s="5"/>
      <c r="MT44" s="5"/>
      <c r="MU44" s="5"/>
      <c r="MV44" s="5"/>
      <c r="MW44" s="5"/>
      <c r="MX44" s="5"/>
      <c r="MY44" s="5"/>
      <c r="MZ44" s="5"/>
      <c r="NA44" s="5"/>
      <c r="NB44" s="5"/>
      <c r="NC44" s="5"/>
      <c r="ND44" s="5"/>
      <c r="NE44" s="5"/>
      <c r="NF44" s="5"/>
      <c r="NG44" s="5"/>
      <c r="NH44" s="5"/>
      <c r="NI44" s="5"/>
      <c r="NJ44" s="5"/>
      <c r="NK44" s="5"/>
      <c r="NL44" s="5"/>
      <c r="NM44" s="5"/>
      <c r="NN44" s="5"/>
      <c r="NO44" s="5"/>
      <c r="NP44" s="5"/>
      <c r="NQ44" s="5"/>
      <c r="NR44" s="5"/>
      <c r="NS44" s="5"/>
      <c r="NT44" s="5"/>
      <c r="NU44" s="5"/>
      <c r="NV44" s="5"/>
      <c r="NW44" s="5"/>
      <c r="NX44" s="5"/>
      <c r="NY44" s="5"/>
      <c r="NZ44" s="5"/>
      <c r="OA44" s="5"/>
      <c r="OB44" s="5"/>
      <c r="OC44" s="5"/>
      <c r="OD44" s="5"/>
      <c r="OE44" s="5"/>
      <c r="OF44" s="5"/>
      <c r="OG44" s="5"/>
      <c r="OH44" s="5"/>
      <c r="OI44" s="5"/>
      <c r="OJ44" s="5"/>
      <c r="OK44" s="5"/>
      <c r="OL44" s="5"/>
      <c r="OM44" s="5"/>
      <c r="ON44" s="5"/>
      <c r="OO44" s="5"/>
      <c r="OP44" s="5"/>
      <c r="OQ44" s="5"/>
      <c r="OR44" s="5"/>
      <c r="OS44" s="5"/>
      <c r="OT44" s="5"/>
      <c r="OU44" s="5"/>
      <c r="OV44" s="5"/>
      <c r="OW44" s="5"/>
      <c r="OX44" s="5"/>
      <c r="OY44" s="5"/>
      <c r="OZ44" s="5"/>
      <c r="PA44" s="5"/>
      <c r="PB44" s="5"/>
      <c r="PC44" s="5"/>
      <c r="PD44" s="5"/>
      <c r="PE44" s="5"/>
      <c r="PF44" s="5"/>
      <c r="PG44" s="5"/>
      <c r="PH44" s="5"/>
      <c r="PI44" s="5"/>
      <c r="PJ44" s="5"/>
      <c r="PK44" s="5"/>
      <c r="PL44" s="5"/>
      <c r="PM44" s="5"/>
      <c r="PN44" s="5"/>
      <c r="PO44" s="5"/>
      <c r="PP44" s="5"/>
      <c r="PQ44" s="5"/>
      <c r="PR44" s="5"/>
      <c r="PS44" s="5"/>
      <c r="PT44" s="5"/>
      <c r="PU44" s="5"/>
      <c r="PV44" s="5"/>
      <c r="PW44" s="5"/>
      <c r="PX44" s="5"/>
      <c r="PY44" s="5"/>
      <c r="PZ44" s="5"/>
      <c r="QA44" s="5"/>
      <c r="QB44" s="5"/>
      <c r="QC44" s="5"/>
      <c r="QD44" s="5"/>
      <c r="QE44" s="5"/>
      <c r="QF44" s="5"/>
      <c r="QG44" s="5"/>
      <c r="QH44" s="5"/>
      <c r="QI44" s="5"/>
      <c r="QJ44" s="5"/>
      <c r="QK44" s="5"/>
      <c r="QL44" s="5"/>
      <c r="QM44" s="5"/>
      <c r="QN44" s="5"/>
      <c r="QO44" s="5"/>
      <c r="QP44" s="5"/>
      <c r="QQ44" s="5"/>
      <c r="QR44" s="5"/>
      <c r="QS44" s="5"/>
      <c r="QT44" s="5"/>
      <c r="QU44" s="5"/>
      <c r="QV44" s="5"/>
      <c r="QW44" s="5"/>
      <c r="QX44" s="5"/>
      <c r="QY44" s="5"/>
      <c r="QZ44" s="5"/>
      <c r="RA44" s="5"/>
      <c r="RB44" s="5"/>
      <c r="RC44" s="5"/>
      <c r="RD44" s="5"/>
      <c r="RE44" s="5"/>
      <c r="RF44" s="5"/>
      <c r="RG44" s="5"/>
      <c r="RH44" s="5"/>
      <c r="RI44" s="5"/>
      <c r="RJ44" s="5"/>
      <c r="RK44" s="5"/>
      <c r="RL44" s="5"/>
      <c r="RM44" s="5"/>
      <c r="RN44" s="5"/>
      <c r="RO44" s="5"/>
      <c r="RP44" s="5"/>
      <c r="RQ44" s="5"/>
      <c r="RR44" s="5"/>
      <c r="RS44" s="5"/>
      <c r="RT44" s="5"/>
      <c r="RU44" s="5"/>
      <c r="RV44" s="5"/>
      <c r="RW44" s="5"/>
      <c r="RX44" s="5"/>
      <c r="RY44" s="5"/>
      <c r="RZ44" s="5"/>
      <c r="SA44" s="5"/>
      <c r="SB44" s="5"/>
      <c r="SC44" s="5"/>
      <c r="SD44" s="5"/>
      <c r="SE44" s="5"/>
      <c r="SF44" s="5"/>
      <c r="SG44" s="5"/>
      <c r="SH44" s="5"/>
      <c r="SI44" s="5"/>
      <c r="SJ44" s="5"/>
      <c r="SK44" s="5"/>
      <c r="SL44" s="5"/>
      <c r="SM44" s="5"/>
      <c r="SN44" s="5"/>
      <c r="SO44" s="5"/>
      <c r="SP44" s="5"/>
      <c r="SQ44" s="5"/>
      <c r="SR44" s="5"/>
      <c r="SS44" s="5"/>
      <c r="ST44" s="5"/>
      <c r="SU44" s="5"/>
      <c r="SV44" s="5"/>
      <c r="SW44" s="5"/>
      <c r="SX44" s="5"/>
      <c r="SY44" s="5"/>
      <c r="SZ44" s="5"/>
      <c r="TA44" s="5"/>
      <c r="TB44" s="5"/>
      <c r="TC44" s="5"/>
      <c r="TD44" s="5"/>
      <c r="TE44" s="5"/>
      <c r="TF44" s="5"/>
      <c r="TG44" s="5"/>
      <c r="TH44" s="5"/>
      <c r="TI44" s="5"/>
      <c r="TJ44" s="5"/>
      <c r="TK44" s="5"/>
      <c r="TL44" s="5"/>
      <c r="TM44" s="5"/>
      <c r="TN44" s="5"/>
      <c r="TO44" s="5"/>
      <c r="TP44" s="5"/>
      <c r="TQ44" s="5"/>
      <c r="TR44" s="5"/>
      <c r="TS44" s="5"/>
      <c r="TT44" s="5"/>
      <c r="TU44" s="5"/>
      <c r="TV44" s="5"/>
      <c r="TW44" s="5"/>
      <c r="TX44" s="5"/>
      <c r="TY44" s="5"/>
      <c r="TZ44" s="5"/>
      <c r="UA44" s="5"/>
      <c r="UB44" s="5"/>
      <c r="UC44" s="5"/>
      <c r="UD44" s="5"/>
      <c r="UE44" s="5"/>
      <c r="UF44" s="5"/>
      <c r="UG44" s="5"/>
      <c r="UH44" s="5"/>
      <c r="UI44" s="5"/>
      <c r="UJ44" s="5"/>
      <c r="UK44" s="5"/>
      <c r="UL44" s="5"/>
      <c r="UM44" s="5"/>
      <c r="UN44" s="5"/>
      <c r="UO44" s="5"/>
      <c r="UP44" s="5"/>
      <c r="UQ44" s="5"/>
      <c r="UR44" s="5"/>
      <c r="US44" s="5"/>
      <c r="UT44" s="5"/>
      <c r="UU44" s="5"/>
      <c r="UV44" s="5"/>
      <c r="UW44" s="5"/>
      <c r="UX44" s="5"/>
      <c r="UY44" s="5"/>
      <c r="UZ44" s="5"/>
      <c r="VA44" s="5"/>
      <c r="VB44" s="5"/>
      <c r="VC44" s="5"/>
      <c r="VD44" s="5"/>
      <c r="VE44" s="5"/>
      <c r="VF44" s="5"/>
      <c r="VG44" s="5"/>
      <c r="VH44" s="5"/>
      <c r="VI44" s="5"/>
      <c r="VJ44" s="5"/>
      <c r="VK44" s="5"/>
      <c r="VL44" s="5"/>
      <c r="VM44" s="5"/>
      <c r="VN44" s="5"/>
      <c r="VO44" s="5"/>
      <c r="VP44" s="5"/>
      <c r="VQ44" s="5"/>
      <c r="VR44" s="5"/>
      <c r="VS44" s="5"/>
      <c r="VT44" s="5"/>
      <c r="VU44" s="5"/>
      <c r="VV44" s="5"/>
      <c r="VW44" s="5"/>
      <c r="VX44" s="5"/>
      <c r="VY44" s="5"/>
      <c r="VZ44" s="5"/>
      <c r="WA44" s="5"/>
      <c r="WB44" s="5"/>
      <c r="WC44" s="5"/>
      <c r="WD44" s="5"/>
      <c r="WE44" s="5"/>
      <c r="WF44" s="5"/>
      <c r="WG44" s="5"/>
      <c r="WH44" s="5"/>
      <c r="WI44" s="5"/>
      <c r="WJ44" s="5"/>
      <c r="WK44" s="5"/>
      <c r="WL44" s="5"/>
      <c r="WM44" s="5"/>
      <c r="WN44" s="5"/>
      <c r="WO44" s="5"/>
      <c r="WP44" s="5"/>
      <c r="WQ44" s="5"/>
      <c r="WR44" s="5"/>
      <c r="WS44" s="5"/>
      <c r="WT44" s="5"/>
      <c r="WU44" s="5"/>
      <c r="WV44" s="5"/>
      <c r="WW44" s="5"/>
      <c r="WX44" s="5"/>
      <c r="WY44" s="5"/>
      <c r="WZ44" s="5"/>
      <c r="XA44" s="5"/>
      <c r="XB44" s="5"/>
      <c r="XC44" s="5"/>
      <c r="XD44" s="5"/>
      <c r="XE44" s="5"/>
      <c r="XF44" s="5"/>
      <c r="XG44" s="5"/>
      <c r="XH44" s="5"/>
      <c r="XI44" s="5"/>
      <c r="XJ44" s="5"/>
      <c r="XK44" s="5"/>
      <c r="XL44" s="5"/>
      <c r="XM44" s="5"/>
      <c r="XN44" s="5"/>
      <c r="XO44" s="5"/>
      <c r="XP44" s="5"/>
      <c r="XQ44" s="5"/>
      <c r="XR44" s="5"/>
      <c r="XS44" s="5"/>
      <c r="XT44" s="5"/>
      <c r="XU44" s="5"/>
      <c r="XV44" s="5"/>
      <c r="XW44" s="5"/>
      <c r="XX44" s="5"/>
      <c r="XY44" s="5"/>
      <c r="XZ44" s="5"/>
      <c r="YA44" s="5"/>
      <c r="YB44" s="5"/>
      <c r="YC44" s="5"/>
      <c r="YD44" s="5"/>
      <c r="YE44" s="5"/>
      <c r="YF44" s="5"/>
      <c r="YG44" s="5"/>
      <c r="YH44" s="5"/>
      <c r="YI44" s="5"/>
      <c r="YJ44" s="5"/>
      <c r="YK44" s="5"/>
      <c r="YL44" s="5"/>
      <c r="YM44" s="5"/>
      <c r="YN44" s="5"/>
      <c r="YO44" s="5"/>
      <c r="YP44" s="5"/>
      <c r="YQ44" s="5"/>
      <c r="YR44" s="5"/>
      <c r="YS44" s="5"/>
      <c r="YT44" s="5"/>
      <c r="YU44" s="5"/>
      <c r="YV44" s="5"/>
      <c r="YW44" s="5"/>
      <c r="YX44" s="5"/>
      <c r="YY44" s="5"/>
      <c r="YZ44" s="5"/>
    </row>
    <row r="45" spans="1:676">
      <c r="A45" s="7">
        <v>35</v>
      </c>
      <c r="B45" s="7" t="s">
        <v>133</v>
      </c>
      <c r="C45" s="10" t="s">
        <v>134</v>
      </c>
      <c r="D45" s="7" t="s">
        <v>46</v>
      </c>
      <c r="E45" s="7" t="s">
        <v>60</v>
      </c>
      <c r="F45" s="7" t="s">
        <v>74</v>
      </c>
      <c r="G45" s="7"/>
      <c r="H45" s="7" t="s">
        <v>79</v>
      </c>
      <c r="I45" s="11">
        <v>2</v>
      </c>
      <c r="J45" s="11">
        <v>3</v>
      </c>
      <c r="K45" s="11">
        <v>0</v>
      </c>
      <c r="L45" s="11">
        <v>3.530000000000002</v>
      </c>
      <c r="M45" s="11">
        <v>0.32</v>
      </c>
      <c r="N45" s="11">
        <v>0</v>
      </c>
      <c r="O45" s="11">
        <v>0.38</v>
      </c>
      <c r="P45" s="11">
        <v>2.28</v>
      </c>
      <c r="Q45" s="11">
        <v>6.510000000000002</v>
      </c>
      <c r="R45" s="11">
        <v>13.63</v>
      </c>
      <c r="S45" s="11">
        <v>20.14</v>
      </c>
      <c r="T45" s="11">
        <v>2</v>
      </c>
      <c r="U45" s="11">
        <v>3</v>
      </c>
      <c r="V45" s="11">
        <v>15.14</v>
      </c>
      <c r="W45" s="13">
        <v>6</v>
      </c>
      <c r="X45" s="13">
        <v>9</v>
      </c>
      <c r="Y45" s="13" t="str">
        <f>MIN(W45,S45)</f>
        <v>0</v>
      </c>
      <c r="Z45" s="13" t="str">
        <f>MIN(X45,(S45-Y45))</f>
        <v>0</v>
      </c>
      <c r="AA45" s="13" t="str">
        <f>S45-SUM(Y45,Z45)</f>
        <v>0</v>
      </c>
      <c r="AB45" s="15"/>
      <c r="AC45" s="15"/>
      <c r="AD45" s="1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  <c r="IZ45" s="5"/>
      <c r="JA45" s="5"/>
      <c r="JB45" s="5"/>
      <c r="JC45" s="5"/>
      <c r="JD45" s="5"/>
      <c r="JE45" s="5"/>
      <c r="JF45" s="5"/>
      <c r="JG45" s="5"/>
      <c r="JH45" s="5"/>
      <c r="JI45" s="5"/>
      <c r="JJ45" s="5"/>
      <c r="JK45" s="5"/>
      <c r="JL45" s="5"/>
      <c r="JM45" s="5"/>
      <c r="JN45" s="5"/>
      <c r="JO45" s="5"/>
      <c r="JP45" s="5"/>
      <c r="JQ45" s="5"/>
      <c r="JR45" s="5"/>
      <c r="JS45" s="5"/>
      <c r="JT45" s="5"/>
      <c r="JU45" s="5"/>
      <c r="JV45" s="5"/>
      <c r="JW45" s="5"/>
      <c r="JX45" s="5"/>
      <c r="JY45" s="5"/>
      <c r="JZ45" s="5"/>
      <c r="KA45" s="5"/>
      <c r="KB45" s="5"/>
      <c r="KC45" s="5"/>
      <c r="KD45" s="5"/>
      <c r="KE45" s="5"/>
      <c r="KF45" s="5"/>
      <c r="KG45" s="5"/>
      <c r="KH45" s="5"/>
      <c r="KI45" s="5"/>
      <c r="KJ45" s="5"/>
      <c r="KK45" s="5"/>
      <c r="KL45" s="5"/>
      <c r="KM45" s="5"/>
      <c r="KN45" s="5"/>
      <c r="KO45" s="5"/>
      <c r="KP45" s="5"/>
      <c r="KQ45" s="5"/>
      <c r="KR45" s="5"/>
      <c r="KS45" s="5"/>
      <c r="KT45" s="5"/>
      <c r="KU45" s="5"/>
      <c r="KV45" s="5"/>
      <c r="KW45" s="5"/>
      <c r="KX45" s="5"/>
      <c r="KY45" s="5"/>
      <c r="KZ45" s="5"/>
      <c r="LA45" s="5"/>
      <c r="LB45" s="5"/>
      <c r="LC45" s="5"/>
      <c r="LD45" s="5"/>
      <c r="LE45" s="5"/>
      <c r="LF45" s="5"/>
      <c r="LG45" s="5"/>
      <c r="LH45" s="5"/>
      <c r="LI45" s="5"/>
      <c r="LJ45" s="5"/>
      <c r="LK45" s="5"/>
      <c r="LL45" s="5"/>
      <c r="LM45" s="5"/>
      <c r="LN45" s="5"/>
      <c r="LO45" s="5"/>
      <c r="LP45" s="5"/>
      <c r="LQ45" s="5"/>
      <c r="LR45" s="5"/>
      <c r="LS45" s="5"/>
      <c r="LT45" s="5"/>
      <c r="LU45" s="5"/>
      <c r="LV45" s="5"/>
      <c r="LW45" s="5"/>
      <c r="LX45" s="5"/>
      <c r="LY45" s="5"/>
      <c r="LZ45" s="5"/>
      <c r="MA45" s="5"/>
      <c r="MB45" s="5"/>
      <c r="MC45" s="5"/>
      <c r="MD45" s="5"/>
      <c r="ME45" s="5"/>
      <c r="MF45" s="5"/>
      <c r="MG45" s="5"/>
      <c r="MH45" s="5"/>
      <c r="MI45" s="5"/>
      <c r="MJ45" s="5"/>
      <c r="MK45" s="5"/>
      <c r="ML45" s="5"/>
      <c r="MM45" s="5"/>
      <c r="MN45" s="5"/>
      <c r="MO45" s="5"/>
      <c r="MP45" s="5"/>
      <c r="MQ45" s="5"/>
      <c r="MR45" s="5"/>
      <c r="MS45" s="5"/>
      <c r="MT45" s="5"/>
      <c r="MU45" s="5"/>
      <c r="MV45" s="5"/>
      <c r="MW45" s="5"/>
      <c r="MX45" s="5"/>
      <c r="MY45" s="5"/>
      <c r="MZ45" s="5"/>
      <c r="NA45" s="5"/>
      <c r="NB45" s="5"/>
      <c r="NC45" s="5"/>
      <c r="ND45" s="5"/>
      <c r="NE45" s="5"/>
      <c r="NF45" s="5"/>
      <c r="NG45" s="5"/>
      <c r="NH45" s="5"/>
      <c r="NI45" s="5"/>
      <c r="NJ45" s="5"/>
      <c r="NK45" s="5"/>
      <c r="NL45" s="5"/>
      <c r="NM45" s="5"/>
      <c r="NN45" s="5"/>
      <c r="NO45" s="5"/>
      <c r="NP45" s="5"/>
      <c r="NQ45" s="5"/>
      <c r="NR45" s="5"/>
      <c r="NS45" s="5"/>
      <c r="NT45" s="5"/>
      <c r="NU45" s="5"/>
      <c r="NV45" s="5"/>
      <c r="NW45" s="5"/>
      <c r="NX45" s="5"/>
      <c r="NY45" s="5"/>
      <c r="NZ45" s="5"/>
      <c r="OA45" s="5"/>
      <c r="OB45" s="5"/>
      <c r="OC45" s="5"/>
      <c r="OD45" s="5"/>
      <c r="OE45" s="5"/>
      <c r="OF45" s="5"/>
      <c r="OG45" s="5"/>
      <c r="OH45" s="5"/>
      <c r="OI45" s="5"/>
      <c r="OJ45" s="5"/>
      <c r="OK45" s="5"/>
      <c r="OL45" s="5"/>
      <c r="OM45" s="5"/>
      <c r="ON45" s="5"/>
      <c r="OO45" s="5"/>
      <c r="OP45" s="5"/>
      <c r="OQ45" s="5"/>
      <c r="OR45" s="5"/>
      <c r="OS45" s="5"/>
      <c r="OT45" s="5"/>
      <c r="OU45" s="5"/>
      <c r="OV45" s="5"/>
      <c r="OW45" s="5"/>
      <c r="OX45" s="5"/>
      <c r="OY45" s="5"/>
      <c r="OZ45" s="5"/>
      <c r="PA45" s="5"/>
      <c r="PB45" s="5"/>
      <c r="PC45" s="5"/>
      <c r="PD45" s="5"/>
      <c r="PE45" s="5"/>
      <c r="PF45" s="5"/>
      <c r="PG45" s="5"/>
      <c r="PH45" s="5"/>
      <c r="PI45" s="5"/>
      <c r="PJ45" s="5"/>
      <c r="PK45" s="5"/>
      <c r="PL45" s="5"/>
      <c r="PM45" s="5"/>
      <c r="PN45" s="5"/>
      <c r="PO45" s="5"/>
      <c r="PP45" s="5"/>
      <c r="PQ45" s="5"/>
      <c r="PR45" s="5"/>
      <c r="PS45" s="5"/>
      <c r="PT45" s="5"/>
      <c r="PU45" s="5"/>
      <c r="PV45" s="5"/>
      <c r="PW45" s="5"/>
      <c r="PX45" s="5"/>
      <c r="PY45" s="5"/>
      <c r="PZ45" s="5"/>
      <c r="QA45" s="5"/>
      <c r="QB45" s="5"/>
      <c r="QC45" s="5"/>
      <c r="QD45" s="5"/>
      <c r="QE45" s="5"/>
      <c r="QF45" s="5"/>
      <c r="QG45" s="5"/>
      <c r="QH45" s="5"/>
      <c r="QI45" s="5"/>
      <c r="QJ45" s="5"/>
      <c r="QK45" s="5"/>
      <c r="QL45" s="5"/>
      <c r="QM45" s="5"/>
      <c r="QN45" s="5"/>
      <c r="QO45" s="5"/>
      <c r="QP45" s="5"/>
      <c r="QQ45" s="5"/>
      <c r="QR45" s="5"/>
      <c r="QS45" s="5"/>
      <c r="QT45" s="5"/>
      <c r="QU45" s="5"/>
      <c r="QV45" s="5"/>
      <c r="QW45" s="5"/>
      <c r="QX45" s="5"/>
      <c r="QY45" s="5"/>
      <c r="QZ45" s="5"/>
      <c r="RA45" s="5"/>
      <c r="RB45" s="5"/>
      <c r="RC45" s="5"/>
      <c r="RD45" s="5"/>
      <c r="RE45" s="5"/>
      <c r="RF45" s="5"/>
      <c r="RG45" s="5"/>
      <c r="RH45" s="5"/>
      <c r="RI45" s="5"/>
      <c r="RJ45" s="5"/>
      <c r="RK45" s="5"/>
      <c r="RL45" s="5"/>
      <c r="RM45" s="5"/>
      <c r="RN45" s="5"/>
      <c r="RO45" s="5"/>
      <c r="RP45" s="5"/>
      <c r="RQ45" s="5"/>
      <c r="RR45" s="5"/>
      <c r="RS45" s="5"/>
      <c r="RT45" s="5"/>
      <c r="RU45" s="5"/>
      <c r="RV45" s="5"/>
      <c r="RW45" s="5"/>
      <c r="RX45" s="5"/>
      <c r="RY45" s="5"/>
      <c r="RZ45" s="5"/>
      <c r="SA45" s="5"/>
      <c r="SB45" s="5"/>
      <c r="SC45" s="5"/>
      <c r="SD45" s="5"/>
      <c r="SE45" s="5"/>
      <c r="SF45" s="5"/>
      <c r="SG45" s="5"/>
      <c r="SH45" s="5"/>
      <c r="SI45" s="5"/>
      <c r="SJ45" s="5"/>
      <c r="SK45" s="5"/>
      <c r="SL45" s="5"/>
      <c r="SM45" s="5"/>
      <c r="SN45" s="5"/>
      <c r="SO45" s="5"/>
      <c r="SP45" s="5"/>
      <c r="SQ45" s="5"/>
      <c r="SR45" s="5"/>
      <c r="SS45" s="5"/>
      <c r="ST45" s="5"/>
      <c r="SU45" s="5"/>
      <c r="SV45" s="5"/>
      <c r="SW45" s="5"/>
      <c r="SX45" s="5"/>
      <c r="SY45" s="5"/>
      <c r="SZ45" s="5"/>
      <c r="TA45" s="5"/>
      <c r="TB45" s="5"/>
      <c r="TC45" s="5"/>
      <c r="TD45" s="5"/>
      <c r="TE45" s="5"/>
      <c r="TF45" s="5"/>
      <c r="TG45" s="5"/>
      <c r="TH45" s="5"/>
      <c r="TI45" s="5"/>
      <c r="TJ45" s="5"/>
      <c r="TK45" s="5"/>
      <c r="TL45" s="5"/>
      <c r="TM45" s="5"/>
      <c r="TN45" s="5"/>
      <c r="TO45" s="5"/>
      <c r="TP45" s="5"/>
      <c r="TQ45" s="5"/>
      <c r="TR45" s="5"/>
      <c r="TS45" s="5"/>
      <c r="TT45" s="5"/>
      <c r="TU45" s="5"/>
      <c r="TV45" s="5"/>
      <c r="TW45" s="5"/>
      <c r="TX45" s="5"/>
      <c r="TY45" s="5"/>
      <c r="TZ45" s="5"/>
      <c r="UA45" s="5"/>
      <c r="UB45" s="5"/>
      <c r="UC45" s="5"/>
      <c r="UD45" s="5"/>
      <c r="UE45" s="5"/>
      <c r="UF45" s="5"/>
      <c r="UG45" s="5"/>
      <c r="UH45" s="5"/>
      <c r="UI45" s="5"/>
      <c r="UJ45" s="5"/>
      <c r="UK45" s="5"/>
      <c r="UL45" s="5"/>
      <c r="UM45" s="5"/>
      <c r="UN45" s="5"/>
      <c r="UO45" s="5"/>
      <c r="UP45" s="5"/>
      <c r="UQ45" s="5"/>
      <c r="UR45" s="5"/>
      <c r="US45" s="5"/>
      <c r="UT45" s="5"/>
      <c r="UU45" s="5"/>
      <c r="UV45" s="5"/>
      <c r="UW45" s="5"/>
      <c r="UX45" s="5"/>
      <c r="UY45" s="5"/>
      <c r="UZ45" s="5"/>
      <c r="VA45" s="5"/>
      <c r="VB45" s="5"/>
      <c r="VC45" s="5"/>
      <c r="VD45" s="5"/>
      <c r="VE45" s="5"/>
      <c r="VF45" s="5"/>
      <c r="VG45" s="5"/>
      <c r="VH45" s="5"/>
      <c r="VI45" s="5"/>
      <c r="VJ45" s="5"/>
      <c r="VK45" s="5"/>
      <c r="VL45" s="5"/>
      <c r="VM45" s="5"/>
      <c r="VN45" s="5"/>
      <c r="VO45" s="5"/>
      <c r="VP45" s="5"/>
      <c r="VQ45" s="5"/>
      <c r="VR45" s="5"/>
      <c r="VS45" s="5"/>
      <c r="VT45" s="5"/>
      <c r="VU45" s="5"/>
      <c r="VV45" s="5"/>
      <c r="VW45" s="5"/>
      <c r="VX45" s="5"/>
      <c r="VY45" s="5"/>
      <c r="VZ45" s="5"/>
      <c r="WA45" s="5"/>
      <c r="WB45" s="5"/>
      <c r="WC45" s="5"/>
      <c r="WD45" s="5"/>
      <c r="WE45" s="5"/>
      <c r="WF45" s="5"/>
      <c r="WG45" s="5"/>
      <c r="WH45" s="5"/>
      <c r="WI45" s="5"/>
      <c r="WJ45" s="5"/>
      <c r="WK45" s="5"/>
      <c r="WL45" s="5"/>
      <c r="WM45" s="5"/>
      <c r="WN45" s="5"/>
      <c r="WO45" s="5"/>
      <c r="WP45" s="5"/>
      <c r="WQ45" s="5"/>
      <c r="WR45" s="5"/>
      <c r="WS45" s="5"/>
      <c r="WT45" s="5"/>
      <c r="WU45" s="5"/>
      <c r="WV45" s="5"/>
      <c r="WW45" s="5"/>
      <c r="WX45" s="5"/>
      <c r="WY45" s="5"/>
      <c r="WZ45" s="5"/>
      <c r="XA45" s="5"/>
      <c r="XB45" s="5"/>
      <c r="XC45" s="5"/>
      <c r="XD45" s="5"/>
      <c r="XE45" s="5"/>
      <c r="XF45" s="5"/>
      <c r="XG45" s="5"/>
      <c r="XH45" s="5"/>
      <c r="XI45" s="5"/>
      <c r="XJ45" s="5"/>
      <c r="XK45" s="5"/>
      <c r="XL45" s="5"/>
      <c r="XM45" s="5"/>
      <c r="XN45" s="5"/>
      <c r="XO45" s="5"/>
      <c r="XP45" s="5"/>
      <c r="XQ45" s="5"/>
      <c r="XR45" s="5"/>
      <c r="XS45" s="5"/>
      <c r="XT45" s="5"/>
      <c r="XU45" s="5"/>
      <c r="XV45" s="5"/>
      <c r="XW45" s="5"/>
      <c r="XX45" s="5"/>
      <c r="XY45" s="5"/>
      <c r="XZ45" s="5"/>
      <c r="YA45" s="5"/>
      <c r="YB45" s="5"/>
      <c r="YC45" s="5"/>
      <c r="YD45" s="5"/>
      <c r="YE45" s="5"/>
      <c r="YF45" s="5"/>
      <c r="YG45" s="5"/>
      <c r="YH45" s="5"/>
      <c r="YI45" s="5"/>
      <c r="YJ45" s="5"/>
      <c r="YK45" s="5"/>
      <c r="YL45" s="5"/>
      <c r="YM45" s="5"/>
      <c r="YN45" s="5"/>
      <c r="YO45" s="5"/>
      <c r="YP45" s="5"/>
      <c r="YQ45" s="5"/>
      <c r="YR45" s="5"/>
      <c r="YS45" s="5"/>
      <c r="YT45" s="5"/>
      <c r="YU45" s="5"/>
      <c r="YV45" s="5"/>
      <c r="YW45" s="5"/>
      <c r="YX45" s="5"/>
      <c r="YY45" s="5"/>
      <c r="YZ45" s="5"/>
    </row>
    <row r="46" spans="1:676">
      <c r="A46" s="7">
        <v>36</v>
      </c>
      <c r="B46" s="7" t="s">
        <v>135</v>
      </c>
      <c r="C46" s="10" t="s">
        <v>136</v>
      </c>
      <c r="D46" s="7" t="s">
        <v>40</v>
      </c>
      <c r="E46" s="7" t="s">
        <v>82</v>
      </c>
      <c r="F46" s="7" t="s">
        <v>74</v>
      </c>
      <c r="G46" s="7"/>
      <c r="H46" s="7" t="s">
        <v>79</v>
      </c>
      <c r="I46" s="11">
        <v>2</v>
      </c>
      <c r="J46" s="11">
        <v>3</v>
      </c>
      <c r="K46" s="11">
        <v>0</v>
      </c>
      <c r="L46" s="11">
        <v>4.150000000000002</v>
      </c>
      <c r="M46" s="11">
        <v>0</v>
      </c>
      <c r="N46" s="11">
        <v>0</v>
      </c>
      <c r="O46" s="11">
        <v>0.09</v>
      </c>
      <c r="P46" s="11">
        <v>1.94</v>
      </c>
      <c r="Q46" s="11">
        <v>6.179999999999997</v>
      </c>
      <c r="R46" s="11">
        <v>11.49</v>
      </c>
      <c r="S46" s="11">
        <v>17.67</v>
      </c>
      <c r="T46" s="11">
        <v>2</v>
      </c>
      <c r="U46" s="11">
        <v>3</v>
      </c>
      <c r="V46" s="11">
        <v>12.67</v>
      </c>
      <c r="W46" s="13">
        <v>6</v>
      </c>
      <c r="X46" s="13">
        <v>9</v>
      </c>
      <c r="Y46" s="13" t="str">
        <f>MIN(W46,S46)</f>
        <v>0</v>
      </c>
      <c r="Z46" s="13" t="str">
        <f>MIN(X46,(S46-Y46))</f>
        <v>0</v>
      </c>
      <c r="AA46" s="13" t="str">
        <f>S46-SUM(Y46,Z46)</f>
        <v>0</v>
      </c>
      <c r="AB46" s="15"/>
      <c r="AC46" s="15"/>
      <c r="AD46" s="1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  <c r="IY46" s="5"/>
      <c r="IZ46" s="5"/>
      <c r="JA46" s="5"/>
      <c r="JB46" s="5"/>
      <c r="JC46" s="5"/>
      <c r="JD46" s="5"/>
      <c r="JE46" s="5"/>
      <c r="JF46" s="5"/>
      <c r="JG46" s="5"/>
      <c r="JH46" s="5"/>
      <c r="JI46" s="5"/>
      <c r="JJ46" s="5"/>
      <c r="JK46" s="5"/>
      <c r="JL46" s="5"/>
      <c r="JM46" s="5"/>
      <c r="JN46" s="5"/>
      <c r="JO46" s="5"/>
      <c r="JP46" s="5"/>
      <c r="JQ46" s="5"/>
      <c r="JR46" s="5"/>
      <c r="JS46" s="5"/>
      <c r="JT46" s="5"/>
      <c r="JU46" s="5"/>
      <c r="JV46" s="5"/>
      <c r="JW46" s="5"/>
      <c r="JX46" s="5"/>
      <c r="JY46" s="5"/>
      <c r="JZ46" s="5"/>
      <c r="KA46" s="5"/>
      <c r="KB46" s="5"/>
      <c r="KC46" s="5"/>
      <c r="KD46" s="5"/>
      <c r="KE46" s="5"/>
      <c r="KF46" s="5"/>
      <c r="KG46" s="5"/>
      <c r="KH46" s="5"/>
      <c r="KI46" s="5"/>
      <c r="KJ46" s="5"/>
      <c r="KK46" s="5"/>
      <c r="KL46" s="5"/>
      <c r="KM46" s="5"/>
      <c r="KN46" s="5"/>
      <c r="KO46" s="5"/>
      <c r="KP46" s="5"/>
      <c r="KQ46" s="5"/>
      <c r="KR46" s="5"/>
      <c r="KS46" s="5"/>
      <c r="KT46" s="5"/>
      <c r="KU46" s="5"/>
      <c r="KV46" s="5"/>
      <c r="KW46" s="5"/>
      <c r="KX46" s="5"/>
      <c r="KY46" s="5"/>
      <c r="KZ46" s="5"/>
      <c r="LA46" s="5"/>
      <c r="LB46" s="5"/>
      <c r="LC46" s="5"/>
      <c r="LD46" s="5"/>
      <c r="LE46" s="5"/>
      <c r="LF46" s="5"/>
      <c r="LG46" s="5"/>
      <c r="LH46" s="5"/>
      <c r="LI46" s="5"/>
      <c r="LJ46" s="5"/>
      <c r="LK46" s="5"/>
      <c r="LL46" s="5"/>
      <c r="LM46" s="5"/>
      <c r="LN46" s="5"/>
      <c r="LO46" s="5"/>
      <c r="LP46" s="5"/>
      <c r="LQ46" s="5"/>
      <c r="LR46" s="5"/>
      <c r="LS46" s="5"/>
      <c r="LT46" s="5"/>
      <c r="LU46" s="5"/>
      <c r="LV46" s="5"/>
      <c r="LW46" s="5"/>
      <c r="LX46" s="5"/>
      <c r="LY46" s="5"/>
      <c r="LZ46" s="5"/>
      <c r="MA46" s="5"/>
      <c r="MB46" s="5"/>
      <c r="MC46" s="5"/>
      <c r="MD46" s="5"/>
      <c r="ME46" s="5"/>
      <c r="MF46" s="5"/>
      <c r="MG46" s="5"/>
      <c r="MH46" s="5"/>
      <c r="MI46" s="5"/>
      <c r="MJ46" s="5"/>
      <c r="MK46" s="5"/>
      <c r="ML46" s="5"/>
      <c r="MM46" s="5"/>
      <c r="MN46" s="5"/>
      <c r="MO46" s="5"/>
      <c r="MP46" s="5"/>
      <c r="MQ46" s="5"/>
      <c r="MR46" s="5"/>
      <c r="MS46" s="5"/>
      <c r="MT46" s="5"/>
      <c r="MU46" s="5"/>
      <c r="MV46" s="5"/>
      <c r="MW46" s="5"/>
      <c r="MX46" s="5"/>
      <c r="MY46" s="5"/>
      <c r="MZ46" s="5"/>
      <c r="NA46" s="5"/>
      <c r="NB46" s="5"/>
      <c r="NC46" s="5"/>
      <c r="ND46" s="5"/>
      <c r="NE46" s="5"/>
      <c r="NF46" s="5"/>
      <c r="NG46" s="5"/>
      <c r="NH46" s="5"/>
      <c r="NI46" s="5"/>
      <c r="NJ46" s="5"/>
      <c r="NK46" s="5"/>
      <c r="NL46" s="5"/>
      <c r="NM46" s="5"/>
      <c r="NN46" s="5"/>
      <c r="NO46" s="5"/>
      <c r="NP46" s="5"/>
      <c r="NQ46" s="5"/>
      <c r="NR46" s="5"/>
      <c r="NS46" s="5"/>
      <c r="NT46" s="5"/>
      <c r="NU46" s="5"/>
      <c r="NV46" s="5"/>
      <c r="NW46" s="5"/>
      <c r="NX46" s="5"/>
      <c r="NY46" s="5"/>
      <c r="NZ46" s="5"/>
      <c r="OA46" s="5"/>
      <c r="OB46" s="5"/>
      <c r="OC46" s="5"/>
      <c r="OD46" s="5"/>
      <c r="OE46" s="5"/>
      <c r="OF46" s="5"/>
      <c r="OG46" s="5"/>
      <c r="OH46" s="5"/>
      <c r="OI46" s="5"/>
      <c r="OJ46" s="5"/>
      <c r="OK46" s="5"/>
      <c r="OL46" s="5"/>
      <c r="OM46" s="5"/>
      <c r="ON46" s="5"/>
      <c r="OO46" s="5"/>
      <c r="OP46" s="5"/>
      <c r="OQ46" s="5"/>
      <c r="OR46" s="5"/>
      <c r="OS46" s="5"/>
      <c r="OT46" s="5"/>
      <c r="OU46" s="5"/>
      <c r="OV46" s="5"/>
      <c r="OW46" s="5"/>
      <c r="OX46" s="5"/>
      <c r="OY46" s="5"/>
      <c r="OZ46" s="5"/>
      <c r="PA46" s="5"/>
      <c r="PB46" s="5"/>
      <c r="PC46" s="5"/>
      <c r="PD46" s="5"/>
      <c r="PE46" s="5"/>
      <c r="PF46" s="5"/>
      <c r="PG46" s="5"/>
      <c r="PH46" s="5"/>
      <c r="PI46" s="5"/>
      <c r="PJ46" s="5"/>
      <c r="PK46" s="5"/>
      <c r="PL46" s="5"/>
      <c r="PM46" s="5"/>
      <c r="PN46" s="5"/>
      <c r="PO46" s="5"/>
      <c r="PP46" s="5"/>
      <c r="PQ46" s="5"/>
      <c r="PR46" s="5"/>
      <c r="PS46" s="5"/>
      <c r="PT46" s="5"/>
      <c r="PU46" s="5"/>
      <c r="PV46" s="5"/>
      <c r="PW46" s="5"/>
      <c r="PX46" s="5"/>
      <c r="PY46" s="5"/>
      <c r="PZ46" s="5"/>
      <c r="QA46" s="5"/>
      <c r="QB46" s="5"/>
      <c r="QC46" s="5"/>
      <c r="QD46" s="5"/>
      <c r="QE46" s="5"/>
      <c r="QF46" s="5"/>
      <c r="QG46" s="5"/>
      <c r="QH46" s="5"/>
      <c r="QI46" s="5"/>
      <c r="QJ46" s="5"/>
      <c r="QK46" s="5"/>
      <c r="QL46" s="5"/>
      <c r="QM46" s="5"/>
      <c r="QN46" s="5"/>
      <c r="QO46" s="5"/>
      <c r="QP46" s="5"/>
      <c r="QQ46" s="5"/>
      <c r="QR46" s="5"/>
      <c r="QS46" s="5"/>
      <c r="QT46" s="5"/>
      <c r="QU46" s="5"/>
      <c r="QV46" s="5"/>
      <c r="QW46" s="5"/>
      <c r="QX46" s="5"/>
      <c r="QY46" s="5"/>
      <c r="QZ46" s="5"/>
      <c r="RA46" s="5"/>
      <c r="RB46" s="5"/>
      <c r="RC46" s="5"/>
      <c r="RD46" s="5"/>
      <c r="RE46" s="5"/>
      <c r="RF46" s="5"/>
      <c r="RG46" s="5"/>
      <c r="RH46" s="5"/>
      <c r="RI46" s="5"/>
      <c r="RJ46" s="5"/>
      <c r="RK46" s="5"/>
      <c r="RL46" s="5"/>
      <c r="RM46" s="5"/>
      <c r="RN46" s="5"/>
      <c r="RO46" s="5"/>
      <c r="RP46" s="5"/>
      <c r="RQ46" s="5"/>
      <c r="RR46" s="5"/>
      <c r="RS46" s="5"/>
      <c r="RT46" s="5"/>
      <c r="RU46" s="5"/>
      <c r="RV46" s="5"/>
      <c r="RW46" s="5"/>
      <c r="RX46" s="5"/>
      <c r="RY46" s="5"/>
      <c r="RZ46" s="5"/>
      <c r="SA46" s="5"/>
      <c r="SB46" s="5"/>
      <c r="SC46" s="5"/>
      <c r="SD46" s="5"/>
      <c r="SE46" s="5"/>
      <c r="SF46" s="5"/>
      <c r="SG46" s="5"/>
      <c r="SH46" s="5"/>
      <c r="SI46" s="5"/>
      <c r="SJ46" s="5"/>
      <c r="SK46" s="5"/>
      <c r="SL46" s="5"/>
      <c r="SM46" s="5"/>
      <c r="SN46" s="5"/>
      <c r="SO46" s="5"/>
      <c r="SP46" s="5"/>
      <c r="SQ46" s="5"/>
      <c r="SR46" s="5"/>
      <c r="SS46" s="5"/>
      <c r="ST46" s="5"/>
      <c r="SU46" s="5"/>
      <c r="SV46" s="5"/>
      <c r="SW46" s="5"/>
      <c r="SX46" s="5"/>
      <c r="SY46" s="5"/>
      <c r="SZ46" s="5"/>
      <c r="TA46" s="5"/>
      <c r="TB46" s="5"/>
      <c r="TC46" s="5"/>
      <c r="TD46" s="5"/>
      <c r="TE46" s="5"/>
      <c r="TF46" s="5"/>
      <c r="TG46" s="5"/>
      <c r="TH46" s="5"/>
      <c r="TI46" s="5"/>
      <c r="TJ46" s="5"/>
      <c r="TK46" s="5"/>
      <c r="TL46" s="5"/>
      <c r="TM46" s="5"/>
      <c r="TN46" s="5"/>
      <c r="TO46" s="5"/>
      <c r="TP46" s="5"/>
      <c r="TQ46" s="5"/>
      <c r="TR46" s="5"/>
      <c r="TS46" s="5"/>
      <c r="TT46" s="5"/>
      <c r="TU46" s="5"/>
      <c r="TV46" s="5"/>
      <c r="TW46" s="5"/>
      <c r="TX46" s="5"/>
      <c r="TY46" s="5"/>
      <c r="TZ46" s="5"/>
      <c r="UA46" s="5"/>
      <c r="UB46" s="5"/>
      <c r="UC46" s="5"/>
      <c r="UD46" s="5"/>
      <c r="UE46" s="5"/>
      <c r="UF46" s="5"/>
      <c r="UG46" s="5"/>
      <c r="UH46" s="5"/>
      <c r="UI46" s="5"/>
      <c r="UJ46" s="5"/>
      <c r="UK46" s="5"/>
      <c r="UL46" s="5"/>
      <c r="UM46" s="5"/>
      <c r="UN46" s="5"/>
      <c r="UO46" s="5"/>
      <c r="UP46" s="5"/>
      <c r="UQ46" s="5"/>
      <c r="UR46" s="5"/>
      <c r="US46" s="5"/>
      <c r="UT46" s="5"/>
      <c r="UU46" s="5"/>
      <c r="UV46" s="5"/>
      <c r="UW46" s="5"/>
      <c r="UX46" s="5"/>
      <c r="UY46" s="5"/>
      <c r="UZ46" s="5"/>
      <c r="VA46" s="5"/>
      <c r="VB46" s="5"/>
      <c r="VC46" s="5"/>
      <c r="VD46" s="5"/>
      <c r="VE46" s="5"/>
      <c r="VF46" s="5"/>
      <c r="VG46" s="5"/>
      <c r="VH46" s="5"/>
      <c r="VI46" s="5"/>
      <c r="VJ46" s="5"/>
      <c r="VK46" s="5"/>
      <c r="VL46" s="5"/>
      <c r="VM46" s="5"/>
      <c r="VN46" s="5"/>
      <c r="VO46" s="5"/>
      <c r="VP46" s="5"/>
      <c r="VQ46" s="5"/>
      <c r="VR46" s="5"/>
      <c r="VS46" s="5"/>
      <c r="VT46" s="5"/>
      <c r="VU46" s="5"/>
      <c r="VV46" s="5"/>
      <c r="VW46" s="5"/>
      <c r="VX46" s="5"/>
      <c r="VY46" s="5"/>
      <c r="VZ46" s="5"/>
      <c r="WA46" s="5"/>
      <c r="WB46" s="5"/>
      <c r="WC46" s="5"/>
      <c r="WD46" s="5"/>
      <c r="WE46" s="5"/>
      <c r="WF46" s="5"/>
      <c r="WG46" s="5"/>
      <c r="WH46" s="5"/>
      <c r="WI46" s="5"/>
      <c r="WJ46" s="5"/>
      <c r="WK46" s="5"/>
      <c r="WL46" s="5"/>
      <c r="WM46" s="5"/>
      <c r="WN46" s="5"/>
      <c r="WO46" s="5"/>
      <c r="WP46" s="5"/>
      <c r="WQ46" s="5"/>
      <c r="WR46" s="5"/>
      <c r="WS46" s="5"/>
      <c r="WT46" s="5"/>
      <c r="WU46" s="5"/>
      <c r="WV46" s="5"/>
      <c r="WW46" s="5"/>
      <c r="WX46" s="5"/>
      <c r="WY46" s="5"/>
      <c r="WZ46" s="5"/>
      <c r="XA46" s="5"/>
      <c r="XB46" s="5"/>
      <c r="XC46" s="5"/>
      <c r="XD46" s="5"/>
      <c r="XE46" s="5"/>
      <c r="XF46" s="5"/>
      <c r="XG46" s="5"/>
      <c r="XH46" s="5"/>
      <c r="XI46" s="5"/>
      <c r="XJ46" s="5"/>
      <c r="XK46" s="5"/>
      <c r="XL46" s="5"/>
      <c r="XM46" s="5"/>
      <c r="XN46" s="5"/>
      <c r="XO46" s="5"/>
      <c r="XP46" s="5"/>
      <c r="XQ46" s="5"/>
      <c r="XR46" s="5"/>
      <c r="XS46" s="5"/>
      <c r="XT46" s="5"/>
      <c r="XU46" s="5"/>
      <c r="XV46" s="5"/>
      <c r="XW46" s="5"/>
      <c r="XX46" s="5"/>
      <c r="XY46" s="5"/>
      <c r="XZ46" s="5"/>
      <c r="YA46" s="5"/>
      <c r="YB46" s="5"/>
      <c r="YC46" s="5"/>
      <c r="YD46" s="5"/>
      <c r="YE46" s="5"/>
      <c r="YF46" s="5"/>
      <c r="YG46" s="5"/>
      <c r="YH46" s="5"/>
      <c r="YI46" s="5"/>
      <c r="YJ46" s="5"/>
      <c r="YK46" s="5"/>
      <c r="YL46" s="5"/>
      <c r="YM46" s="5"/>
      <c r="YN46" s="5"/>
      <c r="YO46" s="5"/>
      <c r="YP46" s="5"/>
      <c r="YQ46" s="5"/>
      <c r="YR46" s="5"/>
      <c r="YS46" s="5"/>
      <c r="YT46" s="5"/>
      <c r="YU46" s="5"/>
      <c r="YV46" s="5"/>
      <c r="YW46" s="5"/>
      <c r="YX46" s="5"/>
      <c r="YY46" s="5"/>
      <c r="YZ46" s="5"/>
    </row>
    <row r="47" spans="1:676">
      <c r="A47" s="7">
        <v>37</v>
      </c>
      <c r="B47" s="7" t="s">
        <v>137</v>
      </c>
      <c r="C47" s="10" t="s">
        <v>138</v>
      </c>
      <c r="D47" s="7" t="s">
        <v>40</v>
      </c>
      <c r="E47" s="7" t="s">
        <v>82</v>
      </c>
      <c r="F47" s="7" t="s">
        <v>74</v>
      </c>
      <c r="G47" s="7"/>
      <c r="H47" s="7" t="s">
        <v>79</v>
      </c>
      <c r="I47" s="11">
        <v>2</v>
      </c>
      <c r="J47" s="11">
        <v>3</v>
      </c>
      <c r="K47" s="11">
        <v>0</v>
      </c>
      <c r="L47" s="11">
        <v>4.06</v>
      </c>
      <c r="M47" s="11">
        <v>0.48</v>
      </c>
      <c r="N47" s="11">
        <v>0</v>
      </c>
      <c r="O47" s="11">
        <v>0.9199999999999999</v>
      </c>
      <c r="P47" s="11">
        <v>0.51</v>
      </c>
      <c r="Q47" s="11">
        <v>5.970000000000002</v>
      </c>
      <c r="R47" s="11">
        <v>8.76</v>
      </c>
      <c r="S47" s="11">
        <v>14.73</v>
      </c>
      <c r="T47" s="11">
        <v>2</v>
      </c>
      <c r="U47" s="11">
        <v>3</v>
      </c>
      <c r="V47" s="11">
        <v>9.73</v>
      </c>
      <c r="W47" s="13">
        <v>6</v>
      </c>
      <c r="X47" s="13">
        <v>9</v>
      </c>
      <c r="Y47" s="13" t="str">
        <f>MIN(W47,S47)</f>
        <v>0</v>
      </c>
      <c r="Z47" s="13" t="str">
        <f>MIN(X47,(S47-Y47))</f>
        <v>0</v>
      </c>
      <c r="AA47" s="13" t="str">
        <f>S47-SUM(Y47,Z47)</f>
        <v>0</v>
      </c>
      <c r="AB47" s="15"/>
      <c r="AC47" s="15"/>
      <c r="AD47" s="1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  <c r="IY47" s="5"/>
      <c r="IZ47" s="5"/>
      <c r="JA47" s="5"/>
      <c r="JB47" s="5"/>
      <c r="JC47" s="5"/>
      <c r="JD47" s="5"/>
      <c r="JE47" s="5"/>
      <c r="JF47" s="5"/>
      <c r="JG47" s="5"/>
      <c r="JH47" s="5"/>
      <c r="JI47" s="5"/>
      <c r="JJ47" s="5"/>
      <c r="JK47" s="5"/>
      <c r="JL47" s="5"/>
      <c r="JM47" s="5"/>
      <c r="JN47" s="5"/>
      <c r="JO47" s="5"/>
      <c r="JP47" s="5"/>
      <c r="JQ47" s="5"/>
      <c r="JR47" s="5"/>
      <c r="JS47" s="5"/>
      <c r="JT47" s="5"/>
      <c r="JU47" s="5"/>
      <c r="JV47" s="5"/>
      <c r="JW47" s="5"/>
      <c r="JX47" s="5"/>
      <c r="JY47" s="5"/>
      <c r="JZ47" s="5"/>
      <c r="KA47" s="5"/>
      <c r="KB47" s="5"/>
      <c r="KC47" s="5"/>
      <c r="KD47" s="5"/>
      <c r="KE47" s="5"/>
      <c r="KF47" s="5"/>
      <c r="KG47" s="5"/>
      <c r="KH47" s="5"/>
      <c r="KI47" s="5"/>
      <c r="KJ47" s="5"/>
      <c r="KK47" s="5"/>
      <c r="KL47" s="5"/>
      <c r="KM47" s="5"/>
      <c r="KN47" s="5"/>
      <c r="KO47" s="5"/>
      <c r="KP47" s="5"/>
      <c r="KQ47" s="5"/>
      <c r="KR47" s="5"/>
      <c r="KS47" s="5"/>
      <c r="KT47" s="5"/>
      <c r="KU47" s="5"/>
      <c r="KV47" s="5"/>
      <c r="KW47" s="5"/>
      <c r="KX47" s="5"/>
      <c r="KY47" s="5"/>
      <c r="KZ47" s="5"/>
      <c r="LA47" s="5"/>
      <c r="LB47" s="5"/>
      <c r="LC47" s="5"/>
      <c r="LD47" s="5"/>
      <c r="LE47" s="5"/>
      <c r="LF47" s="5"/>
      <c r="LG47" s="5"/>
      <c r="LH47" s="5"/>
      <c r="LI47" s="5"/>
      <c r="LJ47" s="5"/>
      <c r="LK47" s="5"/>
      <c r="LL47" s="5"/>
      <c r="LM47" s="5"/>
      <c r="LN47" s="5"/>
      <c r="LO47" s="5"/>
      <c r="LP47" s="5"/>
      <c r="LQ47" s="5"/>
      <c r="LR47" s="5"/>
      <c r="LS47" s="5"/>
      <c r="LT47" s="5"/>
      <c r="LU47" s="5"/>
      <c r="LV47" s="5"/>
      <c r="LW47" s="5"/>
      <c r="LX47" s="5"/>
      <c r="LY47" s="5"/>
      <c r="LZ47" s="5"/>
      <c r="MA47" s="5"/>
      <c r="MB47" s="5"/>
      <c r="MC47" s="5"/>
      <c r="MD47" s="5"/>
      <c r="ME47" s="5"/>
      <c r="MF47" s="5"/>
      <c r="MG47" s="5"/>
      <c r="MH47" s="5"/>
      <c r="MI47" s="5"/>
      <c r="MJ47" s="5"/>
      <c r="MK47" s="5"/>
      <c r="ML47" s="5"/>
      <c r="MM47" s="5"/>
      <c r="MN47" s="5"/>
      <c r="MO47" s="5"/>
      <c r="MP47" s="5"/>
      <c r="MQ47" s="5"/>
      <c r="MR47" s="5"/>
      <c r="MS47" s="5"/>
      <c r="MT47" s="5"/>
      <c r="MU47" s="5"/>
      <c r="MV47" s="5"/>
      <c r="MW47" s="5"/>
      <c r="MX47" s="5"/>
      <c r="MY47" s="5"/>
      <c r="MZ47" s="5"/>
      <c r="NA47" s="5"/>
      <c r="NB47" s="5"/>
      <c r="NC47" s="5"/>
      <c r="ND47" s="5"/>
      <c r="NE47" s="5"/>
      <c r="NF47" s="5"/>
      <c r="NG47" s="5"/>
      <c r="NH47" s="5"/>
      <c r="NI47" s="5"/>
      <c r="NJ47" s="5"/>
      <c r="NK47" s="5"/>
      <c r="NL47" s="5"/>
      <c r="NM47" s="5"/>
      <c r="NN47" s="5"/>
      <c r="NO47" s="5"/>
      <c r="NP47" s="5"/>
      <c r="NQ47" s="5"/>
      <c r="NR47" s="5"/>
      <c r="NS47" s="5"/>
      <c r="NT47" s="5"/>
      <c r="NU47" s="5"/>
      <c r="NV47" s="5"/>
      <c r="NW47" s="5"/>
      <c r="NX47" s="5"/>
      <c r="NY47" s="5"/>
      <c r="NZ47" s="5"/>
      <c r="OA47" s="5"/>
      <c r="OB47" s="5"/>
      <c r="OC47" s="5"/>
      <c r="OD47" s="5"/>
      <c r="OE47" s="5"/>
      <c r="OF47" s="5"/>
      <c r="OG47" s="5"/>
      <c r="OH47" s="5"/>
      <c r="OI47" s="5"/>
      <c r="OJ47" s="5"/>
      <c r="OK47" s="5"/>
      <c r="OL47" s="5"/>
      <c r="OM47" s="5"/>
      <c r="ON47" s="5"/>
      <c r="OO47" s="5"/>
      <c r="OP47" s="5"/>
      <c r="OQ47" s="5"/>
      <c r="OR47" s="5"/>
      <c r="OS47" s="5"/>
      <c r="OT47" s="5"/>
      <c r="OU47" s="5"/>
      <c r="OV47" s="5"/>
      <c r="OW47" s="5"/>
      <c r="OX47" s="5"/>
      <c r="OY47" s="5"/>
      <c r="OZ47" s="5"/>
      <c r="PA47" s="5"/>
      <c r="PB47" s="5"/>
      <c r="PC47" s="5"/>
      <c r="PD47" s="5"/>
      <c r="PE47" s="5"/>
      <c r="PF47" s="5"/>
      <c r="PG47" s="5"/>
      <c r="PH47" s="5"/>
      <c r="PI47" s="5"/>
      <c r="PJ47" s="5"/>
      <c r="PK47" s="5"/>
      <c r="PL47" s="5"/>
      <c r="PM47" s="5"/>
      <c r="PN47" s="5"/>
      <c r="PO47" s="5"/>
      <c r="PP47" s="5"/>
      <c r="PQ47" s="5"/>
      <c r="PR47" s="5"/>
      <c r="PS47" s="5"/>
      <c r="PT47" s="5"/>
      <c r="PU47" s="5"/>
      <c r="PV47" s="5"/>
      <c r="PW47" s="5"/>
      <c r="PX47" s="5"/>
      <c r="PY47" s="5"/>
      <c r="PZ47" s="5"/>
      <c r="QA47" s="5"/>
      <c r="QB47" s="5"/>
      <c r="QC47" s="5"/>
      <c r="QD47" s="5"/>
      <c r="QE47" s="5"/>
      <c r="QF47" s="5"/>
      <c r="QG47" s="5"/>
      <c r="QH47" s="5"/>
      <c r="QI47" s="5"/>
      <c r="QJ47" s="5"/>
      <c r="QK47" s="5"/>
      <c r="QL47" s="5"/>
      <c r="QM47" s="5"/>
      <c r="QN47" s="5"/>
      <c r="QO47" s="5"/>
      <c r="QP47" s="5"/>
      <c r="QQ47" s="5"/>
      <c r="QR47" s="5"/>
      <c r="QS47" s="5"/>
      <c r="QT47" s="5"/>
      <c r="QU47" s="5"/>
      <c r="QV47" s="5"/>
      <c r="QW47" s="5"/>
      <c r="QX47" s="5"/>
      <c r="QY47" s="5"/>
      <c r="QZ47" s="5"/>
      <c r="RA47" s="5"/>
      <c r="RB47" s="5"/>
      <c r="RC47" s="5"/>
      <c r="RD47" s="5"/>
      <c r="RE47" s="5"/>
      <c r="RF47" s="5"/>
      <c r="RG47" s="5"/>
      <c r="RH47" s="5"/>
      <c r="RI47" s="5"/>
      <c r="RJ47" s="5"/>
      <c r="RK47" s="5"/>
      <c r="RL47" s="5"/>
      <c r="RM47" s="5"/>
      <c r="RN47" s="5"/>
      <c r="RO47" s="5"/>
      <c r="RP47" s="5"/>
      <c r="RQ47" s="5"/>
      <c r="RR47" s="5"/>
      <c r="RS47" s="5"/>
      <c r="RT47" s="5"/>
      <c r="RU47" s="5"/>
      <c r="RV47" s="5"/>
      <c r="RW47" s="5"/>
      <c r="RX47" s="5"/>
      <c r="RY47" s="5"/>
      <c r="RZ47" s="5"/>
      <c r="SA47" s="5"/>
      <c r="SB47" s="5"/>
      <c r="SC47" s="5"/>
      <c r="SD47" s="5"/>
      <c r="SE47" s="5"/>
      <c r="SF47" s="5"/>
      <c r="SG47" s="5"/>
      <c r="SH47" s="5"/>
      <c r="SI47" s="5"/>
      <c r="SJ47" s="5"/>
      <c r="SK47" s="5"/>
      <c r="SL47" s="5"/>
      <c r="SM47" s="5"/>
      <c r="SN47" s="5"/>
      <c r="SO47" s="5"/>
      <c r="SP47" s="5"/>
      <c r="SQ47" s="5"/>
      <c r="SR47" s="5"/>
      <c r="SS47" s="5"/>
      <c r="ST47" s="5"/>
      <c r="SU47" s="5"/>
      <c r="SV47" s="5"/>
      <c r="SW47" s="5"/>
      <c r="SX47" s="5"/>
      <c r="SY47" s="5"/>
      <c r="SZ47" s="5"/>
      <c r="TA47" s="5"/>
      <c r="TB47" s="5"/>
      <c r="TC47" s="5"/>
      <c r="TD47" s="5"/>
      <c r="TE47" s="5"/>
      <c r="TF47" s="5"/>
      <c r="TG47" s="5"/>
      <c r="TH47" s="5"/>
      <c r="TI47" s="5"/>
      <c r="TJ47" s="5"/>
      <c r="TK47" s="5"/>
      <c r="TL47" s="5"/>
      <c r="TM47" s="5"/>
      <c r="TN47" s="5"/>
      <c r="TO47" s="5"/>
      <c r="TP47" s="5"/>
      <c r="TQ47" s="5"/>
      <c r="TR47" s="5"/>
      <c r="TS47" s="5"/>
      <c r="TT47" s="5"/>
      <c r="TU47" s="5"/>
      <c r="TV47" s="5"/>
      <c r="TW47" s="5"/>
      <c r="TX47" s="5"/>
      <c r="TY47" s="5"/>
      <c r="TZ47" s="5"/>
      <c r="UA47" s="5"/>
      <c r="UB47" s="5"/>
      <c r="UC47" s="5"/>
      <c r="UD47" s="5"/>
      <c r="UE47" s="5"/>
      <c r="UF47" s="5"/>
      <c r="UG47" s="5"/>
      <c r="UH47" s="5"/>
      <c r="UI47" s="5"/>
      <c r="UJ47" s="5"/>
      <c r="UK47" s="5"/>
      <c r="UL47" s="5"/>
      <c r="UM47" s="5"/>
      <c r="UN47" s="5"/>
      <c r="UO47" s="5"/>
      <c r="UP47" s="5"/>
      <c r="UQ47" s="5"/>
      <c r="UR47" s="5"/>
      <c r="US47" s="5"/>
      <c r="UT47" s="5"/>
      <c r="UU47" s="5"/>
      <c r="UV47" s="5"/>
      <c r="UW47" s="5"/>
      <c r="UX47" s="5"/>
      <c r="UY47" s="5"/>
      <c r="UZ47" s="5"/>
      <c r="VA47" s="5"/>
      <c r="VB47" s="5"/>
      <c r="VC47" s="5"/>
      <c r="VD47" s="5"/>
      <c r="VE47" s="5"/>
      <c r="VF47" s="5"/>
      <c r="VG47" s="5"/>
      <c r="VH47" s="5"/>
      <c r="VI47" s="5"/>
      <c r="VJ47" s="5"/>
      <c r="VK47" s="5"/>
      <c r="VL47" s="5"/>
      <c r="VM47" s="5"/>
      <c r="VN47" s="5"/>
      <c r="VO47" s="5"/>
      <c r="VP47" s="5"/>
      <c r="VQ47" s="5"/>
      <c r="VR47" s="5"/>
      <c r="VS47" s="5"/>
      <c r="VT47" s="5"/>
      <c r="VU47" s="5"/>
      <c r="VV47" s="5"/>
      <c r="VW47" s="5"/>
      <c r="VX47" s="5"/>
      <c r="VY47" s="5"/>
      <c r="VZ47" s="5"/>
      <c r="WA47" s="5"/>
      <c r="WB47" s="5"/>
      <c r="WC47" s="5"/>
      <c r="WD47" s="5"/>
      <c r="WE47" s="5"/>
      <c r="WF47" s="5"/>
      <c r="WG47" s="5"/>
      <c r="WH47" s="5"/>
      <c r="WI47" s="5"/>
      <c r="WJ47" s="5"/>
      <c r="WK47" s="5"/>
      <c r="WL47" s="5"/>
      <c r="WM47" s="5"/>
      <c r="WN47" s="5"/>
      <c r="WO47" s="5"/>
      <c r="WP47" s="5"/>
      <c r="WQ47" s="5"/>
      <c r="WR47" s="5"/>
      <c r="WS47" s="5"/>
      <c r="WT47" s="5"/>
      <c r="WU47" s="5"/>
      <c r="WV47" s="5"/>
      <c r="WW47" s="5"/>
      <c r="WX47" s="5"/>
      <c r="WY47" s="5"/>
      <c r="WZ47" s="5"/>
      <c r="XA47" s="5"/>
      <c r="XB47" s="5"/>
      <c r="XC47" s="5"/>
      <c r="XD47" s="5"/>
      <c r="XE47" s="5"/>
      <c r="XF47" s="5"/>
      <c r="XG47" s="5"/>
      <c r="XH47" s="5"/>
      <c r="XI47" s="5"/>
      <c r="XJ47" s="5"/>
      <c r="XK47" s="5"/>
      <c r="XL47" s="5"/>
      <c r="XM47" s="5"/>
      <c r="XN47" s="5"/>
      <c r="XO47" s="5"/>
      <c r="XP47" s="5"/>
      <c r="XQ47" s="5"/>
      <c r="XR47" s="5"/>
      <c r="XS47" s="5"/>
      <c r="XT47" s="5"/>
      <c r="XU47" s="5"/>
      <c r="XV47" s="5"/>
      <c r="XW47" s="5"/>
      <c r="XX47" s="5"/>
      <c r="XY47" s="5"/>
      <c r="XZ47" s="5"/>
      <c r="YA47" s="5"/>
      <c r="YB47" s="5"/>
      <c r="YC47" s="5"/>
      <c r="YD47" s="5"/>
      <c r="YE47" s="5"/>
      <c r="YF47" s="5"/>
      <c r="YG47" s="5"/>
      <c r="YH47" s="5"/>
      <c r="YI47" s="5"/>
      <c r="YJ47" s="5"/>
      <c r="YK47" s="5"/>
      <c r="YL47" s="5"/>
      <c r="YM47" s="5"/>
      <c r="YN47" s="5"/>
      <c r="YO47" s="5"/>
      <c r="YP47" s="5"/>
      <c r="YQ47" s="5"/>
      <c r="YR47" s="5"/>
      <c r="YS47" s="5"/>
      <c r="YT47" s="5"/>
      <c r="YU47" s="5"/>
      <c r="YV47" s="5"/>
      <c r="YW47" s="5"/>
      <c r="YX47" s="5"/>
      <c r="YY47" s="5"/>
      <c r="YZ47" s="5"/>
    </row>
    <row r="48" spans="1:676">
      <c r="A48" s="7">
        <v>38</v>
      </c>
      <c r="B48" s="7" t="s">
        <v>139</v>
      </c>
      <c r="C48" s="10" t="s">
        <v>140</v>
      </c>
      <c r="D48" s="7" t="s">
        <v>40</v>
      </c>
      <c r="E48" s="7" t="s">
        <v>60</v>
      </c>
      <c r="F48" s="7" t="s">
        <v>74</v>
      </c>
      <c r="G48" s="7"/>
      <c r="H48" s="7" t="s">
        <v>79</v>
      </c>
      <c r="I48" s="11">
        <v>2</v>
      </c>
      <c r="J48" s="11">
        <v>3</v>
      </c>
      <c r="K48" s="11">
        <v>0</v>
      </c>
      <c r="L48" s="11">
        <v>5.61</v>
      </c>
      <c r="M48" s="11">
        <v>0.08</v>
      </c>
      <c r="N48" s="11">
        <v>0</v>
      </c>
      <c r="O48" s="11">
        <v>0.36</v>
      </c>
      <c r="P48" s="11">
        <v>1.77</v>
      </c>
      <c r="Q48" s="11">
        <v>7.819999999999996</v>
      </c>
      <c r="R48" s="11">
        <v>14.34</v>
      </c>
      <c r="S48" s="11">
        <v>22.15999999999999</v>
      </c>
      <c r="T48" s="11">
        <v>2</v>
      </c>
      <c r="U48" s="11">
        <v>3</v>
      </c>
      <c r="V48" s="11">
        <v>17.15999999999999</v>
      </c>
      <c r="W48" s="13">
        <v>6</v>
      </c>
      <c r="X48" s="13">
        <v>9</v>
      </c>
      <c r="Y48" s="13" t="str">
        <f>MIN(W48,S48)</f>
        <v>0</v>
      </c>
      <c r="Z48" s="13" t="str">
        <f>MIN(X48,(S48-Y48))</f>
        <v>0</v>
      </c>
      <c r="AA48" s="13" t="str">
        <f>S48-SUM(Y48,Z48)</f>
        <v>0</v>
      </c>
      <c r="AB48" s="15"/>
      <c r="AC48" s="15"/>
      <c r="AD48" s="1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5"/>
      <c r="IU48" s="5"/>
      <c r="IV48" s="5"/>
      <c r="IW48" s="5"/>
      <c r="IX48" s="5"/>
      <c r="IY48" s="5"/>
      <c r="IZ48" s="5"/>
      <c r="JA48" s="5"/>
      <c r="JB48" s="5"/>
      <c r="JC48" s="5"/>
      <c r="JD48" s="5"/>
      <c r="JE48" s="5"/>
      <c r="JF48" s="5"/>
      <c r="JG48" s="5"/>
      <c r="JH48" s="5"/>
      <c r="JI48" s="5"/>
      <c r="JJ48" s="5"/>
      <c r="JK48" s="5"/>
      <c r="JL48" s="5"/>
      <c r="JM48" s="5"/>
      <c r="JN48" s="5"/>
      <c r="JO48" s="5"/>
      <c r="JP48" s="5"/>
      <c r="JQ48" s="5"/>
      <c r="JR48" s="5"/>
      <c r="JS48" s="5"/>
      <c r="JT48" s="5"/>
      <c r="JU48" s="5"/>
      <c r="JV48" s="5"/>
      <c r="JW48" s="5"/>
      <c r="JX48" s="5"/>
      <c r="JY48" s="5"/>
      <c r="JZ48" s="5"/>
      <c r="KA48" s="5"/>
      <c r="KB48" s="5"/>
      <c r="KC48" s="5"/>
      <c r="KD48" s="5"/>
      <c r="KE48" s="5"/>
      <c r="KF48" s="5"/>
      <c r="KG48" s="5"/>
      <c r="KH48" s="5"/>
      <c r="KI48" s="5"/>
      <c r="KJ48" s="5"/>
      <c r="KK48" s="5"/>
      <c r="KL48" s="5"/>
      <c r="KM48" s="5"/>
      <c r="KN48" s="5"/>
      <c r="KO48" s="5"/>
      <c r="KP48" s="5"/>
      <c r="KQ48" s="5"/>
      <c r="KR48" s="5"/>
      <c r="KS48" s="5"/>
      <c r="KT48" s="5"/>
      <c r="KU48" s="5"/>
      <c r="KV48" s="5"/>
      <c r="KW48" s="5"/>
      <c r="KX48" s="5"/>
      <c r="KY48" s="5"/>
      <c r="KZ48" s="5"/>
      <c r="LA48" s="5"/>
      <c r="LB48" s="5"/>
      <c r="LC48" s="5"/>
      <c r="LD48" s="5"/>
      <c r="LE48" s="5"/>
      <c r="LF48" s="5"/>
      <c r="LG48" s="5"/>
      <c r="LH48" s="5"/>
      <c r="LI48" s="5"/>
      <c r="LJ48" s="5"/>
      <c r="LK48" s="5"/>
      <c r="LL48" s="5"/>
      <c r="LM48" s="5"/>
      <c r="LN48" s="5"/>
      <c r="LO48" s="5"/>
      <c r="LP48" s="5"/>
      <c r="LQ48" s="5"/>
      <c r="LR48" s="5"/>
      <c r="LS48" s="5"/>
      <c r="LT48" s="5"/>
      <c r="LU48" s="5"/>
      <c r="LV48" s="5"/>
      <c r="LW48" s="5"/>
      <c r="LX48" s="5"/>
      <c r="LY48" s="5"/>
      <c r="LZ48" s="5"/>
      <c r="MA48" s="5"/>
      <c r="MB48" s="5"/>
      <c r="MC48" s="5"/>
      <c r="MD48" s="5"/>
      <c r="ME48" s="5"/>
      <c r="MF48" s="5"/>
      <c r="MG48" s="5"/>
      <c r="MH48" s="5"/>
      <c r="MI48" s="5"/>
      <c r="MJ48" s="5"/>
      <c r="MK48" s="5"/>
      <c r="ML48" s="5"/>
      <c r="MM48" s="5"/>
      <c r="MN48" s="5"/>
      <c r="MO48" s="5"/>
      <c r="MP48" s="5"/>
      <c r="MQ48" s="5"/>
      <c r="MR48" s="5"/>
      <c r="MS48" s="5"/>
      <c r="MT48" s="5"/>
      <c r="MU48" s="5"/>
      <c r="MV48" s="5"/>
      <c r="MW48" s="5"/>
      <c r="MX48" s="5"/>
      <c r="MY48" s="5"/>
      <c r="MZ48" s="5"/>
      <c r="NA48" s="5"/>
      <c r="NB48" s="5"/>
      <c r="NC48" s="5"/>
      <c r="ND48" s="5"/>
      <c r="NE48" s="5"/>
      <c r="NF48" s="5"/>
      <c r="NG48" s="5"/>
      <c r="NH48" s="5"/>
      <c r="NI48" s="5"/>
      <c r="NJ48" s="5"/>
      <c r="NK48" s="5"/>
      <c r="NL48" s="5"/>
      <c r="NM48" s="5"/>
      <c r="NN48" s="5"/>
      <c r="NO48" s="5"/>
      <c r="NP48" s="5"/>
      <c r="NQ48" s="5"/>
      <c r="NR48" s="5"/>
      <c r="NS48" s="5"/>
      <c r="NT48" s="5"/>
      <c r="NU48" s="5"/>
      <c r="NV48" s="5"/>
      <c r="NW48" s="5"/>
      <c r="NX48" s="5"/>
      <c r="NY48" s="5"/>
      <c r="NZ48" s="5"/>
      <c r="OA48" s="5"/>
      <c r="OB48" s="5"/>
      <c r="OC48" s="5"/>
      <c r="OD48" s="5"/>
      <c r="OE48" s="5"/>
      <c r="OF48" s="5"/>
      <c r="OG48" s="5"/>
      <c r="OH48" s="5"/>
      <c r="OI48" s="5"/>
      <c r="OJ48" s="5"/>
      <c r="OK48" s="5"/>
      <c r="OL48" s="5"/>
      <c r="OM48" s="5"/>
      <c r="ON48" s="5"/>
      <c r="OO48" s="5"/>
      <c r="OP48" s="5"/>
      <c r="OQ48" s="5"/>
      <c r="OR48" s="5"/>
      <c r="OS48" s="5"/>
      <c r="OT48" s="5"/>
      <c r="OU48" s="5"/>
      <c r="OV48" s="5"/>
      <c r="OW48" s="5"/>
      <c r="OX48" s="5"/>
      <c r="OY48" s="5"/>
      <c r="OZ48" s="5"/>
      <c r="PA48" s="5"/>
      <c r="PB48" s="5"/>
      <c r="PC48" s="5"/>
      <c r="PD48" s="5"/>
      <c r="PE48" s="5"/>
      <c r="PF48" s="5"/>
      <c r="PG48" s="5"/>
      <c r="PH48" s="5"/>
      <c r="PI48" s="5"/>
      <c r="PJ48" s="5"/>
      <c r="PK48" s="5"/>
      <c r="PL48" s="5"/>
      <c r="PM48" s="5"/>
      <c r="PN48" s="5"/>
      <c r="PO48" s="5"/>
      <c r="PP48" s="5"/>
      <c r="PQ48" s="5"/>
      <c r="PR48" s="5"/>
      <c r="PS48" s="5"/>
      <c r="PT48" s="5"/>
      <c r="PU48" s="5"/>
      <c r="PV48" s="5"/>
      <c r="PW48" s="5"/>
      <c r="PX48" s="5"/>
      <c r="PY48" s="5"/>
      <c r="PZ48" s="5"/>
      <c r="QA48" s="5"/>
      <c r="QB48" s="5"/>
      <c r="QC48" s="5"/>
      <c r="QD48" s="5"/>
      <c r="QE48" s="5"/>
      <c r="QF48" s="5"/>
      <c r="QG48" s="5"/>
      <c r="QH48" s="5"/>
      <c r="QI48" s="5"/>
      <c r="QJ48" s="5"/>
      <c r="QK48" s="5"/>
      <c r="QL48" s="5"/>
      <c r="QM48" s="5"/>
      <c r="QN48" s="5"/>
      <c r="QO48" s="5"/>
      <c r="QP48" s="5"/>
      <c r="QQ48" s="5"/>
      <c r="QR48" s="5"/>
      <c r="QS48" s="5"/>
      <c r="QT48" s="5"/>
      <c r="QU48" s="5"/>
      <c r="QV48" s="5"/>
      <c r="QW48" s="5"/>
      <c r="QX48" s="5"/>
      <c r="QY48" s="5"/>
      <c r="QZ48" s="5"/>
      <c r="RA48" s="5"/>
      <c r="RB48" s="5"/>
      <c r="RC48" s="5"/>
      <c r="RD48" s="5"/>
      <c r="RE48" s="5"/>
      <c r="RF48" s="5"/>
      <c r="RG48" s="5"/>
      <c r="RH48" s="5"/>
      <c r="RI48" s="5"/>
      <c r="RJ48" s="5"/>
      <c r="RK48" s="5"/>
      <c r="RL48" s="5"/>
      <c r="RM48" s="5"/>
      <c r="RN48" s="5"/>
      <c r="RO48" s="5"/>
      <c r="RP48" s="5"/>
      <c r="RQ48" s="5"/>
      <c r="RR48" s="5"/>
      <c r="RS48" s="5"/>
      <c r="RT48" s="5"/>
      <c r="RU48" s="5"/>
      <c r="RV48" s="5"/>
      <c r="RW48" s="5"/>
      <c r="RX48" s="5"/>
      <c r="RY48" s="5"/>
      <c r="RZ48" s="5"/>
      <c r="SA48" s="5"/>
      <c r="SB48" s="5"/>
      <c r="SC48" s="5"/>
      <c r="SD48" s="5"/>
      <c r="SE48" s="5"/>
      <c r="SF48" s="5"/>
      <c r="SG48" s="5"/>
      <c r="SH48" s="5"/>
      <c r="SI48" s="5"/>
      <c r="SJ48" s="5"/>
      <c r="SK48" s="5"/>
      <c r="SL48" s="5"/>
      <c r="SM48" s="5"/>
      <c r="SN48" s="5"/>
      <c r="SO48" s="5"/>
      <c r="SP48" s="5"/>
      <c r="SQ48" s="5"/>
      <c r="SR48" s="5"/>
      <c r="SS48" s="5"/>
      <c r="ST48" s="5"/>
      <c r="SU48" s="5"/>
      <c r="SV48" s="5"/>
      <c r="SW48" s="5"/>
      <c r="SX48" s="5"/>
      <c r="SY48" s="5"/>
      <c r="SZ48" s="5"/>
      <c r="TA48" s="5"/>
      <c r="TB48" s="5"/>
      <c r="TC48" s="5"/>
      <c r="TD48" s="5"/>
      <c r="TE48" s="5"/>
      <c r="TF48" s="5"/>
      <c r="TG48" s="5"/>
      <c r="TH48" s="5"/>
      <c r="TI48" s="5"/>
      <c r="TJ48" s="5"/>
      <c r="TK48" s="5"/>
      <c r="TL48" s="5"/>
      <c r="TM48" s="5"/>
      <c r="TN48" s="5"/>
      <c r="TO48" s="5"/>
      <c r="TP48" s="5"/>
      <c r="TQ48" s="5"/>
      <c r="TR48" s="5"/>
      <c r="TS48" s="5"/>
      <c r="TT48" s="5"/>
      <c r="TU48" s="5"/>
      <c r="TV48" s="5"/>
      <c r="TW48" s="5"/>
      <c r="TX48" s="5"/>
      <c r="TY48" s="5"/>
      <c r="TZ48" s="5"/>
      <c r="UA48" s="5"/>
      <c r="UB48" s="5"/>
      <c r="UC48" s="5"/>
      <c r="UD48" s="5"/>
      <c r="UE48" s="5"/>
      <c r="UF48" s="5"/>
      <c r="UG48" s="5"/>
      <c r="UH48" s="5"/>
      <c r="UI48" s="5"/>
      <c r="UJ48" s="5"/>
      <c r="UK48" s="5"/>
      <c r="UL48" s="5"/>
      <c r="UM48" s="5"/>
      <c r="UN48" s="5"/>
      <c r="UO48" s="5"/>
      <c r="UP48" s="5"/>
      <c r="UQ48" s="5"/>
      <c r="UR48" s="5"/>
      <c r="US48" s="5"/>
      <c r="UT48" s="5"/>
      <c r="UU48" s="5"/>
      <c r="UV48" s="5"/>
      <c r="UW48" s="5"/>
      <c r="UX48" s="5"/>
      <c r="UY48" s="5"/>
      <c r="UZ48" s="5"/>
      <c r="VA48" s="5"/>
      <c r="VB48" s="5"/>
      <c r="VC48" s="5"/>
      <c r="VD48" s="5"/>
      <c r="VE48" s="5"/>
      <c r="VF48" s="5"/>
      <c r="VG48" s="5"/>
      <c r="VH48" s="5"/>
      <c r="VI48" s="5"/>
      <c r="VJ48" s="5"/>
      <c r="VK48" s="5"/>
      <c r="VL48" s="5"/>
      <c r="VM48" s="5"/>
      <c r="VN48" s="5"/>
      <c r="VO48" s="5"/>
      <c r="VP48" s="5"/>
      <c r="VQ48" s="5"/>
      <c r="VR48" s="5"/>
      <c r="VS48" s="5"/>
      <c r="VT48" s="5"/>
      <c r="VU48" s="5"/>
      <c r="VV48" s="5"/>
      <c r="VW48" s="5"/>
      <c r="VX48" s="5"/>
      <c r="VY48" s="5"/>
      <c r="VZ48" s="5"/>
      <c r="WA48" s="5"/>
      <c r="WB48" s="5"/>
      <c r="WC48" s="5"/>
      <c r="WD48" s="5"/>
      <c r="WE48" s="5"/>
      <c r="WF48" s="5"/>
      <c r="WG48" s="5"/>
      <c r="WH48" s="5"/>
      <c r="WI48" s="5"/>
      <c r="WJ48" s="5"/>
      <c r="WK48" s="5"/>
      <c r="WL48" s="5"/>
      <c r="WM48" s="5"/>
      <c r="WN48" s="5"/>
      <c r="WO48" s="5"/>
      <c r="WP48" s="5"/>
      <c r="WQ48" s="5"/>
      <c r="WR48" s="5"/>
      <c r="WS48" s="5"/>
      <c r="WT48" s="5"/>
      <c r="WU48" s="5"/>
      <c r="WV48" s="5"/>
      <c r="WW48" s="5"/>
      <c r="WX48" s="5"/>
      <c r="WY48" s="5"/>
      <c r="WZ48" s="5"/>
      <c r="XA48" s="5"/>
      <c r="XB48" s="5"/>
      <c r="XC48" s="5"/>
      <c r="XD48" s="5"/>
      <c r="XE48" s="5"/>
      <c r="XF48" s="5"/>
      <c r="XG48" s="5"/>
      <c r="XH48" s="5"/>
      <c r="XI48" s="5"/>
      <c r="XJ48" s="5"/>
      <c r="XK48" s="5"/>
      <c r="XL48" s="5"/>
      <c r="XM48" s="5"/>
      <c r="XN48" s="5"/>
      <c r="XO48" s="5"/>
      <c r="XP48" s="5"/>
      <c r="XQ48" s="5"/>
      <c r="XR48" s="5"/>
      <c r="XS48" s="5"/>
      <c r="XT48" s="5"/>
      <c r="XU48" s="5"/>
      <c r="XV48" s="5"/>
      <c r="XW48" s="5"/>
      <c r="XX48" s="5"/>
      <c r="XY48" s="5"/>
      <c r="XZ48" s="5"/>
      <c r="YA48" s="5"/>
      <c r="YB48" s="5"/>
      <c r="YC48" s="5"/>
      <c r="YD48" s="5"/>
      <c r="YE48" s="5"/>
      <c r="YF48" s="5"/>
      <c r="YG48" s="5"/>
      <c r="YH48" s="5"/>
      <c r="YI48" s="5"/>
      <c r="YJ48" s="5"/>
      <c r="YK48" s="5"/>
      <c r="YL48" s="5"/>
      <c r="YM48" s="5"/>
      <c r="YN48" s="5"/>
      <c r="YO48" s="5"/>
      <c r="YP48" s="5"/>
      <c r="YQ48" s="5"/>
      <c r="YR48" s="5"/>
      <c r="YS48" s="5"/>
      <c r="YT48" s="5"/>
      <c r="YU48" s="5"/>
      <c r="YV48" s="5"/>
      <c r="YW48" s="5"/>
      <c r="YX48" s="5"/>
      <c r="YY48" s="5"/>
      <c r="YZ48" s="5"/>
    </row>
    <row r="49" spans="1:676">
      <c r="A49" s="7">
        <v>39</v>
      </c>
      <c r="B49" s="7" t="s">
        <v>141</v>
      </c>
      <c r="C49" s="10" t="s">
        <v>142</v>
      </c>
      <c r="D49" s="7" t="s">
        <v>46</v>
      </c>
      <c r="E49" s="7" t="s">
        <v>82</v>
      </c>
      <c r="F49" s="7" t="s">
        <v>74</v>
      </c>
      <c r="G49" s="7"/>
      <c r="H49" s="7" t="s">
        <v>79</v>
      </c>
      <c r="I49" s="11">
        <v>2</v>
      </c>
      <c r="J49" s="11">
        <v>3</v>
      </c>
      <c r="K49" s="11">
        <v>0</v>
      </c>
      <c r="L49" s="11">
        <v>3.120000000000001</v>
      </c>
      <c r="M49" s="11">
        <v>0.5600000000000001</v>
      </c>
      <c r="N49" s="11">
        <v>0</v>
      </c>
      <c r="O49" s="11">
        <v>0.3</v>
      </c>
      <c r="P49" s="11">
        <v>1.77</v>
      </c>
      <c r="Q49" s="11">
        <v>5.750000000000002</v>
      </c>
      <c r="R49" s="11">
        <v>9.120000000000005</v>
      </c>
      <c r="S49" s="11">
        <v>14.87000000000001</v>
      </c>
      <c r="T49" s="11">
        <v>2</v>
      </c>
      <c r="U49" s="11">
        <v>3</v>
      </c>
      <c r="V49" s="11">
        <v>9.870000000000006</v>
      </c>
      <c r="W49" s="13">
        <v>6</v>
      </c>
      <c r="X49" s="13">
        <v>9</v>
      </c>
      <c r="Y49" s="13" t="str">
        <f>MIN(W49,S49)</f>
        <v>0</v>
      </c>
      <c r="Z49" s="13" t="str">
        <f>MIN(X49,(S49-Y49))</f>
        <v>0</v>
      </c>
      <c r="AA49" s="13" t="str">
        <f>S49-SUM(Y49,Z49)</f>
        <v>0</v>
      </c>
      <c r="AB49" s="15"/>
      <c r="AC49" s="15"/>
      <c r="AD49" s="1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  <c r="GB49" s="5"/>
      <c r="GC49" s="5"/>
      <c r="GD49" s="5"/>
      <c r="GE49" s="5"/>
      <c r="GF49" s="5"/>
      <c r="GG49" s="5"/>
      <c r="GH49" s="5"/>
      <c r="GI49" s="5"/>
      <c r="GJ49" s="5"/>
      <c r="GK49" s="5"/>
      <c r="GL49" s="5"/>
      <c r="GM49" s="5"/>
      <c r="GN49" s="5"/>
      <c r="GO49" s="5"/>
      <c r="GP49" s="5"/>
      <c r="GQ49" s="5"/>
      <c r="GR49" s="5"/>
      <c r="GS49" s="5"/>
      <c r="GT49" s="5"/>
      <c r="GU49" s="5"/>
      <c r="GV49" s="5"/>
      <c r="GW49" s="5"/>
      <c r="GX49" s="5"/>
      <c r="GY49" s="5"/>
      <c r="GZ49" s="5"/>
      <c r="HA49" s="5"/>
      <c r="HB49" s="5"/>
      <c r="HC49" s="5"/>
      <c r="HD49" s="5"/>
      <c r="HE49" s="5"/>
      <c r="HF49" s="5"/>
      <c r="HG49" s="5"/>
      <c r="HH49" s="5"/>
      <c r="HI49" s="5"/>
      <c r="HJ49" s="5"/>
      <c r="HK49" s="5"/>
      <c r="HL49" s="5"/>
      <c r="HM49" s="5"/>
      <c r="HN49" s="5"/>
      <c r="HO49" s="5"/>
      <c r="HP49" s="5"/>
      <c r="HQ49" s="5"/>
      <c r="HR49" s="5"/>
      <c r="HS49" s="5"/>
      <c r="HT49" s="5"/>
      <c r="HU49" s="5"/>
      <c r="HV49" s="5"/>
      <c r="HW49" s="5"/>
      <c r="HX49" s="5"/>
      <c r="HY49" s="5"/>
      <c r="HZ49" s="5"/>
      <c r="IA49" s="5"/>
      <c r="IB49" s="5"/>
      <c r="IC49" s="5"/>
      <c r="ID49" s="5"/>
      <c r="IE49" s="5"/>
      <c r="IF49" s="5"/>
      <c r="IG49" s="5"/>
      <c r="IH49" s="5"/>
      <c r="II49" s="5"/>
      <c r="IJ49" s="5"/>
      <c r="IK49" s="5"/>
      <c r="IL49" s="5"/>
      <c r="IM49" s="5"/>
      <c r="IN49" s="5"/>
      <c r="IO49" s="5"/>
      <c r="IP49" s="5"/>
      <c r="IQ49" s="5"/>
      <c r="IR49" s="5"/>
      <c r="IS49" s="5"/>
      <c r="IT49" s="5"/>
      <c r="IU49" s="5"/>
      <c r="IV49" s="5"/>
      <c r="IW49" s="5"/>
      <c r="IX49" s="5"/>
      <c r="IY49" s="5"/>
      <c r="IZ49" s="5"/>
      <c r="JA49" s="5"/>
      <c r="JB49" s="5"/>
      <c r="JC49" s="5"/>
      <c r="JD49" s="5"/>
      <c r="JE49" s="5"/>
      <c r="JF49" s="5"/>
      <c r="JG49" s="5"/>
      <c r="JH49" s="5"/>
      <c r="JI49" s="5"/>
      <c r="JJ49" s="5"/>
      <c r="JK49" s="5"/>
      <c r="JL49" s="5"/>
      <c r="JM49" s="5"/>
      <c r="JN49" s="5"/>
      <c r="JO49" s="5"/>
      <c r="JP49" s="5"/>
      <c r="JQ49" s="5"/>
      <c r="JR49" s="5"/>
      <c r="JS49" s="5"/>
      <c r="JT49" s="5"/>
      <c r="JU49" s="5"/>
      <c r="JV49" s="5"/>
      <c r="JW49" s="5"/>
      <c r="JX49" s="5"/>
      <c r="JY49" s="5"/>
      <c r="JZ49" s="5"/>
      <c r="KA49" s="5"/>
      <c r="KB49" s="5"/>
      <c r="KC49" s="5"/>
      <c r="KD49" s="5"/>
      <c r="KE49" s="5"/>
      <c r="KF49" s="5"/>
      <c r="KG49" s="5"/>
      <c r="KH49" s="5"/>
      <c r="KI49" s="5"/>
      <c r="KJ49" s="5"/>
      <c r="KK49" s="5"/>
      <c r="KL49" s="5"/>
      <c r="KM49" s="5"/>
      <c r="KN49" s="5"/>
      <c r="KO49" s="5"/>
      <c r="KP49" s="5"/>
      <c r="KQ49" s="5"/>
      <c r="KR49" s="5"/>
      <c r="KS49" s="5"/>
      <c r="KT49" s="5"/>
      <c r="KU49" s="5"/>
      <c r="KV49" s="5"/>
      <c r="KW49" s="5"/>
      <c r="KX49" s="5"/>
      <c r="KY49" s="5"/>
      <c r="KZ49" s="5"/>
      <c r="LA49" s="5"/>
      <c r="LB49" s="5"/>
      <c r="LC49" s="5"/>
      <c r="LD49" s="5"/>
      <c r="LE49" s="5"/>
      <c r="LF49" s="5"/>
      <c r="LG49" s="5"/>
      <c r="LH49" s="5"/>
      <c r="LI49" s="5"/>
      <c r="LJ49" s="5"/>
      <c r="LK49" s="5"/>
      <c r="LL49" s="5"/>
      <c r="LM49" s="5"/>
      <c r="LN49" s="5"/>
      <c r="LO49" s="5"/>
      <c r="LP49" s="5"/>
      <c r="LQ49" s="5"/>
      <c r="LR49" s="5"/>
      <c r="LS49" s="5"/>
      <c r="LT49" s="5"/>
      <c r="LU49" s="5"/>
      <c r="LV49" s="5"/>
      <c r="LW49" s="5"/>
      <c r="LX49" s="5"/>
      <c r="LY49" s="5"/>
      <c r="LZ49" s="5"/>
      <c r="MA49" s="5"/>
      <c r="MB49" s="5"/>
      <c r="MC49" s="5"/>
      <c r="MD49" s="5"/>
      <c r="ME49" s="5"/>
      <c r="MF49" s="5"/>
      <c r="MG49" s="5"/>
      <c r="MH49" s="5"/>
      <c r="MI49" s="5"/>
      <c r="MJ49" s="5"/>
      <c r="MK49" s="5"/>
      <c r="ML49" s="5"/>
      <c r="MM49" s="5"/>
      <c r="MN49" s="5"/>
      <c r="MO49" s="5"/>
      <c r="MP49" s="5"/>
      <c r="MQ49" s="5"/>
      <c r="MR49" s="5"/>
      <c r="MS49" s="5"/>
      <c r="MT49" s="5"/>
      <c r="MU49" s="5"/>
      <c r="MV49" s="5"/>
      <c r="MW49" s="5"/>
      <c r="MX49" s="5"/>
      <c r="MY49" s="5"/>
      <c r="MZ49" s="5"/>
      <c r="NA49" s="5"/>
      <c r="NB49" s="5"/>
      <c r="NC49" s="5"/>
      <c r="ND49" s="5"/>
      <c r="NE49" s="5"/>
      <c r="NF49" s="5"/>
      <c r="NG49" s="5"/>
      <c r="NH49" s="5"/>
      <c r="NI49" s="5"/>
      <c r="NJ49" s="5"/>
      <c r="NK49" s="5"/>
      <c r="NL49" s="5"/>
      <c r="NM49" s="5"/>
      <c r="NN49" s="5"/>
      <c r="NO49" s="5"/>
      <c r="NP49" s="5"/>
      <c r="NQ49" s="5"/>
      <c r="NR49" s="5"/>
      <c r="NS49" s="5"/>
      <c r="NT49" s="5"/>
      <c r="NU49" s="5"/>
      <c r="NV49" s="5"/>
      <c r="NW49" s="5"/>
      <c r="NX49" s="5"/>
      <c r="NY49" s="5"/>
      <c r="NZ49" s="5"/>
      <c r="OA49" s="5"/>
      <c r="OB49" s="5"/>
      <c r="OC49" s="5"/>
      <c r="OD49" s="5"/>
      <c r="OE49" s="5"/>
      <c r="OF49" s="5"/>
      <c r="OG49" s="5"/>
      <c r="OH49" s="5"/>
      <c r="OI49" s="5"/>
      <c r="OJ49" s="5"/>
      <c r="OK49" s="5"/>
      <c r="OL49" s="5"/>
      <c r="OM49" s="5"/>
      <c r="ON49" s="5"/>
      <c r="OO49" s="5"/>
      <c r="OP49" s="5"/>
      <c r="OQ49" s="5"/>
      <c r="OR49" s="5"/>
      <c r="OS49" s="5"/>
      <c r="OT49" s="5"/>
      <c r="OU49" s="5"/>
      <c r="OV49" s="5"/>
      <c r="OW49" s="5"/>
      <c r="OX49" s="5"/>
      <c r="OY49" s="5"/>
      <c r="OZ49" s="5"/>
      <c r="PA49" s="5"/>
      <c r="PB49" s="5"/>
      <c r="PC49" s="5"/>
      <c r="PD49" s="5"/>
      <c r="PE49" s="5"/>
      <c r="PF49" s="5"/>
      <c r="PG49" s="5"/>
      <c r="PH49" s="5"/>
      <c r="PI49" s="5"/>
      <c r="PJ49" s="5"/>
      <c r="PK49" s="5"/>
      <c r="PL49" s="5"/>
      <c r="PM49" s="5"/>
      <c r="PN49" s="5"/>
      <c r="PO49" s="5"/>
      <c r="PP49" s="5"/>
      <c r="PQ49" s="5"/>
      <c r="PR49" s="5"/>
      <c r="PS49" s="5"/>
      <c r="PT49" s="5"/>
      <c r="PU49" s="5"/>
      <c r="PV49" s="5"/>
      <c r="PW49" s="5"/>
      <c r="PX49" s="5"/>
      <c r="PY49" s="5"/>
      <c r="PZ49" s="5"/>
      <c r="QA49" s="5"/>
      <c r="QB49" s="5"/>
      <c r="QC49" s="5"/>
      <c r="QD49" s="5"/>
      <c r="QE49" s="5"/>
      <c r="QF49" s="5"/>
      <c r="QG49" s="5"/>
      <c r="QH49" s="5"/>
      <c r="QI49" s="5"/>
      <c r="QJ49" s="5"/>
      <c r="QK49" s="5"/>
      <c r="QL49" s="5"/>
      <c r="QM49" s="5"/>
      <c r="QN49" s="5"/>
      <c r="QO49" s="5"/>
      <c r="QP49" s="5"/>
      <c r="QQ49" s="5"/>
      <c r="QR49" s="5"/>
      <c r="QS49" s="5"/>
      <c r="QT49" s="5"/>
      <c r="QU49" s="5"/>
      <c r="QV49" s="5"/>
      <c r="QW49" s="5"/>
      <c r="QX49" s="5"/>
      <c r="QY49" s="5"/>
      <c r="QZ49" s="5"/>
      <c r="RA49" s="5"/>
      <c r="RB49" s="5"/>
      <c r="RC49" s="5"/>
      <c r="RD49" s="5"/>
      <c r="RE49" s="5"/>
      <c r="RF49" s="5"/>
      <c r="RG49" s="5"/>
      <c r="RH49" s="5"/>
      <c r="RI49" s="5"/>
      <c r="RJ49" s="5"/>
      <c r="RK49" s="5"/>
      <c r="RL49" s="5"/>
      <c r="RM49" s="5"/>
      <c r="RN49" s="5"/>
      <c r="RO49" s="5"/>
      <c r="RP49" s="5"/>
      <c r="RQ49" s="5"/>
      <c r="RR49" s="5"/>
      <c r="RS49" s="5"/>
      <c r="RT49" s="5"/>
      <c r="RU49" s="5"/>
      <c r="RV49" s="5"/>
      <c r="RW49" s="5"/>
      <c r="RX49" s="5"/>
      <c r="RY49" s="5"/>
      <c r="RZ49" s="5"/>
      <c r="SA49" s="5"/>
      <c r="SB49" s="5"/>
      <c r="SC49" s="5"/>
      <c r="SD49" s="5"/>
      <c r="SE49" s="5"/>
      <c r="SF49" s="5"/>
      <c r="SG49" s="5"/>
      <c r="SH49" s="5"/>
      <c r="SI49" s="5"/>
      <c r="SJ49" s="5"/>
      <c r="SK49" s="5"/>
      <c r="SL49" s="5"/>
      <c r="SM49" s="5"/>
      <c r="SN49" s="5"/>
      <c r="SO49" s="5"/>
      <c r="SP49" s="5"/>
      <c r="SQ49" s="5"/>
      <c r="SR49" s="5"/>
      <c r="SS49" s="5"/>
      <c r="ST49" s="5"/>
      <c r="SU49" s="5"/>
      <c r="SV49" s="5"/>
      <c r="SW49" s="5"/>
      <c r="SX49" s="5"/>
      <c r="SY49" s="5"/>
      <c r="SZ49" s="5"/>
      <c r="TA49" s="5"/>
      <c r="TB49" s="5"/>
      <c r="TC49" s="5"/>
      <c r="TD49" s="5"/>
      <c r="TE49" s="5"/>
      <c r="TF49" s="5"/>
      <c r="TG49" s="5"/>
      <c r="TH49" s="5"/>
      <c r="TI49" s="5"/>
      <c r="TJ49" s="5"/>
      <c r="TK49" s="5"/>
      <c r="TL49" s="5"/>
      <c r="TM49" s="5"/>
      <c r="TN49" s="5"/>
      <c r="TO49" s="5"/>
      <c r="TP49" s="5"/>
      <c r="TQ49" s="5"/>
      <c r="TR49" s="5"/>
      <c r="TS49" s="5"/>
      <c r="TT49" s="5"/>
      <c r="TU49" s="5"/>
      <c r="TV49" s="5"/>
      <c r="TW49" s="5"/>
      <c r="TX49" s="5"/>
      <c r="TY49" s="5"/>
      <c r="TZ49" s="5"/>
      <c r="UA49" s="5"/>
      <c r="UB49" s="5"/>
      <c r="UC49" s="5"/>
      <c r="UD49" s="5"/>
      <c r="UE49" s="5"/>
      <c r="UF49" s="5"/>
      <c r="UG49" s="5"/>
      <c r="UH49" s="5"/>
      <c r="UI49" s="5"/>
      <c r="UJ49" s="5"/>
      <c r="UK49" s="5"/>
      <c r="UL49" s="5"/>
      <c r="UM49" s="5"/>
      <c r="UN49" s="5"/>
      <c r="UO49" s="5"/>
      <c r="UP49" s="5"/>
      <c r="UQ49" s="5"/>
      <c r="UR49" s="5"/>
      <c r="US49" s="5"/>
      <c r="UT49" s="5"/>
      <c r="UU49" s="5"/>
      <c r="UV49" s="5"/>
      <c r="UW49" s="5"/>
      <c r="UX49" s="5"/>
      <c r="UY49" s="5"/>
      <c r="UZ49" s="5"/>
      <c r="VA49" s="5"/>
      <c r="VB49" s="5"/>
      <c r="VC49" s="5"/>
      <c r="VD49" s="5"/>
      <c r="VE49" s="5"/>
      <c r="VF49" s="5"/>
      <c r="VG49" s="5"/>
      <c r="VH49" s="5"/>
      <c r="VI49" s="5"/>
      <c r="VJ49" s="5"/>
      <c r="VK49" s="5"/>
      <c r="VL49" s="5"/>
      <c r="VM49" s="5"/>
      <c r="VN49" s="5"/>
      <c r="VO49" s="5"/>
      <c r="VP49" s="5"/>
      <c r="VQ49" s="5"/>
      <c r="VR49" s="5"/>
      <c r="VS49" s="5"/>
      <c r="VT49" s="5"/>
      <c r="VU49" s="5"/>
      <c r="VV49" s="5"/>
      <c r="VW49" s="5"/>
      <c r="VX49" s="5"/>
      <c r="VY49" s="5"/>
      <c r="VZ49" s="5"/>
      <c r="WA49" s="5"/>
      <c r="WB49" s="5"/>
      <c r="WC49" s="5"/>
      <c r="WD49" s="5"/>
      <c r="WE49" s="5"/>
      <c r="WF49" s="5"/>
      <c r="WG49" s="5"/>
      <c r="WH49" s="5"/>
      <c r="WI49" s="5"/>
      <c r="WJ49" s="5"/>
      <c r="WK49" s="5"/>
      <c r="WL49" s="5"/>
      <c r="WM49" s="5"/>
      <c r="WN49" s="5"/>
      <c r="WO49" s="5"/>
      <c r="WP49" s="5"/>
      <c r="WQ49" s="5"/>
      <c r="WR49" s="5"/>
      <c r="WS49" s="5"/>
      <c r="WT49" s="5"/>
      <c r="WU49" s="5"/>
      <c r="WV49" s="5"/>
      <c r="WW49" s="5"/>
      <c r="WX49" s="5"/>
      <c r="WY49" s="5"/>
      <c r="WZ49" s="5"/>
      <c r="XA49" s="5"/>
      <c r="XB49" s="5"/>
      <c r="XC49" s="5"/>
      <c r="XD49" s="5"/>
      <c r="XE49" s="5"/>
      <c r="XF49" s="5"/>
      <c r="XG49" s="5"/>
      <c r="XH49" s="5"/>
      <c r="XI49" s="5"/>
      <c r="XJ49" s="5"/>
      <c r="XK49" s="5"/>
      <c r="XL49" s="5"/>
      <c r="XM49" s="5"/>
      <c r="XN49" s="5"/>
      <c r="XO49" s="5"/>
      <c r="XP49" s="5"/>
      <c r="XQ49" s="5"/>
      <c r="XR49" s="5"/>
      <c r="XS49" s="5"/>
      <c r="XT49" s="5"/>
      <c r="XU49" s="5"/>
      <c r="XV49" s="5"/>
      <c r="XW49" s="5"/>
      <c r="XX49" s="5"/>
      <c r="XY49" s="5"/>
      <c r="XZ49" s="5"/>
      <c r="YA49" s="5"/>
      <c r="YB49" s="5"/>
      <c r="YC49" s="5"/>
      <c r="YD49" s="5"/>
      <c r="YE49" s="5"/>
      <c r="YF49" s="5"/>
      <c r="YG49" s="5"/>
      <c r="YH49" s="5"/>
      <c r="YI49" s="5"/>
      <c r="YJ49" s="5"/>
      <c r="YK49" s="5"/>
      <c r="YL49" s="5"/>
      <c r="YM49" s="5"/>
      <c r="YN49" s="5"/>
      <c r="YO49" s="5"/>
      <c r="YP49" s="5"/>
      <c r="YQ49" s="5"/>
      <c r="YR49" s="5"/>
      <c r="YS49" s="5"/>
      <c r="YT49" s="5"/>
      <c r="YU49" s="5"/>
      <c r="YV49" s="5"/>
      <c r="YW49" s="5"/>
      <c r="YX49" s="5"/>
      <c r="YY49" s="5"/>
      <c r="YZ49" s="5"/>
    </row>
    <row r="50" spans="1:676">
      <c r="A50" s="7">
        <v>40</v>
      </c>
      <c r="B50" s="7" t="s">
        <v>143</v>
      </c>
      <c r="C50" s="10" t="s">
        <v>144</v>
      </c>
      <c r="D50" s="7" t="s">
        <v>40</v>
      </c>
      <c r="E50" s="7" t="s">
        <v>82</v>
      </c>
      <c r="F50" s="7" t="s">
        <v>74</v>
      </c>
      <c r="G50" s="7"/>
      <c r="H50" s="7" t="s">
        <v>145</v>
      </c>
      <c r="I50" s="11">
        <v>2</v>
      </c>
      <c r="J50" s="11">
        <v>3</v>
      </c>
      <c r="K50" s="11">
        <v>0.83</v>
      </c>
      <c r="L50" s="11">
        <v>5.760000000000003</v>
      </c>
      <c r="M50" s="11">
        <v>0.16</v>
      </c>
      <c r="N50" s="11">
        <v>0</v>
      </c>
      <c r="O50" s="11">
        <v>0.33</v>
      </c>
      <c r="P50" s="11">
        <v>0.8500000000000001</v>
      </c>
      <c r="Q50" s="11">
        <v>7.930000000000004</v>
      </c>
      <c r="R50" s="11">
        <v>14.62000000000001</v>
      </c>
      <c r="S50" s="11">
        <v>22.55000000000001</v>
      </c>
      <c r="T50" s="11">
        <v>2</v>
      </c>
      <c r="U50" s="11">
        <v>3</v>
      </c>
      <c r="V50" s="11">
        <v>17.55000000000001</v>
      </c>
      <c r="W50" s="13">
        <v>6</v>
      </c>
      <c r="X50" s="13">
        <v>9</v>
      </c>
      <c r="Y50" s="13" t="str">
        <f>MIN(W50,S50)</f>
        <v>0</v>
      </c>
      <c r="Z50" s="13" t="str">
        <f>MIN(X50,(S50-Y50))</f>
        <v>0</v>
      </c>
      <c r="AA50" s="13" t="str">
        <f>S50-SUM(Y50,Z50)</f>
        <v>0</v>
      </c>
      <c r="AB50" s="15"/>
      <c r="AC50" s="15"/>
      <c r="AD50" s="1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  <c r="FD50" s="5"/>
      <c r="FE50" s="5"/>
      <c r="FF50" s="5"/>
      <c r="FG50" s="5"/>
      <c r="FH50" s="5"/>
      <c r="FI50" s="5"/>
      <c r="FJ50" s="5"/>
      <c r="FK50" s="5"/>
      <c r="FL50" s="5"/>
      <c r="FM50" s="5"/>
      <c r="FN50" s="5"/>
      <c r="FO50" s="5"/>
      <c r="FP50" s="5"/>
      <c r="FQ50" s="5"/>
      <c r="FR50" s="5"/>
      <c r="FS50" s="5"/>
      <c r="FT50" s="5"/>
      <c r="FU50" s="5"/>
      <c r="FV50" s="5"/>
      <c r="FW50" s="5"/>
      <c r="FX50" s="5"/>
      <c r="FY50" s="5"/>
      <c r="FZ50" s="5"/>
      <c r="GA50" s="5"/>
      <c r="GB50" s="5"/>
      <c r="GC50" s="5"/>
      <c r="GD50" s="5"/>
      <c r="GE50" s="5"/>
      <c r="GF50" s="5"/>
      <c r="GG50" s="5"/>
      <c r="GH50" s="5"/>
      <c r="GI50" s="5"/>
      <c r="GJ50" s="5"/>
      <c r="GK50" s="5"/>
      <c r="GL50" s="5"/>
      <c r="GM50" s="5"/>
      <c r="GN50" s="5"/>
      <c r="GO50" s="5"/>
      <c r="GP50" s="5"/>
      <c r="GQ50" s="5"/>
      <c r="GR50" s="5"/>
      <c r="GS50" s="5"/>
      <c r="GT50" s="5"/>
      <c r="GU50" s="5"/>
      <c r="GV50" s="5"/>
      <c r="GW50" s="5"/>
      <c r="GX50" s="5"/>
      <c r="GY50" s="5"/>
      <c r="GZ50" s="5"/>
      <c r="HA50" s="5"/>
      <c r="HB50" s="5"/>
      <c r="HC50" s="5"/>
      <c r="HD50" s="5"/>
      <c r="HE50" s="5"/>
      <c r="HF50" s="5"/>
      <c r="HG50" s="5"/>
      <c r="HH50" s="5"/>
      <c r="HI50" s="5"/>
      <c r="HJ50" s="5"/>
      <c r="HK50" s="5"/>
      <c r="HL50" s="5"/>
      <c r="HM50" s="5"/>
      <c r="HN50" s="5"/>
      <c r="HO50" s="5"/>
      <c r="HP50" s="5"/>
      <c r="HQ50" s="5"/>
      <c r="HR50" s="5"/>
      <c r="HS50" s="5"/>
      <c r="HT50" s="5"/>
      <c r="HU50" s="5"/>
      <c r="HV50" s="5"/>
      <c r="HW50" s="5"/>
      <c r="HX50" s="5"/>
      <c r="HY50" s="5"/>
      <c r="HZ50" s="5"/>
      <c r="IA50" s="5"/>
      <c r="IB50" s="5"/>
      <c r="IC50" s="5"/>
      <c r="ID50" s="5"/>
      <c r="IE50" s="5"/>
      <c r="IF50" s="5"/>
      <c r="IG50" s="5"/>
      <c r="IH50" s="5"/>
      <c r="II50" s="5"/>
      <c r="IJ50" s="5"/>
      <c r="IK50" s="5"/>
      <c r="IL50" s="5"/>
      <c r="IM50" s="5"/>
      <c r="IN50" s="5"/>
      <c r="IO50" s="5"/>
      <c r="IP50" s="5"/>
      <c r="IQ50" s="5"/>
      <c r="IR50" s="5"/>
      <c r="IS50" s="5"/>
      <c r="IT50" s="5"/>
      <c r="IU50" s="5"/>
      <c r="IV50" s="5"/>
      <c r="IW50" s="5"/>
      <c r="IX50" s="5"/>
      <c r="IY50" s="5"/>
      <c r="IZ50" s="5"/>
      <c r="JA50" s="5"/>
      <c r="JB50" s="5"/>
      <c r="JC50" s="5"/>
      <c r="JD50" s="5"/>
      <c r="JE50" s="5"/>
      <c r="JF50" s="5"/>
      <c r="JG50" s="5"/>
      <c r="JH50" s="5"/>
      <c r="JI50" s="5"/>
      <c r="JJ50" s="5"/>
      <c r="JK50" s="5"/>
      <c r="JL50" s="5"/>
      <c r="JM50" s="5"/>
      <c r="JN50" s="5"/>
      <c r="JO50" s="5"/>
      <c r="JP50" s="5"/>
      <c r="JQ50" s="5"/>
      <c r="JR50" s="5"/>
      <c r="JS50" s="5"/>
      <c r="JT50" s="5"/>
      <c r="JU50" s="5"/>
      <c r="JV50" s="5"/>
      <c r="JW50" s="5"/>
      <c r="JX50" s="5"/>
      <c r="JY50" s="5"/>
      <c r="JZ50" s="5"/>
      <c r="KA50" s="5"/>
      <c r="KB50" s="5"/>
      <c r="KC50" s="5"/>
      <c r="KD50" s="5"/>
      <c r="KE50" s="5"/>
      <c r="KF50" s="5"/>
      <c r="KG50" s="5"/>
      <c r="KH50" s="5"/>
      <c r="KI50" s="5"/>
      <c r="KJ50" s="5"/>
      <c r="KK50" s="5"/>
      <c r="KL50" s="5"/>
      <c r="KM50" s="5"/>
      <c r="KN50" s="5"/>
      <c r="KO50" s="5"/>
      <c r="KP50" s="5"/>
      <c r="KQ50" s="5"/>
      <c r="KR50" s="5"/>
      <c r="KS50" s="5"/>
      <c r="KT50" s="5"/>
      <c r="KU50" s="5"/>
      <c r="KV50" s="5"/>
      <c r="KW50" s="5"/>
      <c r="KX50" s="5"/>
      <c r="KY50" s="5"/>
      <c r="KZ50" s="5"/>
      <c r="LA50" s="5"/>
      <c r="LB50" s="5"/>
      <c r="LC50" s="5"/>
      <c r="LD50" s="5"/>
      <c r="LE50" s="5"/>
      <c r="LF50" s="5"/>
      <c r="LG50" s="5"/>
      <c r="LH50" s="5"/>
      <c r="LI50" s="5"/>
      <c r="LJ50" s="5"/>
      <c r="LK50" s="5"/>
      <c r="LL50" s="5"/>
      <c r="LM50" s="5"/>
      <c r="LN50" s="5"/>
      <c r="LO50" s="5"/>
      <c r="LP50" s="5"/>
      <c r="LQ50" s="5"/>
      <c r="LR50" s="5"/>
      <c r="LS50" s="5"/>
      <c r="LT50" s="5"/>
      <c r="LU50" s="5"/>
      <c r="LV50" s="5"/>
      <c r="LW50" s="5"/>
      <c r="LX50" s="5"/>
      <c r="LY50" s="5"/>
      <c r="LZ50" s="5"/>
      <c r="MA50" s="5"/>
      <c r="MB50" s="5"/>
      <c r="MC50" s="5"/>
      <c r="MD50" s="5"/>
      <c r="ME50" s="5"/>
      <c r="MF50" s="5"/>
      <c r="MG50" s="5"/>
      <c r="MH50" s="5"/>
      <c r="MI50" s="5"/>
      <c r="MJ50" s="5"/>
      <c r="MK50" s="5"/>
      <c r="ML50" s="5"/>
      <c r="MM50" s="5"/>
      <c r="MN50" s="5"/>
      <c r="MO50" s="5"/>
      <c r="MP50" s="5"/>
      <c r="MQ50" s="5"/>
      <c r="MR50" s="5"/>
      <c r="MS50" s="5"/>
      <c r="MT50" s="5"/>
      <c r="MU50" s="5"/>
      <c r="MV50" s="5"/>
      <c r="MW50" s="5"/>
      <c r="MX50" s="5"/>
      <c r="MY50" s="5"/>
      <c r="MZ50" s="5"/>
      <c r="NA50" s="5"/>
      <c r="NB50" s="5"/>
      <c r="NC50" s="5"/>
      <c r="ND50" s="5"/>
      <c r="NE50" s="5"/>
      <c r="NF50" s="5"/>
      <c r="NG50" s="5"/>
      <c r="NH50" s="5"/>
      <c r="NI50" s="5"/>
      <c r="NJ50" s="5"/>
      <c r="NK50" s="5"/>
      <c r="NL50" s="5"/>
      <c r="NM50" s="5"/>
      <c r="NN50" s="5"/>
      <c r="NO50" s="5"/>
      <c r="NP50" s="5"/>
      <c r="NQ50" s="5"/>
      <c r="NR50" s="5"/>
      <c r="NS50" s="5"/>
      <c r="NT50" s="5"/>
      <c r="NU50" s="5"/>
      <c r="NV50" s="5"/>
      <c r="NW50" s="5"/>
      <c r="NX50" s="5"/>
      <c r="NY50" s="5"/>
      <c r="NZ50" s="5"/>
      <c r="OA50" s="5"/>
      <c r="OB50" s="5"/>
      <c r="OC50" s="5"/>
      <c r="OD50" s="5"/>
      <c r="OE50" s="5"/>
      <c r="OF50" s="5"/>
      <c r="OG50" s="5"/>
      <c r="OH50" s="5"/>
      <c r="OI50" s="5"/>
      <c r="OJ50" s="5"/>
      <c r="OK50" s="5"/>
      <c r="OL50" s="5"/>
      <c r="OM50" s="5"/>
      <c r="ON50" s="5"/>
      <c r="OO50" s="5"/>
      <c r="OP50" s="5"/>
      <c r="OQ50" s="5"/>
      <c r="OR50" s="5"/>
      <c r="OS50" s="5"/>
      <c r="OT50" s="5"/>
      <c r="OU50" s="5"/>
      <c r="OV50" s="5"/>
      <c r="OW50" s="5"/>
      <c r="OX50" s="5"/>
      <c r="OY50" s="5"/>
      <c r="OZ50" s="5"/>
      <c r="PA50" s="5"/>
      <c r="PB50" s="5"/>
      <c r="PC50" s="5"/>
      <c r="PD50" s="5"/>
      <c r="PE50" s="5"/>
      <c r="PF50" s="5"/>
      <c r="PG50" s="5"/>
      <c r="PH50" s="5"/>
      <c r="PI50" s="5"/>
      <c r="PJ50" s="5"/>
      <c r="PK50" s="5"/>
      <c r="PL50" s="5"/>
      <c r="PM50" s="5"/>
      <c r="PN50" s="5"/>
      <c r="PO50" s="5"/>
      <c r="PP50" s="5"/>
      <c r="PQ50" s="5"/>
      <c r="PR50" s="5"/>
      <c r="PS50" s="5"/>
      <c r="PT50" s="5"/>
      <c r="PU50" s="5"/>
      <c r="PV50" s="5"/>
      <c r="PW50" s="5"/>
      <c r="PX50" s="5"/>
      <c r="PY50" s="5"/>
      <c r="PZ50" s="5"/>
      <c r="QA50" s="5"/>
      <c r="QB50" s="5"/>
      <c r="QC50" s="5"/>
      <c r="QD50" s="5"/>
      <c r="QE50" s="5"/>
      <c r="QF50" s="5"/>
      <c r="QG50" s="5"/>
      <c r="QH50" s="5"/>
      <c r="QI50" s="5"/>
      <c r="QJ50" s="5"/>
      <c r="QK50" s="5"/>
      <c r="QL50" s="5"/>
      <c r="QM50" s="5"/>
      <c r="QN50" s="5"/>
      <c r="QO50" s="5"/>
      <c r="QP50" s="5"/>
      <c r="QQ50" s="5"/>
      <c r="QR50" s="5"/>
      <c r="QS50" s="5"/>
      <c r="QT50" s="5"/>
      <c r="QU50" s="5"/>
      <c r="QV50" s="5"/>
      <c r="QW50" s="5"/>
      <c r="QX50" s="5"/>
      <c r="QY50" s="5"/>
      <c r="QZ50" s="5"/>
      <c r="RA50" s="5"/>
      <c r="RB50" s="5"/>
      <c r="RC50" s="5"/>
      <c r="RD50" s="5"/>
      <c r="RE50" s="5"/>
      <c r="RF50" s="5"/>
      <c r="RG50" s="5"/>
      <c r="RH50" s="5"/>
      <c r="RI50" s="5"/>
      <c r="RJ50" s="5"/>
      <c r="RK50" s="5"/>
      <c r="RL50" s="5"/>
      <c r="RM50" s="5"/>
      <c r="RN50" s="5"/>
      <c r="RO50" s="5"/>
      <c r="RP50" s="5"/>
      <c r="RQ50" s="5"/>
      <c r="RR50" s="5"/>
      <c r="RS50" s="5"/>
      <c r="RT50" s="5"/>
      <c r="RU50" s="5"/>
      <c r="RV50" s="5"/>
      <c r="RW50" s="5"/>
      <c r="RX50" s="5"/>
      <c r="RY50" s="5"/>
      <c r="RZ50" s="5"/>
      <c r="SA50" s="5"/>
      <c r="SB50" s="5"/>
      <c r="SC50" s="5"/>
      <c r="SD50" s="5"/>
      <c r="SE50" s="5"/>
      <c r="SF50" s="5"/>
      <c r="SG50" s="5"/>
      <c r="SH50" s="5"/>
      <c r="SI50" s="5"/>
      <c r="SJ50" s="5"/>
      <c r="SK50" s="5"/>
      <c r="SL50" s="5"/>
      <c r="SM50" s="5"/>
      <c r="SN50" s="5"/>
      <c r="SO50" s="5"/>
      <c r="SP50" s="5"/>
      <c r="SQ50" s="5"/>
      <c r="SR50" s="5"/>
      <c r="SS50" s="5"/>
      <c r="ST50" s="5"/>
      <c r="SU50" s="5"/>
      <c r="SV50" s="5"/>
      <c r="SW50" s="5"/>
      <c r="SX50" s="5"/>
      <c r="SY50" s="5"/>
      <c r="SZ50" s="5"/>
      <c r="TA50" s="5"/>
      <c r="TB50" s="5"/>
      <c r="TC50" s="5"/>
      <c r="TD50" s="5"/>
      <c r="TE50" s="5"/>
      <c r="TF50" s="5"/>
      <c r="TG50" s="5"/>
      <c r="TH50" s="5"/>
      <c r="TI50" s="5"/>
      <c r="TJ50" s="5"/>
      <c r="TK50" s="5"/>
      <c r="TL50" s="5"/>
      <c r="TM50" s="5"/>
      <c r="TN50" s="5"/>
      <c r="TO50" s="5"/>
      <c r="TP50" s="5"/>
      <c r="TQ50" s="5"/>
      <c r="TR50" s="5"/>
      <c r="TS50" s="5"/>
      <c r="TT50" s="5"/>
      <c r="TU50" s="5"/>
      <c r="TV50" s="5"/>
      <c r="TW50" s="5"/>
      <c r="TX50" s="5"/>
      <c r="TY50" s="5"/>
      <c r="TZ50" s="5"/>
      <c r="UA50" s="5"/>
      <c r="UB50" s="5"/>
      <c r="UC50" s="5"/>
      <c r="UD50" s="5"/>
      <c r="UE50" s="5"/>
      <c r="UF50" s="5"/>
      <c r="UG50" s="5"/>
      <c r="UH50" s="5"/>
      <c r="UI50" s="5"/>
      <c r="UJ50" s="5"/>
      <c r="UK50" s="5"/>
      <c r="UL50" s="5"/>
      <c r="UM50" s="5"/>
      <c r="UN50" s="5"/>
      <c r="UO50" s="5"/>
      <c r="UP50" s="5"/>
      <c r="UQ50" s="5"/>
      <c r="UR50" s="5"/>
      <c r="US50" s="5"/>
      <c r="UT50" s="5"/>
      <c r="UU50" s="5"/>
      <c r="UV50" s="5"/>
      <c r="UW50" s="5"/>
      <c r="UX50" s="5"/>
      <c r="UY50" s="5"/>
      <c r="UZ50" s="5"/>
      <c r="VA50" s="5"/>
      <c r="VB50" s="5"/>
      <c r="VC50" s="5"/>
      <c r="VD50" s="5"/>
      <c r="VE50" s="5"/>
      <c r="VF50" s="5"/>
      <c r="VG50" s="5"/>
      <c r="VH50" s="5"/>
      <c r="VI50" s="5"/>
      <c r="VJ50" s="5"/>
      <c r="VK50" s="5"/>
      <c r="VL50" s="5"/>
      <c r="VM50" s="5"/>
      <c r="VN50" s="5"/>
      <c r="VO50" s="5"/>
      <c r="VP50" s="5"/>
      <c r="VQ50" s="5"/>
      <c r="VR50" s="5"/>
      <c r="VS50" s="5"/>
      <c r="VT50" s="5"/>
      <c r="VU50" s="5"/>
      <c r="VV50" s="5"/>
      <c r="VW50" s="5"/>
      <c r="VX50" s="5"/>
      <c r="VY50" s="5"/>
      <c r="VZ50" s="5"/>
      <c r="WA50" s="5"/>
      <c r="WB50" s="5"/>
      <c r="WC50" s="5"/>
      <c r="WD50" s="5"/>
      <c r="WE50" s="5"/>
      <c r="WF50" s="5"/>
      <c r="WG50" s="5"/>
      <c r="WH50" s="5"/>
      <c r="WI50" s="5"/>
      <c r="WJ50" s="5"/>
      <c r="WK50" s="5"/>
      <c r="WL50" s="5"/>
      <c r="WM50" s="5"/>
      <c r="WN50" s="5"/>
      <c r="WO50" s="5"/>
      <c r="WP50" s="5"/>
      <c r="WQ50" s="5"/>
      <c r="WR50" s="5"/>
      <c r="WS50" s="5"/>
      <c r="WT50" s="5"/>
      <c r="WU50" s="5"/>
      <c r="WV50" s="5"/>
      <c r="WW50" s="5"/>
      <c r="WX50" s="5"/>
      <c r="WY50" s="5"/>
      <c r="WZ50" s="5"/>
      <c r="XA50" s="5"/>
      <c r="XB50" s="5"/>
      <c r="XC50" s="5"/>
      <c r="XD50" s="5"/>
      <c r="XE50" s="5"/>
      <c r="XF50" s="5"/>
      <c r="XG50" s="5"/>
      <c r="XH50" s="5"/>
      <c r="XI50" s="5"/>
      <c r="XJ50" s="5"/>
      <c r="XK50" s="5"/>
      <c r="XL50" s="5"/>
      <c r="XM50" s="5"/>
      <c r="XN50" s="5"/>
      <c r="XO50" s="5"/>
      <c r="XP50" s="5"/>
      <c r="XQ50" s="5"/>
      <c r="XR50" s="5"/>
      <c r="XS50" s="5"/>
      <c r="XT50" s="5"/>
      <c r="XU50" s="5"/>
      <c r="XV50" s="5"/>
      <c r="XW50" s="5"/>
      <c r="XX50" s="5"/>
      <c r="XY50" s="5"/>
      <c r="XZ50" s="5"/>
      <c r="YA50" s="5"/>
      <c r="YB50" s="5"/>
      <c r="YC50" s="5"/>
      <c r="YD50" s="5"/>
      <c r="YE50" s="5"/>
      <c r="YF50" s="5"/>
      <c r="YG50" s="5"/>
      <c r="YH50" s="5"/>
      <c r="YI50" s="5"/>
      <c r="YJ50" s="5"/>
      <c r="YK50" s="5"/>
      <c r="YL50" s="5"/>
      <c r="YM50" s="5"/>
      <c r="YN50" s="5"/>
      <c r="YO50" s="5"/>
      <c r="YP50" s="5"/>
      <c r="YQ50" s="5"/>
      <c r="YR50" s="5"/>
      <c r="YS50" s="5"/>
      <c r="YT50" s="5"/>
      <c r="YU50" s="5"/>
      <c r="YV50" s="5"/>
      <c r="YW50" s="5"/>
      <c r="YX50" s="5"/>
      <c r="YY50" s="5"/>
      <c r="YZ50" s="5"/>
    </row>
    <row r="51" spans="1:676">
      <c r="A51" s="7">
        <v>41</v>
      </c>
      <c r="B51" s="7" t="s">
        <v>146</v>
      </c>
      <c r="C51" s="10" t="s">
        <v>147</v>
      </c>
      <c r="D51" s="7" t="s">
        <v>46</v>
      </c>
      <c r="E51" s="7" t="s">
        <v>82</v>
      </c>
      <c r="F51" s="7" t="s">
        <v>74</v>
      </c>
      <c r="G51" s="7"/>
      <c r="H51" s="7" t="s">
        <v>79</v>
      </c>
      <c r="I51" s="11">
        <v>2</v>
      </c>
      <c r="J51" s="11">
        <v>3</v>
      </c>
      <c r="K51" s="11">
        <v>0</v>
      </c>
      <c r="L51" s="11">
        <v>2.800000000000001</v>
      </c>
      <c r="M51" s="11">
        <v>0.4</v>
      </c>
      <c r="N51" s="11">
        <v>0</v>
      </c>
      <c r="O51" s="11">
        <v>0.62</v>
      </c>
      <c r="P51" s="11">
        <v>1.65</v>
      </c>
      <c r="Q51" s="11">
        <v>5.470000000000003</v>
      </c>
      <c r="R51" s="11">
        <v>6.580000000000002</v>
      </c>
      <c r="S51" s="11">
        <v>12.05</v>
      </c>
      <c r="T51" s="11">
        <v>2</v>
      </c>
      <c r="U51" s="11">
        <v>3</v>
      </c>
      <c r="V51" s="11">
        <v>7.050000000000004</v>
      </c>
      <c r="W51" s="13">
        <v>6</v>
      </c>
      <c r="X51" s="13">
        <v>9</v>
      </c>
      <c r="Y51" s="13" t="str">
        <f>MIN(W51,S51)</f>
        <v>0</v>
      </c>
      <c r="Z51" s="13" t="str">
        <f>MIN(X51,(S51-Y51))</f>
        <v>0</v>
      </c>
      <c r="AA51" s="13" t="str">
        <f>S51-SUM(Y51,Z51)</f>
        <v>0</v>
      </c>
      <c r="AB51" s="15"/>
      <c r="AC51" s="15"/>
      <c r="AD51" s="1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  <c r="EC51" s="5"/>
      <c r="ED51" s="5"/>
      <c r="EE51" s="5"/>
      <c r="EF51" s="5"/>
      <c r="EG51" s="5"/>
      <c r="EH51" s="5"/>
      <c r="EI51" s="5"/>
      <c r="EJ51" s="5"/>
      <c r="EK51" s="5"/>
      <c r="EL51" s="5"/>
      <c r="EM51" s="5"/>
      <c r="EN51" s="5"/>
      <c r="EO51" s="5"/>
      <c r="EP51" s="5"/>
      <c r="EQ51" s="5"/>
      <c r="ER51" s="5"/>
      <c r="ES51" s="5"/>
      <c r="ET51" s="5"/>
      <c r="EU51" s="5"/>
      <c r="EV51" s="5"/>
      <c r="EW51" s="5"/>
      <c r="EX51" s="5"/>
      <c r="EY51" s="5"/>
      <c r="EZ51" s="5"/>
      <c r="FA51" s="5"/>
      <c r="FB51" s="5"/>
      <c r="FC51" s="5"/>
      <c r="FD51" s="5"/>
      <c r="FE51" s="5"/>
      <c r="FF51" s="5"/>
      <c r="FG51" s="5"/>
      <c r="FH51" s="5"/>
      <c r="FI51" s="5"/>
      <c r="FJ51" s="5"/>
      <c r="FK51" s="5"/>
      <c r="FL51" s="5"/>
      <c r="FM51" s="5"/>
      <c r="FN51" s="5"/>
      <c r="FO51" s="5"/>
      <c r="FP51" s="5"/>
      <c r="FQ51" s="5"/>
      <c r="FR51" s="5"/>
      <c r="FS51" s="5"/>
      <c r="FT51" s="5"/>
      <c r="FU51" s="5"/>
      <c r="FV51" s="5"/>
      <c r="FW51" s="5"/>
      <c r="FX51" s="5"/>
      <c r="FY51" s="5"/>
      <c r="FZ51" s="5"/>
      <c r="GA51" s="5"/>
      <c r="GB51" s="5"/>
      <c r="GC51" s="5"/>
      <c r="GD51" s="5"/>
      <c r="GE51" s="5"/>
      <c r="GF51" s="5"/>
      <c r="GG51" s="5"/>
      <c r="GH51" s="5"/>
      <c r="GI51" s="5"/>
      <c r="GJ51" s="5"/>
      <c r="GK51" s="5"/>
      <c r="GL51" s="5"/>
      <c r="GM51" s="5"/>
      <c r="GN51" s="5"/>
      <c r="GO51" s="5"/>
      <c r="GP51" s="5"/>
      <c r="GQ51" s="5"/>
      <c r="GR51" s="5"/>
      <c r="GS51" s="5"/>
      <c r="GT51" s="5"/>
      <c r="GU51" s="5"/>
      <c r="GV51" s="5"/>
      <c r="GW51" s="5"/>
      <c r="GX51" s="5"/>
      <c r="GY51" s="5"/>
      <c r="GZ51" s="5"/>
      <c r="HA51" s="5"/>
      <c r="HB51" s="5"/>
      <c r="HC51" s="5"/>
      <c r="HD51" s="5"/>
      <c r="HE51" s="5"/>
      <c r="HF51" s="5"/>
      <c r="HG51" s="5"/>
      <c r="HH51" s="5"/>
      <c r="HI51" s="5"/>
      <c r="HJ51" s="5"/>
      <c r="HK51" s="5"/>
      <c r="HL51" s="5"/>
      <c r="HM51" s="5"/>
      <c r="HN51" s="5"/>
      <c r="HO51" s="5"/>
      <c r="HP51" s="5"/>
      <c r="HQ51" s="5"/>
      <c r="HR51" s="5"/>
      <c r="HS51" s="5"/>
      <c r="HT51" s="5"/>
      <c r="HU51" s="5"/>
      <c r="HV51" s="5"/>
      <c r="HW51" s="5"/>
      <c r="HX51" s="5"/>
      <c r="HY51" s="5"/>
      <c r="HZ51" s="5"/>
      <c r="IA51" s="5"/>
      <c r="IB51" s="5"/>
      <c r="IC51" s="5"/>
      <c r="ID51" s="5"/>
      <c r="IE51" s="5"/>
      <c r="IF51" s="5"/>
      <c r="IG51" s="5"/>
      <c r="IH51" s="5"/>
      <c r="II51" s="5"/>
      <c r="IJ51" s="5"/>
      <c r="IK51" s="5"/>
      <c r="IL51" s="5"/>
      <c r="IM51" s="5"/>
      <c r="IN51" s="5"/>
      <c r="IO51" s="5"/>
      <c r="IP51" s="5"/>
      <c r="IQ51" s="5"/>
      <c r="IR51" s="5"/>
      <c r="IS51" s="5"/>
      <c r="IT51" s="5"/>
      <c r="IU51" s="5"/>
      <c r="IV51" s="5"/>
      <c r="IW51" s="5"/>
      <c r="IX51" s="5"/>
      <c r="IY51" s="5"/>
      <c r="IZ51" s="5"/>
      <c r="JA51" s="5"/>
      <c r="JB51" s="5"/>
      <c r="JC51" s="5"/>
      <c r="JD51" s="5"/>
      <c r="JE51" s="5"/>
      <c r="JF51" s="5"/>
      <c r="JG51" s="5"/>
      <c r="JH51" s="5"/>
      <c r="JI51" s="5"/>
      <c r="JJ51" s="5"/>
      <c r="JK51" s="5"/>
      <c r="JL51" s="5"/>
      <c r="JM51" s="5"/>
      <c r="JN51" s="5"/>
      <c r="JO51" s="5"/>
      <c r="JP51" s="5"/>
      <c r="JQ51" s="5"/>
      <c r="JR51" s="5"/>
      <c r="JS51" s="5"/>
      <c r="JT51" s="5"/>
      <c r="JU51" s="5"/>
      <c r="JV51" s="5"/>
      <c r="JW51" s="5"/>
      <c r="JX51" s="5"/>
      <c r="JY51" s="5"/>
      <c r="JZ51" s="5"/>
      <c r="KA51" s="5"/>
      <c r="KB51" s="5"/>
      <c r="KC51" s="5"/>
      <c r="KD51" s="5"/>
      <c r="KE51" s="5"/>
      <c r="KF51" s="5"/>
      <c r="KG51" s="5"/>
      <c r="KH51" s="5"/>
      <c r="KI51" s="5"/>
      <c r="KJ51" s="5"/>
      <c r="KK51" s="5"/>
      <c r="KL51" s="5"/>
      <c r="KM51" s="5"/>
      <c r="KN51" s="5"/>
      <c r="KO51" s="5"/>
      <c r="KP51" s="5"/>
      <c r="KQ51" s="5"/>
      <c r="KR51" s="5"/>
      <c r="KS51" s="5"/>
      <c r="KT51" s="5"/>
      <c r="KU51" s="5"/>
      <c r="KV51" s="5"/>
      <c r="KW51" s="5"/>
      <c r="KX51" s="5"/>
      <c r="KY51" s="5"/>
      <c r="KZ51" s="5"/>
      <c r="LA51" s="5"/>
      <c r="LB51" s="5"/>
      <c r="LC51" s="5"/>
      <c r="LD51" s="5"/>
      <c r="LE51" s="5"/>
      <c r="LF51" s="5"/>
      <c r="LG51" s="5"/>
      <c r="LH51" s="5"/>
      <c r="LI51" s="5"/>
      <c r="LJ51" s="5"/>
      <c r="LK51" s="5"/>
      <c r="LL51" s="5"/>
      <c r="LM51" s="5"/>
      <c r="LN51" s="5"/>
      <c r="LO51" s="5"/>
      <c r="LP51" s="5"/>
      <c r="LQ51" s="5"/>
      <c r="LR51" s="5"/>
      <c r="LS51" s="5"/>
      <c r="LT51" s="5"/>
      <c r="LU51" s="5"/>
      <c r="LV51" s="5"/>
      <c r="LW51" s="5"/>
      <c r="LX51" s="5"/>
      <c r="LY51" s="5"/>
      <c r="LZ51" s="5"/>
      <c r="MA51" s="5"/>
      <c r="MB51" s="5"/>
      <c r="MC51" s="5"/>
      <c r="MD51" s="5"/>
      <c r="ME51" s="5"/>
      <c r="MF51" s="5"/>
      <c r="MG51" s="5"/>
      <c r="MH51" s="5"/>
      <c r="MI51" s="5"/>
      <c r="MJ51" s="5"/>
      <c r="MK51" s="5"/>
      <c r="ML51" s="5"/>
      <c r="MM51" s="5"/>
      <c r="MN51" s="5"/>
      <c r="MO51" s="5"/>
      <c r="MP51" s="5"/>
      <c r="MQ51" s="5"/>
      <c r="MR51" s="5"/>
      <c r="MS51" s="5"/>
      <c r="MT51" s="5"/>
      <c r="MU51" s="5"/>
      <c r="MV51" s="5"/>
      <c r="MW51" s="5"/>
      <c r="MX51" s="5"/>
      <c r="MY51" s="5"/>
      <c r="MZ51" s="5"/>
      <c r="NA51" s="5"/>
      <c r="NB51" s="5"/>
      <c r="NC51" s="5"/>
      <c r="ND51" s="5"/>
      <c r="NE51" s="5"/>
      <c r="NF51" s="5"/>
      <c r="NG51" s="5"/>
      <c r="NH51" s="5"/>
      <c r="NI51" s="5"/>
      <c r="NJ51" s="5"/>
      <c r="NK51" s="5"/>
      <c r="NL51" s="5"/>
      <c r="NM51" s="5"/>
      <c r="NN51" s="5"/>
      <c r="NO51" s="5"/>
      <c r="NP51" s="5"/>
      <c r="NQ51" s="5"/>
      <c r="NR51" s="5"/>
      <c r="NS51" s="5"/>
      <c r="NT51" s="5"/>
      <c r="NU51" s="5"/>
      <c r="NV51" s="5"/>
      <c r="NW51" s="5"/>
      <c r="NX51" s="5"/>
      <c r="NY51" s="5"/>
      <c r="NZ51" s="5"/>
      <c r="OA51" s="5"/>
      <c r="OB51" s="5"/>
      <c r="OC51" s="5"/>
      <c r="OD51" s="5"/>
      <c r="OE51" s="5"/>
      <c r="OF51" s="5"/>
      <c r="OG51" s="5"/>
      <c r="OH51" s="5"/>
      <c r="OI51" s="5"/>
      <c r="OJ51" s="5"/>
      <c r="OK51" s="5"/>
      <c r="OL51" s="5"/>
      <c r="OM51" s="5"/>
      <c r="ON51" s="5"/>
      <c r="OO51" s="5"/>
      <c r="OP51" s="5"/>
      <c r="OQ51" s="5"/>
      <c r="OR51" s="5"/>
      <c r="OS51" s="5"/>
      <c r="OT51" s="5"/>
      <c r="OU51" s="5"/>
      <c r="OV51" s="5"/>
      <c r="OW51" s="5"/>
      <c r="OX51" s="5"/>
      <c r="OY51" s="5"/>
      <c r="OZ51" s="5"/>
      <c r="PA51" s="5"/>
      <c r="PB51" s="5"/>
      <c r="PC51" s="5"/>
      <c r="PD51" s="5"/>
      <c r="PE51" s="5"/>
      <c r="PF51" s="5"/>
      <c r="PG51" s="5"/>
      <c r="PH51" s="5"/>
      <c r="PI51" s="5"/>
      <c r="PJ51" s="5"/>
      <c r="PK51" s="5"/>
      <c r="PL51" s="5"/>
      <c r="PM51" s="5"/>
      <c r="PN51" s="5"/>
      <c r="PO51" s="5"/>
      <c r="PP51" s="5"/>
      <c r="PQ51" s="5"/>
      <c r="PR51" s="5"/>
      <c r="PS51" s="5"/>
      <c r="PT51" s="5"/>
      <c r="PU51" s="5"/>
      <c r="PV51" s="5"/>
      <c r="PW51" s="5"/>
      <c r="PX51" s="5"/>
      <c r="PY51" s="5"/>
      <c r="PZ51" s="5"/>
      <c r="QA51" s="5"/>
      <c r="QB51" s="5"/>
      <c r="QC51" s="5"/>
      <c r="QD51" s="5"/>
      <c r="QE51" s="5"/>
      <c r="QF51" s="5"/>
      <c r="QG51" s="5"/>
      <c r="QH51" s="5"/>
      <c r="QI51" s="5"/>
      <c r="QJ51" s="5"/>
      <c r="QK51" s="5"/>
      <c r="QL51" s="5"/>
      <c r="QM51" s="5"/>
      <c r="QN51" s="5"/>
      <c r="QO51" s="5"/>
      <c r="QP51" s="5"/>
      <c r="QQ51" s="5"/>
      <c r="QR51" s="5"/>
      <c r="QS51" s="5"/>
      <c r="QT51" s="5"/>
      <c r="QU51" s="5"/>
      <c r="QV51" s="5"/>
      <c r="QW51" s="5"/>
      <c r="QX51" s="5"/>
      <c r="QY51" s="5"/>
      <c r="QZ51" s="5"/>
      <c r="RA51" s="5"/>
      <c r="RB51" s="5"/>
      <c r="RC51" s="5"/>
      <c r="RD51" s="5"/>
      <c r="RE51" s="5"/>
      <c r="RF51" s="5"/>
      <c r="RG51" s="5"/>
      <c r="RH51" s="5"/>
      <c r="RI51" s="5"/>
      <c r="RJ51" s="5"/>
      <c r="RK51" s="5"/>
      <c r="RL51" s="5"/>
      <c r="RM51" s="5"/>
      <c r="RN51" s="5"/>
      <c r="RO51" s="5"/>
      <c r="RP51" s="5"/>
      <c r="RQ51" s="5"/>
      <c r="RR51" s="5"/>
      <c r="RS51" s="5"/>
      <c r="RT51" s="5"/>
      <c r="RU51" s="5"/>
      <c r="RV51" s="5"/>
      <c r="RW51" s="5"/>
      <c r="RX51" s="5"/>
      <c r="RY51" s="5"/>
      <c r="RZ51" s="5"/>
      <c r="SA51" s="5"/>
      <c r="SB51" s="5"/>
      <c r="SC51" s="5"/>
      <c r="SD51" s="5"/>
      <c r="SE51" s="5"/>
      <c r="SF51" s="5"/>
      <c r="SG51" s="5"/>
      <c r="SH51" s="5"/>
      <c r="SI51" s="5"/>
      <c r="SJ51" s="5"/>
      <c r="SK51" s="5"/>
      <c r="SL51" s="5"/>
      <c r="SM51" s="5"/>
      <c r="SN51" s="5"/>
      <c r="SO51" s="5"/>
      <c r="SP51" s="5"/>
      <c r="SQ51" s="5"/>
      <c r="SR51" s="5"/>
      <c r="SS51" s="5"/>
      <c r="ST51" s="5"/>
      <c r="SU51" s="5"/>
      <c r="SV51" s="5"/>
      <c r="SW51" s="5"/>
      <c r="SX51" s="5"/>
      <c r="SY51" s="5"/>
      <c r="SZ51" s="5"/>
      <c r="TA51" s="5"/>
      <c r="TB51" s="5"/>
      <c r="TC51" s="5"/>
      <c r="TD51" s="5"/>
      <c r="TE51" s="5"/>
      <c r="TF51" s="5"/>
      <c r="TG51" s="5"/>
      <c r="TH51" s="5"/>
      <c r="TI51" s="5"/>
      <c r="TJ51" s="5"/>
      <c r="TK51" s="5"/>
      <c r="TL51" s="5"/>
      <c r="TM51" s="5"/>
      <c r="TN51" s="5"/>
      <c r="TO51" s="5"/>
      <c r="TP51" s="5"/>
      <c r="TQ51" s="5"/>
      <c r="TR51" s="5"/>
      <c r="TS51" s="5"/>
      <c r="TT51" s="5"/>
      <c r="TU51" s="5"/>
      <c r="TV51" s="5"/>
      <c r="TW51" s="5"/>
      <c r="TX51" s="5"/>
      <c r="TY51" s="5"/>
      <c r="TZ51" s="5"/>
      <c r="UA51" s="5"/>
      <c r="UB51" s="5"/>
      <c r="UC51" s="5"/>
      <c r="UD51" s="5"/>
      <c r="UE51" s="5"/>
      <c r="UF51" s="5"/>
      <c r="UG51" s="5"/>
      <c r="UH51" s="5"/>
      <c r="UI51" s="5"/>
      <c r="UJ51" s="5"/>
      <c r="UK51" s="5"/>
      <c r="UL51" s="5"/>
      <c r="UM51" s="5"/>
      <c r="UN51" s="5"/>
      <c r="UO51" s="5"/>
      <c r="UP51" s="5"/>
      <c r="UQ51" s="5"/>
      <c r="UR51" s="5"/>
      <c r="US51" s="5"/>
      <c r="UT51" s="5"/>
      <c r="UU51" s="5"/>
      <c r="UV51" s="5"/>
      <c r="UW51" s="5"/>
      <c r="UX51" s="5"/>
      <c r="UY51" s="5"/>
      <c r="UZ51" s="5"/>
      <c r="VA51" s="5"/>
      <c r="VB51" s="5"/>
      <c r="VC51" s="5"/>
      <c r="VD51" s="5"/>
      <c r="VE51" s="5"/>
      <c r="VF51" s="5"/>
      <c r="VG51" s="5"/>
      <c r="VH51" s="5"/>
      <c r="VI51" s="5"/>
      <c r="VJ51" s="5"/>
      <c r="VK51" s="5"/>
      <c r="VL51" s="5"/>
      <c r="VM51" s="5"/>
      <c r="VN51" s="5"/>
      <c r="VO51" s="5"/>
      <c r="VP51" s="5"/>
      <c r="VQ51" s="5"/>
      <c r="VR51" s="5"/>
      <c r="VS51" s="5"/>
      <c r="VT51" s="5"/>
      <c r="VU51" s="5"/>
      <c r="VV51" s="5"/>
      <c r="VW51" s="5"/>
      <c r="VX51" s="5"/>
      <c r="VY51" s="5"/>
      <c r="VZ51" s="5"/>
      <c r="WA51" s="5"/>
      <c r="WB51" s="5"/>
      <c r="WC51" s="5"/>
      <c r="WD51" s="5"/>
      <c r="WE51" s="5"/>
      <c r="WF51" s="5"/>
      <c r="WG51" s="5"/>
      <c r="WH51" s="5"/>
      <c r="WI51" s="5"/>
      <c r="WJ51" s="5"/>
      <c r="WK51" s="5"/>
      <c r="WL51" s="5"/>
      <c r="WM51" s="5"/>
      <c r="WN51" s="5"/>
      <c r="WO51" s="5"/>
      <c r="WP51" s="5"/>
      <c r="WQ51" s="5"/>
      <c r="WR51" s="5"/>
      <c r="WS51" s="5"/>
      <c r="WT51" s="5"/>
      <c r="WU51" s="5"/>
      <c r="WV51" s="5"/>
      <c r="WW51" s="5"/>
      <c r="WX51" s="5"/>
      <c r="WY51" s="5"/>
      <c r="WZ51" s="5"/>
      <c r="XA51" s="5"/>
      <c r="XB51" s="5"/>
      <c r="XC51" s="5"/>
      <c r="XD51" s="5"/>
      <c r="XE51" s="5"/>
      <c r="XF51" s="5"/>
      <c r="XG51" s="5"/>
      <c r="XH51" s="5"/>
      <c r="XI51" s="5"/>
      <c r="XJ51" s="5"/>
      <c r="XK51" s="5"/>
      <c r="XL51" s="5"/>
      <c r="XM51" s="5"/>
      <c r="XN51" s="5"/>
      <c r="XO51" s="5"/>
      <c r="XP51" s="5"/>
      <c r="XQ51" s="5"/>
      <c r="XR51" s="5"/>
      <c r="XS51" s="5"/>
      <c r="XT51" s="5"/>
      <c r="XU51" s="5"/>
      <c r="XV51" s="5"/>
      <c r="XW51" s="5"/>
      <c r="XX51" s="5"/>
      <c r="XY51" s="5"/>
      <c r="XZ51" s="5"/>
      <c r="YA51" s="5"/>
      <c r="YB51" s="5"/>
      <c r="YC51" s="5"/>
      <c r="YD51" s="5"/>
      <c r="YE51" s="5"/>
      <c r="YF51" s="5"/>
      <c r="YG51" s="5"/>
      <c r="YH51" s="5"/>
      <c r="YI51" s="5"/>
      <c r="YJ51" s="5"/>
      <c r="YK51" s="5"/>
      <c r="YL51" s="5"/>
      <c r="YM51" s="5"/>
      <c r="YN51" s="5"/>
      <c r="YO51" s="5"/>
      <c r="YP51" s="5"/>
      <c r="YQ51" s="5"/>
      <c r="YR51" s="5"/>
      <c r="YS51" s="5"/>
      <c r="YT51" s="5"/>
      <c r="YU51" s="5"/>
      <c r="YV51" s="5"/>
      <c r="YW51" s="5"/>
      <c r="YX51" s="5"/>
      <c r="YY51" s="5"/>
      <c r="YZ51" s="5"/>
    </row>
    <row r="52" spans="1:676">
      <c r="A52" s="7">
        <v>42</v>
      </c>
      <c r="B52" s="7" t="s">
        <v>148</v>
      </c>
      <c r="C52" s="10" t="s">
        <v>149</v>
      </c>
      <c r="D52" s="7" t="s">
        <v>46</v>
      </c>
      <c r="E52" s="7" t="s">
        <v>60</v>
      </c>
      <c r="F52" s="7" t="s">
        <v>74</v>
      </c>
      <c r="G52" s="7"/>
      <c r="H52" s="7" t="s">
        <v>79</v>
      </c>
      <c r="I52" s="11">
        <v>2</v>
      </c>
      <c r="J52" s="11">
        <v>3</v>
      </c>
      <c r="K52" s="11">
        <v>0</v>
      </c>
      <c r="L52" s="11">
        <v>4.220000000000002</v>
      </c>
      <c r="M52" s="11">
        <v>0.72</v>
      </c>
      <c r="N52" s="11">
        <v>0</v>
      </c>
      <c r="O52" s="11">
        <v>0.7399999999999999</v>
      </c>
      <c r="P52" s="11">
        <v>3.06</v>
      </c>
      <c r="Q52" s="11">
        <v>8.74</v>
      </c>
      <c r="R52" s="11">
        <v>16.63</v>
      </c>
      <c r="S52" s="11">
        <v>25.37</v>
      </c>
      <c r="T52" s="11">
        <v>2</v>
      </c>
      <c r="U52" s="11">
        <v>3</v>
      </c>
      <c r="V52" s="11">
        <v>20.37</v>
      </c>
      <c r="W52" s="13">
        <v>6</v>
      </c>
      <c r="X52" s="13">
        <v>9</v>
      </c>
      <c r="Y52" s="13" t="str">
        <f>MIN(W52,S52)</f>
        <v>0</v>
      </c>
      <c r="Z52" s="13" t="str">
        <f>MIN(X52,(S52-Y52))</f>
        <v>0</v>
      </c>
      <c r="AA52" s="13" t="str">
        <f>S52-SUM(Y52,Z52)</f>
        <v>0</v>
      </c>
      <c r="AB52" s="15"/>
      <c r="AC52" s="15"/>
      <c r="AD52" s="1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  <c r="GN52" s="5"/>
      <c r="GO52" s="5"/>
      <c r="GP52" s="5"/>
      <c r="GQ52" s="5"/>
      <c r="GR52" s="5"/>
      <c r="GS52" s="5"/>
      <c r="GT52" s="5"/>
      <c r="GU52" s="5"/>
      <c r="GV52" s="5"/>
      <c r="GW52" s="5"/>
      <c r="GX52" s="5"/>
      <c r="GY52" s="5"/>
      <c r="GZ52" s="5"/>
      <c r="HA52" s="5"/>
      <c r="HB52" s="5"/>
      <c r="HC52" s="5"/>
      <c r="HD52" s="5"/>
      <c r="HE52" s="5"/>
      <c r="HF52" s="5"/>
      <c r="HG52" s="5"/>
      <c r="HH52" s="5"/>
      <c r="HI52" s="5"/>
      <c r="HJ52" s="5"/>
      <c r="HK52" s="5"/>
      <c r="HL52" s="5"/>
      <c r="HM52" s="5"/>
      <c r="HN52" s="5"/>
      <c r="HO52" s="5"/>
      <c r="HP52" s="5"/>
      <c r="HQ52" s="5"/>
      <c r="HR52" s="5"/>
      <c r="HS52" s="5"/>
      <c r="HT52" s="5"/>
      <c r="HU52" s="5"/>
      <c r="HV52" s="5"/>
      <c r="HW52" s="5"/>
      <c r="HX52" s="5"/>
      <c r="HY52" s="5"/>
      <c r="HZ52" s="5"/>
      <c r="IA52" s="5"/>
      <c r="IB52" s="5"/>
      <c r="IC52" s="5"/>
      <c r="ID52" s="5"/>
      <c r="IE52" s="5"/>
      <c r="IF52" s="5"/>
      <c r="IG52" s="5"/>
      <c r="IH52" s="5"/>
      <c r="II52" s="5"/>
      <c r="IJ52" s="5"/>
      <c r="IK52" s="5"/>
      <c r="IL52" s="5"/>
      <c r="IM52" s="5"/>
      <c r="IN52" s="5"/>
      <c r="IO52" s="5"/>
      <c r="IP52" s="5"/>
      <c r="IQ52" s="5"/>
      <c r="IR52" s="5"/>
      <c r="IS52" s="5"/>
      <c r="IT52" s="5"/>
      <c r="IU52" s="5"/>
      <c r="IV52" s="5"/>
      <c r="IW52" s="5"/>
      <c r="IX52" s="5"/>
      <c r="IY52" s="5"/>
      <c r="IZ52" s="5"/>
      <c r="JA52" s="5"/>
      <c r="JB52" s="5"/>
      <c r="JC52" s="5"/>
      <c r="JD52" s="5"/>
      <c r="JE52" s="5"/>
      <c r="JF52" s="5"/>
      <c r="JG52" s="5"/>
      <c r="JH52" s="5"/>
      <c r="JI52" s="5"/>
      <c r="JJ52" s="5"/>
      <c r="JK52" s="5"/>
      <c r="JL52" s="5"/>
      <c r="JM52" s="5"/>
      <c r="JN52" s="5"/>
      <c r="JO52" s="5"/>
      <c r="JP52" s="5"/>
      <c r="JQ52" s="5"/>
      <c r="JR52" s="5"/>
      <c r="JS52" s="5"/>
      <c r="JT52" s="5"/>
      <c r="JU52" s="5"/>
      <c r="JV52" s="5"/>
      <c r="JW52" s="5"/>
      <c r="JX52" s="5"/>
      <c r="JY52" s="5"/>
      <c r="JZ52" s="5"/>
      <c r="KA52" s="5"/>
      <c r="KB52" s="5"/>
      <c r="KC52" s="5"/>
      <c r="KD52" s="5"/>
      <c r="KE52" s="5"/>
      <c r="KF52" s="5"/>
      <c r="KG52" s="5"/>
      <c r="KH52" s="5"/>
      <c r="KI52" s="5"/>
      <c r="KJ52" s="5"/>
      <c r="KK52" s="5"/>
      <c r="KL52" s="5"/>
      <c r="KM52" s="5"/>
      <c r="KN52" s="5"/>
      <c r="KO52" s="5"/>
      <c r="KP52" s="5"/>
      <c r="KQ52" s="5"/>
      <c r="KR52" s="5"/>
      <c r="KS52" s="5"/>
      <c r="KT52" s="5"/>
      <c r="KU52" s="5"/>
      <c r="KV52" s="5"/>
      <c r="KW52" s="5"/>
      <c r="KX52" s="5"/>
      <c r="KY52" s="5"/>
      <c r="KZ52" s="5"/>
      <c r="LA52" s="5"/>
      <c r="LB52" s="5"/>
      <c r="LC52" s="5"/>
      <c r="LD52" s="5"/>
      <c r="LE52" s="5"/>
      <c r="LF52" s="5"/>
      <c r="LG52" s="5"/>
      <c r="LH52" s="5"/>
      <c r="LI52" s="5"/>
      <c r="LJ52" s="5"/>
      <c r="LK52" s="5"/>
      <c r="LL52" s="5"/>
      <c r="LM52" s="5"/>
      <c r="LN52" s="5"/>
      <c r="LO52" s="5"/>
      <c r="LP52" s="5"/>
      <c r="LQ52" s="5"/>
      <c r="LR52" s="5"/>
      <c r="LS52" s="5"/>
      <c r="LT52" s="5"/>
      <c r="LU52" s="5"/>
      <c r="LV52" s="5"/>
      <c r="LW52" s="5"/>
      <c r="LX52" s="5"/>
      <c r="LY52" s="5"/>
      <c r="LZ52" s="5"/>
      <c r="MA52" s="5"/>
      <c r="MB52" s="5"/>
      <c r="MC52" s="5"/>
      <c r="MD52" s="5"/>
      <c r="ME52" s="5"/>
      <c r="MF52" s="5"/>
      <c r="MG52" s="5"/>
      <c r="MH52" s="5"/>
      <c r="MI52" s="5"/>
      <c r="MJ52" s="5"/>
      <c r="MK52" s="5"/>
      <c r="ML52" s="5"/>
      <c r="MM52" s="5"/>
      <c r="MN52" s="5"/>
      <c r="MO52" s="5"/>
      <c r="MP52" s="5"/>
      <c r="MQ52" s="5"/>
      <c r="MR52" s="5"/>
      <c r="MS52" s="5"/>
      <c r="MT52" s="5"/>
      <c r="MU52" s="5"/>
      <c r="MV52" s="5"/>
      <c r="MW52" s="5"/>
      <c r="MX52" s="5"/>
      <c r="MY52" s="5"/>
      <c r="MZ52" s="5"/>
      <c r="NA52" s="5"/>
      <c r="NB52" s="5"/>
      <c r="NC52" s="5"/>
      <c r="ND52" s="5"/>
      <c r="NE52" s="5"/>
      <c r="NF52" s="5"/>
      <c r="NG52" s="5"/>
      <c r="NH52" s="5"/>
      <c r="NI52" s="5"/>
      <c r="NJ52" s="5"/>
      <c r="NK52" s="5"/>
      <c r="NL52" s="5"/>
      <c r="NM52" s="5"/>
      <c r="NN52" s="5"/>
      <c r="NO52" s="5"/>
      <c r="NP52" s="5"/>
      <c r="NQ52" s="5"/>
      <c r="NR52" s="5"/>
      <c r="NS52" s="5"/>
      <c r="NT52" s="5"/>
      <c r="NU52" s="5"/>
      <c r="NV52" s="5"/>
      <c r="NW52" s="5"/>
      <c r="NX52" s="5"/>
      <c r="NY52" s="5"/>
      <c r="NZ52" s="5"/>
      <c r="OA52" s="5"/>
      <c r="OB52" s="5"/>
      <c r="OC52" s="5"/>
      <c r="OD52" s="5"/>
      <c r="OE52" s="5"/>
      <c r="OF52" s="5"/>
      <c r="OG52" s="5"/>
      <c r="OH52" s="5"/>
      <c r="OI52" s="5"/>
      <c r="OJ52" s="5"/>
      <c r="OK52" s="5"/>
      <c r="OL52" s="5"/>
      <c r="OM52" s="5"/>
      <c r="ON52" s="5"/>
      <c r="OO52" s="5"/>
      <c r="OP52" s="5"/>
      <c r="OQ52" s="5"/>
      <c r="OR52" s="5"/>
      <c r="OS52" s="5"/>
      <c r="OT52" s="5"/>
      <c r="OU52" s="5"/>
      <c r="OV52" s="5"/>
      <c r="OW52" s="5"/>
      <c r="OX52" s="5"/>
      <c r="OY52" s="5"/>
      <c r="OZ52" s="5"/>
      <c r="PA52" s="5"/>
      <c r="PB52" s="5"/>
      <c r="PC52" s="5"/>
      <c r="PD52" s="5"/>
      <c r="PE52" s="5"/>
      <c r="PF52" s="5"/>
      <c r="PG52" s="5"/>
      <c r="PH52" s="5"/>
      <c r="PI52" s="5"/>
      <c r="PJ52" s="5"/>
      <c r="PK52" s="5"/>
      <c r="PL52" s="5"/>
      <c r="PM52" s="5"/>
      <c r="PN52" s="5"/>
      <c r="PO52" s="5"/>
      <c r="PP52" s="5"/>
      <c r="PQ52" s="5"/>
      <c r="PR52" s="5"/>
      <c r="PS52" s="5"/>
      <c r="PT52" s="5"/>
      <c r="PU52" s="5"/>
      <c r="PV52" s="5"/>
      <c r="PW52" s="5"/>
      <c r="PX52" s="5"/>
      <c r="PY52" s="5"/>
      <c r="PZ52" s="5"/>
      <c r="QA52" s="5"/>
      <c r="QB52" s="5"/>
      <c r="QC52" s="5"/>
      <c r="QD52" s="5"/>
      <c r="QE52" s="5"/>
      <c r="QF52" s="5"/>
      <c r="QG52" s="5"/>
      <c r="QH52" s="5"/>
      <c r="QI52" s="5"/>
      <c r="QJ52" s="5"/>
      <c r="QK52" s="5"/>
      <c r="QL52" s="5"/>
      <c r="QM52" s="5"/>
      <c r="QN52" s="5"/>
      <c r="QO52" s="5"/>
      <c r="QP52" s="5"/>
      <c r="QQ52" s="5"/>
      <c r="QR52" s="5"/>
      <c r="QS52" s="5"/>
      <c r="QT52" s="5"/>
      <c r="QU52" s="5"/>
      <c r="QV52" s="5"/>
      <c r="QW52" s="5"/>
      <c r="QX52" s="5"/>
      <c r="QY52" s="5"/>
      <c r="QZ52" s="5"/>
      <c r="RA52" s="5"/>
      <c r="RB52" s="5"/>
      <c r="RC52" s="5"/>
      <c r="RD52" s="5"/>
      <c r="RE52" s="5"/>
      <c r="RF52" s="5"/>
      <c r="RG52" s="5"/>
      <c r="RH52" s="5"/>
      <c r="RI52" s="5"/>
      <c r="RJ52" s="5"/>
      <c r="RK52" s="5"/>
      <c r="RL52" s="5"/>
      <c r="RM52" s="5"/>
      <c r="RN52" s="5"/>
      <c r="RO52" s="5"/>
      <c r="RP52" s="5"/>
      <c r="RQ52" s="5"/>
      <c r="RR52" s="5"/>
      <c r="RS52" s="5"/>
      <c r="RT52" s="5"/>
      <c r="RU52" s="5"/>
      <c r="RV52" s="5"/>
      <c r="RW52" s="5"/>
      <c r="RX52" s="5"/>
      <c r="RY52" s="5"/>
      <c r="RZ52" s="5"/>
      <c r="SA52" s="5"/>
      <c r="SB52" s="5"/>
      <c r="SC52" s="5"/>
      <c r="SD52" s="5"/>
      <c r="SE52" s="5"/>
      <c r="SF52" s="5"/>
      <c r="SG52" s="5"/>
      <c r="SH52" s="5"/>
      <c r="SI52" s="5"/>
      <c r="SJ52" s="5"/>
      <c r="SK52" s="5"/>
      <c r="SL52" s="5"/>
      <c r="SM52" s="5"/>
      <c r="SN52" s="5"/>
      <c r="SO52" s="5"/>
      <c r="SP52" s="5"/>
      <c r="SQ52" s="5"/>
      <c r="SR52" s="5"/>
      <c r="SS52" s="5"/>
      <c r="ST52" s="5"/>
      <c r="SU52" s="5"/>
      <c r="SV52" s="5"/>
      <c r="SW52" s="5"/>
      <c r="SX52" s="5"/>
      <c r="SY52" s="5"/>
      <c r="SZ52" s="5"/>
      <c r="TA52" s="5"/>
      <c r="TB52" s="5"/>
      <c r="TC52" s="5"/>
      <c r="TD52" s="5"/>
      <c r="TE52" s="5"/>
      <c r="TF52" s="5"/>
      <c r="TG52" s="5"/>
      <c r="TH52" s="5"/>
      <c r="TI52" s="5"/>
      <c r="TJ52" s="5"/>
      <c r="TK52" s="5"/>
      <c r="TL52" s="5"/>
      <c r="TM52" s="5"/>
      <c r="TN52" s="5"/>
      <c r="TO52" s="5"/>
      <c r="TP52" s="5"/>
      <c r="TQ52" s="5"/>
      <c r="TR52" s="5"/>
      <c r="TS52" s="5"/>
      <c r="TT52" s="5"/>
      <c r="TU52" s="5"/>
      <c r="TV52" s="5"/>
      <c r="TW52" s="5"/>
      <c r="TX52" s="5"/>
      <c r="TY52" s="5"/>
      <c r="TZ52" s="5"/>
      <c r="UA52" s="5"/>
      <c r="UB52" s="5"/>
      <c r="UC52" s="5"/>
      <c r="UD52" s="5"/>
      <c r="UE52" s="5"/>
      <c r="UF52" s="5"/>
      <c r="UG52" s="5"/>
      <c r="UH52" s="5"/>
      <c r="UI52" s="5"/>
      <c r="UJ52" s="5"/>
      <c r="UK52" s="5"/>
      <c r="UL52" s="5"/>
      <c r="UM52" s="5"/>
      <c r="UN52" s="5"/>
      <c r="UO52" s="5"/>
      <c r="UP52" s="5"/>
      <c r="UQ52" s="5"/>
      <c r="UR52" s="5"/>
      <c r="US52" s="5"/>
      <c r="UT52" s="5"/>
      <c r="UU52" s="5"/>
      <c r="UV52" s="5"/>
      <c r="UW52" s="5"/>
      <c r="UX52" s="5"/>
      <c r="UY52" s="5"/>
      <c r="UZ52" s="5"/>
      <c r="VA52" s="5"/>
      <c r="VB52" s="5"/>
      <c r="VC52" s="5"/>
      <c r="VD52" s="5"/>
      <c r="VE52" s="5"/>
      <c r="VF52" s="5"/>
      <c r="VG52" s="5"/>
      <c r="VH52" s="5"/>
      <c r="VI52" s="5"/>
      <c r="VJ52" s="5"/>
      <c r="VK52" s="5"/>
      <c r="VL52" s="5"/>
      <c r="VM52" s="5"/>
      <c r="VN52" s="5"/>
      <c r="VO52" s="5"/>
      <c r="VP52" s="5"/>
      <c r="VQ52" s="5"/>
      <c r="VR52" s="5"/>
      <c r="VS52" s="5"/>
      <c r="VT52" s="5"/>
      <c r="VU52" s="5"/>
      <c r="VV52" s="5"/>
      <c r="VW52" s="5"/>
      <c r="VX52" s="5"/>
      <c r="VY52" s="5"/>
      <c r="VZ52" s="5"/>
      <c r="WA52" s="5"/>
      <c r="WB52" s="5"/>
      <c r="WC52" s="5"/>
      <c r="WD52" s="5"/>
      <c r="WE52" s="5"/>
      <c r="WF52" s="5"/>
      <c r="WG52" s="5"/>
      <c r="WH52" s="5"/>
      <c r="WI52" s="5"/>
      <c r="WJ52" s="5"/>
      <c r="WK52" s="5"/>
      <c r="WL52" s="5"/>
      <c r="WM52" s="5"/>
      <c r="WN52" s="5"/>
      <c r="WO52" s="5"/>
      <c r="WP52" s="5"/>
      <c r="WQ52" s="5"/>
      <c r="WR52" s="5"/>
      <c r="WS52" s="5"/>
      <c r="WT52" s="5"/>
      <c r="WU52" s="5"/>
      <c r="WV52" s="5"/>
      <c r="WW52" s="5"/>
      <c r="WX52" s="5"/>
      <c r="WY52" s="5"/>
      <c r="WZ52" s="5"/>
      <c r="XA52" s="5"/>
      <c r="XB52" s="5"/>
      <c r="XC52" s="5"/>
      <c r="XD52" s="5"/>
      <c r="XE52" s="5"/>
      <c r="XF52" s="5"/>
      <c r="XG52" s="5"/>
      <c r="XH52" s="5"/>
      <c r="XI52" s="5"/>
      <c r="XJ52" s="5"/>
      <c r="XK52" s="5"/>
      <c r="XL52" s="5"/>
      <c r="XM52" s="5"/>
      <c r="XN52" s="5"/>
      <c r="XO52" s="5"/>
      <c r="XP52" s="5"/>
      <c r="XQ52" s="5"/>
      <c r="XR52" s="5"/>
      <c r="XS52" s="5"/>
      <c r="XT52" s="5"/>
      <c r="XU52" s="5"/>
      <c r="XV52" s="5"/>
      <c r="XW52" s="5"/>
      <c r="XX52" s="5"/>
      <c r="XY52" s="5"/>
      <c r="XZ52" s="5"/>
      <c r="YA52" s="5"/>
      <c r="YB52" s="5"/>
      <c r="YC52" s="5"/>
      <c r="YD52" s="5"/>
      <c r="YE52" s="5"/>
      <c r="YF52" s="5"/>
      <c r="YG52" s="5"/>
      <c r="YH52" s="5"/>
      <c r="YI52" s="5"/>
      <c r="YJ52" s="5"/>
      <c r="YK52" s="5"/>
      <c r="YL52" s="5"/>
      <c r="YM52" s="5"/>
      <c r="YN52" s="5"/>
      <c r="YO52" s="5"/>
      <c r="YP52" s="5"/>
      <c r="YQ52" s="5"/>
      <c r="YR52" s="5"/>
      <c r="YS52" s="5"/>
      <c r="YT52" s="5"/>
      <c r="YU52" s="5"/>
      <c r="YV52" s="5"/>
      <c r="YW52" s="5"/>
      <c r="YX52" s="5"/>
      <c r="YY52" s="5"/>
      <c r="YZ52" s="5"/>
    </row>
    <row r="53" spans="1:676">
      <c r="A53" s="7">
        <v>43</v>
      </c>
      <c r="B53" s="7" t="s">
        <v>150</v>
      </c>
      <c r="C53" s="10" t="s">
        <v>151</v>
      </c>
      <c r="D53" s="7" t="s">
        <v>46</v>
      </c>
      <c r="E53" s="7" t="s">
        <v>82</v>
      </c>
      <c r="F53" s="7" t="s">
        <v>74</v>
      </c>
      <c r="G53" s="7"/>
      <c r="H53" s="7" t="s">
        <v>79</v>
      </c>
      <c r="I53" s="11">
        <v>2</v>
      </c>
      <c r="J53" s="11">
        <v>3</v>
      </c>
      <c r="K53" s="11">
        <v>0</v>
      </c>
      <c r="L53" s="11">
        <v>4.260000000000001</v>
      </c>
      <c r="M53" s="11">
        <v>0.32</v>
      </c>
      <c r="N53" s="11">
        <v>0</v>
      </c>
      <c r="O53" s="11">
        <v>0.5600000000000001</v>
      </c>
      <c r="P53" s="11">
        <v>2.11</v>
      </c>
      <c r="Q53" s="11">
        <v>7.25</v>
      </c>
      <c r="R53" s="11">
        <v>11.61</v>
      </c>
      <c r="S53" s="11">
        <v>18.86</v>
      </c>
      <c r="T53" s="11">
        <v>2</v>
      </c>
      <c r="U53" s="11">
        <v>3</v>
      </c>
      <c r="V53" s="11">
        <v>13.86</v>
      </c>
      <c r="W53" s="13">
        <v>6</v>
      </c>
      <c r="X53" s="13">
        <v>9</v>
      </c>
      <c r="Y53" s="13" t="str">
        <f>MIN(W53,S53)</f>
        <v>0</v>
      </c>
      <c r="Z53" s="13" t="str">
        <f>MIN(X53,(S53-Y53))</f>
        <v>0</v>
      </c>
      <c r="AA53" s="13" t="str">
        <f>S53-SUM(Y53,Z53)</f>
        <v>0</v>
      </c>
      <c r="AB53" s="15"/>
      <c r="AC53" s="15"/>
      <c r="AD53" s="1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5"/>
      <c r="GC53" s="5"/>
      <c r="GD53" s="5"/>
      <c r="GE53" s="5"/>
      <c r="GF53" s="5"/>
      <c r="GG53" s="5"/>
      <c r="GH53" s="5"/>
      <c r="GI53" s="5"/>
      <c r="GJ53" s="5"/>
      <c r="GK53" s="5"/>
      <c r="GL53" s="5"/>
      <c r="GM53" s="5"/>
      <c r="GN53" s="5"/>
      <c r="GO53" s="5"/>
      <c r="GP53" s="5"/>
      <c r="GQ53" s="5"/>
      <c r="GR53" s="5"/>
      <c r="GS53" s="5"/>
      <c r="GT53" s="5"/>
      <c r="GU53" s="5"/>
      <c r="GV53" s="5"/>
      <c r="GW53" s="5"/>
      <c r="GX53" s="5"/>
      <c r="GY53" s="5"/>
      <c r="GZ53" s="5"/>
      <c r="HA53" s="5"/>
      <c r="HB53" s="5"/>
      <c r="HC53" s="5"/>
      <c r="HD53" s="5"/>
      <c r="HE53" s="5"/>
      <c r="HF53" s="5"/>
      <c r="HG53" s="5"/>
      <c r="HH53" s="5"/>
      <c r="HI53" s="5"/>
      <c r="HJ53" s="5"/>
      <c r="HK53" s="5"/>
      <c r="HL53" s="5"/>
      <c r="HM53" s="5"/>
      <c r="HN53" s="5"/>
      <c r="HO53" s="5"/>
      <c r="HP53" s="5"/>
      <c r="HQ53" s="5"/>
      <c r="HR53" s="5"/>
      <c r="HS53" s="5"/>
      <c r="HT53" s="5"/>
      <c r="HU53" s="5"/>
      <c r="HV53" s="5"/>
      <c r="HW53" s="5"/>
      <c r="HX53" s="5"/>
      <c r="HY53" s="5"/>
      <c r="HZ53" s="5"/>
      <c r="IA53" s="5"/>
      <c r="IB53" s="5"/>
      <c r="IC53" s="5"/>
      <c r="ID53" s="5"/>
      <c r="IE53" s="5"/>
      <c r="IF53" s="5"/>
      <c r="IG53" s="5"/>
      <c r="IH53" s="5"/>
      <c r="II53" s="5"/>
      <c r="IJ53" s="5"/>
      <c r="IK53" s="5"/>
      <c r="IL53" s="5"/>
      <c r="IM53" s="5"/>
      <c r="IN53" s="5"/>
      <c r="IO53" s="5"/>
      <c r="IP53" s="5"/>
      <c r="IQ53" s="5"/>
      <c r="IR53" s="5"/>
      <c r="IS53" s="5"/>
      <c r="IT53" s="5"/>
      <c r="IU53" s="5"/>
      <c r="IV53" s="5"/>
      <c r="IW53" s="5"/>
      <c r="IX53" s="5"/>
      <c r="IY53" s="5"/>
      <c r="IZ53" s="5"/>
      <c r="JA53" s="5"/>
      <c r="JB53" s="5"/>
      <c r="JC53" s="5"/>
      <c r="JD53" s="5"/>
      <c r="JE53" s="5"/>
      <c r="JF53" s="5"/>
      <c r="JG53" s="5"/>
      <c r="JH53" s="5"/>
      <c r="JI53" s="5"/>
      <c r="JJ53" s="5"/>
      <c r="JK53" s="5"/>
      <c r="JL53" s="5"/>
      <c r="JM53" s="5"/>
      <c r="JN53" s="5"/>
      <c r="JO53" s="5"/>
      <c r="JP53" s="5"/>
      <c r="JQ53" s="5"/>
      <c r="JR53" s="5"/>
      <c r="JS53" s="5"/>
      <c r="JT53" s="5"/>
      <c r="JU53" s="5"/>
      <c r="JV53" s="5"/>
      <c r="JW53" s="5"/>
      <c r="JX53" s="5"/>
      <c r="JY53" s="5"/>
      <c r="JZ53" s="5"/>
      <c r="KA53" s="5"/>
      <c r="KB53" s="5"/>
      <c r="KC53" s="5"/>
      <c r="KD53" s="5"/>
      <c r="KE53" s="5"/>
      <c r="KF53" s="5"/>
      <c r="KG53" s="5"/>
      <c r="KH53" s="5"/>
      <c r="KI53" s="5"/>
      <c r="KJ53" s="5"/>
      <c r="KK53" s="5"/>
      <c r="KL53" s="5"/>
      <c r="KM53" s="5"/>
      <c r="KN53" s="5"/>
      <c r="KO53" s="5"/>
      <c r="KP53" s="5"/>
      <c r="KQ53" s="5"/>
      <c r="KR53" s="5"/>
      <c r="KS53" s="5"/>
      <c r="KT53" s="5"/>
      <c r="KU53" s="5"/>
      <c r="KV53" s="5"/>
      <c r="KW53" s="5"/>
      <c r="KX53" s="5"/>
      <c r="KY53" s="5"/>
      <c r="KZ53" s="5"/>
      <c r="LA53" s="5"/>
      <c r="LB53" s="5"/>
      <c r="LC53" s="5"/>
      <c r="LD53" s="5"/>
      <c r="LE53" s="5"/>
      <c r="LF53" s="5"/>
      <c r="LG53" s="5"/>
      <c r="LH53" s="5"/>
      <c r="LI53" s="5"/>
      <c r="LJ53" s="5"/>
      <c r="LK53" s="5"/>
      <c r="LL53" s="5"/>
      <c r="LM53" s="5"/>
      <c r="LN53" s="5"/>
      <c r="LO53" s="5"/>
      <c r="LP53" s="5"/>
      <c r="LQ53" s="5"/>
      <c r="LR53" s="5"/>
      <c r="LS53" s="5"/>
      <c r="LT53" s="5"/>
      <c r="LU53" s="5"/>
      <c r="LV53" s="5"/>
      <c r="LW53" s="5"/>
      <c r="LX53" s="5"/>
      <c r="LY53" s="5"/>
      <c r="LZ53" s="5"/>
      <c r="MA53" s="5"/>
      <c r="MB53" s="5"/>
      <c r="MC53" s="5"/>
      <c r="MD53" s="5"/>
      <c r="ME53" s="5"/>
      <c r="MF53" s="5"/>
      <c r="MG53" s="5"/>
      <c r="MH53" s="5"/>
      <c r="MI53" s="5"/>
      <c r="MJ53" s="5"/>
      <c r="MK53" s="5"/>
      <c r="ML53" s="5"/>
      <c r="MM53" s="5"/>
      <c r="MN53" s="5"/>
      <c r="MO53" s="5"/>
      <c r="MP53" s="5"/>
      <c r="MQ53" s="5"/>
      <c r="MR53" s="5"/>
      <c r="MS53" s="5"/>
      <c r="MT53" s="5"/>
      <c r="MU53" s="5"/>
      <c r="MV53" s="5"/>
      <c r="MW53" s="5"/>
      <c r="MX53" s="5"/>
      <c r="MY53" s="5"/>
      <c r="MZ53" s="5"/>
      <c r="NA53" s="5"/>
      <c r="NB53" s="5"/>
      <c r="NC53" s="5"/>
      <c r="ND53" s="5"/>
      <c r="NE53" s="5"/>
      <c r="NF53" s="5"/>
      <c r="NG53" s="5"/>
      <c r="NH53" s="5"/>
      <c r="NI53" s="5"/>
      <c r="NJ53" s="5"/>
      <c r="NK53" s="5"/>
      <c r="NL53" s="5"/>
      <c r="NM53" s="5"/>
      <c r="NN53" s="5"/>
      <c r="NO53" s="5"/>
      <c r="NP53" s="5"/>
      <c r="NQ53" s="5"/>
      <c r="NR53" s="5"/>
      <c r="NS53" s="5"/>
      <c r="NT53" s="5"/>
      <c r="NU53" s="5"/>
      <c r="NV53" s="5"/>
      <c r="NW53" s="5"/>
      <c r="NX53" s="5"/>
      <c r="NY53" s="5"/>
      <c r="NZ53" s="5"/>
      <c r="OA53" s="5"/>
      <c r="OB53" s="5"/>
      <c r="OC53" s="5"/>
      <c r="OD53" s="5"/>
      <c r="OE53" s="5"/>
      <c r="OF53" s="5"/>
      <c r="OG53" s="5"/>
      <c r="OH53" s="5"/>
      <c r="OI53" s="5"/>
      <c r="OJ53" s="5"/>
      <c r="OK53" s="5"/>
      <c r="OL53" s="5"/>
      <c r="OM53" s="5"/>
      <c r="ON53" s="5"/>
      <c r="OO53" s="5"/>
      <c r="OP53" s="5"/>
      <c r="OQ53" s="5"/>
      <c r="OR53" s="5"/>
      <c r="OS53" s="5"/>
      <c r="OT53" s="5"/>
      <c r="OU53" s="5"/>
      <c r="OV53" s="5"/>
      <c r="OW53" s="5"/>
      <c r="OX53" s="5"/>
      <c r="OY53" s="5"/>
      <c r="OZ53" s="5"/>
      <c r="PA53" s="5"/>
      <c r="PB53" s="5"/>
      <c r="PC53" s="5"/>
      <c r="PD53" s="5"/>
      <c r="PE53" s="5"/>
      <c r="PF53" s="5"/>
      <c r="PG53" s="5"/>
      <c r="PH53" s="5"/>
      <c r="PI53" s="5"/>
      <c r="PJ53" s="5"/>
      <c r="PK53" s="5"/>
      <c r="PL53" s="5"/>
      <c r="PM53" s="5"/>
      <c r="PN53" s="5"/>
      <c r="PO53" s="5"/>
      <c r="PP53" s="5"/>
      <c r="PQ53" s="5"/>
      <c r="PR53" s="5"/>
      <c r="PS53" s="5"/>
      <c r="PT53" s="5"/>
      <c r="PU53" s="5"/>
      <c r="PV53" s="5"/>
      <c r="PW53" s="5"/>
      <c r="PX53" s="5"/>
      <c r="PY53" s="5"/>
      <c r="PZ53" s="5"/>
      <c r="QA53" s="5"/>
      <c r="QB53" s="5"/>
      <c r="QC53" s="5"/>
      <c r="QD53" s="5"/>
      <c r="QE53" s="5"/>
      <c r="QF53" s="5"/>
      <c r="QG53" s="5"/>
      <c r="QH53" s="5"/>
      <c r="QI53" s="5"/>
      <c r="QJ53" s="5"/>
      <c r="QK53" s="5"/>
      <c r="QL53" s="5"/>
      <c r="QM53" s="5"/>
      <c r="QN53" s="5"/>
      <c r="QO53" s="5"/>
      <c r="QP53" s="5"/>
      <c r="QQ53" s="5"/>
      <c r="QR53" s="5"/>
      <c r="QS53" s="5"/>
      <c r="QT53" s="5"/>
      <c r="QU53" s="5"/>
      <c r="QV53" s="5"/>
      <c r="QW53" s="5"/>
      <c r="QX53" s="5"/>
      <c r="QY53" s="5"/>
      <c r="QZ53" s="5"/>
      <c r="RA53" s="5"/>
      <c r="RB53" s="5"/>
      <c r="RC53" s="5"/>
      <c r="RD53" s="5"/>
      <c r="RE53" s="5"/>
      <c r="RF53" s="5"/>
      <c r="RG53" s="5"/>
      <c r="RH53" s="5"/>
      <c r="RI53" s="5"/>
      <c r="RJ53" s="5"/>
      <c r="RK53" s="5"/>
      <c r="RL53" s="5"/>
      <c r="RM53" s="5"/>
      <c r="RN53" s="5"/>
      <c r="RO53" s="5"/>
      <c r="RP53" s="5"/>
      <c r="RQ53" s="5"/>
      <c r="RR53" s="5"/>
      <c r="RS53" s="5"/>
      <c r="RT53" s="5"/>
      <c r="RU53" s="5"/>
      <c r="RV53" s="5"/>
      <c r="RW53" s="5"/>
      <c r="RX53" s="5"/>
      <c r="RY53" s="5"/>
      <c r="RZ53" s="5"/>
      <c r="SA53" s="5"/>
      <c r="SB53" s="5"/>
      <c r="SC53" s="5"/>
      <c r="SD53" s="5"/>
      <c r="SE53" s="5"/>
      <c r="SF53" s="5"/>
      <c r="SG53" s="5"/>
      <c r="SH53" s="5"/>
      <c r="SI53" s="5"/>
      <c r="SJ53" s="5"/>
      <c r="SK53" s="5"/>
      <c r="SL53" s="5"/>
      <c r="SM53" s="5"/>
      <c r="SN53" s="5"/>
      <c r="SO53" s="5"/>
      <c r="SP53" s="5"/>
      <c r="SQ53" s="5"/>
      <c r="SR53" s="5"/>
      <c r="SS53" s="5"/>
      <c r="ST53" s="5"/>
      <c r="SU53" s="5"/>
      <c r="SV53" s="5"/>
      <c r="SW53" s="5"/>
      <c r="SX53" s="5"/>
      <c r="SY53" s="5"/>
      <c r="SZ53" s="5"/>
      <c r="TA53" s="5"/>
      <c r="TB53" s="5"/>
      <c r="TC53" s="5"/>
      <c r="TD53" s="5"/>
      <c r="TE53" s="5"/>
      <c r="TF53" s="5"/>
      <c r="TG53" s="5"/>
      <c r="TH53" s="5"/>
      <c r="TI53" s="5"/>
      <c r="TJ53" s="5"/>
      <c r="TK53" s="5"/>
      <c r="TL53" s="5"/>
      <c r="TM53" s="5"/>
      <c r="TN53" s="5"/>
      <c r="TO53" s="5"/>
      <c r="TP53" s="5"/>
      <c r="TQ53" s="5"/>
      <c r="TR53" s="5"/>
      <c r="TS53" s="5"/>
      <c r="TT53" s="5"/>
      <c r="TU53" s="5"/>
      <c r="TV53" s="5"/>
      <c r="TW53" s="5"/>
      <c r="TX53" s="5"/>
      <c r="TY53" s="5"/>
      <c r="TZ53" s="5"/>
      <c r="UA53" s="5"/>
      <c r="UB53" s="5"/>
      <c r="UC53" s="5"/>
      <c r="UD53" s="5"/>
      <c r="UE53" s="5"/>
      <c r="UF53" s="5"/>
      <c r="UG53" s="5"/>
      <c r="UH53" s="5"/>
      <c r="UI53" s="5"/>
      <c r="UJ53" s="5"/>
      <c r="UK53" s="5"/>
      <c r="UL53" s="5"/>
      <c r="UM53" s="5"/>
      <c r="UN53" s="5"/>
      <c r="UO53" s="5"/>
      <c r="UP53" s="5"/>
      <c r="UQ53" s="5"/>
      <c r="UR53" s="5"/>
      <c r="US53" s="5"/>
      <c r="UT53" s="5"/>
      <c r="UU53" s="5"/>
      <c r="UV53" s="5"/>
      <c r="UW53" s="5"/>
      <c r="UX53" s="5"/>
      <c r="UY53" s="5"/>
      <c r="UZ53" s="5"/>
      <c r="VA53" s="5"/>
      <c r="VB53" s="5"/>
      <c r="VC53" s="5"/>
      <c r="VD53" s="5"/>
      <c r="VE53" s="5"/>
      <c r="VF53" s="5"/>
      <c r="VG53" s="5"/>
      <c r="VH53" s="5"/>
      <c r="VI53" s="5"/>
      <c r="VJ53" s="5"/>
      <c r="VK53" s="5"/>
      <c r="VL53" s="5"/>
      <c r="VM53" s="5"/>
      <c r="VN53" s="5"/>
      <c r="VO53" s="5"/>
      <c r="VP53" s="5"/>
      <c r="VQ53" s="5"/>
      <c r="VR53" s="5"/>
      <c r="VS53" s="5"/>
      <c r="VT53" s="5"/>
      <c r="VU53" s="5"/>
      <c r="VV53" s="5"/>
      <c r="VW53" s="5"/>
      <c r="VX53" s="5"/>
      <c r="VY53" s="5"/>
      <c r="VZ53" s="5"/>
      <c r="WA53" s="5"/>
      <c r="WB53" s="5"/>
      <c r="WC53" s="5"/>
      <c r="WD53" s="5"/>
      <c r="WE53" s="5"/>
      <c r="WF53" s="5"/>
      <c r="WG53" s="5"/>
      <c r="WH53" s="5"/>
      <c r="WI53" s="5"/>
      <c r="WJ53" s="5"/>
      <c r="WK53" s="5"/>
      <c r="WL53" s="5"/>
      <c r="WM53" s="5"/>
      <c r="WN53" s="5"/>
      <c r="WO53" s="5"/>
      <c r="WP53" s="5"/>
      <c r="WQ53" s="5"/>
      <c r="WR53" s="5"/>
      <c r="WS53" s="5"/>
      <c r="WT53" s="5"/>
      <c r="WU53" s="5"/>
      <c r="WV53" s="5"/>
      <c r="WW53" s="5"/>
      <c r="WX53" s="5"/>
      <c r="WY53" s="5"/>
      <c r="WZ53" s="5"/>
      <c r="XA53" s="5"/>
      <c r="XB53" s="5"/>
      <c r="XC53" s="5"/>
      <c r="XD53" s="5"/>
      <c r="XE53" s="5"/>
      <c r="XF53" s="5"/>
      <c r="XG53" s="5"/>
      <c r="XH53" s="5"/>
      <c r="XI53" s="5"/>
      <c r="XJ53" s="5"/>
      <c r="XK53" s="5"/>
      <c r="XL53" s="5"/>
      <c r="XM53" s="5"/>
      <c r="XN53" s="5"/>
      <c r="XO53" s="5"/>
      <c r="XP53" s="5"/>
      <c r="XQ53" s="5"/>
      <c r="XR53" s="5"/>
      <c r="XS53" s="5"/>
      <c r="XT53" s="5"/>
      <c r="XU53" s="5"/>
      <c r="XV53" s="5"/>
      <c r="XW53" s="5"/>
      <c r="XX53" s="5"/>
      <c r="XY53" s="5"/>
      <c r="XZ53" s="5"/>
      <c r="YA53" s="5"/>
      <c r="YB53" s="5"/>
      <c r="YC53" s="5"/>
      <c r="YD53" s="5"/>
      <c r="YE53" s="5"/>
      <c r="YF53" s="5"/>
      <c r="YG53" s="5"/>
      <c r="YH53" s="5"/>
      <c r="YI53" s="5"/>
      <c r="YJ53" s="5"/>
      <c r="YK53" s="5"/>
      <c r="YL53" s="5"/>
      <c r="YM53" s="5"/>
      <c r="YN53" s="5"/>
      <c r="YO53" s="5"/>
      <c r="YP53" s="5"/>
      <c r="YQ53" s="5"/>
      <c r="YR53" s="5"/>
      <c r="YS53" s="5"/>
      <c r="YT53" s="5"/>
      <c r="YU53" s="5"/>
      <c r="YV53" s="5"/>
      <c r="YW53" s="5"/>
      <c r="YX53" s="5"/>
      <c r="YY53" s="5"/>
      <c r="YZ53" s="5"/>
    </row>
    <row r="54" spans="1:676">
      <c r="A54" s="7">
        <v>44</v>
      </c>
      <c r="B54" s="7" t="s">
        <v>152</v>
      </c>
      <c r="C54" s="10" t="s">
        <v>153</v>
      </c>
      <c r="D54" s="7" t="s">
        <v>46</v>
      </c>
      <c r="E54" s="7" t="s">
        <v>60</v>
      </c>
      <c r="F54" s="7" t="s">
        <v>74</v>
      </c>
      <c r="G54" s="7"/>
      <c r="H54" s="7" t="s">
        <v>79</v>
      </c>
      <c r="I54" s="11">
        <v>2</v>
      </c>
      <c r="J54" s="11">
        <v>3</v>
      </c>
      <c r="K54" s="11">
        <v>0</v>
      </c>
      <c r="L54" s="11">
        <v>1.330000000000001</v>
      </c>
      <c r="M54" s="11">
        <v>0.24</v>
      </c>
      <c r="N54" s="11">
        <v>0</v>
      </c>
      <c r="O54" s="11">
        <v>0</v>
      </c>
      <c r="P54" s="11">
        <v>0.51</v>
      </c>
      <c r="Q54" s="11">
        <v>2.080000000000001</v>
      </c>
      <c r="R54" s="11">
        <v>2.140000000000001</v>
      </c>
      <c r="S54" s="11">
        <v>4.220000000000001</v>
      </c>
      <c r="T54" s="11">
        <v>2</v>
      </c>
      <c r="U54" s="11">
        <v>2.220000000000001</v>
      </c>
      <c r="V54" s="11">
        <v>0</v>
      </c>
      <c r="W54" s="13">
        <v>6</v>
      </c>
      <c r="X54" s="13">
        <v>9</v>
      </c>
      <c r="Y54" s="13" t="str">
        <f>MIN(W54,S54)</f>
        <v>0</v>
      </c>
      <c r="Z54" s="13" t="str">
        <f>MIN(X54,(S54-Y54))</f>
        <v>0</v>
      </c>
      <c r="AA54" s="13" t="str">
        <f>S54-SUM(Y54,Z54)</f>
        <v>0</v>
      </c>
      <c r="AB54" s="15"/>
      <c r="AC54" s="15"/>
      <c r="AD54" s="1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  <c r="EY54" s="5"/>
      <c r="EZ54" s="5"/>
      <c r="FA54" s="5"/>
      <c r="FB54" s="5"/>
      <c r="FC54" s="5"/>
      <c r="FD54" s="5"/>
      <c r="FE54" s="5"/>
      <c r="FF54" s="5"/>
      <c r="FG54" s="5"/>
      <c r="FH54" s="5"/>
      <c r="FI54" s="5"/>
      <c r="FJ54" s="5"/>
      <c r="FK54" s="5"/>
      <c r="FL54" s="5"/>
      <c r="FM54" s="5"/>
      <c r="FN54" s="5"/>
      <c r="FO54" s="5"/>
      <c r="FP54" s="5"/>
      <c r="FQ54" s="5"/>
      <c r="FR54" s="5"/>
      <c r="FS54" s="5"/>
      <c r="FT54" s="5"/>
      <c r="FU54" s="5"/>
      <c r="FV54" s="5"/>
      <c r="FW54" s="5"/>
      <c r="FX54" s="5"/>
      <c r="FY54" s="5"/>
      <c r="FZ54" s="5"/>
      <c r="GA54" s="5"/>
      <c r="GB54" s="5"/>
      <c r="GC54" s="5"/>
      <c r="GD54" s="5"/>
      <c r="GE54" s="5"/>
      <c r="GF54" s="5"/>
      <c r="GG54" s="5"/>
      <c r="GH54" s="5"/>
      <c r="GI54" s="5"/>
      <c r="GJ54" s="5"/>
      <c r="GK54" s="5"/>
      <c r="GL54" s="5"/>
      <c r="GM54" s="5"/>
      <c r="GN54" s="5"/>
      <c r="GO54" s="5"/>
      <c r="GP54" s="5"/>
      <c r="GQ54" s="5"/>
      <c r="GR54" s="5"/>
      <c r="GS54" s="5"/>
      <c r="GT54" s="5"/>
      <c r="GU54" s="5"/>
      <c r="GV54" s="5"/>
      <c r="GW54" s="5"/>
      <c r="GX54" s="5"/>
      <c r="GY54" s="5"/>
      <c r="GZ54" s="5"/>
      <c r="HA54" s="5"/>
      <c r="HB54" s="5"/>
      <c r="HC54" s="5"/>
      <c r="HD54" s="5"/>
      <c r="HE54" s="5"/>
      <c r="HF54" s="5"/>
      <c r="HG54" s="5"/>
      <c r="HH54" s="5"/>
      <c r="HI54" s="5"/>
      <c r="HJ54" s="5"/>
      <c r="HK54" s="5"/>
      <c r="HL54" s="5"/>
      <c r="HM54" s="5"/>
      <c r="HN54" s="5"/>
      <c r="HO54" s="5"/>
      <c r="HP54" s="5"/>
      <c r="HQ54" s="5"/>
      <c r="HR54" s="5"/>
      <c r="HS54" s="5"/>
      <c r="HT54" s="5"/>
      <c r="HU54" s="5"/>
      <c r="HV54" s="5"/>
      <c r="HW54" s="5"/>
      <c r="HX54" s="5"/>
      <c r="HY54" s="5"/>
      <c r="HZ54" s="5"/>
      <c r="IA54" s="5"/>
      <c r="IB54" s="5"/>
      <c r="IC54" s="5"/>
      <c r="ID54" s="5"/>
      <c r="IE54" s="5"/>
      <c r="IF54" s="5"/>
      <c r="IG54" s="5"/>
      <c r="IH54" s="5"/>
      <c r="II54" s="5"/>
      <c r="IJ54" s="5"/>
      <c r="IK54" s="5"/>
      <c r="IL54" s="5"/>
      <c r="IM54" s="5"/>
      <c r="IN54" s="5"/>
      <c r="IO54" s="5"/>
      <c r="IP54" s="5"/>
      <c r="IQ54" s="5"/>
      <c r="IR54" s="5"/>
      <c r="IS54" s="5"/>
      <c r="IT54" s="5"/>
      <c r="IU54" s="5"/>
      <c r="IV54" s="5"/>
      <c r="IW54" s="5"/>
      <c r="IX54" s="5"/>
      <c r="IY54" s="5"/>
      <c r="IZ54" s="5"/>
      <c r="JA54" s="5"/>
      <c r="JB54" s="5"/>
      <c r="JC54" s="5"/>
      <c r="JD54" s="5"/>
      <c r="JE54" s="5"/>
      <c r="JF54" s="5"/>
      <c r="JG54" s="5"/>
      <c r="JH54" s="5"/>
      <c r="JI54" s="5"/>
      <c r="JJ54" s="5"/>
      <c r="JK54" s="5"/>
      <c r="JL54" s="5"/>
      <c r="JM54" s="5"/>
      <c r="JN54" s="5"/>
      <c r="JO54" s="5"/>
      <c r="JP54" s="5"/>
      <c r="JQ54" s="5"/>
      <c r="JR54" s="5"/>
      <c r="JS54" s="5"/>
      <c r="JT54" s="5"/>
      <c r="JU54" s="5"/>
      <c r="JV54" s="5"/>
      <c r="JW54" s="5"/>
      <c r="JX54" s="5"/>
      <c r="JY54" s="5"/>
      <c r="JZ54" s="5"/>
      <c r="KA54" s="5"/>
      <c r="KB54" s="5"/>
      <c r="KC54" s="5"/>
      <c r="KD54" s="5"/>
      <c r="KE54" s="5"/>
      <c r="KF54" s="5"/>
      <c r="KG54" s="5"/>
      <c r="KH54" s="5"/>
      <c r="KI54" s="5"/>
      <c r="KJ54" s="5"/>
      <c r="KK54" s="5"/>
      <c r="KL54" s="5"/>
      <c r="KM54" s="5"/>
      <c r="KN54" s="5"/>
      <c r="KO54" s="5"/>
      <c r="KP54" s="5"/>
      <c r="KQ54" s="5"/>
      <c r="KR54" s="5"/>
      <c r="KS54" s="5"/>
      <c r="KT54" s="5"/>
      <c r="KU54" s="5"/>
      <c r="KV54" s="5"/>
      <c r="KW54" s="5"/>
      <c r="KX54" s="5"/>
      <c r="KY54" s="5"/>
      <c r="KZ54" s="5"/>
      <c r="LA54" s="5"/>
      <c r="LB54" s="5"/>
      <c r="LC54" s="5"/>
      <c r="LD54" s="5"/>
      <c r="LE54" s="5"/>
      <c r="LF54" s="5"/>
      <c r="LG54" s="5"/>
      <c r="LH54" s="5"/>
      <c r="LI54" s="5"/>
      <c r="LJ54" s="5"/>
      <c r="LK54" s="5"/>
      <c r="LL54" s="5"/>
      <c r="LM54" s="5"/>
      <c r="LN54" s="5"/>
      <c r="LO54" s="5"/>
      <c r="LP54" s="5"/>
      <c r="LQ54" s="5"/>
      <c r="LR54" s="5"/>
      <c r="LS54" s="5"/>
      <c r="LT54" s="5"/>
      <c r="LU54" s="5"/>
      <c r="LV54" s="5"/>
      <c r="LW54" s="5"/>
      <c r="LX54" s="5"/>
      <c r="LY54" s="5"/>
      <c r="LZ54" s="5"/>
      <c r="MA54" s="5"/>
      <c r="MB54" s="5"/>
      <c r="MC54" s="5"/>
      <c r="MD54" s="5"/>
      <c r="ME54" s="5"/>
      <c r="MF54" s="5"/>
      <c r="MG54" s="5"/>
      <c r="MH54" s="5"/>
      <c r="MI54" s="5"/>
      <c r="MJ54" s="5"/>
      <c r="MK54" s="5"/>
      <c r="ML54" s="5"/>
      <c r="MM54" s="5"/>
      <c r="MN54" s="5"/>
      <c r="MO54" s="5"/>
      <c r="MP54" s="5"/>
      <c r="MQ54" s="5"/>
      <c r="MR54" s="5"/>
      <c r="MS54" s="5"/>
      <c r="MT54" s="5"/>
      <c r="MU54" s="5"/>
      <c r="MV54" s="5"/>
      <c r="MW54" s="5"/>
      <c r="MX54" s="5"/>
      <c r="MY54" s="5"/>
      <c r="MZ54" s="5"/>
      <c r="NA54" s="5"/>
      <c r="NB54" s="5"/>
      <c r="NC54" s="5"/>
      <c r="ND54" s="5"/>
      <c r="NE54" s="5"/>
      <c r="NF54" s="5"/>
      <c r="NG54" s="5"/>
      <c r="NH54" s="5"/>
      <c r="NI54" s="5"/>
      <c r="NJ54" s="5"/>
      <c r="NK54" s="5"/>
      <c r="NL54" s="5"/>
      <c r="NM54" s="5"/>
      <c r="NN54" s="5"/>
      <c r="NO54" s="5"/>
      <c r="NP54" s="5"/>
      <c r="NQ54" s="5"/>
      <c r="NR54" s="5"/>
      <c r="NS54" s="5"/>
      <c r="NT54" s="5"/>
      <c r="NU54" s="5"/>
      <c r="NV54" s="5"/>
      <c r="NW54" s="5"/>
      <c r="NX54" s="5"/>
      <c r="NY54" s="5"/>
      <c r="NZ54" s="5"/>
      <c r="OA54" s="5"/>
      <c r="OB54" s="5"/>
      <c r="OC54" s="5"/>
      <c r="OD54" s="5"/>
      <c r="OE54" s="5"/>
      <c r="OF54" s="5"/>
      <c r="OG54" s="5"/>
      <c r="OH54" s="5"/>
      <c r="OI54" s="5"/>
      <c r="OJ54" s="5"/>
      <c r="OK54" s="5"/>
      <c r="OL54" s="5"/>
      <c r="OM54" s="5"/>
      <c r="ON54" s="5"/>
      <c r="OO54" s="5"/>
      <c r="OP54" s="5"/>
      <c r="OQ54" s="5"/>
      <c r="OR54" s="5"/>
      <c r="OS54" s="5"/>
      <c r="OT54" s="5"/>
      <c r="OU54" s="5"/>
      <c r="OV54" s="5"/>
      <c r="OW54" s="5"/>
      <c r="OX54" s="5"/>
      <c r="OY54" s="5"/>
      <c r="OZ54" s="5"/>
      <c r="PA54" s="5"/>
      <c r="PB54" s="5"/>
      <c r="PC54" s="5"/>
      <c r="PD54" s="5"/>
      <c r="PE54" s="5"/>
      <c r="PF54" s="5"/>
      <c r="PG54" s="5"/>
      <c r="PH54" s="5"/>
      <c r="PI54" s="5"/>
      <c r="PJ54" s="5"/>
      <c r="PK54" s="5"/>
      <c r="PL54" s="5"/>
      <c r="PM54" s="5"/>
      <c r="PN54" s="5"/>
      <c r="PO54" s="5"/>
      <c r="PP54" s="5"/>
      <c r="PQ54" s="5"/>
      <c r="PR54" s="5"/>
      <c r="PS54" s="5"/>
      <c r="PT54" s="5"/>
      <c r="PU54" s="5"/>
      <c r="PV54" s="5"/>
      <c r="PW54" s="5"/>
      <c r="PX54" s="5"/>
      <c r="PY54" s="5"/>
      <c r="PZ54" s="5"/>
      <c r="QA54" s="5"/>
      <c r="QB54" s="5"/>
      <c r="QC54" s="5"/>
      <c r="QD54" s="5"/>
      <c r="QE54" s="5"/>
      <c r="QF54" s="5"/>
      <c r="QG54" s="5"/>
      <c r="QH54" s="5"/>
      <c r="QI54" s="5"/>
      <c r="QJ54" s="5"/>
      <c r="QK54" s="5"/>
      <c r="QL54" s="5"/>
      <c r="QM54" s="5"/>
      <c r="QN54" s="5"/>
      <c r="QO54" s="5"/>
      <c r="QP54" s="5"/>
      <c r="QQ54" s="5"/>
      <c r="QR54" s="5"/>
      <c r="QS54" s="5"/>
      <c r="QT54" s="5"/>
      <c r="QU54" s="5"/>
      <c r="QV54" s="5"/>
      <c r="QW54" s="5"/>
      <c r="QX54" s="5"/>
      <c r="QY54" s="5"/>
      <c r="QZ54" s="5"/>
      <c r="RA54" s="5"/>
      <c r="RB54" s="5"/>
      <c r="RC54" s="5"/>
      <c r="RD54" s="5"/>
      <c r="RE54" s="5"/>
      <c r="RF54" s="5"/>
      <c r="RG54" s="5"/>
      <c r="RH54" s="5"/>
      <c r="RI54" s="5"/>
      <c r="RJ54" s="5"/>
      <c r="RK54" s="5"/>
      <c r="RL54" s="5"/>
      <c r="RM54" s="5"/>
      <c r="RN54" s="5"/>
      <c r="RO54" s="5"/>
      <c r="RP54" s="5"/>
      <c r="RQ54" s="5"/>
      <c r="RR54" s="5"/>
      <c r="RS54" s="5"/>
      <c r="RT54" s="5"/>
      <c r="RU54" s="5"/>
      <c r="RV54" s="5"/>
      <c r="RW54" s="5"/>
      <c r="RX54" s="5"/>
      <c r="RY54" s="5"/>
      <c r="RZ54" s="5"/>
      <c r="SA54" s="5"/>
      <c r="SB54" s="5"/>
      <c r="SC54" s="5"/>
      <c r="SD54" s="5"/>
      <c r="SE54" s="5"/>
      <c r="SF54" s="5"/>
      <c r="SG54" s="5"/>
      <c r="SH54" s="5"/>
      <c r="SI54" s="5"/>
      <c r="SJ54" s="5"/>
      <c r="SK54" s="5"/>
      <c r="SL54" s="5"/>
      <c r="SM54" s="5"/>
      <c r="SN54" s="5"/>
      <c r="SO54" s="5"/>
      <c r="SP54" s="5"/>
      <c r="SQ54" s="5"/>
      <c r="SR54" s="5"/>
      <c r="SS54" s="5"/>
      <c r="ST54" s="5"/>
      <c r="SU54" s="5"/>
      <c r="SV54" s="5"/>
      <c r="SW54" s="5"/>
      <c r="SX54" s="5"/>
      <c r="SY54" s="5"/>
      <c r="SZ54" s="5"/>
      <c r="TA54" s="5"/>
      <c r="TB54" s="5"/>
      <c r="TC54" s="5"/>
      <c r="TD54" s="5"/>
      <c r="TE54" s="5"/>
      <c r="TF54" s="5"/>
      <c r="TG54" s="5"/>
      <c r="TH54" s="5"/>
      <c r="TI54" s="5"/>
      <c r="TJ54" s="5"/>
      <c r="TK54" s="5"/>
      <c r="TL54" s="5"/>
      <c r="TM54" s="5"/>
      <c r="TN54" s="5"/>
      <c r="TO54" s="5"/>
      <c r="TP54" s="5"/>
      <c r="TQ54" s="5"/>
      <c r="TR54" s="5"/>
      <c r="TS54" s="5"/>
      <c r="TT54" s="5"/>
      <c r="TU54" s="5"/>
      <c r="TV54" s="5"/>
      <c r="TW54" s="5"/>
      <c r="TX54" s="5"/>
      <c r="TY54" s="5"/>
      <c r="TZ54" s="5"/>
      <c r="UA54" s="5"/>
      <c r="UB54" s="5"/>
      <c r="UC54" s="5"/>
      <c r="UD54" s="5"/>
      <c r="UE54" s="5"/>
      <c r="UF54" s="5"/>
      <c r="UG54" s="5"/>
      <c r="UH54" s="5"/>
      <c r="UI54" s="5"/>
      <c r="UJ54" s="5"/>
      <c r="UK54" s="5"/>
      <c r="UL54" s="5"/>
      <c r="UM54" s="5"/>
      <c r="UN54" s="5"/>
      <c r="UO54" s="5"/>
      <c r="UP54" s="5"/>
      <c r="UQ54" s="5"/>
      <c r="UR54" s="5"/>
      <c r="US54" s="5"/>
      <c r="UT54" s="5"/>
      <c r="UU54" s="5"/>
      <c r="UV54" s="5"/>
      <c r="UW54" s="5"/>
      <c r="UX54" s="5"/>
      <c r="UY54" s="5"/>
      <c r="UZ54" s="5"/>
      <c r="VA54" s="5"/>
      <c r="VB54" s="5"/>
      <c r="VC54" s="5"/>
      <c r="VD54" s="5"/>
      <c r="VE54" s="5"/>
      <c r="VF54" s="5"/>
      <c r="VG54" s="5"/>
      <c r="VH54" s="5"/>
      <c r="VI54" s="5"/>
      <c r="VJ54" s="5"/>
      <c r="VK54" s="5"/>
      <c r="VL54" s="5"/>
      <c r="VM54" s="5"/>
      <c r="VN54" s="5"/>
      <c r="VO54" s="5"/>
      <c r="VP54" s="5"/>
      <c r="VQ54" s="5"/>
      <c r="VR54" s="5"/>
      <c r="VS54" s="5"/>
      <c r="VT54" s="5"/>
      <c r="VU54" s="5"/>
      <c r="VV54" s="5"/>
      <c r="VW54" s="5"/>
      <c r="VX54" s="5"/>
      <c r="VY54" s="5"/>
      <c r="VZ54" s="5"/>
      <c r="WA54" s="5"/>
      <c r="WB54" s="5"/>
      <c r="WC54" s="5"/>
      <c r="WD54" s="5"/>
      <c r="WE54" s="5"/>
      <c r="WF54" s="5"/>
      <c r="WG54" s="5"/>
      <c r="WH54" s="5"/>
      <c r="WI54" s="5"/>
      <c r="WJ54" s="5"/>
      <c r="WK54" s="5"/>
      <c r="WL54" s="5"/>
      <c r="WM54" s="5"/>
      <c r="WN54" s="5"/>
      <c r="WO54" s="5"/>
      <c r="WP54" s="5"/>
      <c r="WQ54" s="5"/>
      <c r="WR54" s="5"/>
      <c r="WS54" s="5"/>
      <c r="WT54" s="5"/>
      <c r="WU54" s="5"/>
      <c r="WV54" s="5"/>
      <c r="WW54" s="5"/>
      <c r="WX54" s="5"/>
      <c r="WY54" s="5"/>
      <c r="WZ54" s="5"/>
      <c r="XA54" s="5"/>
      <c r="XB54" s="5"/>
      <c r="XC54" s="5"/>
      <c r="XD54" s="5"/>
      <c r="XE54" s="5"/>
      <c r="XF54" s="5"/>
      <c r="XG54" s="5"/>
      <c r="XH54" s="5"/>
      <c r="XI54" s="5"/>
      <c r="XJ54" s="5"/>
      <c r="XK54" s="5"/>
      <c r="XL54" s="5"/>
      <c r="XM54" s="5"/>
      <c r="XN54" s="5"/>
      <c r="XO54" s="5"/>
      <c r="XP54" s="5"/>
      <c r="XQ54" s="5"/>
      <c r="XR54" s="5"/>
      <c r="XS54" s="5"/>
      <c r="XT54" s="5"/>
      <c r="XU54" s="5"/>
      <c r="XV54" s="5"/>
      <c r="XW54" s="5"/>
      <c r="XX54" s="5"/>
      <c r="XY54" s="5"/>
      <c r="XZ54" s="5"/>
      <c r="YA54" s="5"/>
      <c r="YB54" s="5"/>
      <c r="YC54" s="5"/>
      <c r="YD54" s="5"/>
      <c r="YE54" s="5"/>
      <c r="YF54" s="5"/>
      <c r="YG54" s="5"/>
      <c r="YH54" s="5"/>
      <c r="YI54" s="5"/>
      <c r="YJ54" s="5"/>
      <c r="YK54" s="5"/>
      <c r="YL54" s="5"/>
      <c r="YM54" s="5"/>
      <c r="YN54" s="5"/>
      <c r="YO54" s="5"/>
      <c r="YP54" s="5"/>
      <c r="YQ54" s="5"/>
      <c r="YR54" s="5"/>
      <c r="YS54" s="5"/>
      <c r="YT54" s="5"/>
      <c r="YU54" s="5"/>
      <c r="YV54" s="5"/>
      <c r="YW54" s="5"/>
      <c r="YX54" s="5"/>
      <c r="YY54" s="5"/>
      <c r="YZ54" s="5"/>
    </row>
    <row r="55" spans="1:676">
      <c r="A55" s="7">
        <v>45</v>
      </c>
      <c r="B55" s="7" t="s">
        <v>154</v>
      </c>
      <c r="C55" s="10" t="s">
        <v>155</v>
      </c>
      <c r="D55" s="7" t="s">
        <v>40</v>
      </c>
      <c r="E55" s="7" t="s">
        <v>82</v>
      </c>
      <c r="F55" s="7" t="s">
        <v>74</v>
      </c>
      <c r="G55" s="7"/>
      <c r="H55" s="7" t="s">
        <v>79</v>
      </c>
      <c r="I55" s="11">
        <v>2</v>
      </c>
      <c r="J55" s="11">
        <v>3</v>
      </c>
      <c r="K55" s="11">
        <v>0</v>
      </c>
      <c r="L55" s="11">
        <v>3.470000000000002</v>
      </c>
      <c r="M55" s="11">
        <v>0.32</v>
      </c>
      <c r="N55" s="11">
        <v>0</v>
      </c>
      <c r="O55" s="11">
        <v>0.38</v>
      </c>
      <c r="P55" s="11">
        <v>1.31</v>
      </c>
      <c r="Q55" s="11">
        <v>5.480000000000001</v>
      </c>
      <c r="R55" s="11">
        <v>8.320000000000004</v>
      </c>
      <c r="S55" s="11">
        <v>13.8</v>
      </c>
      <c r="T55" s="11">
        <v>2</v>
      </c>
      <c r="U55" s="11">
        <v>3</v>
      </c>
      <c r="V55" s="11">
        <v>8.800000000000004</v>
      </c>
      <c r="W55" s="13">
        <v>6</v>
      </c>
      <c r="X55" s="13">
        <v>9</v>
      </c>
      <c r="Y55" s="13" t="str">
        <f>MIN(W55,S55)</f>
        <v>0</v>
      </c>
      <c r="Z55" s="13" t="str">
        <f>MIN(X55,(S55-Y55))</f>
        <v>0</v>
      </c>
      <c r="AA55" s="13" t="str">
        <f>S55-SUM(Y55,Z55)</f>
        <v>0</v>
      </c>
      <c r="AB55" s="15"/>
      <c r="AC55" s="15"/>
      <c r="AD55" s="1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  <c r="EY55" s="5"/>
      <c r="EZ55" s="5"/>
      <c r="FA55" s="5"/>
      <c r="FB55" s="5"/>
      <c r="FC55" s="5"/>
      <c r="FD55" s="5"/>
      <c r="FE55" s="5"/>
      <c r="FF55" s="5"/>
      <c r="FG55" s="5"/>
      <c r="FH55" s="5"/>
      <c r="FI55" s="5"/>
      <c r="FJ55" s="5"/>
      <c r="FK55" s="5"/>
      <c r="FL55" s="5"/>
      <c r="FM55" s="5"/>
      <c r="FN55" s="5"/>
      <c r="FO55" s="5"/>
      <c r="FP55" s="5"/>
      <c r="FQ55" s="5"/>
      <c r="FR55" s="5"/>
      <c r="FS55" s="5"/>
      <c r="FT55" s="5"/>
      <c r="FU55" s="5"/>
      <c r="FV55" s="5"/>
      <c r="FW55" s="5"/>
      <c r="FX55" s="5"/>
      <c r="FY55" s="5"/>
      <c r="FZ55" s="5"/>
      <c r="GA55" s="5"/>
      <c r="GB55" s="5"/>
      <c r="GC55" s="5"/>
      <c r="GD55" s="5"/>
      <c r="GE55" s="5"/>
      <c r="GF55" s="5"/>
      <c r="GG55" s="5"/>
      <c r="GH55" s="5"/>
      <c r="GI55" s="5"/>
      <c r="GJ55" s="5"/>
      <c r="GK55" s="5"/>
      <c r="GL55" s="5"/>
      <c r="GM55" s="5"/>
      <c r="GN55" s="5"/>
      <c r="GO55" s="5"/>
      <c r="GP55" s="5"/>
      <c r="GQ55" s="5"/>
      <c r="GR55" s="5"/>
      <c r="GS55" s="5"/>
      <c r="GT55" s="5"/>
      <c r="GU55" s="5"/>
      <c r="GV55" s="5"/>
      <c r="GW55" s="5"/>
      <c r="GX55" s="5"/>
      <c r="GY55" s="5"/>
      <c r="GZ55" s="5"/>
      <c r="HA55" s="5"/>
      <c r="HB55" s="5"/>
      <c r="HC55" s="5"/>
      <c r="HD55" s="5"/>
      <c r="HE55" s="5"/>
      <c r="HF55" s="5"/>
      <c r="HG55" s="5"/>
      <c r="HH55" s="5"/>
      <c r="HI55" s="5"/>
      <c r="HJ55" s="5"/>
      <c r="HK55" s="5"/>
      <c r="HL55" s="5"/>
      <c r="HM55" s="5"/>
      <c r="HN55" s="5"/>
      <c r="HO55" s="5"/>
      <c r="HP55" s="5"/>
      <c r="HQ55" s="5"/>
      <c r="HR55" s="5"/>
      <c r="HS55" s="5"/>
      <c r="HT55" s="5"/>
      <c r="HU55" s="5"/>
      <c r="HV55" s="5"/>
      <c r="HW55" s="5"/>
      <c r="HX55" s="5"/>
      <c r="HY55" s="5"/>
      <c r="HZ55" s="5"/>
      <c r="IA55" s="5"/>
      <c r="IB55" s="5"/>
      <c r="IC55" s="5"/>
      <c r="ID55" s="5"/>
      <c r="IE55" s="5"/>
      <c r="IF55" s="5"/>
      <c r="IG55" s="5"/>
      <c r="IH55" s="5"/>
      <c r="II55" s="5"/>
      <c r="IJ55" s="5"/>
      <c r="IK55" s="5"/>
      <c r="IL55" s="5"/>
      <c r="IM55" s="5"/>
      <c r="IN55" s="5"/>
      <c r="IO55" s="5"/>
      <c r="IP55" s="5"/>
      <c r="IQ55" s="5"/>
      <c r="IR55" s="5"/>
      <c r="IS55" s="5"/>
      <c r="IT55" s="5"/>
      <c r="IU55" s="5"/>
      <c r="IV55" s="5"/>
      <c r="IW55" s="5"/>
      <c r="IX55" s="5"/>
      <c r="IY55" s="5"/>
      <c r="IZ55" s="5"/>
      <c r="JA55" s="5"/>
      <c r="JB55" s="5"/>
      <c r="JC55" s="5"/>
      <c r="JD55" s="5"/>
      <c r="JE55" s="5"/>
      <c r="JF55" s="5"/>
      <c r="JG55" s="5"/>
      <c r="JH55" s="5"/>
      <c r="JI55" s="5"/>
      <c r="JJ55" s="5"/>
      <c r="JK55" s="5"/>
      <c r="JL55" s="5"/>
      <c r="JM55" s="5"/>
      <c r="JN55" s="5"/>
      <c r="JO55" s="5"/>
      <c r="JP55" s="5"/>
      <c r="JQ55" s="5"/>
      <c r="JR55" s="5"/>
      <c r="JS55" s="5"/>
      <c r="JT55" s="5"/>
      <c r="JU55" s="5"/>
      <c r="JV55" s="5"/>
      <c r="JW55" s="5"/>
      <c r="JX55" s="5"/>
      <c r="JY55" s="5"/>
      <c r="JZ55" s="5"/>
      <c r="KA55" s="5"/>
      <c r="KB55" s="5"/>
      <c r="KC55" s="5"/>
      <c r="KD55" s="5"/>
      <c r="KE55" s="5"/>
      <c r="KF55" s="5"/>
      <c r="KG55" s="5"/>
      <c r="KH55" s="5"/>
      <c r="KI55" s="5"/>
      <c r="KJ55" s="5"/>
      <c r="KK55" s="5"/>
      <c r="KL55" s="5"/>
      <c r="KM55" s="5"/>
      <c r="KN55" s="5"/>
      <c r="KO55" s="5"/>
      <c r="KP55" s="5"/>
      <c r="KQ55" s="5"/>
      <c r="KR55" s="5"/>
      <c r="KS55" s="5"/>
      <c r="KT55" s="5"/>
      <c r="KU55" s="5"/>
      <c r="KV55" s="5"/>
      <c r="KW55" s="5"/>
      <c r="KX55" s="5"/>
      <c r="KY55" s="5"/>
      <c r="KZ55" s="5"/>
      <c r="LA55" s="5"/>
      <c r="LB55" s="5"/>
      <c r="LC55" s="5"/>
      <c r="LD55" s="5"/>
      <c r="LE55" s="5"/>
      <c r="LF55" s="5"/>
      <c r="LG55" s="5"/>
      <c r="LH55" s="5"/>
      <c r="LI55" s="5"/>
      <c r="LJ55" s="5"/>
      <c r="LK55" s="5"/>
      <c r="LL55" s="5"/>
      <c r="LM55" s="5"/>
      <c r="LN55" s="5"/>
      <c r="LO55" s="5"/>
      <c r="LP55" s="5"/>
      <c r="LQ55" s="5"/>
      <c r="LR55" s="5"/>
      <c r="LS55" s="5"/>
      <c r="LT55" s="5"/>
      <c r="LU55" s="5"/>
      <c r="LV55" s="5"/>
      <c r="LW55" s="5"/>
      <c r="LX55" s="5"/>
      <c r="LY55" s="5"/>
      <c r="LZ55" s="5"/>
      <c r="MA55" s="5"/>
      <c r="MB55" s="5"/>
      <c r="MC55" s="5"/>
      <c r="MD55" s="5"/>
      <c r="ME55" s="5"/>
      <c r="MF55" s="5"/>
      <c r="MG55" s="5"/>
      <c r="MH55" s="5"/>
      <c r="MI55" s="5"/>
      <c r="MJ55" s="5"/>
      <c r="MK55" s="5"/>
      <c r="ML55" s="5"/>
      <c r="MM55" s="5"/>
      <c r="MN55" s="5"/>
      <c r="MO55" s="5"/>
      <c r="MP55" s="5"/>
      <c r="MQ55" s="5"/>
      <c r="MR55" s="5"/>
      <c r="MS55" s="5"/>
      <c r="MT55" s="5"/>
      <c r="MU55" s="5"/>
      <c r="MV55" s="5"/>
      <c r="MW55" s="5"/>
      <c r="MX55" s="5"/>
      <c r="MY55" s="5"/>
      <c r="MZ55" s="5"/>
      <c r="NA55" s="5"/>
      <c r="NB55" s="5"/>
      <c r="NC55" s="5"/>
      <c r="ND55" s="5"/>
      <c r="NE55" s="5"/>
      <c r="NF55" s="5"/>
      <c r="NG55" s="5"/>
      <c r="NH55" s="5"/>
      <c r="NI55" s="5"/>
      <c r="NJ55" s="5"/>
      <c r="NK55" s="5"/>
      <c r="NL55" s="5"/>
      <c r="NM55" s="5"/>
      <c r="NN55" s="5"/>
      <c r="NO55" s="5"/>
      <c r="NP55" s="5"/>
      <c r="NQ55" s="5"/>
      <c r="NR55" s="5"/>
      <c r="NS55" s="5"/>
      <c r="NT55" s="5"/>
      <c r="NU55" s="5"/>
      <c r="NV55" s="5"/>
      <c r="NW55" s="5"/>
      <c r="NX55" s="5"/>
      <c r="NY55" s="5"/>
      <c r="NZ55" s="5"/>
      <c r="OA55" s="5"/>
      <c r="OB55" s="5"/>
      <c r="OC55" s="5"/>
      <c r="OD55" s="5"/>
      <c r="OE55" s="5"/>
      <c r="OF55" s="5"/>
      <c r="OG55" s="5"/>
      <c r="OH55" s="5"/>
      <c r="OI55" s="5"/>
      <c r="OJ55" s="5"/>
      <c r="OK55" s="5"/>
      <c r="OL55" s="5"/>
      <c r="OM55" s="5"/>
      <c r="ON55" s="5"/>
      <c r="OO55" s="5"/>
      <c r="OP55" s="5"/>
      <c r="OQ55" s="5"/>
      <c r="OR55" s="5"/>
      <c r="OS55" s="5"/>
      <c r="OT55" s="5"/>
      <c r="OU55" s="5"/>
      <c r="OV55" s="5"/>
      <c r="OW55" s="5"/>
      <c r="OX55" s="5"/>
      <c r="OY55" s="5"/>
      <c r="OZ55" s="5"/>
      <c r="PA55" s="5"/>
      <c r="PB55" s="5"/>
      <c r="PC55" s="5"/>
      <c r="PD55" s="5"/>
      <c r="PE55" s="5"/>
      <c r="PF55" s="5"/>
      <c r="PG55" s="5"/>
      <c r="PH55" s="5"/>
      <c r="PI55" s="5"/>
      <c r="PJ55" s="5"/>
      <c r="PK55" s="5"/>
      <c r="PL55" s="5"/>
      <c r="PM55" s="5"/>
      <c r="PN55" s="5"/>
      <c r="PO55" s="5"/>
      <c r="PP55" s="5"/>
      <c r="PQ55" s="5"/>
      <c r="PR55" s="5"/>
      <c r="PS55" s="5"/>
      <c r="PT55" s="5"/>
      <c r="PU55" s="5"/>
      <c r="PV55" s="5"/>
      <c r="PW55" s="5"/>
      <c r="PX55" s="5"/>
      <c r="PY55" s="5"/>
      <c r="PZ55" s="5"/>
      <c r="QA55" s="5"/>
      <c r="QB55" s="5"/>
      <c r="QC55" s="5"/>
      <c r="QD55" s="5"/>
      <c r="QE55" s="5"/>
      <c r="QF55" s="5"/>
      <c r="QG55" s="5"/>
      <c r="QH55" s="5"/>
      <c r="QI55" s="5"/>
      <c r="QJ55" s="5"/>
      <c r="QK55" s="5"/>
      <c r="QL55" s="5"/>
      <c r="QM55" s="5"/>
      <c r="QN55" s="5"/>
      <c r="QO55" s="5"/>
      <c r="QP55" s="5"/>
      <c r="QQ55" s="5"/>
      <c r="QR55" s="5"/>
      <c r="QS55" s="5"/>
      <c r="QT55" s="5"/>
      <c r="QU55" s="5"/>
      <c r="QV55" s="5"/>
      <c r="QW55" s="5"/>
      <c r="QX55" s="5"/>
      <c r="QY55" s="5"/>
      <c r="QZ55" s="5"/>
      <c r="RA55" s="5"/>
      <c r="RB55" s="5"/>
      <c r="RC55" s="5"/>
      <c r="RD55" s="5"/>
      <c r="RE55" s="5"/>
      <c r="RF55" s="5"/>
      <c r="RG55" s="5"/>
      <c r="RH55" s="5"/>
      <c r="RI55" s="5"/>
      <c r="RJ55" s="5"/>
      <c r="RK55" s="5"/>
      <c r="RL55" s="5"/>
      <c r="RM55" s="5"/>
      <c r="RN55" s="5"/>
      <c r="RO55" s="5"/>
      <c r="RP55" s="5"/>
      <c r="RQ55" s="5"/>
      <c r="RR55" s="5"/>
      <c r="RS55" s="5"/>
      <c r="RT55" s="5"/>
      <c r="RU55" s="5"/>
      <c r="RV55" s="5"/>
      <c r="RW55" s="5"/>
      <c r="RX55" s="5"/>
      <c r="RY55" s="5"/>
      <c r="RZ55" s="5"/>
      <c r="SA55" s="5"/>
      <c r="SB55" s="5"/>
      <c r="SC55" s="5"/>
      <c r="SD55" s="5"/>
      <c r="SE55" s="5"/>
      <c r="SF55" s="5"/>
      <c r="SG55" s="5"/>
      <c r="SH55" s="5"/>
      <c r="SI55" s="5"/>
      <c r="SJ55" s="5"/>
      <c r="SK55" s="5"/>
      <c r="SL55" s="5"/>
      <c r="SM55" s="5"/>
      <c r="SN55" s="5"/>
      <c r="SO55" s="5"/>
      <c r="SP55" s="5"/>
      <c r="SQ55" s="5"/>
      <c r="SR55" s="5"/>
      <c r="SS55" s="5"/>
      <c r="ST55" s="5"/>
      <c r="SU55" s="5"/>
      <c r="SV55" s="5"/>
      <c r="SW55" s="5"/>
      <c r="SX55" s="5"/>
      <c r="SY55" s="5"/>
      <c r="SZ55" s="5"/>
      <c r="TA55" s="5"/>
      <c r="TB55" s="5"/>
      <c r="TC55" s="5"/>
      <c r="TD55" s="5"/>
      <c r="TE55" s="5"/>
      <c r="TF55" s="5"/>
      <c r="TG55" s="5"/>
      <c r="TH55" s="5"/>
      <c r="TI55" s="5"/>
      <c r="TJ55" s="5"/>
      <c r="TK55" s="5"/>
      <c r="TL55" s="5"/>
      <c r="TM55" s="5"/>
      <c r="TN55" s="5"/>
      <c r="TO55" s="5"/>
      <c r="TP55" s="5"/>
      <c r="TQ55" s="5"/>
      <c r="TR55" s="5"/>
      <c r="TS55" s="5"/>
      <c r="TT55" s="5"/>
      <c r="TU55" s="5"/>
      <c r="TV55" s="5"/>
      <c r="TW55" s="5"/>
      <c r="TX55" s="5"/>
      <c r="TY55" s="5"/>
      <c r="TZ55" s="5"/>
      <c r="UA55" s="5"/>
      <c r="UB55" s="5"/>
      <c r="UC55" s="5"/>
      <c r="UD55" s="5"/>
      <c r="UE55" s="5"/>
      <c r="UF55" s="5"/>
      <c r="UG55" s="5"/>
      <c r="UH55" s="5"/>
      <c r="UI55" s="5"/>
      <c r="UJ55" s="5"/>
      <c r="UK55" s="5"/>
      <c r="UL55" s="5"/>
      <c r="UM55" s="5"/>
      <c r="UN55" s="5"/>
      <c r="UO55" s="5"/>
      <c r="UP55" s="5"/>
      <c r="UQ55" s="5"/>
      <c r="UR55" s="5"/>
      <c r="US55" s="5"/>
      <c r="UT55" s="5"/>
      <c r="UU55" s="5"/>
      <c r="UV55" s="5"/>
      <c r="UW55" s="5"/>
      <c r="UX55" s="5"/>
      <c r="UY55" s="5"/>
      <c r="UZ55" s="5"/>
      <c r="VA55" s="5"/>
      <c r="VB55" s="5"/>
      <c r="VC55" s="5"/>
      <c r="VD55" s="5"/>
      <c r="VE55" s="5"/>
      <c r="VF55" s="5"/>
      <c r="VG55" s="5"/>
      <c r="VH55" s="5"/>
      <c r="VI55" s="5"/>
      <c r="VJ55" s="5"/>
      <c r="VK55" s="5"/>
      <c r="VL55" s="5"/>
      <c r="VM55" s="5"/>
      <c r="VN55" s="5"/>
      <c r="VO55" s="5"/>
      <c r="VP55" s="5"/>
      <c r="VQ55" s="5"/>
      <c r="VR55" s="5"/>
      <c r="VS55" s="5"/>
      <c r="VT55" s="5"/>
      <c r="VU55" s="5"/>
      <c r="VV55" s="5"/>
      <c r="VW55" s="5"/>
      <c r="VX55" s="5"/>
      <c r="VY55" s="5"/>
      <c r="VZ55" s="5"/>
      <c r="WA55" s="5"/>
      <c r="WB55" s="5"/>
      <c r="WC55" s="5"/>
      <c r="WD55" s="5"/>
      <c r="WE55" s="5"/>
      <c r="WF55" s="5"/>
      <c r="WG55" s="5"/>
      <c r="WH55" s="5"/>
      <c r="WI55" s="5"/>
      <c r="WJ55" s="5"/>
      <c r="WK55" s="5"/>
      <c r="WL55" s="5"/>
      <c r="WM55" s="5"/>
      <c r="WN55" s="5"/>
      <c r="WO55" s="5"/>
      <c r="WP55" s="5"/>
      <c r="WQ55" s="5"/>
      <c r="WR55" s="5"/>
      <c r="WS55" s="5"/>
      <c r="WT55" s="5"/>
      <c r="WU55" s="5"/>
      <c r="WV55" s="5"/>
      <c r="WW55" s="5"/>
      <c r="WX55" s="5"/>
      <c r="WY55" s="5"/>
      <c r="WZ55" s="5"/>
      <c r="XA55" s="5"/>
      <c r="XB55" s="5"/>
      <c r="XC55" s="5"/>
      <c r="XD55" s="5"/>
      <c r="XE55" s="5"/>
      <c r="XF55" s="5"/>
      <c r="XG55" s="5"/>
      <c r="XH55" s="5"/>
      <c r="XI55" s="5"/>
      <c r="XJ55" s="5"/>
      <c r="XK55" s="5"/>
      <c r="XL55" s="5"/>
      <c r="XM55" s="5"/>
      <c r="XN55" s="5"/>
      <c r="XO55" s="5"/>
      <c r="XP55" s="5"/>
      <c r="XQ55" s="5"/>
      <c r="XR55" s="5"/>
      <c r="XS55" s="5"/>
      <c r="XT55" s="5"/>
      <c r="XU55" s="5"/>
      <c r="XV55" s="5"/>
      <c r="XW55" s="5"/>
      <c r="XX55" s="5"/>
      <c r="XY55" s="5"/>
      <c r="XZ55" s="5"/>
      <c r="YA55" s="5"/>
      <c r="YB55" s="5"/>
      <c r="YC55" s="5"/>
      <c r="YD55" s="5"/>
      <c r="YE55" s="5"/>
      <c r="YF55" s="5"/>
      <c r="YG55" s="5"/>
      <c r="YH55" s="5"/>
      <c r="YI55" s="5"/>
      <c r="YJ55" s="5"/>
      <c r="YK55" s="5"/>
      <c r="YL55" s="5"/>
      <c r="YM55" s="5"/>
      <c r="YN55" s="5"/>
      <c r="YO55" s="5"/>
      <c r="YP55" s="5"/>
      <c r="YQ55" s="5"/>
      <c r="YR55" s="5"/>
      <c r="YS55" s="5"/>
      <c r="YT55" s="5"/>
      <c r="YU55" s="5"/>
      <c r="YV55" s="5"/>
      <c r="YW55" s="5"/>
      <c r="YX55" s="5"/>
      <c r="YY55" s="5"/>
      <c r="YZ55" s="5"/>
    </row>
    <row r="56" spans="1:676">
      <c r="A56" s="7">
        <v>46</v>
      </c>
      <c r="B56" s="7" t="s">
        <v>156</v>
      </c>
      <c r="C56" s="10" t="s">
        <v>157</v>
      </c>
      <c r="D56" s="7" t="s">
        <v>40</v>
      </c>
      <c r="E56" s="7" t="s">
        <v>82</v>
      </c>
      <c r="F56" s="7" t="s">
        <v>74</v>
      </c>
      <c r="G56" s="7"/>
      <c r="H56" s="7" t="s">
        <v>79</v>
      </c>
      <c r="I56" s="11">
        <v>2</v>
      </c>
      <c r="J56" s="11">
        <v>3</v>
      </c>
      <c r="K56" s="11">
        <v>0</v>
      </c>
      <c r="L56" s="11">
        <v>4.500000000000003</v>
      </c>
      <c r="M56" s="11">
        <v>0.16</v>
      </c>
      <c r="N56" s="11">
        <v>0</v>
      </c>
      <c r="O56" s="11">
        <v>1.09</v>
      </c>
      <c r="P56" s="11">
        <v>1.65</v>
      </c>
      <c r="Q56" s="11">
        <v>7.399999999999999</v>
      </c>
      <c r="R56" s="11">
        <v>12.21</v>
      </c>
      <c r="S56" s="11">
        <v>19.61</v>
      </c>
      <c r="T56" s="11">
        <v>2</v>
      </c>
      <c r="U56" s="11">
        <v>3</v>
      </c>
      <c r="V56" s="11">
        <v>14.61</v>
      </c>
      <c r="W56" s="13">
        <v>6</v>
      </c>
      <c r="X56" s="13">
        <v>9</v>
      </c>
      <c r="Y56" s="13" t="str">
        <f>MIN(W56,S56)</f>
        <v>0</v>
      </c>
      <c r="Z56" s="13" t="str">
        <f>MIN(X56,(S56-Y56))</f>
        <v>0</v>
      </c>
      <c r="AA56" s="13" t="str">
        <f>S56-SUM(Y56,Z56)</f>
        <v>0</v>
      </c>
      <c r="AB56" s="15"/>
      <c r="AC56" s="15"/>
      <c r="AD56" s="1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  <c r="EY56" s="5"/>
      <c r="EZ56" s="5"/>
      <c r="FA56" s="5"/>
      <c r="FB56" s="5"/>
      <c r="FC56" s="5"/>
      <c r="FD56" s="5"/>
      <c r="FE56" s="5"/>
      <c r="FF56" s="5"/>
      <c r="FG56" s="5"/>
      <c r="FH56" s="5"/>
      <c r="FI56" s="5"/>
      <c r="FJ56" s="5"/>
      <c r="FK56" s="5"/>
      <c r="FL56" s="5"/>
      <c r="FM56" s="5"/>
      <c r="FN56" s="5"/>
      <c r="FO56" s="5"/>
      <c r="FP56" s="5"/>
      <c r="FQ56" s="5"/>
      <c r="FR56" s="5"/>
      <c r="FS56" s="5"/>
      <c r="FT56" s="5"/>
      <c r="FU56" s="5"/>
      <c r="FV56" s="5"/>
      <c r="FW56" s="5"/>
      <c r="FX56" s="5"/>
      <c r="FY56" s="5"/>
      <c r="FZ56" s="5"/>
      <c r="GA56" s="5"/>
      <c r="GB56" s="5"/>
      <c r="GC56" s="5"/>
      <c r="GD56" s="5"/>
      <c r="GE56" s="5"/>
      <c r="GF56" s="5"/>
      <c r="GG56" s="5"/>
      <c r="GH56" s="5"/>
      <c r="GI56" s="5"/>
      <c r="GJ56" s="5"/>
      <c r="GK56" s="5"/>
      <c r="GL56" s="5"/>
      <c r="GM56" s="5"/>
      <c r="GN56" s="5"/>
      <c r="GO56" s="5"/>
      <c r="GP56" s="5"/>
      <c r="GQ56" s="5"/>
      <c r="GR56" s="5"/>
      <c r="GS56" s="5"/>
      <c r="GT56" s="5"/>
      <c r="GU56" s="5"/>
      <c r="GV56" s="5"/>
      <c r="GW56" s="5"/>
      <c r="GX56" s="5"/>
      <c r="GY56" s="5"/>
      <c r="GZ56" s="5"/>
      <c r="HA56" s="5"/>
      <c r="HB56" s="5"/>
      <c r="HC56" s="5"/>
      <c r="HD56" s="5"/>
      <c r="HE56" s="5"/>
      <c r="HF56" s="5"/>
      <c r="HG56" s="5"/>
      <c r="HH56" s="5"/>
      <c r="HI56" s="5"/>
      <c r="HJ56" s="5"/>
      <c r="HK56" s="5"/>
      <c r="HL56" s="5"/>
      <c r="HM56" s="5"/>
      <c r="HN56" s="5"/>
      <c r="HO56" s="5"/>
      <c r="HP56" s="5"/>
      <c r="HQ56" s="5"/>
      <c r="HR56" s="5"/>
      <c r="HS56" s="5"/>
      <c r="HT56" s="5"/>
      <c r="HU56" s="5"/>
      <c r="HV56" s="5"/>
      <c r="HW56" s="5"/>
      <c r="HX56" s="5"/>
      <c r="HY56" s="5"/>
      <c r="HZ56" s="5"/>
      <c r="IA56" s="5"/>
      <c r="IB56" s="5"/>
      <c r="IC56" s="5"/>
      <c r="ID56" s="5"/>
      <c r="IE56" s="5"/>
      <c r="IF56" s="5"/>
      <c r="IG56" s="5"/>
      <c r="IH56" s="5"/>
      <c r="II56" s="5"/>
      <c r="IJ56" s="5"/>
      <c r="IK56" s="5"/>
      <c r="IL56" s="5"/>
      <c r="IM56" s="5"/>
      <c r="IN56" s="5"/>
      <c r="IO56" s="5"/>
      <c r="IP56" s="5"/>
      <c r="IQ56" s="5"/>
      <c r="IR56" s="5"/>
      <c r="IS56" s="5"/>
      <c r="IT56" s="5"/>
      <c r="IU56" s="5"/>
      <c r="IV56" s="5"/>
      <c r="IW56" s="5"/>
      <c r="IX56" s="5"/>
      <c r="IY56" s="5"/>
      <c r="IZ56" s="5"/>
      <c r="JA56" s="5"/>
      <c r="JB56" s="5"/>
      <c r="JC56" s="5"/>
      <c r="JD56" s="5"/>
      <c r="JE56" s="5"/>
      <c r="JF56" s="5"/>
      <c r="JG56" s="5"/>
      <c r="JH56" s="5"/>
      <c r="JI56" s="5"/>
      <c r="JJ56" s="5"/>
      <c r="JK56" s="5"/>
      <c r="JL56" s="5"/>
      <c r="JM56" s="5"/>
      <c r="JN56" s="5"/>
      <c r="JO56" s="5"/>
      <c r="JP56" s="5"/>
      <c r="JQ56" s="5"/>
      <c r="JR56" s="5"/>
      <c r="JS56" s="5"/>
      <c r="JT56" s="5"/>
      <c r="JU56" s="5"/>
      <c r="JV56" s="5"/>
      <c r="JW56" s="5"/>
      <c r="JX56" s="5"/>
      <c r="JY56" s="5"/>
      <c r="JZ56" s="5"/>
      <c r="KA56" s="5"/>
      <c r="KB56" s="5"/>
      <c r="KC56" s="5"/>
      <c r="KD56" s="5"/>
      <c r="KE56" s="5"/>
      <c r="KF56" s="5"/>
      <c r="KG56" s="5"/>
      <c r="KH56" s="5"/>
      <c r="KI56" s="5"/>
      <c r="KJ56" s="5"/>
      <c r="KK56" s="5"/>
      <c r="KL56" s="5"/>
      <c r="KM56" s="5"/>
      <c r="KN56" s="5"/>
      <c r="KO56" s="5"/>
      <c r="KP56" s="5"/>
      <c r="KQ56" s="5"/>
      <c r="KR56" s="5"/>
      <c r="KS56" s="5"/>
      <c r="KT56" s="5"/>
      <c r="KU56" s="5"/>
      <c r="KV56" s="5"/>
      <c r="KW56" s="5"/>
      <c r="KX56" s="5"/>
      <c r="KY56" s="5"/>
      <c r="KZ56" s="5"/>
      <c r="LA56" s="5"/>
      <c r="LB56" s="5"/>
      <c r="LC56" s="5"/>
      <c r="LD56" s="5"/>
      <c r="LE56" s="5"/>
      <c r="LF56" s="5"/>
      <c r="LG56" s="5"/>
      <c r="LH56" s="5"/>
      <c r="LI56" s="5"/>
      <c r="LJ56" s="5"/>
      <c r="LK56" s="5"/>
      <c r="LL56" s="5"/>
      <c r="LM56" s="5"/>
      <c r="LN56" s="5"/>
      <c r="LO56" s="5"/>
      <c r="LP56" s="5"/>
      <c r="LQ56" s="5"/>
      <c r="LR56" s="5"/>
      <c r="LS56" s="5"/>
      <c r="LT56" s="5"/>
      <c r="LU56" s="5"/>
      <c r="LV56" s="5"/>
      <c r="LW56" s="5"/>
      <c r="LX56" s="5"/>
      <c r="LY56" s="5"/>
      <c r="LZ56" s="5"/>
      <c r="MA56" s="5"/>
      <c r="MB56" s="5"/>
      <c r="MC56" s="5"/>
      <c r="MD56" s="5"/>
      <c r="ME56" s="5"/>
      <c r="MF56" s="5"/>
      <c r="MG56" s="5"/>
      <c r="MH56" s="5"/>
      <c r="MI56" s="5"/>
      <c r="MJ56" s="5"/>
      <c r="MK56" s="5"/>
      <c r="ML56" s="5"/>
      <c r="MM56" s="5"/>
      <c r="MN56" s="5"/>
      <c r="MO56" s="5"/>
      <c r="MP56" s="5"/>
      <c r="MQ56" s="5"/>
      <c r="MR56" s="5"/>
      <c r="MS56" s="5"/>
      <c r="MT56" s="5"/>
      <c r="MU56" s="5"/>
      <c r="MV56" s="5"/>
      <c r="MW56" s="5"/>
      <c r="MX56" s="5"/>
      <c r="MY56" s="5"/>
      <c r="MZ56" s="5"/>
      <c r="NA56" s="5"/>
      <c r="NB56" s="5"/>
      <c r="NC56" s="5"/>
      <c r="ND56" s="5"/>
      <c r="NE56" s="5"/>
      <c r="NF56" s="5"/>
      <c r="NG56" s="5"/>
      <c r="NH56" s="5"/>
      <c r="NI56" s="5"/>
      <c r="NJ56" s="5"/>
      <c r="NK56" s="5"/>
      <c r="NL56" s="5"/>
      <c r="NM56" s="5"/>
      <c r="NN56" s="5"/>
      <c r="NO56" s="5"/>
      <c r="NP56" s="5"/>
      <c r="NQ56" s="5"/>
      <c r="NR56" s="5"/>
      <c r="NS56" s="5"/>
      <c r="NT56" s="5"/>
      <c r="NU56" s="5"/>
      <c r="NV56" s="5"/>
      <c r="NW56" s="5"/>
      <c r="NX56" s="5"/>
      <c r="NY56" s="5"/>
      <c r="NZ56" s="5"/>
      <c r="OA56" s="5"/>
      <c r="OB56" s="5"/>
      <c r="OC56" s="5"/>
      <c r="OD56" s="5"/>
      <c r="OE56" s="5"/>
      <c r="OF56" s="5"/>
      <c r="OG56" s="5"/>
      <c r="OH56" s="5"/>
      <c r="OI56" s="5"/>
      <c r="OJ56" s="5"/>
      <c r="OK56" s="5"/>
      <c r="OL56" s="5"/>
      <c r="OM56" s="5"/>
      <c r="ON56" s="5"/>
      <c r="OO56" s="5"/>
      <c r="OP56" s="5"/>
      <c r="OQ56" s="5"/>
      <c r="OR56" s="5"/>
      <c r="OS56" s="5"/>
      <c r="OT56" s="5"/>
      <c r="OU56" s="5"/>
      <c r="OV56" s="5"/>
      <c r="OW56" s="5"/>
      <c r="OX56" s="5"/>
      <c r="OY56" s="5"/>
      <c r="OZ56" s="5"/>
      <c r="PA56" s="5"/>
      <c r="PB56" s="5"/>
      <c r="PC56" s="5"/>
      <c r="PD56" s="5"/>
      <c r="PE56" s="5"/>
      <c r="PF56" s="5"/>
      <c r="PG56" s="5"/>
      <c r="PH56" s="5"/>
      <c r="PI56" s="5"/>
      <c r="PJ56" s="5"/>
      <c r="PK56" s="5"/>
      <c r="PL56" s="5"/>
      <c r="PM56" s="5"/>
      <c r="PN56" s="5"/>
      <c r="PO56" s="5"/>
      <c r="PP56" s="5"/>
      <c r="PQ56" s="5"/>
      <c r="PR56" s="5"/>
      <c r="PS56" s="5"/>
      <c r="PT56" s="5"/>
      <c r="PU56" s="5"/>
      <c r="PV56" s="5"/>
      <c r="PW56" s="5"/>
      <c r="PX56" s="5"/>
      <c r="PY56" s="5"/>
      <c r="PZ56" s="5"/>
      <c r="QA56" s="5"/>
      <c r="QB56" s="5"/>
      <c r="QC56" s="5"/>
      <c r="QD56" s="5"/>
      <c r="QE56" s="5"/>
      <c r="QF56" s="5"/>
      <c r="QG56" s="5"/>
      <c r="QH56" s="5"/>
      <c r="QI56" s="5"/>
      <c r="QJ56" s="5"/>
      <c r="QK56" s="5"/>
      <c r="QL56" s="5"/>
      <c r="QM56" s="5"/>
      <c r="QN56" s="5"/>
      <c r="QO56" s="5"/>
      <c r="QP56" s="5"/>
      <c r="QQ56" s="5"/>
      <c r="QR56" s="5"/>
      <c r="QS56" s="5"/>
      <c r="QT56" s="5"/>
      <c r="QU56" s="5"/>
      <c r="QV56" s="5"/>
      <c r="QW56" s="5"/>
      <c r="QX56" s="5"/>
      <c r="QY56" s="5"/>
      <c r="QZ56" s="5"/>
      <c r="RA56" s="5"/>
      <c r="RB56" s="5"/>
      <c r="RC56" s="5"/>
      <c r="RD56" s="5"/>
      <c r="RE56" s="5"/>
      <c r="RF56" s="5"/>
      <c r="RG56" s="5"/>
      <c r="RH56" s="5"/>
      <c r="RI56" s="5"/>
      <c r="RJ56" s="5"/>
      <c r="RK56" s="5"/>
      <c r="RL56" s="5"/>
      <c r="RM56" s="5"/>
      <c r="RN56" s="5"/>
      <c r="RO56" s="5"/>
      <c r="RP56" s="5"/>
      <c r="RQ56" s="5"/>
      <c r="RR56" s="5"/>
      <c r="RS56" s="5"/>
      <c r="RT56" s="5"/>
      <c r="RU56" s="5"/>
      <c r="RV56" s="5"/>
      <c r="RW56" s="5"/>
      <c r="RX56" s="5"/>
      <c r="RY56" s="5"/>
      <c r="RZ56" s="5"/>
      <c r="SA56" s="5"/>
      <c r="SB56" s="5"/>
      <c r="SC56" s="5"/>
      <c r="SD56" s="5"/>
      <c r="SE56" s="5"/>
      <c r="SF56" s="5"/>
      <c r="SG56" s="5"/>
      <c r="SH56" s="5"/>
      <c r="SI56" s="5"/>
      <c r="SJ56" s="5"/>
      <c r="SK56" s="5"/>
      <c r="SL56" s="5"/>
      <c r="SM56" s="5"/>
      <c r="SN56" s="5"/>
      <c r="SO56" s="5"/>
      <c r="SP56" s="5"/>
      <c r="SQ56" s="5"/>
      <c r="SR56" s="5"/>
      <c r="SS56" s="5"/>
      <c r="ST56" s="5"/>
      <c r="SU56" s="5"/>
      <c r="SV56" s="5"/>
      <c r="SW56" s="5"/>
      <c r="SX56" s="5"/>
      <c r="SY56" s="5"/>
      <c r="SZ56" s="5"/>
      <c r="TA56" s="5"/>
      <c r="TB56" s="5"/>
      <c r="TC56" s="5"/>
      <c r="TD56" s="5"/>
      <c r="TE56" s="5"/>
      <c r="TF56" s="5"/>
      <c r="TG56" s="5"/>
      <c r="TH56" s="5"/>
      <c r="TI56" s="5"/>
      <c r="TJ56" s="5"/>
      <c r="TK56" s="5"/>
      <c r="TL56" s="5"/>
      <c r="TM56" s="5"/>
      <c r="TN56" s="5"/>
      <c r="TO56" s="5"/>
      <c r="TP56" s="5"/>
      <c r="TQ56" s="5"/>
      <c r="TR56" s="5"/>
      <c r="TS56" s="5"/>
      <c r="TT56" s="5"/>
      <c r="TU56" s="5"/>
      <c r="TV56" s="5"/>
      <c r="TW56" s="5"/>
      <c r="TX56" s="5"/>
      <c r="TY56" s="5"/>
      <c r="TZ56" s="5"/>
      <c r="UA56" s="5"/>
      <c r="UB56" s="5"/>
      <c r="UC56" s="5"/>
      <c r="UD56" s="5"/>
      <c r="UE56" s="5"/>
      <c r="UF56" s="5"/>
      <c r="UG56" s="5"/>
      <c r="UH56" s="5"/>
      <c r="UI56" s="5"/>
      <c r="UJ56" s="5"/>
      <c r="UK56" s="5"/>
      <c r="UL56" s="5"/>
      <c r="UM56" s="5"/>
      <c r="UN56" s="5"/>
      <c r="UO56" s="5"/>
      <c r="UP56" s="5"/>
      <c r="UQ56" s="5"/>
      <c r="UR56" s="5"/>
      <c r="US56" s="5"/>
      <c r="UT56" s="5"/>
      <c r="UU56" s="5"/>
      <c r="UV56" s="5"/>
      <c r="UW56" s="5"/>
      <c r="UX56" s="5"/>
      <c r="UY56" s="5"/>
      <c r="UZ56" s="5"/>
      <c r="VA56" s="5"/>
      <c r="VB56" s="5"/>
      <c r="VC56" s="5"/>
      <c r="VD56" s="5"/>
      <c r="VE56" s="5"/>
      <c r="VF56" s="5"/>
      <c r="VG56" s="5"/>
      <c r="VH56" s="5"/>
      <c r="VI56" s="5"/>
      <c r="VJ56" s="5"/>
      <c r="VK56" s="5"/>
      <c r="VL56" s="5"/>
      <c r="VM56" s="5"/>
      <c r="VN56" s="5"/>
      <c r="VO56" s="5"/>
      <c r="VP56" s="5"/>
      <c r="VQ56" s="5"/>
      <c r="VR56" s="5"/>
      <c r="VS56" s="5"/>
      <c r="VT56" s="5"/>
      <c r="VU56" s="5"/>
      <c r="VV56" s="5"/>
      <c r="VW56" s="5"/>
      <c r="VX56" s="5"/>
      <c r="VY56" s="5"/>
      <c r="VZ56" s="5"/>
      <c r="WA56" s="5"/>
      <c r="WB56" s="5"/>
      <c r="WC56" s="5"/>
      <c r="WD56" s="5"/>
      <c r="WE56" s="5"/>
      <c r="WF56" s="5"/>
      <c r="WG56" s="5"/>
      <c r="WH56" s="5"/>
      <c r="WI56" s="5"/>
      <c r="WJ56" s="5"/>
      <c r="WK56" s="5"/>
      <c r="WL56" s="5"/>
      <c r="WM56" s="5"/>
      <c r="WN56" s="5"/>
      <c r="WO56" s="5"/>
      <c r="WP56" s="5"/>
      <c r="WQ56" s="5"/>
      <c r="WR56" s="5"/>
      <c r="WS56" s="5"/>
      <c r="WT56" s="5"/>
      <c r="WU56" s="5"/>
      <c r="WV56" s="5"/>
      <c r="WW56" s="5"/>
      <c r="WX56" s="5"/>
      <c r="WY56" s="5"/>
      <c r="WZ56" s="5"/>
      <c r="XA56" s="5"/>
      <c r="XB56" s="5"/>
      <c r="XC56" s="5"/>
      <c r="XD56" s="5"/>
      <c r="XE56" s="5"/>
      <c r="XF56" s="5"/>
      <c r="XG56" s="5"/>
      <c r="XH56" s="5"/>
      <c r="XI56" s="5"/>
      <c r="XJ56" s="5"/>
      <c r="XK56" s="5"/>
      <c r="XL56" s="5"/>
      <c r="XM56" s="5"/>
      <c r="XN56" s="5"/>
      <c r="XO56" s="5"/>
      <c r="XP56" s="5"/>
      <c r="XQ56" s="5"/>
      <c r="XR56" s="5"/>
      <c r="XS56" s="5"/>
      <c r="XT56" s="5"/>
      <c r="XU56" s="5"/>
      <c r="XV56" s="5"/>
      <c r="XW56" s="5"/>
      <c r="XX56" s="5"/>
      <c r="XY56" s="5"/>
      <c r="XZ56" s="5"/>
      <c r="YA56" s="5"/>
      <c r="YB56" s="5"/>
      <c r="YC56" s="5"/>
      <c r="YD56" s="5"/>
      <c r="YE56" s="5"/>
      <c r="YF56" s="5"/>
      <c r="YG56" s="5"/>
      <c r="YH56" s="5"/>
      <c r="YI56" s="5"/>
      <c r="YJ56" s="5"/>
      <c r="YK56" s="5"/>
      <c r="YL56" s="5"/>
      <c r="YM56" s="5"/>
      <c r="YN56" s="5"/>
      <c r="YO56" s="5"/>
      <c r="YP56" s="5"/>
      <c r="YQ56" s="5"/>
      <c r="YR56" s="5"/>
      <c r="YS56" s="5"/>
      <c r="YT56" s="5"/>
      <c r="YU56" s="5"/>
      <c r="YV56" s="5"/>
      <c r="YW56" s="5"/>
      <c r="YX56" s="5"/>
      <c r="YY56" s="5"/>
      <c r="YZ56" s="5"/>
    </row>
    <row r="57" spans="1:676">
      <c r="A57" s="7">
        <v>47</v>
      </c>
      <c r="B57" s="7" t="s">
        <v>158</v>
      </c>
      <c r="C57" s="10" t="s">
        <v>159</v>
      </c>
      <c r="D57" s="7" t="s">
        <v>46</v>
      </c>
      <c r="E57" s="7" t="s">
        <v>82</v>
      </c>
      <c r="F57" s="7" t="s">
        <v>74</v>
      </c>
      <c r="G57" s="7"/>
      <c r="H57" s="7" t="s">
        <v>79</v>
      </c>
      <c r="I57" s="11">
        <v>2</v>
      </c>
      <c r="J57" s="11">
        <v>3</v>
      </c>
      <c r="K57" s="11">
        <v>0</v>
      </c>
      <c r="L57" s="11">
        <v>2.920000000000001</v>
      </c>
      <c r="M57" s="11">
        <v>0.32</v>
      </c>
      <c r="N57" s="11">
        <v>0</v>
      </c>
      <c r="O57" s="11">
        <v>0.35</v>
      </c>
      <c r="P57" s="11">
        <v>3.08</v>
      </c>
      <c r="Q57" s="11">
        <v>6.670000000000001</v>
      </c>
      <c r="R57" s="11">
        <v>12.93</v>
      </c>
      <c r="S57" s="11">
        <v>19.6</v>
      </c>
      <c r="T57" s="11">
        <v>2</v>
      </c>
      <c r="U57" s="11">
        <v>3</v>
      </c>
      <c r="V57" s="11">
        <v>14.6</v>
      </c>
      <c r="W57" s="13">
        <v>6</v>
      </c>
      <c r="X57" s="13">
        <v>9</v>
      </c>
      <c r="Y57" s="13" t="str">
        <f>MIN(W57,S57)</f>
        <v>0</v>
      </c>
      <c r="Z57" s="13" t="str">
        <f>MIN(X57,(S57-Y57))</f>
        <v>0</v>
      </c>
      <c r="AA57" s="13" t="str">
        <f>S57-SUM(Y57,Z57)</f>
        <v>0</v>
      </c>
      <c r="AB57" s="15"/>
      <c r="AC57" s="15"/>
      <c r="AD57" s="1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  <c r="CZ57" s="5"/>
      <c r="DA57" s="5"/>
      <c r="DB57" s="5"/>
      <c r="DC57" s="5"/>
      <c r="DD57" s="5"/>
      <c r="DE57" s="5"/>
      <c r="DF57" s="5"/>
      <c r="DG57" s="5"/>
      <c r="DH57" s="5"/>
      <c r="DI57" s="5"/>
      <c r="DJ57" s="5"/>
      <c r="DK57" s="5"/>
      <c r="DL57" s="5"/>
      <c r="DM57" s="5"/>
      <c r="DN57" s="5"/>
      <c r="DO57" s="5"/>
      <c r="DP57" s="5"/>
      <c r="DQ57" s="5"/>
      <c r="DR57" s="5"/>
      <c r="DS57" s="5"/>
      <c r="DT57" s="5"/>
      <c r="DU57" s="5"/>
      <c r="DV57" s="5"/>
      <c r="DW57" s="5"/>
      <c r="DX57" s="5"/>
      <c r="DY57" s="5"/>
      <c r="DZ57" s="5"/>
      <c r="EA57" s="5"/>
      <c r="EB57" s="5"/>
      <c r="EC57" s="5"/>
      <c r="ED57" s="5"/>
      <c r="EE57" s="5"/>
      <c r="EF57" s="5"/>
      <c r="EG57" s="5"/>
      <c r="EH57" s="5"/>
      <c r="EI57" s="5"/>
      <c r="EJ57" s="5"/>
      <c r="EK57" s="5"/>
      <c r="EL57" s="5"/>
      <c r="EM57" s="5"/>
      <c r="EN57" s="5"/>
      <c r="EO57" s="5"/>
      <c r="EP57" s="5"/>
      <c r="EQ57" s="5"/>
      <c r="ER57" s="5"/>
      <c r="ES57" s="5"/>
      <c r="ET57" s="5"/>
      <c r="EU57" s="5"/>
      <c r="EV57" s="5"/>
      <c r="EW57" s="5"/>
      <c r="EX57" s="5"/>
      <c r="EY57" s="5"/>
      <c r="EZ57" s="5"/>
      <c r="FA57" s="5"/>
      <c r="FB57" s="5"/>
      <c r="FC57" s="5"/>
      <c r="FD57" s="5"/>
      <c r="FE57" s="5"/>
      <c r="FF57" s="5"/>
      <c r="FG57" s="5"/>
      <c r="FH57" s="5"/>
      <c r="FI57" s="5"/>
      <c r="FJ57" s="5"/>
      <c r="FK57" s="5"/>
      <c r="FL57" s="5"/>
      <c r="FM57" s="5"/>
      <c r="FN57" s="5"/>
      <c r="FO57" s="5"/>
      <c r="FP57" s="5"/>
      <c r="FQ57" s="5"/>
      <c r="FR57" s="5"/>
      <c r="FS57" s="5"/>
      <c r="FT57" s="5"/>
      <c r="FU57" s="5"/>
      <c r="FV57" s="5"/>
      <c r="FW57" s="5"/>
      <c r="FX57" s="5"/>
      <c r="FY57" s="5"/>
      <c r="FZ57" s="5"/>
      <c r="GA57" s="5"/>
      <c r="GB57" s="5"/>
      <c r="GC57" s="5"/>
      <c r="GD57" s="5"/>
      <c r="GE57" s="5"/>
      <c r="GF57" s="5"/>
      <c r="GG57" s="5"/>
      <c r="GH57" s="5"/>
      <c r="GI57" s="5"/>
      <c r="GJ57" s="5"/>
      <c r="GK57" s="5"/>
      <c r="GL57" s="5"/>
      <c r="GM57" s="5"/>
      <c r="GN57" s="5"/>
      <c r="GO57" s="5"/>
      <c r="GP57" s="5"/>
      <c r="GQ57" s="5"/>
      <c r="GR57" s="5"/>
      <c r="GS57" s="5"/>
      <c r="GT57" s="5"/>
      <c r="GU57" s="5"/>
      <c r="GV57" s="5"/>
      <c r="GW57" s="5"/>
      <c r="GX57" s="5"/>
      <c r="GY57" s="5"/>
      <c r="GZ57" s="5"/>
      <c r="HA57" s="5"/>
      <c r="HB57" s="5"/>
      <c r="HC57" s="5"/>
      <c r="HD57" s="5"/>
      <c r="HE57" s="5"/>
      <c r="HF57" s="5"/>
      <c r="HG57" s="5"/>
      <c r="HH57" s="5"/>
      <c r="HI57" s="5"/>
      <c r="HJ57" s="5"/>
      <c r="HK57" s="5"/>
      <c r="HL57" s="5"/>
      <c r="HM57" s="5"/>
      <c r="HN57" s="5"/>
      <c r="HO57" s="5"/>
      <c r="HP57" s="5"/>
      <c r="HQ57" s="5"/>
      <c r="HR57" s="5"/>
      <c r="HS57" s="5"/>
      <c r="HT57" s="5"/>
      <c r="HU57" s="5"/>
      <c r="HV57" s="5"/>
      <c r="HW57" s="5"/>
      <c r="HX57" s="5"/>
      <c r="HY57" s="5"/>
      <c r="HZ57" s="5"/>
      <c r="IA57" s="5"/>
      <c r="IB57" s="5"/>
      <c r="IC57" s="5"/>
      <c r="ID57" s="5"/>
      <c r="IE57" s="5"/>
      <c r="IF57" s="5"/>
      <c r="IG57" s="5"/>
      <c r="IH57" s="5"/>
      <c r="II57" s="5"/>
      <c r="IJ57" s="5"/>
      <c r="IK57" s="5"/>
      <c r="IL57" s="5"/>
      <c r="IM57" s="5"/>
      <c r="IN57" s="5"/>
      <c r="IO57" s="5"/>
      <c r="IP57" s="5"/>
      <c r="IQ57" s="5"/>
      <c r="IR57" s="5"/>
      <c r="IS57" s="5"/>
      <c r="IT57" s="5"/>
      <c r="IU57" s="5"/>
      <c r="IV57" s="5"/>
      <c r="IW57" s="5"/>
      <c r="IX57" s="5"/>
      <c r="IY57" s="5"/>
      <c r="IZ57" s="5"/>
      <c r="JA57" s="5"/>
      <c r="JB57" s="5"/>
      <c r="JC57" s="5"/>
      <c r="JD57" s="5"/>
      <c r="JE57" s="5"/>
      <c r="JF57" s="5"/>
      <c r="JG57" s="5"/>
      <c r="JH57" s="5"/>
      <c r="JI57" s="5"/>
      <c r="JJ57" s="5"/>
      <c r="JK57" s="5"/>
      <c r="JL57" s="5"/>
      <c r="JM57" s="5"/>
      <c r="JN57" s="5"/>
      <c r="JO57" s="5"/>
      <c r="JP57" s="5"/>
      <c r="JQ57" s="5"/>
      <c r="JR57" s="5"/>
      <c r="JS57" s="5"/>
      <c r="JT57" s="5"/>
      <c r="JU57" s="5"/>
      <c r="JV57" s="5"/>
      <c r="JW57" s="5"/>
      <c r="JX57" s="5"/>
      <c r="JY57" s="5"/>
      <c r="JZ57" s="5"/>
      <c r="KA57" s="5"/>
      <c r="KB57" s="5"/>
      <c r="KC57" s="5"/>
      <c r="KD57" s="5"/>
      <c r="KE57" s="5"/>
      <c r="KF57" s="5"/>
      <c r="KG57" s="5"/>
      <c r="KH57" s="5"/>
      <c r="KI57" s="5"/>
      <c r="KJ57" s="5"/>
      <c r="KK57" s="5"/>
      <c r="KL57" s="5"/>
      <c r="KM57" s="5"/>
      <c r="KN57" s="5"/>
      <c r="KO57" s="5"/>
      <c r="KP57" s="5"/>
      <c r="KQ57" s="5"/>
      <c r="KR57" s="5"/>
      <c r="KS57" s="5"/>
      <c r="KT57" s="5"/>
      <c r="KU57" s="5"/>
      <c r="KV57" s="5"/>
      <c r="KW57" s="5"/>
      <c r="KX57" s="5"/>
      <c r="KY57" s="5"/>
      <c r="KZ57" s="5"/>
      <c r="LA57" s="5"/>
      <c r="LB57" s="5"/>
      <c r="LC57" s="5"/>
      <c r="LD57" s="5"/>
      <c r="LE57" s="5"/>
      <c r="LF57" s="5"/>
      <c r="LG57" s="5"/>
      <c r="LH57" s="5"/>
      <c r="LI57" s="5"/>
      <c r="LJ57" s="5"/>
      <c r="LK57" s="5"/>
      <c r="LL57" s="5"/>
      <c r="LM57" s="5"/>
      <c r="LN57" s="5"/>
      <c r="LO57" s="5"/>
      <c r="LP57" s="5"/>
      <c r="LQ57" s="5"/>
      <c r="LR57" s="5"/>
      <c r="LS57" s="5"/>
      <c r="LT57" s="5"/>
      <c r="LU57" s="5"/>
      <c r="LV57" s="5"/>
      <c r="LW57" s="5"/>
      <c r="LX57" s="5"/>
      <c r="LY57" s="5"/>
      <c r="LZ57" s="5"/>
      <c r="MA57" s="5"/>
      <c r="MB57" s="5"/>
      <c r="MC57" s="5"/>
      <c r="MD57" s="5"/>
      <c r="ME57" s="5"/>
      <c r="MF57" s="5"/>
      <c r="MG57" s="5"/>
      <c r="MH57" s="5"/>
      <c r="MI57" s="5"/>
      <c r="MJ57" s="5"/>
      <c r="MK57" s="5"/>
      <c r="ML57" s="5"/>
      <c r="MM57" s="5"/>
      <c r="MN57" s="5"/>
      <c r="MO57" s="5"/>
      <c r="MP57" s="5"/>
      <c r="MQ57" s="5"/>
      <c r="MR57" s="5"/>
      <c r="MS57" s="5"/>
      <c r="MT57" s="5"/>
      <c r="MU57" s="5"/>
      <c r="MV57" s="5"/>
      <c r="MW57" s="5"/>
      <c r="MX57" s="5"/>
      <c r="MY57" s="5"/>
      <c r="MZ57" s="5"/>
      <c r="NA57" s="5"/>
      <c r="NB57" s="5"/>
      <c r="NC57" s="5"/>
      <c r="ND57" s="5"/>
      <c r="NE57" s="5"/>
      <c r="NF57" s="5"/>
      <c r="NG57" s="5"/>
      <c r="NH57" s="5"/>
      <c r="NI57" s="5"/>
      <c r="NJ57" s="5"/>
      <c r="NK57" s="5"/>
      <c r="NL57" s="5"/>
      <c r="NM57" s="5"/>
      <c r="NN57" s="5"/>
      <c r="NO57" s="5"/>
      <c r="NP57" s="5"/>
      <c r="NQ57" s="5"/>
      <c r="NR57" s="5"/>
      <c r="NS57" s="5"/>
      <c r="NT57" s="5"/>
      <c r="NU57" s="5"/>
      <c r="NV57" s="5"/>
      <c r="NW57" s="5"/>
      <c r="NX57" s="5"/>
      <c r="NY57" s="5"/>
      <c r="NZ57" s="5"/>
      <c r="OA57" s="5"/>
      <c r="OB57" s="5"/>
      <c r="OC57" s="5"/>
      <c r="OD57" s="5"/>
      <c r="OE57" s="5"/>
      <c r="OF57" s="5"/>
      <c r="OG57" s="5"/>
      <c r="OH57" s="5"/>
      <c r="OI57" s="5"/>
      <c r="OJ57" s="5"/>
      <c r="OK57" s="5"/>
      <c r="OL57" s="5"/>
      <c r="OM57" s="5"/>
      <c r="ON57" s="5"/>
      <c r="OO57" s="5"/>
      <c r="OP57" s="5"/>
      <c r="OQ57" s="5"/>
      <c r="OR57" s="5"/>
      <c r="OS57" s="5"/>
      <c r="OT57" s="5"/>
      <c r="OU57" s="5"/>
      <c r="OV57" s="5"/>
      <c r="OW57" s="5"/>
      <c r="OX57" s="5"/>
      <c r="OY57" s="5"/>
      <c r="OZ57" s="5"/>
      <c r="PA57" s="5"/>
      <c r="PB57" s="5"/>
      <c r="PC57" s="5"/>
      <c r="PD57" s="5"/>
      <c r="PE57" s="5"/>
      <c r="PF57" s="5"/>
      <c r="PG57" s="5"/>
      <c r="PH57" s="5"/>
      <c r="PI57" s="5"/>
      <c r="PJ57" s="5"/>
      <c r="PK57" s="5"/>
      <c r="PL57" s="5"/>
      <c r="PM57" s="5"/>
      <c r="PN57" s="5"/>
      <c r="PO57" s="5"/>
      <c r="PP57" s="5"/>
      <c r="PQ57" s="5"/>
      <c r="PR57" s="5"/>
      <c r="PS57" s="5"/>
      <c r="PT57" s="5"/>
      <c r="PU57" s="5"/>
      <c r="PV57" s="5"/>
      <c r="PW57" s="5"/>
      <c r="PX57" s="5"/>
      <c r="PY57" s="5"/>
      <c r="PZ57" s="5"/>
      <c r="QA57" s="5"/>
      <c r="QB57" s="5"/>
      <c r="QC57" s="5"/>
      <c r="QD57" s="5"/>
      <c r="QE57" s="5"/>
      <c r="QF57" s="5"/>
      <c r="QG57" s="5"/>
      <c r="QH57" s="5"/>
      <c r="QI57" s="5"/>
      <c r="QJ57" s="5"/>
      <c r="QK57" s="5"/>
      <c r="QL57" s="5"/>
      <c r="QM57" s="5"/>
      <c r="QN57" s="5"/>
      <c r="QO57" s="5"/>
      <c r="QP57" s="5"/>
      <c r="QQ57" s="5"/>
      <c r="QR57" s="5"/>
      <c r="QS57" s="5"/>
      <c r="QT57" s="5"/>
      <c r="QU57" s="5"/>
      <c r="QV57" s="5"/>
      <c r="QW57" s="5"/>
      <c r="QX57" s="5"/>
      <c r="QY57" s="5"/>
      <c r="QZ57" s="5"/>
      <c r="RA57" s="5"/>
      <c r="RB57" s="5"/>
      <c r="RC57" s="5"/>
      <c r="RD57" s="5"/>
      <c r="RE57" s="5"/>
      <c r="RF57" s="5"/>
      <c r="RG57" s="5"/>
      <c r="RH57" s="5"/>
      <c r="RI57" s="5"/>
      <c r="RJ57" s="5"/>
      <c r="RK57" s="5"/>
      <c r="RL57" s="5"/>
      <c r="RM57" s="5"/>
      <c r="RN57" s="5"/>
      <c r="RO57" s="5"/>
      <c r="RP57" s="5"/>
      <c r="RQ57" s="5"/>
      <c r="RR57" s="5"/>
      <c r="RS57" s="5"/>
      <c r="RT57" s="5"/>
      <c r="RU57" s="5"/>
      <c r="RV57" s="5"/>
      <c r="RW57" s="5"/>
      <c r="RX57" s="5"/>
      <c r="RY57" s="5"/>
      <c r="RZ57" s="5"/>
      <c r="SA57" s="5"/>
      <c r="SB57" s="5"/>
      <c r="SC57" s="5"/>
      <c r="SD57" s="5"/>
      <c r="SE57" s="5"/>
      <c r="SF57" s="5"/>
      <c r="SG57" s="5"/>
      <c r="SH57" s="5"/>
      <c r="SI57" s="5"/>
      <c r="SJ57" s="5"/>
      <c r="SK57" s="5"/>
      <c r="SL57" s="5"/>
      <c r="SM57" s="5"/>
      <c r="SN57" s="5"/>
      <c r="SO57" s="5"/>
      <c r="SP57" s="5"/>
      <c r="SQ57" s="5"/>
      <c r="SR57" s="5"/>
      <c r="SS57" s="5"/>
      <c r="ST57" s="5"/>
      <c r="SU57" s="5"/>
      <c r="SV57" s="5"/>
      <c r="SW57" s="5"/>
      <c r="SX57" s="5"/>
      <c r="SY57" s="5"/>
      <c r="SZ57" s="5"/>
      <c r="TA57" s="5"/>
      <c r="TB57" s="5"/>
      <c r="TC57" s="5"/>
      <c r="TD57" s="5"/>
      <c r="TE57" s="5"/>
      <c r="TF57" s="5"/>
      <c r="TG57" s="5"/>
      <c r="TH57" s="5"/>
      <c r="TI57" s="5"/>
      <c r="TJ57" s="5"/>
      <c r="TK57" s="5"/>
      <c r="TL57" s="5"/>
      <c r="TM57" s="5"/>
      <c r="TN57" s="5"/>
      <c r="TO57" s="5"/>
      <c r="TP57" s="5"/>
      <c r="TQ57" s="5"/>
      <c r="TR57" s="5"/>
      <c r="TS57" s="5"/>
      <c r="TT57" s="5"/>
      <c r="TU57" s="5"/>
      <c r="TV57" s="5"/>
      <c r="TW57" s="5"/>
      <c r="TX57" s="5"/>
      <c r="TY57" s="5"/>
      <c r="TZ57" s="5"/>
      <c r="UA57" s="5"/>
      <c r="UB57" s="5"/>
      <c r="UC57" s="5"/>
      <c r="UD57" s="5"/>
      <c r="UE57" s="5"/>
      <c r="UF57" s="5"/>
      <c r="UG57" s="5"/>
      <c r="UH57" s="5"/>
      <c r="UI57" s="5"/>
      <c r="UJ57" s="5"/>
      <c r="UK57" s="5"/>
      <c r="UL57" s="5"/>
      <c r="UM57" s="5"/>
      <c r="UN57" s="5"/>
      <c r="UO57" s="5"/>
      <c r="UP57" s="5"/>
      <c r="UQ57" s="5"/>
      <c r="UR57" s="5"/>
      <c r="US57" s="5"/>
      <c r="UT57" s="5"/>
      <c r="UU57" s="5"/>
      <c r="UV57" s="5"/>
      <c r="UW57" s="5"/>
      <c r="UX57" s="5"/>
      <c r="UY57" s="5"/>
      <c r="UZ57" s="5"/>
      <c r="VA57" s="5"/>
      <c r="VB57" s="5"/>
      <c r="VC57" s="5"/>
      <c r="VD57" s="5"/>
      <c r="VE57" s="5"/>
      <c r="VF57" s="5"/>
      <c r="VG57" s="5"/>
      <c r="VH57" s="5"/>
      <c r="VI57" s="5"/>
      <c r="VJ57" s="5"/>
      <c r="VK57" s="5"/>
      <c r="VL57" s="5"/>
      <c r="VM57" s="5"/>
      <c r="VN57" s="5"/>
      <c r="VO57" s="5"/>
      <c r="VP57" s="5"/>
      <c r="VQ57" s="5"/>
      <c r="VR57" s="5"/>
      <c r="VS57" s="5"/>
      <c r="VT57" s="5"/>
      <c r="VU57" s="5"/>
      <c r="VV57" s="5"/>
      <c r="VW57" s="5"/>
      <c r="VX57" s="5"/>
      <c r="VY57" s="5"/>
      <c r="VZ57" s="5"/>
      <c r="WA57" s="5"/>
      <c r="WB57" s="5"/>
      <c r="WC57" s="5"/>
      <c r="WD57" s="5"/>
      <c r="WE57" s="5"/>
      <c r="WF57" s="5"/>
      <c r="WG57" s="5"/>
      <c r="WH57" s="5"/>
      <c r="WI57" s="5"/>
      <c r="WJ57" s="5"/>
      <c r="WK57" s="5"/>
      <c r="WL57" s="5"/>
      <c r="WM57" s="5"/>
      <c r="WN57" s="5"/>
      <c r="WO57" s="5"/>
      <c r="WP57" s="5"/>
      <c r="WQ57" s="5"/>
      <c r="WR57" s="5"/>
      <c r="WS57" s="5"/>
      <c r="WT57" s="5"/>
      <c r="WU57" s="5"/>
      <c r="WV57" s="5"/>
      <c r="WW57" s="5"/>
      <c r="WX57" s="5"/>
      <c r="WY57" s="5"/>
      <c r="WZ57" s="5"/>
      <c r="XA57" s="5"/>
      <c r="XB57" s="5"/>
      <c r="XC57" s="5"/>
      <c r="XD57" s="5"/>
      <c r="XE57" s="5"/>
      <c r="XF57" s="5"/>
      <c r="XG57" s="5"/>
      <c r="XH57" s="5"/>
      <c r="XI57" s="5"/>
      <c r="XJ57" s="5"/>
      <c r="XK57" s="5"/>
      <c r="XL57" s="5"/>
      <c r="XM57" s="5"/>
      <c r="XN57" s="5"/>
      <c r="XO57" s="5"/>
      <c r="XP57" s="5"/>
      <c r="XQ57" s="5"/>
      <c r="XR57" s="5"/>
      <c r="XS57" s="5"/>
      <c r="XT57" s="5"/>
      <c r="XU57" s="5"/>
      <c r="XV57" s="5"/>
      <c r="XW57" s="5"/>
      <c r="XX57" s="5"/>
      <c r="XY57" s="5"/>
      <c r="XZ57" s="5"/>
      <c r="YA57" s="5"/>
      <c r="YB57" s="5"/>
      <c r="YC57" s="5"/>
      <c r="YD57" s="5"/>
      <c r="YE57" s="5"/>
      <c r="YF57" s="5"/>
      <c r="YG57" s="5"/>
      <c r="YH57" s="5"/>
      <c r="YI57" s="5"/>
      <c r="YJ57" s="5"/>
      <c r="YK57" s="5"/>
      <c r="YL57" s="5"/>
      <c r="YM57" s="5"/>
      <c r="YN57" s="5"/>
      <c r="YO57" s="5"/>
      <c r="YP57" s="5"/>
      <c r="YQ57" s="5"/>
      <c r="YR57" s="5"/>
      <c r="YS57" s="5"/>
      <c r="YT57" s="5"/>
      <c r="YU57" s="5"/>
      <c r="YV57" s="5"/>
      <c r="YW57" s="5"/>
      <c r="YX57" s="5"/>
      <c r="YY57" s="5"/>
      <c r="YZ57" s="5"/>
    </row>
    <row r="58" spans="1:676">
      <c r="A58" s="7">
        <v>48</v>
      </c>
      <c r="B58" s="7" t="s">
        <v>160</v>
      </c>
      <c r="C58" s="10" t="s">
        <v>161</v>
      </c>
      <c r="D58" s="7" t="s">
        <v>46</v>
      </c>
      <c r="E58" s="7" t="s">
        <v>78</v>
      </c>
      <c r="F58" s="7" t="s">
        <v>162</v>
      </c>
      <c r="G58" s="7"/>
      <c r="H58" s="7"/>
      <c r="I58" s="11">
        <v>2</v>
      </c>
      <c r="J58" s="11">
        <v>3</v>
      </c>
      <c r="K58" s="11">
        <v>0</v>
      </c>
      <c r="L58" s="11">
        <v>1.61</v>
      </c>
      <c r="M58" s="11">
        <v>0.5600000000000001</v>
      </c>
      <c r="N58" s="11">
        <v>0</v>
      </c>
      <c r="O58" s="11">
        <v>0.2</v>
      </c>
      <c r="P58" s="11">
        <v>1.82</v>
      </c>
      <c r="Q58" s="11">
        <v>4.190000000000001</v>
      </c>
      <c r="R58" s="11">
        <v>6.620000000000002</v>
      </c>
      <c r="S58" s="11">
        <v>10.81</v>
      </c>
      <c r="T58" s="11">
        <v>2</v>
      </c>
      <c r="U58" s="11">
        <v>3</v>
      </c>
      <c r="V58" s="11">
        <v>5.810000000000002</v>
      </c>
      <c r="W58" s="13">
        <v>6</v>
      </c>
      <c r="X58" s="13">
        <v>9</v>
      </c>
      <c r="Y58" s="13" t="str">
        <f>MIN(W58,S58)</f>
        <v>0</v>
      </c>
      <c r="Z58" s="13" t="str">
        <f>MIN(X58,(S58-Y58))</f>
        <v>0</v>
      </c>
      <c r="AA58" s="13" t="str">
        <f>S58-SUM(Y58,Z58)</f>
        <v>0</v>
      </c>
      <c r="AB58" s="15"/>
      <c r="AC58" s="15"/>
      <c r="AD58" s="1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5"/>
      <c r="DG58" s="5"/>
      <c r="DH58" s="5"/>
      <c r="DI58" s="5"/>
      <c r="DJ58" s="5"/>
      <c r="DK58" s="5"/>
      <c r="DL58" s="5"/>
      <c r="DM58" s="5"/>
      <c r="DN58" s="5"/>
      <c r="DO58" s="5"/>
      <c r="DP58" s="5"/>
      <c r="DQ58" s="5"/>
      <c r="DR58" s="5"/>
      <c r="DS58" s="5"/>
      <c r="DT58" s="5"/>
      <c r="DU58" s="5"/>
      <c r="DV58" s="5"/>
      <c r="DW58" s="5"/>
      <c r="DX58" s="5"/>
      <c r="DY58" s="5"/>
      <c r="DZ58" s="5"/>
      <c r="EA58" s="5"/>
      <c r="EB58" s="5"/>
      <c r="EC58" s="5"/>
      <c r="ED58" s="5"/>
      <c r="EE58" s="5"/>
      <c r="EF58" s="5"/>
      <c r="EG58" s="5"/>
      <c r="EH58" s="5"/>
      <c r="EI58" s="5"/>
      <c r="EJ58" s="5"/>
      <c r="EK58" s="5"/>
      <c r="EL58" s="5"/>
      <c r="EM58" s="5"/>
      <c r="EN58" s="5"/>
      <c r="EO58" s="5"/>
      <c r="EP58" s="5"/>
      <c r="EQ58" s="5"/>
      <c r="ER58" s="5"/>
      <c r="ES58" s="5"/>
      <c r="ET58" s="5"/>
      <c r="EU58" s="5"/>
      <c r="EV58" s="5"/>
      <c r="EW58" s="5"/>
      <c r="EX58" s="5"/>
      <c r="EY58" s="5"/>
      <c r="EZ58" s="5"/>
      <c r="FA58" s="5"/>
      <c r="FB58" s="5"/>
      <c r="FC58" s="5"/>
      <c r="FD58" s="5"/>
      <c r="FE58" s="5"/>
      <c r="FF58" s="5"/>
      <c r="FG58" s="5"/>
      <c r="FH58" s="5"/>
      <c r="FI58" s="5"/>
      <c r="FJ58" s="5"/>
      <c r="FK58" s="5"/>
      <c r="FL58" s="5"/>
      <c r="FM58" s="5"/>
      <c r="FN58" s="5"/>
      <c r="FO58" s="5"/>
      <c r="FP58" s="5"/>
      <c r="FQ58" s="5"/>
      <c r="FR58" s="5"/>
      <c r="FS58" s="5"/>
      <c r="FT58" s="5"/>
      <c r="FU58" s="5"/>
      <c r="FV58" s="5"/>
      <c r="FW58" s="5"/>
      <c r="FX58" s="5"/>
      <c r="FY58" s="5"/>
      <c r="FZ58" s="5"/>
      <c r="GA58" s="5"/>
      <c r="GB58" s="5"/>
      <c r="GC58" s="5"/>
      <c r="GD58" s="5"/>
      <c r="GE58" s="5"/>
      <c r="GF58" s="5"/>
      <c r="GG58" s="5"/>
      <c r="GH58" s="5"/>
      <c r="GI58" s="5"/>
      <c r="GJ58" s="5"/>
      <c r="GK58" s="5"/>
      <c r="GL58" s="5"/>
      <c r="GM58" s="5"/>
      <c r="GN58" s="5"/>
      <c r="GO58" s="5"/>
      <c r="GP58" s="5"/>
      <c r="GQ58" s="5"/>
      <c r="GR58" s="5"/>
      <c r="GS58" s="5"/>
      <c r="GT58" s="5"/>
      <c r="GU58" s="5"/>
      <c r="GV58" s="5"/>
      <c r="GW58" s="5"/>
      <c r="GX58" s="5"/>
      <c r="GY58" s="5"/>
      <c r="GZ58" s="5"/>
      <c r="HA58" s="5"/>
      <c r="HB58" s="5"/>
      <c r="HC58" s="5"/>
      <c r="HD58" s="5"/>
      <c r="HE58" s="5"/>
      <c r="HF58" s="5"/>
      <c r="HG58" s="5"/>
      <c r="HH58" s="5"/>
      <c r="HI58" s="5"/>
      <c r="HJ58" s="5"/>
      <c r="HK58" s="5"/>
      <c r="HL58" s="5"/>
      <c r="HM58" s="5"/>
      <c r="HN58" s="5"/>
      <c r="HO58" s="5"/>
      <c r="HP58" s="5"/>
      <c r="HQ58" s="5"/>
      <c r="HR58" s="5"/>
      <c r="HS58" s="5"/>
      <c r="HT58" s="5"/>
      <c r="HU58" s="5"/>
      <c r="HV58" s="5"/>
      <c r="HW58" s="5"/>
      <c r="HX58" s="5"/>
      <c r="HY58" s="5"/>
      <c r="HZ58" s="5"/>
      <c r="IA58" s="5"/>
      <c r="IB58" s="5"/>
      <c r="IC58" s="5"/>
      <c r="ID58" s="5"/>
      <c r="IE58" s="5"/>
      <c r="IF58" s="5"/>
      <c r="IG58" s="5"/>
      <c r="IH58" s="5"/>
      <c r="II58" s="5"/>
      <c r="IJ58" s="5"/>
      <c r="IK58" s="5"/>
      <c r="IL58" s="5"/>
      <c r="IM58" s="5"/>
      <c r="IN58" s="5"/>
      <c r="IO58" s="5"/>
      <c r="IP58" s="5"/>
      <c r="IQ58" s="5"/>
      <c r="IR58" s="5"/>
      <c r="IS58" s="5"/>
      <c r="IT58" s="5"/>
      <c r="IU58" s="5"/>
      <c r="IV58" s="5"/>
      <c r="IW58" s="5"/>
      <c r="IX58" s="5"/>
      <c r="IY58" s="5"/>
      <c r="IZ58" s="5"/>
      <c r="JA58" s="5"/>
      <c r="JB58" s="5"/>
      <c r="JC58" s="5"/>
      <c r="JD58" s="5"/>
      <c r="JE58" s="5"/>
      <c r="JF58" s="5"/>
      <c r="JG58" s="5"/>
      <c r="JH58" s="5"/>
      <c r="JI58" s="5"/>
      <c r="JJ58" s="5"/>
      <c r="JK58" s="5"/>
      <c r="JL58" s="5"/>
      <c r="JM58" s="5"/>
      <c r="JN58" s="5"/>
      <c r="JO58" s="5"/>
      <c r="JP58" s="5"/>
      <c r="JQ58" s="5"/>
      <c r="JR58" s="5"/>
      <c r="JS58" s="5"/>
      <c r="JT58" s="5"/>
      <c r="JU58" s="5"/>
      <c r="JV58" s="5"/>
      <c r="JW58" s="5"/>
      <c r="JX58" s="5"/>
      <c r="JY58" s="5"/>
      <c r="JZ58" s="5"/>
      <c r="KA58" s="5"/>
      <c r="KB58" s="5"/>
      <c r="KC58" s="5"/>
      <c r="KD58" s="5"/>
      <c r="KE58" s="5"/>
      <c r="KF58" s="5"/>
      <c r="KG58" s="5"/>
      <c r="KH58" s="5"/>
      <c r="KI58" s="5"/>
      <c r="KJ58" s="5"/>
      <c r="KK58" s="5"/>
      <c r="KL58" s="5"/>
      <c r="KM58" s="5"/>
      <c r="KN58" s="5"/>
      <c r="KO58" s="5"/>
      <c r="KP58" s="5"/>
      <c r="KQ58" s="5"/>
      <c r="KR58" s="5"/>
      <c r="KS58" s="5"/>
      <c r="KT58" s="5"/>
      <c r="KU58" s="5"/>
      <c r="KV58" s="5"/>
      <c r="KW58" s="5"/>
      <c r="KX58" s="5"/>
      <c r="KY58" s="5"/>
      <c r="KZ58" s="5"/>
      <c r="LA58" s="5"/>
      <c r="LB58" s="5"/>
      <c r="LC58" s="5"/>
      <c r="LD58" s="5"/>
      <c r="LE58" s="5"/>
      <c r="LF58" s="5"/>
      <c r="LG58" s="5"/>
      <c r="LH58" s="5"/>
      <c r="LI58" s="5"/>
      <c r="LJ58" s="5"/>
      <c r="LK58" s="5"/>
      <c r="LL58" s="5"/>
      <c r="LM58" s="5"/>
      <c r="LN58" s="5"/>
      <c r="LO58" s="5"/>
      <c r="LP58" s="5"/>
      <c r="LQ58" s="5"/>
      <c r="LR58" s="5"/>
      <c r="LS58" s="5"/>
      <c r="LT58" s="5"/>
      <c r="LU58" s="5"/>
      <c r="LV58" s="5"/>
      <c r="LW58" s="5"/>
      <c r="LX58" s="5"/>
      <c r="LY58" s="5"/>
      <c r="LZ58" s="5"/>
      <c r="MA58" s="5"/>
      <c r="MB58" s="5"/>
      <c r="MC58" s="5"/>
      <c r="MD58" s="5"/>
      <c r="ME58" s="5"/>
      <c r="MF58" s="5"/>
      <c r="MG58" s="5"/>
      <c r="MH58" s="5"/>
      <c r="MI58" s="5"/>
      <c r="MJ58" s="5"/>
      <c r="MK58" s="5"/>
      <c r="ML58" s="5"/>
      <c r="MM58" s="5"/>
      <c r="MN58" s="5"/>
      <c r="MO58" s="5"/>
      <c r="MP58" s="5"/>
      <c r="MQ58" s="5"/>
      <c r="MR58" s="5"/>
      <c r="MS58" s="5"/>
      <c r="MT58" s="5"/>
      <c r="MU58" s="5"/>
      <c r="MV58" s="5"/>
      <c r="MW58" s="5"/>
      <c r="MX58" s="5"/>
      <c r="MY58" s="5"/>
      <c r="MZ58" s="5"/>
      <c r="NA58" s="5"/>
      <c r="NB58" s="5"/>
      <c r="NC58" s="5"/>
      <c r="ND58" s="5"/>
      <c r="NE58" s="5"/>
      <c r="NF58" s="5"/>
      <c r="NG58" s="5"/>
      <c r="NH58" s="5"/>
      <c r="NI58" s="5"/>
      <c r="NJ58" s="5"/>
      <c r="NK58" s="5"/>
      <c r="NL58" s="5"/>
      <c r="NM58" s="5"/>
      <c r="NN58" s="5"/>
      <c r="NO58" s="5"/>
      <c r="NP58" s="5"/>
      <c r="NQ58" s="5"/>
      <c r="NR58" s="5"/>
      <c r="NS58" s="5"/>
      <c r="NT58" s="5"/>
      <c r="NU58" s="5"/>
      <c r="NV58" s="5"/>
      <c r="NW58" s="5"/>
      <c r="NX58" s="5"/>
      <c r="NY58" s="5"/>
      <c r="NZ58" s="5"/>
      <c r="OA58" s="5"/>
      <c r="OB58" s="5"/>
      <c r="OC58" s="5"/>
      <c r="OD58" s="5"/>
      <c r="OE58" s="5"/>
      <c r="OF58" s="5"/>
      <c r="OG58" s="5"/>
      <c r="OH58" s="5"/>
      <c r="OI58" s="5"/>
      <c r="OJ58" s="5"/>
      <c r="OK58" s="5"/>
      <c r="OL58" s="5"/>
      <c r="OM58" s="5"/>
      <c r="ON58" s="5"/>
      <c r="OO58" s="5"/>
      <c r="OP58" s="5"/>
      <c r="OQ58" s="5"/>
      <c r="OR58" s="5"/>
      <c r="OS58" s="5"/>
      <c r="OT58" s="5"/>
      <c r="OU58" s="5"/>
      <c r="OV58" s="5"/>
      <c r="OW58" s="5"/>
      <c r="OX58" s="5"/>
      <c r="OY58" s="5"/>
      <c r="OZ58" s="5"/>
      <c r="PA58" s="5"/>
      <c r="PB58" s="5"/>
      <c r="PC58" s="5"/>
      <c r="PD58" s="5"/>
      <c r="PE58" s="5"/>
      <c r="PF58" s="5"/>
      <c r="PG58" s="5"/>
      <c r="PH58" s="5"/>
      <c r="PI58" s="5"/>
      <c r="PJ58" s="5"/>
      <c r="PK58" s="5"/>
      <c r="PL58" s="5"/>
      <c r="PM58" s="5"/>
      <c r="PN58" s="5"/>
      <c r="PO58" s="5"/>
      <c r="PP58" s="5"/>
      <c r="PQ58" s="5"/>
      <c r="PR58" s="5"/>
      <c r="PS58" s="5"/>
      <c r="PT58" s="5"/>
      <c r="PU58" s="5"/>
      <c r="PV58" s="5"/>
      <c r="PW58" s="5"/>
      <c r="PX58" s="5"/>
      <c r="PY58" s="5"/>
      <c r="PZ58" s="5"/>
      <c r="QA58" s="5"/>
      <c r="QB58" s="5"/>
      <c r="QC58" s="5"/>
      <c r="QD58" s="5"/>
      <c r="QE58" s="5"/>
      <c r="QF58" s="5"/>
      <c r="QG58" s="5"/>
      <c r="QH58" s="5"/>
      <c r="QI58" s="5"/>
      <c r="QJ58" s="5"/>
      <c r="QK58" s="5"/>
      <c r="QL58" s="5"/>
      <c r="QM58" s="5"/>
      <c r="QN58" s="5"/>
      <c r="QO58" s="5"/>
      <c r="QP58" s="5"/>
      <c r="QQ58" s="5"/>
      <c r="QR58" s="5"/>
      <c r="QS58" s="5"/>
      <c r="QT58" s="5"/>
      <c r="QU58" s="5"/>
      <c r="QV58" s="5"/>
      <c r="QW58" s="5"/>
      <c r="QX58" s="5"/>
      <c r="QY58" s="5"/>
      <c r="QZ58" s="5"/>
      <c r="RA58" s="5"/>
      <c r="RB58" s="5"/>
      <c r="RC58" s="5"/>
      <c r="RD58" s="5"/>
      <c r="RE58" s="5"/>
      <c r="RF58" s="5"/>
      <c r="RG58" s="5"/>
      <c r="RH58" s="5"/>
      <c r="RI58" s="5"/>
      <c r="RJ58" s="5"/>
      <c r="RK58" s="5"/>
      <c r="RL58" s="5"/>
      <c r="RM58" s="5"/>
      <c r="RN58" s="5"/>
      <c r="RO58" s="5"/>
      <c r="RP58" s="5"/>
      <c r="RQ58" s="5"/>
      <c r="RR58" s="5"/>
      <c r="RS58" s="5"/>
      <c r="RT58" s="5"/>
      <c r="RU58" s="5"/>
      <c r="RV58" s="5"/>
      <c r="RW58" s="5"/>
      <c r="RX58" s="5"/>
      <c r="RY58" s="5"/>
      <c r="RZ58" s="5"/>
      <c r="SA58" s="5"/>
      <c r="SB58" s="5"/>
      <c r="SC58" s="5"/>
      <c r="SD58" s="5"/>
      <c r="SE58" s="5"/>
      <c r="SF58" s="5"/>
      <c r="SG58" s="5"/>
      <c r="SH58" s="5"/>
      <c r="SI58" s="5"/>
      <c r="SJ58" s="5"/>
      <c r="SK58" s="5"/>
      <c r="SL58" s="5"/>
      <c r="SM58" s="5"/>
      <c r="SN58" s="5"/>
      <c r="SO58" s="5"/>
      <c r="SP58" s="5"/>
      <c r="SQ58" s="5"/>
      <c r="SR58" s="5"/>
      <c r="SS58" s="5"/>
      <c r="ST58" s="5"/>
      <c r="SU58" s="5"/>
      <c r="SV58" s="5"/>
      <c r="SW58" s="5"/>
      <c r="SX58" s="5"/>
      <c r="SY58" s="5"/>
      <c r="SZ58" s="5"/>
      <c r="TA58" s="5"/>
      <c r="TB58" s="5"/>
      <c r="TC58" s="5"/>
      <c r="TD58" s="5"/>
      <c r="TE58" s="5"/>
      <c r="TF58" s="5"/>
      <c r="TG58" s="5"/>
      <c r="TH58" s="5"/>
      <c r="TI58" s="5"/>
      <c r="TJ58" s="5"/>
      <c r="TK58" s="5"/>
      <c r="TL58" s="5"/>
      <c r="TM58" s="5"/>
      <c r="TN58" s="5"/>
      <c r="TO58" s="5"/>
      <c r="TP58" s="5"/>
      <c r="TQ58" s="5"/>
      <c r="TR58" s="5"/>
      <c r="TS58" s="5"/>
      <c r="TT58" s="5"/>
      <c r="TU58" s="5"/>
      <c r="TV58" s="5"/>
      <c r="TW58" s="5"/>
      <c r="TX58" s="5"/>
      <c r="TY58" s="5"/>
      <c r="TZ58" s="5"/>
      <c r="UA58" s="5"/>
      <c r="UB58" s="5"/>
      <c r="UC58" s="5"/>
      <c r="UD58" s="5"/>
      <c r="UE58" s="5"/>
      <c r="UF58" s="5"/>
      <c r="UG58" s="5"/>
      <c r="UH58" s="5"/>
      <c r="UI58" s="5"/>
      <c r="UJ58" s="5"/>
      <c r="UK58" s="5"/>
      <c r="UL58" s="5"/>
      <c r="UM58" s="5"/>
      <c r="UN58" s="5"/>
      <c r="UO58" s="5"/>
      <c r="UP58" s="5"/>
      <c r="UQ58" s="5"/>
      <c r="UR58" s="5"/>
      <c r="US58" s="5"/>
      <c r="UT58" s="5"/>
      <c r="UU58" s="5"/>
      <c r="UV58" s="5"/>
      <c r="UW58" s="5"/>
      <c r="UX58" s="5"/>
      <c r="UY58" s="5"/>
      <c r="UZ58" s="5"/>
      <c r="VA58" s="5"/>
      <c r="VB58" s="5"/>
      <c r="VC58" s="5"/>
      <c r="VD58" s="5"/>
      <c r="VE58" s="5"/>
      <c r="VF58" s="5"/>
      <c r="VG58" s="5"/>
      <c r="VH58" s="5"/>
      <c r="VI58" s="5"/>
      <c r="VJ58" s="5"/>
      <c r="VK58" s="5"/>
      <c r="VL58" s="5"/>
      <c r="VM58" s="5"/>
      <c r="VN58" s="5"/>
      <c r="VO58" s="5"/>
      <c r="VP58" s="5"/>
      <c r="VQ58" s="5"/>
      <c r="VR58" s="5"/>
      <c r="VS58" s="5"/>
      <c r="VT58" s="5"/>
      <c r="VU58" s="5"/>
      <c r="VV58" s="5"/>
      <c r="VW58" s="5"/>
      <c r="VX58" s="5"/>
      <c r="VY58" s="5"/>
      <c r="VZ58" s="5"/>
      <c r="WA58" s="5"/>
      <c r="WB58" s="5"/>
      <c r="WC58" s="5"/>
      <c r="WD58" s="5"/>
      <c r="WE58" s="5"/>
      <c r="WF58" s="5"/>
      <c r="WG58" s="5"/>
      <c r="WH58" s="5"/>
      <c r="WI58" s="5"/>
      <c r="WJ58" s="5"/>
      <c r="WK58" s="5"/>
      <c r="WL58" s="5"/>
      <c r="WM58" s="5"/>
      <c r="WN58" s="5"/>
      <c r="WO58" s="5"/>
      <c r="WP58" s="5"/>
      <c r="WQ58" s="5"/>
      <c r="WR58" s="5"/>
      <c r="WS58" s="5"/>
      <c r="WT58" s="5"/>
      <c r="WU58" s="5"/>
      <c r="WV58" s="5"/>
      <c r="WW58" s="5"/>
      <c r="WX58" s="5"/>
      <c r="WY58" s="5"/>
      <c r="WZ58" s="5"/>
      <c r="XA58" s="5"/>
      <c r="XB58" s="5"/>
      <c r="XC58" s="5"/>
      <c r="XD58" s="5"/>
      <c r="XE58" s="5"/>
      <c r="XF58" s="5"/>
      <c r="XG58" s="5"/>
      <c r="XH58" s="5"/>
      <c r="XI58" s="5"/>
      <c r="XJ58" s="5"/>
      <c r="XK58" s="5"/>
      <c r="XL58" s="5"/>
      <c r="XM58" s="5"/>
      <c r="XN58" s="5"/>
      <c r="XO58" s="5"/>
      <c r="XP58" s="5"/>
      <c r="XQ58" s="5"/>
      <c r="XR58" s="5"/>
      <c r="XS58" s="5"/>
      <c r="XT58" s="5"/>
      <c r="XU58" s="5"/>
      <c r="XV58" s="5"/>
      <c r="XW58" s="5"/>
      <c r="XX58" s="5"/>
      <c r="XY58" s="5"/>
      <c r="XZ58" s="5"/>
      <c r="YA58" s="5"/>
      <c r="YB58" s="5"/>
      <c r="YC58" s="5"/>
      <c r="YD58" s="5"/>
      <c r="YE58" s="5"/>
      <c r="YF58" s="5"/>
      <c r="YG58" s="5"/>
      <c r="YH58" s="5"/>
      <c r="YI58" s="5"/>
      <c r="YJ58" s="5"/>
      <c r="YK58" s="5"/>
      <c r="YL58" s="5"/>
      <c r="YM58" s="5"/>
      <c r="YN58" s="5"/>
      <c r="YO58" s="5"/>
      <c r="YP58" s="5"/>
      <c r="YQ58" s="5"/>
      <c r="YR58" s="5"/>
      <c r="YS58" s="5"/>
      <c r="YT58" s="5"/>
      <c r="YU58" s="5"/>
      <c r="YV58" s="5"/>
      <c r="YW58" s="5"/>
      <c r="YX58" s="5"/>
      <c r="YY58" s="5"/>
      <c r="YZ58" s="5"/>
    </row>
    <row r="59" spans="1:676">
      <c r="A59" s="7">
        <v>49</v>
      </c>
      <c r="B59" s="7" t="s">
        <v>163</v>
      </c>
      <c r="C59" s="10" t="s">
        <v>164</v>
      </c>
      <c r="D59" s="7" t="s">
        <v>46</v>
      </c>
      <c r="E59" s="7" t="s">
        <v>47</v>
      </c>
      <c r="F59" s="7" t="s">
        <v>165</v>
      </c>
      <c r="G59" s="7"/>
      <c r="H59" s="7" t="s">
        <v>49</v>
      </c>
      <c r="I59" s="11">
        <v>2</v>
      </c>
      <c r="J59" s="11">
        <v>3</v>
      </c>
      <c r="K59" s="11">
        <v>0</v>
      </c>
      <c r="L59" s="11">
        <v>3.110000000000002</v>
      </c>
      <c r="M59" s="11">
        <v>0.64</v>
      </c>
      <c r="N59" s="11">
        <v>0</v>
      </c>
      <c r="O59" s="11">
        <v>0.1</v>
      </c>
      <c r="P59" s="11">
        <v>2.28</v>
      </c>
      <c r="Q59" s="11">
        <v>6.130000000000001</v>
      </c>
      <c r="R59" s="11">
        <v>15.36</v>
      </c>
      <c r="S59" s="11">
        <v>21.49</v>
      </c>
      <c r="T59" s="11">
        <v>2</v>
      </c>
      <c r="U59" s="11">
        <v>3</v>
      </c>
      <c r="V59" s="11">
        <v>16.49</v>
      </c>
      <c r="W59" s="13">
        <v>6</v>
      </c>
      <c r="X59" s="13">
        <v>9</v>
      </c>
      <c r="Y59" s="13" t="str">
        <f>MIN(W59,S59)</f>
        <v>0</v>
      </c>
      <c r="Z59" s="13" t="str">
        <f>MIN(X59,(S59-Y59))</f>
        <v>0</v>
      </c>
      <c r="AA59" s="13" t="str">
        <f>S59-SUM(Y59,Z59)</f>
        <v>0</v>
      </c>
      <c r="AB59" s="15"/>
      <c r="AC59" s="15"/>
      <c r="AD59" s="1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  <c r="DB59" s="5"/>
      <c r="DC59" s="5"/>
      <c r="DD59" s="5"/>
      <c r="DE59" s="5"/>
      <c r="DF59" s="5"/>
      <c r="DG59" s="5"/>
      <c r="DH59" s="5"/>
      <c r="DI59" s="5"/>
      <c r="DJ59" s="5"/>
      <c r="DK59" s="5"/>
      <c r="DL59" s="5"/>
      <c r="DM59" s="5"/>
      <c r="DN59" s="5"/>
      <c r="DO59" s="5"/>
      <c r="DP59" s="5"/>
      <c r="DQ59" s="5"/>
      <c r="DR59" s="5"/>
      <c r="DS59" s="5"/>
      <c r="DT59" s="5"/>
      <c r="DU59" s="5"/>
      <c r="DV59" s="5"/>
      <c r="DW59" s="5"/>
      <c r="DX59" s="5"/>
      <c r="DY59" s="5"/>
      <c r="DZ59" s="5"/>
      <c r="EA59" s="5"/>
      <c r="EB59" s="5"/>
      <c r="EC59" s="5"/>
      <c r="ED59" s="5"/>
      <c r="EE59" s="5"/>
      <c r="EF59" s="5"/>
      <c r="EG59" s="5"/>
      <c r="EH59" s="5"/>
      <c r="EI59" s="5"/>
      <c r="EJ59" s="5"/>
      <c r="EK59" s="5"/>
      <c r="EL59" s="5"/>
      <c r="EM59" s="5"/>
      <c r="EN59" s="5"/>
      <c r="EO59" s="5"/>
      <c r="EP59" s="5"/>
      <c r="EQ59" s="5"/>
      <c r="ER59" s="5"/>
      <c r="ES59" s="5"/>
      <c r="ET59" s="5"/>
      <c r="EU59" s="5"/>
      <c r="EV59" s="5"/>
      <c r="EW59" s="5"/>
      <c r="EX59" s="5"/>
      <c r="EY59" s="5"/>
      <c r="EZ59" s="5"/>
      <c r="FA59" s="5"/>
      <c r="FB59" s="5"/>
      <c r="FC59" s="5"/>
      <c r="FD59" s="5"/>
      <c r="FE59" s="5"/>
      <c r="FF59" s="5"/>
      <c r="FG59" s="5"/>
      <c r="FH59" s="5"/>
      <c r="FI59" s="5"/>
      <c r="FJ59" s="5"/>
      <c r="FK59" s="5"/>
      <c r="FL59" s="5"/>
      <c r="FM59" s="5"/>
      <c r="FN59" s="5"/>
      <c r="FO59" s="5"/>
      <c r="FP59" s="5"/>
      <c r="FQ59" s="5"/>
      <c r="FR59" s="5"/>
      <c r="FS59" s="5"/>
      <c r="FT59" s="5"/>
      <c r="FU59" s="5"/>
      <c r="FV59" s="5"/>
      <c r="FW59" s="5"/>
      <c r="FX59" s="5"/>
      <c r="FY59" s="5"/>
      <c r="FZ59" s="5"/>
      <c r="GA59" s="5"/>
      <c r="GB59" s="5"/>
      <c r="GC59" s="5"/>
      <c r="GD59" s="5"/>
      <c r="GE59" s="5"/>
      <c r="GF59" s="5"/>
      <c r="GG59" s="5"/>
      <c r="GH59" s="5"/>
      <c r="GI59" s="5"/>
      <c r="GJ59" s="5"/>
      <c r="GK59" s="5"/>
      <c r="GL59" s="5"/>
      <c r="GM59" s="5"/>
      <c r="GN59" s="5"/>
      <c r="GO59" s="5"/>
      <c r="GP59" s="5"/>
      <c r="GQ59" s="5"/>
      <c r="GR59" s="5"/>
      <c r="GS59" s="5"/>
      <c r="GT59" s="5"/>
      <c r="GU59" s="5"/>
      <c r="GV59" s="5"/>
      <c r="GW59" s="5"/>
      <c r="GX59" s="5"/>
      <c r="GY59" s="5"/>
      <c r="GZ59" s="5"/>
      <c r="HA59" s="5"/>
      <c r="HB59" s="5"/>
      <c r="HC59" s="5"/>
      <c r="HD59" s="5"/>
      <c r="HE59" s="5"/>
      <c r="HF59" s="5"/>
      <c r="HG59" s="5"/>
      <c r="HH59" s="5"/>
      <c r="HI59" s="5"/>
      <c r="HJ59" s="5"/>
      <c r="HK59" s="5"/>
      <c r="HL59" s="5"/>
      <c r="HM59" s="5"/>
      <c r="HN59" s="5"/>
      <c r="HO59" s="5"/>
      <c r="HP59" s="5"/>
      <c r="HQ59" s="5"/>
      <c r="HR59" s="5"/>
      <c r="HS59" s="5"/>
      <c r="HT59" s="5"/>
      <c r="HU59" s="5"/>
      <c r="HV59" s="5"/>
      <c r="HW59" s="5"/>
      <c r="HX59" s="5"/>
      <c r="HY59" s="5"/>
      <c r="HZ59" s="5"/>
      <c r="IA59" s="5"/>
      <c r="IB59" s="5"/>
      <c r="IC59" s="5"/>
      <c r="ID59" s="5"/>
      <c r="IE59" s="5"/>
      <c r="IF59" s="5"/>
      <c r="IG59" s="5"/>
      <c r="IH59" s="5"/>
      <c r="II59" s="5"/>
      <c r="IJ59" s="5"/>
      <c r="IK59" s="5"/>
      <c r="IL59" s="5"/>
      <c r="IM59" s="5"/>
      <c r="IN59" s="5"/>
      <c r="IO59" s="5"/>
      <c r="IP59" s="5"/>
      <c r="IQ59" s="5"/>
      <c r="IR59" s="5"/>
      <c r="IS59" s="5"/>
      <c r="IT59" s="5"/>
      <c r="IU59" s="5"/>
      <c r="IV59" s="5"/>
      <c r="IW59" s="5"/>
      <c r="IX59" s="5"/>
      <c r="IY59" s="5"/>
      <c r="IZ59" s="5"/>
      <c r="JA59" s="5"/>
      <c r="JB59" s="5"/>
      <c r="JC59" s="5"/>
      <c r="JD59" s="5"/>
      <c r="JE59" s="5"/>
      <c r="JF59" s="5"/>
      <c r="JG59" s="5"/>
      <c r="JH59" s="5"/>
      <c r="JI59" s="5"/>
      <c r="JJ59" s="5"/>
      <c r="JK59" s="5"/>
      <c r="JL59" s="5"/>
      <c r="JM59" s="5"/>
      <c r="JN59" s="5"/>
      <c r="JO59" s="5"/>
      <c r="JP59" s="5"/>
      <c r="JQ59" s="5"/>
      <c r="JR59" s="5"/>
      <c r="JS59" s="5"/>
      <c r="JT59" s="5"/>
      <c r="JU59" s="5"/>
      <c r="JV59" s="5"/>
      <c r="JW59" s="5"/>
      <c r="JX59" s="5"/>
      <c r="JY59" s="5"/>
      <c r="JZ59" s="5"/>
      <c r="KA59" s="5"/>
      <c r="KB59" s="5"/>
      <c r="KC59" s="5"/>
      <c r="KD59" s="5"/>
      <c r="KE59" s="5"/>
      <c r="KF59" s="5"/>
      <c r="KG59" s="5"/>
      <c r="KH59" s="5"/>
      <c r="KI59" s="5"/>
      <c r="KJ59" s="5"/>
      <c r="KK59" s="5"/>
      <c r="KL59" s="5"/>
      <c r="KM59" s="5"/>
      <c r="KN59" s="5"/>
      <c r="KO59" s="5"/>
      <c r="KP59" s="5"/>
      <c r="KQ59" s="5"/>
      <c r="KR59" s="5"/>
      <c r="KS59" s="5"/>
      <c r="KT59" s="5"/>
      <c r="KU59" s="5"/>
      <c r="KV59" s="5"/>
      <c r="KW59" s="5"/>
      <c r="KX59" s="5"/>
      <c r="KY59" s="5"/>
      <c r="KZ59" s="5"/>
      <c r="LA59" s="5"/>
      <c r="LB59" s="5"/>
      <c r="LC59" s="5"/>
      <c r="LD59" s="5"/>
      <c r="LE59" s="5"/>
      <c r="LF59" s="5"/>
      <c r="LG59" s="5"/>
      <c r="LH59" s="5"/>
      <c r="LI59" s="5"/>
      <c r="LJ59" s="5"/>
      <c r="LK59" s="5"/>
      <c r="LL59" s="5"/>
      <c r="LM59" s="5"/>
      <c r="LN59" s="5"/>
      <c r="LO59" s="5"/>
      <c r="LP59" s="5"/>
      <c r="LQ59" s="5"/>
      <c r="LR59" s="5"/>
      <c r="LS59" s="5"/>
      <c r="LT59" s="5"/>
      <c r="LU59" s="5"/>
      <c r="LV59" s="5"/>
      <c r="LW59" s="5"/>
      <c r="LX59" s="5"/>
      <c r="LY59" s="5"/>
      <c r="LZ59" s="5"/>
      <c r="MA59" s="5"/>
      <c r="MB59" s="5"/>
      <c r="MC59" s="5"/>
      <c r="MD59" s="5"/>
      <c r="ME59" s="5"/>
      <c r="MF59" s="5"/>
      <c r="MG59" s="5"/>
      <c r="MH59" s="5"/>
      <c r="MI59" s="5"/>
      <c r="MJ59" s="5"/>
      <c r="MK59" s="5"/>
      <c r="ML59" s="5"/>
      <c r="MM59" s="5"/>
      <c r="MN59" s="5"/>
      <c r="MO59" s="5"/>
      <c r="MP59" s="5"/>
      <c r="MQ59" s="5"/>
      <c r="MR59" s="5"/>
      <c r="MS59" s="5"/>
      <c r="MT59" s="5"/>
      <c r="MU59" s="5"/>
      <c r="MV59" s="5"/>
      <c r="MW59" s="5"/>
      <c r="MX59" s="5"/>
      <c r="MY59" s="5"/>
      <c r="MZ59" s="5"/>
      <c r="NA59" s="5"/>
      <c r="NB59" s="5"/>
      <c r="NC59" s="5"/>
      <c r="ND59" s="5"/>
      <c r="NE59" s="5"/>
      <c r="NF59" s="5"/>
      <c r="NG59" s="5"/>
      <c r="NH59" s="5"/>
      <c r="NI59" s="5"/>
      <c r="NJ59" s="5"/>
      <c r="NK59" s="5"/>
      <c r="NL59" s="5"/>
      <c r="NM59" s="5"/>
      <c r="NN59" s="5"/>
      <c r="NO59" s="5"/>
      <c r="NP59" s="5"/>
      <c r="NQ59" s="5"/>
      <c r="NR59" s="5"/>
      <c r="NS59" s="5"/>
      <c r="NT59" s="5"/>
      <c r="NU59" s="5"/>
      <c r="NV59" s="5"/>
      <c r="NW59" s="5"/>
      <c r="NX59" s="5"/>
      <c r="NY59" s="5"/>
      <c r="NZ59" s="5"/>
      <c r="OA59" s="5"/>
      <c r="OB59" s="5"/>
      <c r="OC59" s="5"/>
      <c r="OD59" s="5"/>
      <c r="OE59" s="5"/>
      <c r="OF59" s="5"/>
      <c r="OG59" s="5"/>
      <c r="OH59" s="5"/>
      <c r="OI59" s="5"/>
      <c r="OJ59" s="5"/>
      <c r="OK59" s="5"/>
      <c r="OL59" s="5"/>
      <c r="OM59" s="5"/>
      <c r="ON59" s="5"/>
      <c r="OO59" s="5"/>
      <c r="OP59" s="5"/>
      <c r="OQ59" s="5"/>
      <c r="OR59" s="5"/>
      <c r="OS59" s="5"/>
      <c r="OT59" s="5"/>
      <c r="OU59" s="5"/>
      <c r="OV59" s="5"/>
      <c r="OW59" s="5"/>
      <c r="OX59" s="5"/>
      <c r="OY59" s="5"/>
      <c r="OZ59" s="5"/>
      <c r="PA59" s="5"/>
      <c r="PB59" s="5"/>
      <c r="PC59" s="5"/>
      <c r="PD59" s="5"/>
      <c r="PE59" s="5"/>
      <c r="PF59" s="5"/>
      <c r="PG59" s="5"/>
      <c r="PH59" s="5"/>
      <c r="PI59" s="5"/>
      <c r="PJ59" s="5"/>
      <c r="PK59" s="5"/>
      <c r="PL59" s="5"/>
      <c r="PM59" s="5"/>
      <c r="PN59" s="5"/>
      <c r="PO59" s="5"/>
      <c r="PP59" s="5"/>
      <c r="PQ59" s="5"/>
      <c r="PR59" s="5"/>
      <c r="PS59" s="5"/>
      <c r="PT59" s="5"/>
      <c r="PU59" s="5"/>
      <c r="PV59" s="5"/>
      <c r="PW59" s="5"/>
      <c r="PX59" s="5"/>
      <c r="PY59" s="5"/>
      <c r="PZ59" s="5"/>
      <c r="QA59" s="5"/>
      <c r="QB59" s="5"/>
      <c r="QC59" s="5"/>
      <c r="QD59" s="5"/>
      <c r="QE59" s="5"/>
      <c r="QF59" s="5"/>
      <c r="QG59" s="5"/>
      <c r="QH59" s="5"/>
      <c r="QI59" s="5"/>
      <c r="QJ59" s="5"/>
      <c r="QK59" s="5"/>
      <c r="QL59" s="5"/>
      <c r="QM59" s="5"/>
      <c r="QN59" s="5"/>
      <c r="QO59" s="5"/>
      <c r="QP59" s="5"/>
      <c r="QQ59" s="5"/>
      <c r="QR59" s="5"/>
      <c r="QS59" s="5"/>
      <c r="QT59" s="5"/>
      <c r="QU59" s="5"/>
      <c r="QV59" s="5"/>
      <c r="QW59" s="5"/>
      <c r="QX59" s="5"/>
      <c r="QY59" s="5"/>
      <c r="QZ59" s="5"/>
      <c r="RA59" s="5"/>
      <c r="RB59" s="5"/>
      <c r="RC59" s="5"/>
      <c r="RD59" s="5"/>
      <c r="RE59" s="5"/>
      <c r="RF59" s="5"/>
      <c r="RG59" s="5"/>
      <c r="RH59" s="5"/>
      <c r="RI59" s="5"/>
      <c r="RJ59" s="5"/>
      <c r="RK59" s="5"/>
      <c r="RL59" s="5"/>
      <c r="RM59" s="5"/>
      <c r="RN59" s="5"/>
      <c r="RO59" s="5"/>
      <c r="RP59" s="5"/>
      <c r="RQ59" s="5"/>
      <c r="RR59" s="5"/>
      <c r="RS59" s="5"/>
      <c r="RT59" s="5"/>
      <c r="RU59" s="5"/>
      <c r="RV59" s="5"/>
      <c r="RW59" s="5"/>
      <c r="RX59" s="5"/>
      <c r="RY59" s="5"/>
      <c r="RZ59" s="5"/>
      <c r="SA59" s="5"/>
      <c r="SB59" s="5"/>
      <c r="SC59" s="5"/>
      <c r="SD59" s="5"/>
      <c r="SE59" s="5"/>
      <c r="SF59" s="5"/>
      <c r="SG59" s="5"/>
      <c r="SH59" s="5"/>
      <c r="SI59" s="5"/>
      <c r="SJ59" s="5"/>
      <c r="SK59" s="5"/>
      <c r="SL59" s="5"/>
      <c r="SM59" s="5"/>
      <c r="SN59" s="5"/>
      <c r="SO59" s="5"/>
      <c r="SP59" s="5"/>
      <c r="SQ59" s="5"/>
      <c r="SR59" s="5"/>
      <c r="SS59" s="5"/>
      <c r="ST59" s="5"/>
      <c r="SU59" s="5"/>
      <c r="SV59" s="5"/>
      <c r="SW59" s="5"/>
      <c r="SX59" s="5"/>
      <c r="SY59" s="5"/>
      <c r="SZ59" s="5"/>
      <c r="TA59" s="5"/>
      <c r="TB59" s="5"/>
      <c r="TC59" s="5"/>
      <c r="TD59" s="5"/>
      <c r="TE59" s="5"/>
      <c r="TF59" s="5"/>
      <c r="TG59" s="5"/>
      <c r="TH59" s="5"/>
      <c r="TI59" s="5"/>
      <c r="TJ59" s="5"/>
      <c r="TK59" s="5"/>
      <c r="TL59" s="5"/>
      <c r="TM59" s="5"/>
      <c r="TN59" s="5"/>
      <c r="TO59" s="5"/>
      <c r="TP59" s="5"/>
      <c r="TQ59" s="5"/>
      <c r="TR59" s="5"/>
      <c r="TS59" s="5"/>
      <c r="TT59" s="5"/>
      <c r="TU59" s="5"/>
      <c r="TV59" s="5"/>
      <c r="TW59" s="5"/>
      <c r="TX59" s="5"/>
      <c r="TY59" s="5"/>
      <c r="TZ59" s="5"/>
      <c r="UA59" s="5"/>
      <c r="UB59" s="5"/>
      <c r="UC59" s="5"/>
      <c r="UD59" s="5"/>
      <c r="UE59" s="5"/>
      <c r="UF59" s="5"/>
      <c r="UG59" s="5"/>
      <c r="UH59" s="5"/>
      <c r="UI59" s="5"/>
      <c r="UJ59" s="5"/>
      <c r="UK59" s="5"/>
      <c r="UL59" s="5"/>
      <c r="UM59" s="5"/>
      <c r="UN59" s="5"/>
      <c r="UO59" s="5"/>
      <c r="UP59" s="5"/>
      <c r="UQ59" s="5"/>
      <c r="UR59" s="5"/>
      <c r="US59" s="5"/>
      <c r="UT59" s="5"/>
      <c r="UU59" s="5"/>
      <c r="UV59" s="5"/>
      <c r="UW59" s="5"/>
      <c r="UX59" s="5"/>
      <c r="UY59" s="5"/>
      <c r="UZ59" s="5"/>
      <c r="VA59" s="5"/>
      <c r="VB59" s="5"/>
      <c r="VC59" s="5"/>
      <c r="VD59" s="5"/>
      <c r="VE59" s="5"/>
      <c r="VF59" s="5"/>
      <c r="VG59" s="5"/>
      <c r="VH59" s="5"/>
      <c r="VI59" s="5"/>
      <c r="VJ59" s="5"/>
      <c r="VK59" s="5"/>
      <c r="VL59" s="5"/>
      <c r="VM59" s="5"/>
      <c r="VN59" s="5"/>
      <c r="VO59" s="5"/>
      <c r="VP59" s="5"/>
      <c r="VQ59" s="5"/>
      <c r="VR59" s="5"/>
      <c r="VS59" s="5"/>
      <c r="VT59" s="5"/>
      <c r="VU59" s="5"/>
      <c r="VV59" s="5"/>
      <c r="VW59" s="5"/>
      <c r="VX59" s="5"/>
      <c r="VY59" s="5"/>
      <c r="VZ59" s="5"/>
      <c r="WA59" s="5"/>
      <c r="WB59" s="5"/>
      <c r="WC59" s="5"/>
      <c r="WD59" s="5"/>
      <c r="WE59" s="5"/>
      <c r="WF59" s="5"/>
      <c r="WG59" s="5"/>
      <c r="WH59" s="5"/>
      <c r="WI59" s="5"/>
      <c r="WJ59" s="5"/>
      <c r="WK59" s="5"/>
      <c r="WL59" s="5"/>
      <c r="WM59" s="5"/>
      <c r="WN59" s="5"/>
      <c r="WO59" s="5"/>
      <c r="WP59" s="5"/>
      <c r="WQ59" s="5"/>
      <c r="WR59" s="5"/>
      <c r="WS59" s="5"/>
      <c r="WT59" s="5"/>
      <c r="WU59" s="5"/>
      <c r="WV59" s="5"/>
      <c r="WW59" s="5"/>
      <c r="WX59" s="5"/>
      <c r="WY59" s="5"/>
      <c r="WZ59" s="5"/>
      <c r="XA59" s="5"/>
      <c r="XB59" s="5"/>
      <c r="XC59" s="5"/>
      <c r="XD59" s="5"/>
      <c r="XE59" s="5"/>
      <c r="XF59" s="5"/>
      <c r="XG59" s="5"/>
      <c r="XH59" s="5"/>
      <c r="XI59" s="5"/>
      <c r="XJ59" s="5"/>
      <c r="XK59" s="5"/>
      <c r="XL59" s="5"/>
      <c r="XM59" s="5"/>
      <c r="XN59" s="5"/>
      <c r="XO59" s="5"/>
      <c r="XP59" s="5"/>
      <c r="XQ59" s="5"/>
      <c r="XR59" s="5"/>
      <c r="XS59" s="5"/>
      <c r="XT59" s="5"/>
      <c r="XU59" s="5"/>
      <c r="XV59" s="5"/>
      <c r="XW59" s="5"/>
      <c r="XX59" s="5"/>
      <c r="XY59" s="5"/>
      <c r="XZ59" s="5"/>
      <c r="YA59" s="5"/>
      <c r="YB59" s="5"/>
      <c r="YC59" s="5"/>
      <c r="YD59" s="5"/>
      <c r="YE59" s="5"/>
      <c r="YF59" s="5"/>
      <c r="YG59" s="5"/>
      <c r="YH59" s="5"/>
      <c r="YI59" s="5"/>
      <c r="YJ59" s="5"/>
      <c r="YK59" s="5"/>
      <c r="YL59" s="5"/>
      <c r="YM59" s="5"/>
      <c r="YN59" s="5"/>
      <c r="YO59" s="5"/>
      <c r="YP59" s="5"/>
      <c r="YQ59" s="5"/>
      <c r="YR59" s="5"/>
      <c r="YS59" s="5"/>
      <c r="YT59" s="5"/>
      <c r="YU59" s="5"/>
      <c r="YV59" s="5"/>
      <c r="YW59" s="5"/>
      <c r="YX59" s="5"/>
      <c r="YY59" s="5"/>
      <c r="YZ59" s="5"/>
    </row>
    <row r="60" spans="1:676">
      <c r="A60" s="7">
        <v>50</v>
      </c>
      <c r="B60" s="7" t="s">
        <v>166</v>
      </c>
      <c r="C60" s="10" t="s">
        <v>167</v>
      </c>
      <c r="D60" s="7" t="s">
        <v>46</v>
      </c>
      <c r="E60" s="7" t="s">
        <v>78</v>
      </c>
      <c r="F60" s="7" t="s">
        <v>162</v>
      </c>
      <c r="G60" s="7"/>
      <c r="H60" s="7" t="s">
        <v>79</v>
      </c>
      <c r="I60" s="11">
        <v>2</v>
      </c>
      <c r="J60" s="11">
        <v>3</v>
      </c>
      <c r="K60" s="11">
        <v>0</v>
      </c>
      <c r="L60" s="11">
        <v>3.540000000000001</v>
      </c>
      <c r="M60" s="11">
        <v>0.16</v>
      </c>
      <c r="N60" s="11">
        <v>0</v>
      </c>
      <c r="O60" s="11">
        <v>0.18</v>
      </c>
      <c r="P60" s="11">
        <v>2.28</v>
      </c>
      <c r="Q60" s="11">
        <v>6.160000000000002</v>
      </c>
      <c r="R60" s="11">
        <v>8.700000000000003</v>
      </c>
      <c r="S60" s="11">
        <v>14.86</v>
      </c>
      <c r="T60" s="11">
        <v>2</v>
      </c>
      <c r="U60" s="11">
        <v>3</v>
      </c>
      <c r="V60" s="11">
        <v>9.860000000000005</v>
      </c>
      <c r="W60" s="13">
        <v>6</v>
      </c>
      <c r="X60" s="13">
        <v>9</v>
      </c>
      <c r="Y60" s="13" t="str">
        <f>MIN(W60,S60)</f>
        <v>0</v>
      </c>
      <c r="Z60" s="13" t="str">
        <f>MIN(X60,(S60-Y60))</f>
        <v>0</v>
      </c>
      <c r="AA60" s="13" t="str">
        <f>S60-SUM(Y60,Z60)</f>
        <v>0</v>
      </c>
      <c r="AB60" s="15"/>
      <c r="AC60" s="15"/>
      <c r="AD60" s="1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  <c r="CZ60" s="5"/>
      <c r="DA60" s="5"/>
      <c r="DB60" s="5"/>
      <c r="DC60" s="5"/>
      <c r="DD60" s="5"/>
      <c r="DE60" s="5"/>
      <c r="DF60" s="5"/>
      <c r="DG60" s="5"/>
      <c r="DH60" s="5"/>
      <c r="DI60" s="5"/>
      <c r="DJ60" s="5"/>
      <c r="DK60" s="5"/>
      <c r="DL60" s="5"/>
      <c r="DM60" s="5"/>
      <c r="DN60" s="5"/>
      <c r="DO60" s="5"/>
      <c r="DP60" s="5"/>
      <c r="DQ60" s="5"/>
      <c r="DR60" s="5"/>
      <c r="DS60" s="5"/>
      <c r="DT60" s="5"/>
      <c r="DU60" s="5"/>
      <c r="DV60" s="5"/>
      <c r="DW60" s="5"/>
      <c r="DX60" s="5"/>
      <c r="DY60" s="5"/>
      <c r="DZ60" s="5"/>
      <c r="EA60" s="5"/>
      <c r="EB60" s="5"/>
      <c r="EC60" s="5"/>
      <c r="ED60" s="5"/>
      <c r="EE60" s="5"/>
      <c r="EF60" s="5"/>
      <c r="EG60" s="5"/>
      <c r="EH60" s="5"/>
      <c r="EI60" s="5"/>
      <c r="EJ60" s="5"/>
      <c r="EK60" s="5"/>
      <c r="EL60" s="5"/>
      <c r="EM60" s="5"/>
      <c r="EN60" s="5"/>
      <c r="EO60" s="5"/>
      <c r="EP60" s="5"/>
      <c r="EQ60" s="5"/>
      <c r="ER60" s="5"/>
      <c r="ES60" s="5"/>
      <c r="ET60" s="5"/>
      <c r="EU60" s="5"/>
      <c r="EV60" s="5"/>
      <c r="EW60" s="5"/>
      <c r="EX60" s="5"/>
      <c r="EY60" s="5"/>
      <c r="EZ60" s="5"/>
      <c r="FA60" s="5"/>
      <c r="FB60" s="5"/>
      <c r="FC60" s="5"/>
      <c r="FD60" s="5"/>
      <c r="FE60" s="5"/>
      <c r="FF60" s="5"/>
      <c r="FG60" s="5"/>
      <c r="FH60" s="5"/>
      <c r="FI60" s="5"/>
      <c r="FJ60" s="5"/>
      <c r="FK60" s="5"/>
      <c r="FL60" s="5"/>
      <c r="FM60" s="5"/>
      <c r="FN60" s="5"/>
      <c r="FO60" s="5"/>
      <c r="FP60" s="5"/>
      <c r="FQ60" s="5"/>
      <c r="FR60" s="5"/>
      <c r="FS60" s="5"/>
      <c r="FT60" s="5"/>
      <c r="FU60" s="5"/>
      <c r="FV60" s="5"/>
      <c r="FW60" s="5"/>
      <c r="FX60" s="5"/>
      <c r="FY60" s="5"/>
      <c r="FZ60" s="5"/>
      <c r="GA60" s="5"/>
      <c r="GB60" s="5"/>
      <c r="GC60" s="5"/>
      <c r="GD60" s="5"/>
      <c r="GE60" s="5"/>
      <c r="GF60" s="5"/>
      <c r="GG60" s="5"/>
      <c r="GH60" s="5"/>
      <c r="GI60" s="5"/>
      <c r="GJ60" s="5"/>
      <c r="GK60" s="5"/>
      <c r="GL60" s="5"/>
      <c r="GM60" s="5"/>
      <c r="GN60" s="5"/>
      <c r="GO60" s="5"/>
      <c r="GP60" s="5"/>
      <c r="GQ60" s="5"/>
      <c r="GR60" s="5"/>
      <c r="GS60" s="5"/>
      <c r="GT60" s="5"/>
      <c r="GU60" s="5"/>
      <c r="GV60" s="5"/>
      <c r="GW60" s="5"/>
      <c r="GX60" s="5"/>
      <c r="GY60" s="5"/>
      <c r="GZ60" s="5"/>
      <c r="HA60" s="5"/>
      <c r="HB60" s="5"/>
      <c r="HC60" s="5"/>
      <c r="HD60" s="5"/>
      <c r="HE60" s="5"/>
      <c r="HF60" s="5"/>
      <c r="HG60" s="5"/>
      <c r="HH60" s="5"/>
      <c r="HI60" s="5"/>
      <c r="HJ60" s="5"/>
      <c r="HK60" s="5"/>
      <c r="HL60" s="5"/>
      <c r="HM60" s="5"/>
      <c r="HN60" s="5"/>
      <c r="HO60" s="5"/>
      <c r="HP60" s="5"/>
      <c r="HQ60" s="5"/>
      <c r="HR60" s="5"/>
      <c r="HS60" s="5"/>
      <c r="HT60" s="5"/>
      <c r="HU60" s="5"/>
      <c r="HV60" s="5"/>
      <c r="HW60" s="5"/>
      <c r="HX60" s="5"/>
      <c r="HY60" s="5"/>
      <c r="HZ60" s="5"/>
      <c r="IA60" s="5"/>
      <c r="IB60" s="5"/>
      <c r="IC60" s="5"/>
      <c r="ID60" s="5"/>
      <c r="IE60" s="5"/>
      <c r="IF60" s="5"/>
      <c r="IG60" s="5"/>
      <c r="IH60" s="5"/>
      <c r="II60" s="5"/>
      <c r="IJ60" s="5"/>
      <c r="IK60" s="5"/>
      <c r="IL60" s="5"/>
      <c r="IM60" s="5"/>
      <c r="IN60" s="5"/>
      <c r="IO60" s="5"/>
      <c r="IP60" s="5"/>
      <c r="IQ60" s="5"/>
      <c r="IR60" s="5"/>
      <c r="IS60" s="5"/>
      <c r="IT60" s="5"/>
      <c r="IU60" s="5"/>
      <c r="IV60" s="5"/>
      <c r="IW60" s="5"/>
      <c r="IX60" s="5"/>
      <c r="IY60" s="5"/>
      <c r="IZ60" s="5"/>
      <c r="JA60" s="5"/>
      <c r="JB60" s="5"/>
      <c r="JC60" s="5"/>
      <c r="JD60" s="5"/>
      <c r="JE60" s="5"/>
      <c r="JF60" s="5"/>
      <c r="JG60" s="5"/>
      <c r="JH60" s="5"/>
      <c r="JI60" s="5"/>
      <c r="JJ60" s="5"/>
      <c r="JK60" s="5"/>
      <c r="JL60" s="5"/>
      <c r="JM60" s="5"/>
      <c r="JN60" s="5"/>
      <c r="JO60" s="5"/>
      <c r="JP60" s="5"/>
      <c r="JQ60" s="5"/>
      <c r="JR60" s="5"/>
      <c r="JS60" s="5"/>
      <c r="JT60" s="5"/>
      <c r="JU60" s="5"/>
      <c r="JV60" s="5"/>
      <c r="JW60" s="5"/>
      <c r="JX60" s="5"/>
      <c r="JY60" s="5"/>
      <c r="JZ60" s="5"/>
      <c r="KA60" s="5"/>
      <c r="KB60" s="5"/>
      <c r="KC60" s="5"/>
      <c r="KD60" s="5"/>
      <c r="KE60" s="5"/>
      <c r="KF60" s="5"/>
      <c r="KG60" s="5"/>
      <c r="KH60" s="5"/>
      <c r="KI60" s="5"/>
      <c r="KJ60" s="5"/>
      <c r="KK60" s="5"/>
      <c r="KL60" s="5"/>
      <c r="KM60" s="5"/>
      <c r="KN60" s="5"/>
      <c r="KO60" s="5"/>
      <c r="KP60" s="5"/>
      <c r="KQ60" s="5"/>
      <c r="KR60" s="5"/>
      <c r="KS60" s="5"/>
      <c r="KT60" s="5"/>
      <c r="KU60" s="5"/>
      <c r="KV60" s="5"/>
      <c r="KW60" s="5"/>
      <c r="KX60" s="5"/>
      <c r="KY60" s="5"/>
      <c r="KZ60" s="5"/>
      <c r="LA60" s="5"/>
      <c r="LB60" s="5"/>
      <c r="LC60" s="5"/>
      <c r="LD60" s="5"/>
      <c r="LE60" s="5"/>
      <c r="LF60" s="5"/>
      <c r="LG60" s="5"/>
      <c r="LH60" s="5"/>
      <c r="LI60" s="5"/>
      <c r="LJ60" s="5"/>
      <c r="LK60" s="5"/>
      <c r="LL60" s="5"/>
      <c r="LM60" s="5"/>
      <c r="LN60" s="5"/>
      <c r="LO60" s="5"/>
      <c r="LP60" s="5"/>
      <c r="LQ60" s="5"/>
      <c r="LR60" s="5"/>
      <c r="LS60" s="5"/>
      <c r="LT60" s="5"/>
      <c r="LU60" s="5"/>
      <c r="LV60" s="5"/>
      <c r="LW60" s="5"/>
      <c r="LX60" s="5"/>
      <c r="LY60" s="5"/>
      <c r="LZ60" s="5"/>
      <c r="MA60" s="5"/>
      <c r="MB60" s="5"/>
      <c r="MC60" s="5"/>
      <c r="MD60" s="5"/>
      <c r="ME60" s="5"/>
      <c r="MF60" s="5"/>
      <c r="MG60" s="5"/>
      <c r="MH60" s="5"/>
      <c r="MI60" s="5"/>
      <c r="MJ60" s="5"/>
      <c r="MK60" s="5"/>
      <c r="ML60" s="5"/>
      <c r="MM60" s="5"/>
      <c r="MN60" s="5"/>
      <c r="MO60" s="5"/>
      <c r="MP60" s="5"/>
      <c r="MQ60" s="5"/>
      <c r="MR60" s="5"/>
      <c r="MS60" s="5"/>
      <c r="MT60" s="5"/>
      <c r="MU60" s="5"/>
      <c r="MV60" s="5"/>
      <c r="MW60" s="5"/>
      <c r="MX60" s="5"/>
      <c r="MY60" s="5"/>
      <c r="MZ60" s="5"/>
      <c r="NA60" s="5"/>
      <c r="NB60" s="5"/>
      <c r="NC60" s="5"/>
      <c r="ND60" s="5"/>
      <c r="NE60" s="5"/>
      <c r="NF60" s="5"/>
      <c r="NG60" s="5"/>
      <c r="NH60" s="5"/>
      <c r="NI60" s="5"/>
      <c r="NJ60" s="5"/>
      <c r="NK60" s="5"/>
      <c r="NL60" s="5"/>
      <c r="NM60" s="5"/>
      <c r="NN60" s="5"/>
      <c r="NO60" s="5"/>
      <c r="NP60" s="5"/>
      <c r="NQ60" s="5"/>
      <c r="NR60" s="5"/>
      <c r="NS60" s="5"/>
      <c r="NT60" s="5"/>
      <c r="NU60" s="5"/>
      <c r="NV60" s="5"/>
      <c r="NW60" s="5"/>
      <c r="NX60" s="5"/>
      <c r="NY60" s="5"/>
      <c r="NZ60" s="5"/>
      <c r="OA60" s="5"/>
      <c r="OB60" s="5"/>
      <c r="OC60" s="5"/>
      <c r="OD60" s="5"/>
      <c r="OE60" s="5"/>
      <c r="OF60" s="5"/>
      <c r="OG60" s="5"/>
      <c r="OH60" s="5"/>
      <c r="OI60" s="5"/>
      <c r="OJ60" s="5"/>
      <c r="OK60" s="5"/>
      <c r="OL60" s="5"/>
      <c r="OM60" s="5"/>
      <c r="ON60" s="5"/>
      <c r="OO60" s="5"/>
      <c r="OP60" s="5"/>
      <c r="OQ60" s="5"/>
      <c r="OR60" s="5"/>
      <c r="OS60" s="5"/>
      <c r="OT60" s="5"/>
      <c r="OU60" s="5"/>
      <c r="OV60" s="5"/>
      <c r="OW60" s="5"/>
      <c r="OX60" s="5"/>
      <c r="OY60" s="5"/>
      <c r="OZ60" s="5"/>
      <c r="PA60" s="5"/>
      <c r="PB60" s="5"/>
      <c r="PC60" s="5"/>
      <c r="PD60" s="5"/>
      <c r="PE60" s="5"/>
      <c r="PF60" s="5"/>
      <c r="PG60" s="5"/>
      <c r="PH60" s="5"/>
      <c r="PI60" s="5"/>
      <c r="PJ60" s="5"/>
      <c r="PK60" s="5"/>
      <c r="PL60" s="5"/>
      <c r="PM60" s="5"/>
      <c r="PN60" s="5"/>
      <c r="PO60" s="5"/>
      <c r="PP60" s="5"/>
      <c r="PQ60" s="5"/>
      <c r="PR60" s="5"/>
      <c r="PS60" s="5"/>
      <c r="PT60" s="5"/>
      <c r="PU60" s="5"/>
      <c r="PV60" s="5"/>
      <c r="PW60" s="5"/>
      <c r="PX60" s="5"/>
      <c r="PY60" s="5"/>
      <c r="PZ60" s="5"/>
      <c r="QA60" s="5"/>
      <c r="QB60" s="5"/>
      <c r="QC60" s="5"/>
      <c r="QD60" s="5"/>
      <c r="QE60" s="5"/>
      <c r="QF60" s="5"/>
      <c r="QG60" s="5"/>
      <c r="QH60" s="5"/>
      <c r="QI60" s="5"/>
      <c r="QJ60" s="5"/>
      <c r="QK60" s="5"/>
      <c r="QL60" s="5"/>
      <c r="QM60" s="5"/>
      <c r="QN60" s="5"/>
      <c r="QO60" s="5"/>
      <c r="QP60" s="5"/>
      <c r="QQ60" s="5"/>
      <c r="QR60" s="5"/>
      <c r="QS60" s="5"/>
      <c r="QT60" s="5"/>
      <c r="QU60" s="5"/>
      <c r="QV60" s="5"/>
      <c r="QW60" s="5"/>
      <c r="QX60" s="5"/>
      <c r="QY60" s="5"/>
      <c r="QZ60" s="5"/>
      <c r="RA60" s="5"/>
      <c r="RB60" s="5"/>
      <c r="RC60" s="5"/>
      <c r="RD60" s="5"/>
      <c r="RE60" s="5"/>
      <c r="RF60" s="5"/>
      <c r="RG60" s="5"/>
      <c r="RH60" s="5"/>
      <c r="RI60" s="5"/>
      <c r="RJ60" s="5"/>
      <c r="RK60" s="5"/>
      <c r="RL60" s="5"/>
      <c r="RM60" s="5"/>
      <c r="RN60" s="5"/>
      <c r="RO60" s="5"/>
      <c r="RP60" s="5"/>
      <c r="RQ60" s="5"/>
      <c r="RR60" s="5"/>
      <c r="RS60" s="5"/>
      <c r="RT60" s="5"/>
      <c r="RU60" s="5"/>
      <c r="RV60" s="5"/>
      <c r="RW60" s="5"/>
      <c r="RX60" s="5"/>
      <c r="RY60" s="5"/>
      <c r="RZ60" s="5"/>
      <c r="SA60" s="5"/>
      <c r="SB60" s="5"/>
      <c r="SC60" s="5"/>
      <c r="SD60" s="5"/>
      <c r="SE60" s="5"/>
      <c r="SF60" s="5"/>
      <c r="SG60" s="5"/>
      <c r="SH60" s="5"/>
      <c r="SI60" s="5"/>
      <c r="SJ60" s="5"/>
      <c r="SK60" s="5"/>
      <c r="SL60" s="5"/>
      <c r="SM60" s="5"/>
      <c r="SN60" s="5"/>
      <c r="SO60" s="5"/>
      <c r="SP60" s="5"/>
      <c r="SQ60" s="5"/>
      <c r="SR60" s="5"/>
      <c r="SS60" s="5"/>
      <c r="ST60" s="5"/>
      <c r="SU60" s="5"/>
      <c r="SV60" s="5"/>
      <c r="SW60" s="5"/>
      <c r="SX60" s="5"/>
      <c r="SY60" s="5"/>
      <c r="SZ60" s="5"/>
      <c r="TA60" s="5"/>
      <c r="TB60" s="5"/>
      <c r="TC60" s="5"/>
      <c r="TD60" s="5"/>
      <c r="TE60" s="5"/>
      <c r="TF60" s="5"/>
      <c r="TG60" s="5"/>
      <c r="TH60" s="5"/>
      <c r="TI60" s="5"/>
      <c r="TJ60" s="5"/>
      <c r="TK60" s="5"/>
      <c r="TL60" s="5"/>
      <c r="TM60" s="5"/>
      <c r="TN60" s="5"/>
      <c r="TO60" s="5"/>
      <c r="TP60" s="5"/>
      <c r="TQ60" s="5"/>
      <c r="TR60" s="5"/>
      <c r="TS60" s="5"/>
      <c r="TT60" s="5"/>
      <c r="TU60" s="5"/>
      <c r="TV60" s="5"/>
      <c r="TW60" s="5"/>
      <c r="TX60" s="5"/>
      <c r="TY60" s="5"/>
      <c r="TZ60" s="5"/>
      <c r="UA60" s="5"/>
      <c r="UB60" s="5"/>
      <c r="UC60" s="5"/>
      <c r="UD60" s="5"/>
      <c r="UE60" s="5"/>
      <c r="UF60" s="5"/>
      <c r="UG60" s="5"/>
      <c r="UH60" s="5"/>
      <c r="UI60" s="5"/>
      <c r="UJ60" s="5"/>
      <c r="UK60" s="5"/>
      <c r="UL60" s="5"/>
      <c r="UM60" s="5"/>
      <c r="UN60" s="5"/>
      <c r="UO60" s="5"/>
      <c r="UP60" s="5"/>
      <c r="UQ60" s="5"/>
      <c r="UR60" s="5"/>
      <c r="US60" s="5"/>
      <c r="UT60" s="5"/>
      <c r="UU60" s="5"/>
      <c r="UV60" s="5"/>
      <c r="UW60" s="5"/>
      <c r="UX60" s="5"/>
      <c r="UY60" s="5"/>
      <c r="UZ60" s="5"/>
      <c r="VA60" s="5"/>
      <c r="VB60" s="5"/>
      <c r="VC60" s="5"/>
      <c r="VD60" s="5"/>
      <c r="VE60" s="5"/>
      <c r="VF60" s="5"/>
      <c r="VG60" s="5"/>
      <c r="VH60" s="5"/>
      <c r="VI60" s="5"/>
      <c r="VJ60" s="5"/>
      <c r="VK60" s="5"/>
      <c r="VL60" s="5"/>
      <c r="VM60" s="5"/>
      <c r="VN60" s="5"/>
      <c r="VO60" s="5"/>
      <c r="VP60" s="5"/>
      <c r="VQ60" s="5"/>
      <c r="VR60" s="5"/>
      <c r="VS60" s="5"/>
      <c r="VT60" s="5"/>
      <c r="VU60" s="5"/>
      <c r="VV60" s="5"/>
      <c r="VW60" s="5"/>
      <c r="VX60" s="5"/>
      <c r="VY60" s="5"/>
      <c r="VZ60" s="5"/>
      <c r="WA60" s="5"/>
      <c r="WB60" s="5"/>
      <c r="WC60" s="5"/>
      <c r="WD60" s="5"/>
      <c r="WE60" s="5"/>
      <c r="WF60" s="5"/>
      <c r="WG60" s="5"/>
      <c r="WH60" s="5"/>
      <c r="WI60" s="5"/>
      <c r="WJ60" s="5"/>
      <c r="WK60" s="5"/>
      <c r="WL60" s="5"/>
      <c r="WM60" s="5"/>
      <c r="WN60" s="5"/>
      <c r="WO60" s="5"/>
      <c r="WP60" s="5"/>
      <c r="WQ60" s="5"/>
      <c r="WR60" s="5"/>
      <c r="WS60" s="5"/>
      <c r="WT60" s="5"/>
      <c r="WU60" s="5"/>
      <c r="WV60" s="5"/>
      <c r="WW60" s="5"/>
      <c r="WX60" s="5"/>
      <c r="WY60" s="5"/>
      <c r="WZ60" s="5"/>
      <c r="XA60" s="5"/>
      <c r="XB60" s="5"/>
      <c r="XC60" s="5"/>
      <c r="XD60" s="5"/>
      <c r="XE60" s="5"/>
      <c r="XF60" s="5"/>
      <c r="XG60" s="5"/>
      <c r="XH60" s="5"/>
      <c r="XI60" s="5"/>
      <c r="XJ60" s="5"/>
      <c r="XK60" s="5"/>
      <c r="XL60" s="5"/>
      <c r="XM60" s="5"/>
      <c r="XN60" s="5"/>
      <c r="XO60" s="5"/>
      <c r="XP60" s="5"/>
      <c r="XQ60" s="5"/>
      <c r="XR60" s="5"/>
      <c r="XS60" s="5"/>
      <c r="XT60" s="5"/>
      <c r="XU60" s="5"/>
      <c r="XV60" s="5"/>
      <c r="XW60" s="5"/>
      <c r="XX60" s="5"/>
      <c r="XY60" s="5"/>
      <c r="XZ60" s="5"/>
      <c r="YA60" s="5"/>
      <c r="YB60" s="5"/>
      <c r="YC60" s="5"/>
      <c r="YD60" s="5"/>
      <c r="YE60" s="5"/>
      <c r="YF60" s="5"/>
      <c r="YG60" s="5"/>
      <c r="YH60" s="5"/>
      <c r="YI60" s="5"/>
      <c r="YJ60" s="5"/>
      <c r="YK60" s="5"/>
      <c r="YL60" s="5"/>
      <c r="YM60" s="5"/>
      <c r="YN60" s="5"/>
      <c r="YO60" s="5"/>
      <c r="YP60" s="5"/>
      <c r="YQ60" s="5"/>
      <c r="YR60" s="5"/>
      <c r="YS60" s="5"/>
      <c r="YT60" s="5"/>
      <c r="YU60" s="5"/>
      <c r="YV60" s="5"/>
      <c r="YW60" s="5"/>
      <c r="YX60" s="5"/>
      <c r="YY60" s="5"/>
      <c r="YZ60" s="5"/>
    </row>
    <row r="61" spans="1:676">
      <c r="A61" s="7">
        <v>51</v>
      </c>
      <c r="B61" s="7" t="s">
        <v>168</v>
      </c>
      <c r="C61" s="10" t="s">
        <v>169</v>
      </c>
      <c r="D61" s="7" t="s">
        <v>46</v>
      </c>
      <c r="E61" s="7" t="s">
        <v>78</v>
      </c>
      <c r="F61" s="7" t="s">
        <v>162</v>
      </c>
      <c r="G61" s="7"/>
      <c r="H61" s="7" t="s">
        <v>79</v>
      </c>
      <c r="I61" s="11">
        <v>2</v>
      </c>
      <c r="J61" s="11">
        <v>3</v>
      </c>
      <c r="K61" s="11">
        <v>0</v>
      </c>
      <c r="L61" s="11">
        <v>3.860000000000001</v>
      </c>
      <c r="M61" s="11">
        <v>1.32</v>
      </c>
      <c r="N61" s="11">
        <v>0</v>
      </c>
      <c r="O61" s="11">
        <v>0.2</v>
      </c>
      <c r="P61" s="11">
        <v>2.28</v>
      </c>
      <c r="Q61" s="11">
        <v>7.660000000000001</v>
      </c>
      <c r="R61" s="11">
        <v>10.7</v>
      </c>
      <c r="S61" s="11">
        <v>18.36</v>
      </c>
      <c r="T61" s="11">
        <v>2</v>
      </c>
      <c r="U61" s="11">
        <v>3</v>
      </c>
      <c r="V61" s="11">
        <v>13.36</v>
      </c>
      <c r="W61" s="13">
        <v>6</v>
      </c>
      <c r="X61" s="13">
        <v>9</v>
      </c>
      <c r="Y61" s="13" t="str">
        <f>MIN(W61,S61)</f>
        <v>0</v>
      </c>
      <c r="Z61" s="13" t="str">
        <f>MIN(X61,(S61-Y61))</f>
        <v>0</v>
      </c>
      <c r="AA61" s="13" t="str">
        <f>S61-SUM(Y61,Z61)</f>
        <v>0</v>
      </c>
      <c r="AB61" s="15"/>
      <c r="AC61" s="15"/>
      <c r="AD61" s="1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  <c r="CZ61" s="5"/>
      <c r="DA61" s="5"/>
      <c r="DB61" s="5"/>
      <c r="DC61" s="5"/>
      <c r="DD61" s="5"/>
      <c r="DE61" s="5"/>
      <c r="DF61" s="5"/>
      <c r="DG61" s="5"/>
      <c r="DH61" s="5"/>
      <c r="DI61" s="5"/>
      <c r="DJ61" s="5"/>
      <c r="DK61" s="5"/>
      <c r="DL61" s="5"/>
      <c r="DM61" s="5"/>
      <c r="DN61" s="5"/>
      <c r="DO61" s="5"/>
      <c r="DP61" s="5"/>
      <c r="DQ61" s="5"/>
      <c r="DR61" s="5"/>
      <c r="DS61" s="5"/>
      <c r="DT61" s="5"/>
      <c r="DU61" s="5"/>
      <c r="DV61" s="5"/>
      <c r="DW61" s="5"/>
      <c r="DX61" s="5"/>
      <c r="DY61" s="5"/>
      <c r="DZ61" s="5"/>
      <c r="EA61" s="5"/>
      <c r="EB61" s="5"/>
      <c r="EC61" s="5"/>
      <c r="ED61" s="5"/>
      <c r="EE61" s="5"/>
      <c r="EF61" s="5"/>
      <c r="EG61" s="5"/>
      <c r="EH61" s="5"/>
      <c r="EI61" s="5"/>
      <c r="EJ61" s="5"/>
      <c r="EK61" s="5"/>
      <c r="EL61" s="5"/>
      <c r="EM61" s="5"/>
      <c r="EN61" s="5"/>
      <c r="EO61" s="5"/>
      <c r="EP61" s="5"/>
      <c r="EQ61" s="5"/>
      <c r="ER61" s="5"/>
      <c r="ES61" s="5"/>
      <c r="ET61" s="5"/>
      <c r="EU61" s="5"/>
      <c r="EV61" s="5"/>
      <c r="EW61" s="5"/>
      <c r="EX61" s="5"/>
      <c r="EY61" s="5"/>
      <c r="EZ61" s="5"/>
      <c r="FA61" s="5"/>
      <c r="FB61" s="5"/>
      <c r="FC61" s="5"/>
      <c r="FD61" s="5"/>
      <c r="FE61" s="5"/>
      <c r="FF61" s="5"/>
      <c r="FG61" s="5"/>
      <c r="FH61" s="5"/>
      <c r="FI61" s="5"/>
      <c r="FJ61" s="5"/>
      <c r="FK61" s="5"/>
      <c r="FL61" s="5"/>
      <c r="FM61" s="5"/>
      <c r="FN61" s="5"/>
      <c r="FO61" s="5"/>
      <c r="FP61" s="5"/>
      <c r="FQ61" s="5"/>
      <c r="FR61" s="5"/>
      <c r="FS61" s="5"/>
      <c r="FT61" s="5"/>
      <c r="FU61" s="5"/>
      <c r="FV61" s="5"/>
      <c r="FW61" s="5"/>
      <c r="FX61" s="5"/>
      <c r="FY61" s="5"/>
      <c r="FZ61" s="5"/>
      <c r="GA61" s="5"/>
      <c r="GB61" s="5"/>
      <c r="GC61" s="5"/>
      <c r="GD61" s="5"/>
      <c r="GE61" s="5"/>
      <c r="GF61" s="5"/>
      <c r="GG61" s="5"/>
      <c r="GH61" s="5"/>
      <c r="GI61" s="5"/>
      <c r="GJ61" s="5"/>
      <c r="GK61" s="5"/>
      <c r="GL61" s="5"/>
      <c r="GM61" s="5"/>
      <c r="GN61" s="5"/>
      <c r="GO61" s="5"/>
      <c r="GP61" s="5"/>
      <c r="GQ61" s="5"/>
      <c r="GR61" s="5"/>
      <c r="GS61" s="5"/>
      <c r="GT61" s="5"/>
      <c r="GU61" s="5"/>
      <c r="GV61" s="5"/>
      <c r="GW61" s="5"/>
      <c r="GX61" s="5"/>
      <c r="GY61" s="5"/>
      <c r="GZ61" s="5"/>
      <c r="HA61" s="5"/>
      <c r="HB61" s="5"/>
      <c r="HC61" s="5"/>
      <c r="HD61" s="5"/>
      <c r="HE61" s="5"/>
      <c r="HF61" s="5"/>
      <c r="HG61" s="5"/>
      <c r="HH61" s="5"/>
      <c r="HI61" s="5"/>
      <c r="HJ61" s="5"/>
      <c r="HK61" s="5"/>
      <c r="HL61" s="5"/>
      <c r="HM61" s="5"/>
      <c r="HN61" s="5"/>
      <c r="HO61" s="5"/>
      <c r="HP61" s="5"/>
      <c r="HQ61" s="5"/>
      <c r="HR61" s="5"/>
      <c r="HS61" s="5"/>
      <c r="HT61" s="5"/>
      <c r="HU61" s="5"/>
      <c r="HV61" s="5"/>
      <c r="HW61" s="5"/>
      <c r="HX61" s="5"/>
      <c r="HY61" s="5"/>
      <c r="HZ61" s="5"/>
      <c r="IA61" s="5"/>
      <c r="IB61" s="5"/>
      <c r="IC61" s="5"/>
      <c r="ID61" s="5"/>
      <c r="IE61" s="5"/>
      <c r="IF61" s="5"/>
      <c r="IG61" s="5"/>
      <c r="IH61" s="5"/>
      <c r="II61" s="5"/>
      <c r="IJ61" s="5"/>
      <c r="IK61" s="5"/>
      <c r="IL61" s="5"/>
      <c r="IM61" s="5"/>
      <c r="IN61" s="5"/>
      <c r="IO61" s="5"/>
      <c r="IP61" s="5"/>
      <c r="IQ61" s="5"/>
      <c r="IR61" s="5"/>
      <c r="IS61" s="5"/>
      <c r="IT61" s="5"/>
      <c r="IU61" s="5"/>
      <c r="IV61" s="5"/>
      <c r="IW61" s="5"/>
      <c r="IX61" s="5"/>
      <c r="IY61" s="5"/>
      <c r="IZ61" s="5"/>
      <c r="JA61" s="5"/>
      <c r="JB61" s="5"/>
      <c r="JC61" s="5"/>
      <c r="JD61" s="5"/>
      <c r="JE61" s="5"/>
      <c r="JF61" s="5"/>
      <c r="JG61" s="5"/>
      <c r="JH61" s="5"/>
      <c r="JI61" s="5"/>
      <c r="JJ61" s="5"/>
      <c r="JK61" s="5"/>
      <c r="JL61" s="5"/>
      <c r="JM61" s="5"/>
      <c r="JN61" s="5"/>
      <c r="JO61" s="5"/>
      <c r="JP61" s="5"/>
      <c r="JQ61" s="5"/>
      <c r="JR61" s="5"/>
      <c r="JS61" s="5"/>
      <c r="JT61" s="5"/>
      <c r="JU61" s="5"/>
      <c r="JV61" s="5"/>
      <c r="JW61" s="5"/>
      <c r="JX61" s="5"/>
      <c r="JY61" s="5"/>
      <c r="JZ61" s="5"/>
      <c r="KA61" s="5"/>
      <c r="KB61" s="5"/>
      <c r="KC61" s="5"/>
      <c r="KD61" s="5"/>
      <c r="KE61" s="5"/>
      <c r="KF61" s="5"/>
      <c r="KG61" s="5"/>
      <c r="KH61" s="5"/>
      <c r="KI61" s="5"/>
      <c r="KJ61" s="5"/>
      <c r="KK61" s="5"/>
      <c r="KL61" s="5"/>
      <c r="KM61" s="5"/>
      <c r="KN61" s="5"/>
      <c r="KO61" s="5"/>
      <c r="KP61" s="5"/>
      <c r="KQ61" s="5"/>
      <c r="KR61" s="5"/>
      <c r="KS61" s="5"/>
      <c r="KT61" s="5"/>
      <c r="KU61" s="5"/>
      <c r="KV61" s="5"/>
      <c r="KW61" s="5"/>
      <c r="KX61" s="5"/>
      <c r="KY61" s="5"/>
      <c r="KZ61" s="5"/>
      <c r="LA61" s="5"/>
      <c r="LB61" s="5"/>
      <c r="LC61" s="5"/>
      <c r="LD61" s="5"/>
      <c r="LE61" s="5"/>
      <c r="LF61" s="5"/>
      <c r="LG61" s="5"/>
      <c r="LH61" s="5"/>
      <c r="LI61" s="5"/>
      <c r="LJ61" s="5"/>
      <c r="LK61" s="5"/>
      <c r="LL61" s="5"/>
      <c r="LM61" s="5"/>
      <c r="LN61" s="5"/>
      <c r="LO61" s="5"/>
      <c r="LP61" s="5"/>
      <c r="LQ61" s="5"/>
      <c r="LR61" s="5"/>
      <c r="LS61" s="5"/>
      <c r="LT61" s="5"/>
      <c r="LU61" s="5"/>
      <c r="LV61" s="5"/>
      <c r="LW61" s="5"/>
      <c r="LX61" s="5"/>
      <c r="LY61" s="5"/>
      <c r="LZ61" s="5"/>
      <c r="MA61" s="5"/>
      <c r="MB61" s="5"/>
      <c r="MC61" s="5"/>
      <c r="MD61" s="5"/>
      <c r="ME61" s="5"/>
      <c r="MF61" s="5"/>
      <c r="MG61" s="5"/>
      <c r="MH61" s="5"/>
      <c r="MI61" s="5"/>
      <c r="MJ61" s="5"/>
      <c r="MK61" s="5"/>
      <c r="ML61" s="5"/>
      <c r="MM61" s="5"/>
      <c r="MN61" s="5"/>
      <c r="MO61" s="5"/>
      <c r="MP61" s="5"/>
      <c r="MQ61" s="5"/>
      <c r="MR61" s="5"/>
      <c r="MS61" s="5"/>
      <c r="MT61" s="5"/>
      <c r="MU61" s="5"/>
      <c r="MV61" s="5"/>
      <c r="MW61" s="5"/>
      <c r="MX61" s="5"/>
      <c r="MY61" s="5"/>
      <c r="MZ61" s="5"/>
      <c r="NA61" s="5"/>
      <c r="NB61" s="5"/>
      <c r="NC61" s="5"/>
      <c r="ND61" s="5"/>
      <c r="NE61" s="5"/>
      <c r="NF61" s="5"/>
      <c r="NG61" s="5"/>
      <c r="NH61" s="5"/>
      <c r="NI61" s="5"/>
      <c r="NJ61" s="5"/>
      <c r="NK61" s="5"/>
      <c r="NL61" s="5"/>
      <c r="NM61" s="5"/>
      <c r="NN61" s="5"/>
      <c r="NO61" s="5"/>
      <c r="NP61" s="5"/>
      <c r="NQ61" s="5"/>
      <c r="NR61" s="5"/>
      <c r="NS61" s="5"/>
      <c r="NT61" s="5"/>
      <c r="NU61" s="5"/>
      <c r="NV61" s="5"/>
      <c r="NW61" s="5"/>
      <c r="NX61" s="5"/>
      <c r="NY61" s="5"/>
      <c r="NZ61" s="5"/>
      <c r="OA61" s="5"/>
      <c r="OB61" s="5"/>
      <c r="OC61" s="5"/>
      <c r="OD61" s="5"/>
      <c r="OE61" s="5"/>
      <c r="OF61" s="5"/>
      <c r="OG61" s="5"/>
      <c r="OH61" s="5"/>
      <c r="OI61" s="5"/>
      <c r="OJ61" s="5"/>
      <c r="OK61" s="5"/>
      <c r="OL61" s="5"/>
      <c r="OM61" s="5"/>
      <c r="ON61" s="5"/>
      <c r="OO61" s="5"/>
      <c r="OP61" s="5"/>
      <c r="OQ61" s="5"/>
      <c r="OR61" s="5"/>
      <c r="OS61" s="5"/>
      <c r="OT61" s="5"/>
      <c r="OU61" s="5"/>
      <c r="OV61" s="5"/>
      <c r="OW61" s="5"/>
      <c r="OX61" s="5"/>
      <c r="OY61" s="5"/>
      <c r="OZ61" s="5"/>
      <c r="PA61" s="5"/>
      <c r="PB61" s="5"/>
      <c r="PC61" s="5"/>
      <c r="PD61" s="5"/>
      <c r="PE61" s="5"/>
      <c r="PF61" s="5"/>
      <c r="PG61" s="5"/>
      <c r="PH61" s="5"/>
      <c r="PI61" s="5"/>
      <c r="PJ61" s="5"/>
      <c r="PK61" s="5"/>
      <c r="PL61" s="5"/>
      <c r="PM61" s="5"/>
      <c r="PN61" s="5"/>
      <c r="PO61" s="5"/>
      <c r="PP61" s="5"/>
      <c r="PQ61" s="5"/>
      <c r="PR61" s="5"/>
      <c r="PS61" s="5"/>
      <c r="PT61" s="5"/>
      <c r="PU61" s="5"/>
      <c r="PV61" s="5"/>
      <c r="PW61" s="5"/>
      <c r="PX61" s="5"/>
      <c r="PY61" s="5"/>
      <c r="PZ61" s="5"/>
      <c r="QA61" s="5"/>
      <c r="QB61" s="5"/>
      <c r="QC61" s="5"/>
      <c r="QD61" s="5"/>
      <c r="QE61" s="5"/>
      <c r="QF61" s="5"/>
      <c r="QG61" s="5"/>
      <c r="QH61" s="5"/>
      <c r="QI61" s="5"/>
      <c r="QJ61" s="5"/>
      <c r="QK61" s="5"/>
      <c r="QL61" s="5"/>
      <c r="QM61" s="5"/>
      <c r="QN61" s="5"/>
      <c r="QO61" s="5"/>
      <c r="QP61" s="5"/>
      <c r="QQ61" s="5"/>
      <c r="QR61" s="5"/>
      <c r="QS61" s="5"/>
      <c r="QT61" s="5"/>
      <c r="QU61" s="5"/>
      <c r="QV61" s="5"/>
      <c r="QW61" s="5"/>
      <c r="QX61" s="5"/>
      <c r="QY61" s="5"/>
      <c r="QZ61" s="5"/>
      <c r="RA61" s="5"/>
      <c r="RB61" s="5"/>
      <c r="RC61" s="5"/>
      <c r="RD61" s="5"/>
      <c r="RE61" s="5"/>
      <c r="RF61" s="5"/>
      <c r="RG61" s="5"/>
      <c r="RH61" s="5"/>
      <c r="RI61" s="5"/>
      <c r="RJ61" s="5"/>
      <c r="RK61" s="5"/>
      <c r="RL61" s="5"/>
      <c r="RM61" s="5"/>
      <c r="RN61" s="5"/>
      <c r="RO61" s="5"/>
      <c r="RP61" s="5"/>
      <c r="RQ61" s="5"/>
      <c r="RR61" s="5"/>
      <c r="RS61" s="5"/>
      <c r="RT61" s="5"/>
      <c r="RU61" s="5"/>
      <c r="RV61" s="5"/>
      <c r="RW61" s="5"/>
      <c r="RX61" s="5"/>
      <c r="RY61" s="5"/>
      <c r="RZ61" s="5"/>
      <c r="SA61" s="5"/>
      <c r="SB61" s="5"/>
      <c r="SC61" s="5"/>
      <c r="SD61" s="5"/>
      <c r="SE61" s="5"/>
      <c r="SF61" s="5"/>
      <c r="SG61" s="5"/>
      <c r="SH61" s="5"/>
      <c r="SI61" s="5"/>
      <c r="SJ61" s="5"/>
      <c r="SK61" s="5"/>
      <c r="SL61" s="5"/>
      <c r="SM61" s="5"/>
      <c r="SN61" s="5"/>
      <c r="SO61" s="5"/>
      <c r="SP61" s="5"/>
      <c r="SQ61" s="5"/>
      <c r="SR61" s="5"/>
      <c r="SS61" s="5"/>
      <c r="ST61" s="5"/>
      <c r="SU61" s="5"/>
      <c r="SV61" s="5"/>
      <c r="SW61" s="5"/>
      <c r="SX61" s="5"/>
      <c r="SY61" s="5"/>
      <c r="SZ61" s="5"/>
      <c r="TA61" s="5"/>
      <c r="TB61" s="5"/>
      <c r="TC61" s="5"/>
      <c r="TD61" s="5"/>
      <c r="TE61" s="5"/>
      <c r="TF61" s="5"/>
      <c r="TG61" s="5"/>
      <c r="TH61" s="5"/>
      <c r="TI61" s="5"/>
      <c r="TJ61" s="5"/>
      <c r="TK61" s="5"/>
      <c r="TL61" s="5"/>
      <c r="TM61" s="5"/>
      <c r="TN61" s="5"/>
      <c r="TO61" s="5"/>
      <c r="TP61" s="5"/>
      <c r="TQ61" s="5"/>
      <c r="TR61" s="5"/>
      <c r="TS61" s="5"/>
      <c r="TT61" s="5"/>
      <c r="TU61" s="5"/>
      <c r="TV61" s="5"/>
      <c r="TW61" s="5"/>
      <c r="TX61" s="5"/>
      <c r="TY61" s="5"/>
      <c r="TZ61" s="5"/>
      <c r="UA61" s="5"/>
      <c r="UB61" s="5"/>
      <c r="UC61" s="5"/>
      <c r="UD61" s="5"/>
      <c r="UE61" s="5"/>
      <c r="UF61" s="5"/>
      <c r="UG61" s="5"/>
      <c r="UH61" s="5"/>
      <c r="UI61" s="5"/>
      <c r="UJ61" s="5"/>
      <c r="UK61" s="5"/>
      <c r="UL61" s="5"/>
      <c r="UM61" s="5"/>
      <c r="UN61" s="5"/>
      <c r="UO61" s="5"/>
      <c r="UP61" s="5"/>
      <c r="UQ61" s="5"/>
      <c r="UR61" s="5"/>
      <c r="US61" s="5"/>
      <c r="UT61" s="5"/>
      <c r="UU61" s="5"/>
      <c r="UV61" s="5"/>
      <c r="UW61" s="5"/>
      <c r="UX61" s="5"/>
      <c r="UY61" s="5"/>
      <c r="UZ61" s="5"/>
      <c r="VA61" s="5"/>
      <c r="VB61" s="5"/>
      <c r="VC61" s="5"/>
      <c r="VD61" s="5"/>
      <c r="VE61" s="5"/>
      <c r="VF61" s="5"/>
      <c r="VG61" s="5"/>
      <c r="VH61" s="5"/>
      <c r="VI61" s="5"/>
      <c r="VJ61" s="5"/>
      <c r="VK61" s="5"/>
      <c r="VL61" s="5"/>
      <c r="VM61" s="5"/>
      <c r="VN61" s="5"/>
      <c r="VO61" s="5"/>
      <c r="VP61" s="5"/>
      <c r="VQ61" s="5"/>
      <c r="VR61" s="5"/>
      <c r="VS61" s="5"/>
      <c r="VT61" s="5"/>
      <c r="VU61" s="5"/>
      <c r="VV61" s="5"/>
      <c r="VW61" s="5"/>
      <c r="VX61" s="5"/>
      <c r="VY61" s="5"/>
      <c r="VZ61" s="5"/>
      <c r="WA61" s="5"/>
      <c r="WB61" s="5"/>
      <c r="WC61" s="5"/>
      <c r="WD61" s="5"/>
      <c r="WE61" s="5"/>
      <c r="WF61" s="5"/>
      <c r="WG61" s="5"/>
      <c r="WH61" s="5"/>
      <c r="WI61" s="5"/>
      <c r="WJ61" s="5"/>
      <c r="WK61" s="5"/>
      <c r="WL61" s="5"/>
      <c r="WM61" s="5"/>
      <c r="WN61" s="5"/>
      <c r="WO61" s="5"/>
      <c r="WP61" s="5"/>
      <c r="WQ61" s="5"/>
      <c r="WR61" s="5"/>
      <c r="WS61" s="5"/>
      <c r="WT61" s="5"/>
      <c r="WU61" s="5"/>
      <c r="WV61" s="5"/>
      <c r="WW61" s="5"/>
      <c r="WX61" s="5"/>
      <c r="WY61" s="5"/>
      <c r="WZ61" s="5"/>
      <c r="XA61" s="5"/>
      <c r="XB61" s="5"/>
      <c r="XC61" s="5"/>
      <c r="XD61" s="5"/>
      <c r="XE61" s="5"/>
      <c r="XF61" s="5"/>
      <c r="XG61" s="5"/>
      <c r="XH61" s="5"/>
      <c r="XI61" s="5"/>
      <c r="XJ61" s="5"/>
      <c r="XK61" s="5"/>
      <c r="XL61" s="5"/>
      <c r="XM61" s="5"/>
      <c r="XN61" s="5"/>
      <c r="XO61" s="5"/>
      <c r="XP61" s="5"/>
      <c r="XQ61" s="5"/>
      <c r="XR61" s="5"/>
      <c r="XS61" s="5"/>
      <c r="XT61" s="5"/>
      <c r="XU61" s="5"/>
      <c r="XV61" s="5"/>
      <c r="XW61" s="5"/>
      <c r="XX61" s="5"/>
      <c r="XY61" s="5"/>
      <c r="XZ61" s="5"/>
      <c r="YA61" s="5"/>
      <c r="YB61" s="5"/>
      <c r="YC61" s="5"/>
      <c r="YD61" s="5"/>
      <c r="YE61" s="5"/>
      <c r="YF61" s="5"/>
      <c r="YG61" s="5"/>
      <c r="YH61" s="5"/>
      <c r="YI61" s="5"/>
      <c r="YJ61" s="5"/>
      <c r="YK61" s="5"/>
      <c r="YL61" s="5"/>
      <c r="YM61" s="5"/>
      <c r="YN61" s="5"/>
      <c r="YO61" s="5"/>
      <c r="YP61" s="5"/>
      <c r="YQ61" s="5"/>
      <c r="YR61" s="5"/>
      <c r="YS61" s="5"/>
      <c r="YT61" s="5"/>
      <c r="YU61" s="5"/>
      <c r="YV61" s="5"/>
      <c r="YW61" s="5"/>
      <c r="YX61" s="5"/>
      <c r="YY61" s="5"/>
      <c r="YZ61" s="5"/>
    </row>
    <row r="62" spans="1:676">
      <c r="A62" s="7">
        <v>52</v>
      </c>
      <c r="B62" s="7" t="s">
        <v>170</v>
      </c>
      <c r="C62" s="10" t="s">
        <v>171</v>
      </c>
      <c r="D62" s="7" t="s">
        <v>46</v>
      </c>
      <c r="E62" s="7" t="s">
        <v>78</v>
      </c>
      <c r="F62" s="7" t="s">
        <v>172</v>
      </c>
      <c r="G62" s="7"/>
      <c r="H62" s="7"/>
      <c r="I62" s="11">
        <v>2</v>
      </c>
      <c r="J62" s="11">
        <v>3</v>
      </c>
      <c r="K62" s="11">
        <v>0</v>
      </c>
      <c r="L62" s="11">
        <v>0.5299999999999999</v>
      </c>
      <c r="M62" s="11">
        <v>0.32</v>
      </c>
      <c r="N62" s="11">
        <v>0</v>
      </c>
      <c r="O62" s="11">
        <v>0.26</v>
      </c>
      <c r="P62" s="11">
        <v>2.62</v>
      </c>
      <c r="Q62" s="11">
        <v>3.73</v>
      </c>
      <c r="R62" s="11">
        <v>7.68</v>
      </c>
      <c r="S62" s="11">
        <v>11.41</v>
      </c>
      <c r="T62" s="11">
        <v>2</v>
      </c>
      <c r="U62" s="11">
        <v>3</v>
      </c>
      <c r="V62" s="11">
        <v>6.41</v>
      </c>
      <c r="W62" s="13">
        <v>6</v>
      </c>
      <c r="X62" s="13">
        <v>9</v>
      </c>
      <c r="Y62" s="13" t="str">
        <f>MIN(W62,S62)</f>
        <v>0</v>
      </c>
      <c r="Z62" s="13" t="str">
        <f>MIN(X62,(S62-Y62))</f>
        <v>0</v>
      </c>
      <c r="AA62" s="13" t="str">
        <f>S62-SUM(Y62,Z62)</f>
        <v>0</v>
      </c>
      <c r="AB62" s="15"/>
      <c r="AC62" s="15"/>
      <c r="AD62" s="1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  <c r="CZ62" s="5"/>
      <c r="DA62" s="5"/>
      <c r="DB62" s="5"/>
      <c r="DC62" s="5"/>
      <c r="DD62" s="5"/>
      <c r="DE62" s="5"/>
      <c r="DF62" s="5"/>
      <c r="DG62" s="5"/>
      <c r="DH62" s="5"/>
      <c r="DI62" s="5"/>
      <c r="DJ62" s="5"/>
      <c r="DK62" s="5"/>
      <c r="DL62" s="5"/>
      <c r="DM62" s="5"/>
      <c r="DN62" s="5"/>
      <c r="DO62" s="5"/>
      <c r="DP62" s="5"/>
      <c r="DQ62" s="5"/>
      <c r="DR62" s="5"/>
      <c r="DS62" s="5"/>
      <c r="DT62" s="5"/>
      <c r="DU62" s="5"/>
      <c r="DV62" s="5"/>
      <c r="DW62" s="5"/>
      <c r="DX62" s="5"/>
      <c r="DY62" s="5"/>
      <c r="DZ62" s="5"/>
      <c r="EA62" s="5"/>
      <c r="EB62" s="5"/>
      <c r="EC62" s="5"/>
      <c r="ED62" s="5"/>
      <c r="EE62" s="5"/>
      <c r="EF62" s="5"/>
      <c r="EG62" s="5"/>
      <c r="EH62" s="5"/>
      <c r="EI62" s="5"/>
      <c r="EJ62" s="5"/>
      <c r="EK62" s="5"/>
      <c r="EL62" s="5"/>
      <c r="EM62" s="5"/>
      <c r="EN62" s="5"/>
      <c r="EO62" s="5"/>
      <c r="EP62" s="5"/>
      <c r="EQ62" s="5"/>
      <c r="ER62" s="5"/>
      <c r="ES62" s="5"/>
      <c r="ET62" s="5"/>
      <c r="EU62" s="5"/>
      <c r="EV62" s="5"/>
      <c r="EW62" s="5"/>
      <c r="EX62" s="5"/>
      <c r="EY62" s="5"/>
      <c r="EZ62" s="5"/>
      <c r="FA62" s="5"/>
      <c r="FB62" s="5"/>
      <c r="FC62" s="5"/>
      <c r="FD62" s="5"/>
      <c r="FE62" s="5"/>
      <c r="FF62" s="5"/>
      <c r="FG62" s="5"/>
      <c r="FH62" s="5"/>
      <c r="FI62" s="5"/>
      <c r="FJ62" s="5"/>
      <c r="FK62" s="5"/>
      <c r="FL62" s="5"/>
      <c r="FM62" s="5"/>
      <c r="FN62" s="5"/>
      <c r="FO62" s="5"/>
      <c r="FP62" s="5"/>
      <c r="FQ62" s="5"/>
      <c r="FR62" s="5"/>
      <c r="FS62" s="5"/>
      <c r="FT62" s="5"/>
      <c r="FU62" s="5"/>
      <c r="FV62" s="5"/>
      <c r="FW62" s="5"/>
      <c r="FX62" s="5"/>
      <c r="FY62" s="5"/>
      <c r="FZ62" s="5"/>
      <c r="GA62" s="5"/>
      <c r="GB62" s="5"/>
      <c r="GC62" s="5"/>
      <c r="GD62" s="5"/>
      <c r="GE62" s="5"/>
      <c r="GF62" s="5"/>
      <c r="GG62" s="5"/>
      <c r="GH62" s="5"/>
      <c r="GI62" s="5"/>
      <c r="GJ62" s="5"/>
      <c r="GK62" s="5"/>
      <c r="GL62" s="5"/>
      <c r="GM62" s="5"/>
      <c r="GN62" s="5"/>
      <c r="GO62" s="5"/>
      <c r="GP62" s="5"/>
      <c r="GQ62" s="5"/>
      <c r="GR62" s="5"/>
      <c r="GS62" s="5"/>
      <c r="GT62" s="5"/>
      <c r="GU62" s="5"/>
      <c r="GV62" s="5"/>
      <c r="GW62" s="5"/>
      <c r="GX62" s="5"/>
      <c r="GY62" s="5"/>
      <c r="GZ62" s="5"/>
      <c r="HA62" s="5"/>
      <c r="HB62" s="5"/>
      <c r="HC62" s="5"/>
      <c r="HD62" s="5"/>
      <c r="HE62" s="5"/>
      <c r="HF62" s="5"/>
      <c r="HG62" s="5"/>
      <c r="HH62" s="5"/>
      <c r="HI62" s="5"/>
      <c r="HJ62" s="5"/>
      <c r="HK62" s="5"/>
      <c r="HL62" s="5"/>
      <c r="HM62" s="5"/>
      <c r="HN62" s="5"/>
      <c r="HO62" s="5"/>
      <c r="HP62" s="5"/>
      <c r="HQ62" s="5"/>
      <c r="HR62" s="5"/>
      <c r="HS62" s="5"/>
      <c r="HT62" s="5"/>
      <c r="HU62" s="5"/>
      <c r="HV62" s="5"/>
      <c r="HW62" s="5"/>
      <c r="HX62" s="5"/>
      <c r="HY62" s="5"/>
      <c r="HZ62" s="5"/>
      <c r="IA62" s="5"/>
      <c r="IB62" s="5"/>
      <c r="IC62" s="5"/>
      <c r="ID62" s="5"/>
      <c r="IE62" s="5"/>
      <c r="IF62" s="5"/>
      <c r="IG62" s="5"/>
      <c r="IH62" s="5"/>
      <c r="II62" s="5"/>
      <c r="IJ62" s="5"/>
      <c r="IK62" s="5"/>
      <c r="IL62" s="5"/>
      <c r="IM62" s="5"/>
      <c r="IN62" s="5"/>
      <c r="IO62" s="5"/>
      <c r="IP62" s="5"/>
      <c r="IQ62" s="5"/>
      <c r="IR62" s="5"/>
      <c r="IS62" s="5"/>
      <c r="IT62" s="5"/>
      <c r="IU62" s="5"/>
      <c r="IV62" s="5"/>
      <c r="IW62" s="5"/>
      <c r="IX62" s="5"/>
      <c r="IY62" s="5"/>
      <c r="IZ62" s="5"/>
      <c r="JA62" s="5"/>
      <c r="JB62" s="5"/>
      <c r="JC62" s="5"/>
      <c r="JD62" s="5"/>
      <c r="JE62" s="5"/>
      <c r="JF62" s="5"/>
      <c r="JG62" s="5"/>
      <c r="JH62" s="5"/>
      <c r="JI62" s="5"/>
      <c r="JJ62" s="5"/>
      <c r="JK62" s="5"/>
      <c r="JL62" s="5"/>
      <c r="JM62" s="5"/>
      <c r="JN62" s="5"/>
      <c r="JO62" s="5"/>
      <c r="JP62" s="5"/>
      <c r="JQ62" s="5"/>
      <c r="JR62" s="5"/>
      <c r="JS62" s="5"/>
      <c r="JT62" s="5"/>
      <c r="JU62" s="5"/>
      <c r="JV62" s="5"/>
      <c r="JW62" s="5"/>
      <c r="JX62" s="5"/>
      <c r="JY62" s="5"/>
      <c r="JZ62" s="5"/>
      <c r="KA62" s="5"/>
      <c r="KB62" s="5"/>
      <c r="KC62" s="5"/>
      <c r="KD62" s="5"/>
      <c r="KE62" s="5"/>
      <c r="KF62" s="5"/>
      <c r="KG62" s="5"/>
      <c r="KH62" s="5"/>
      <c r="KI62" s="5"/>
      <c r="KJ62" s="5"/>
      <c r="KK62" s="5"/>
      <c r="KL62" s="5"/>
      <c r="KM62" s="5"/>
      <c r="KN62" s="5"/>
      <c r="KO62" s="5"/>
      <c r="KP62" s="5"/>
      <c r="KQ62" s="5"/>
      <c r="KR62" s="5"/>
      <c r="KS62" s="5"/>
      <c r="KT62" s="5"/>
      <c r="KU62" s="5"/>
      <c r="KV62" s="5"/>
      <c r="KW62" s="5"/>
      <c r="KX62" s="5"/>
      <c r="KY62" s="5"/>
      <c r="KZ62" s="5"/>
      <c r="LA62" s="5"/>
      <c r="LB62" s="5"/>
      <c r="LC62" s="5"/>
      <c r="LD62" s="5"/>
      <c r="LE62" s="5"/>
      <c r="LF62" s="5"/>
      <c r="LG62" s="5"/>
      <c r="LH62" s="5"/>
      <c r="LI62" s="5"/>
      <c r="LJ62" s="5"/>
      <c r="LK62" s="5"/>
      <c r="LL62" s="5"/>
      <c r="LM62" s="5"/>
      <c r="LN62" s="5"/>
      <c r="LO62" s="5"/>
      <c r="LP62" s="5"/>
      <c r="LQ62" s="5"/>
      <c r="LR62" s="5"/>
      <c r="LS62" s="5"/>
      <c r="LT62" s="5"/>
      <c r="LU62" s="5"/>
      <c r="LV62" s="5"/>
      <c r="LW62" s="5"/>
      <c r="LX62" s="5"/>
      <c r="LY62" s="5"/>
      <c r="LZ62" s="5"/>
      <c r="MA62" s="5"/>
      <c r="MB62" s="5"/>
      <c r="MC62" s="5"/>
      <c r="MD62" s="5"/>
      <c r="ME62" s="5"/>
      <c r="MF62" s="5"/>
      <c r="MG62" s="5"/>
      <c r="MH62" s="5"/>
      <c r="MI62" s="5"/>
      <c r="MJ62" s="5"/>
      <c r="MK62" s="5"/>
      <c r="ML62" s="5"/>
      <c r="MM62" s="5"/>
      <c r="MN62" s="5"/>
      <c r="MO62" s="5"/>
      <c r="MP62" s="5"/>
      <c r="MQ62" s="5"/>
      <c r="MR62" s="5"/>
      <c r="MS62" s="5"/>
      <c r="MT62" s="5"/>
      <c r="MU62" s="5"/>
      <c r="MV62" s="5"/>
      <c r="MW62" s="5"/>
      <c r="MX62" s="5"/>
      <c r="MY62" s="5"/>
      <c r="MZ62" s="5"/>
      <c r="NA62" s="5"/>
      <c r="NB62" s="5"/>
      <c r="NC62" s="5"/>
      <c r="ND62" s="5"/>
      <c r="NE62" s="5"/>
      <c r="NF62" s="5"/>
      <c r="NG62" s="5"/>
      <c r="NH62" s="5"/>
      <c r="NI62" s="5"/>
      <c r="NJ62" s="5"/>
      <c r="NK62" s="5"/>
      <c r="NL62" s="5"/>
      <c r="NM62" s="5"/>
      <c r="NN62" s="5"/>
      <c r="NO62" s="5"/>
      <c r="NP62" s="5"/>
      <c r="NQ62" s="5"/>
      <c r="NR62" s="5"/>
      <c r="NS62" s="5"/>
      <c r="NT62" s="5"/>
      <c r="NU62" s="5"/>
      <c r="NV62" s="5"/>
      <c r="NW62" s="5"/>
      <c r="NX62" s="5"/>
      <c r="NY62" s="5"/>
      <c r="NZ62" s="5"/>
      <c r="OA62" s="5"/>
      <c r="OB62" s="5"/>
      <c r="OC62" s="5"/>
      <c r="OD62" s="5"/>
      <c r="OE62" s="5"/>
      <c r="OF62" s="5"/>
      <c r="OG62" s="5"/>
      <c r="OH62" s="5"/>
      <c r="OI62" s="5"/>
      <c r="OJ62" s="5"/>
      <c r="OK62" s="5"/>
      <c r="OL62" s="5"/>
      <c r="OM62" s="5"/>
      <c r="ON62" s="5"/>
      <c r="OO62" s="5"/>
      <c r="OP62" s="5"/>
      <c r="OQ62" s="5"/>
      <c r="OR62" s="5"/>
      <c r="OS62" s="5"/>
      <c r="OT62" s="5"/>
      <c r="OU62" s="5"/>
      <c r="OV62" s="5"/>
      <c r="OW62" s="5"/>
      <c r="OX62" s="5"/>
      <c r="OY62" s="5"/>
      <c r="OZ62" s="5"/>
      <c r="PA62" s="5"/>
      <c r="PB62" s="5"/>
      <c r="PC62" s="5"/>
      <c r="PD62" s="5"/>
      <c r="PE62" s="5"/>
      <c r="PF62" s="5"/>
      <c r="PG62" s="5"/>
      <c r="PH62" s="5"/>
      <c r="PI62" s="5"/>
      <c r="PJ62" s="5"/>
      <c r="PK62" s="5"/>
      <c r="PL62" s="5"/>
      <c r="PM62" s="5"/>
      <c r="PN62" s="5"/>
      <c r="PO62" s="5"/>
      <c r="PP62" s="5"/>
      <c r="PQ62" s="5"/>
      <c r="PR62" s="5"/>
      <c r="PS62" s="5"/>
      <c r="PT62" s="5"/>
      <c r="PU62" s="5"/>
      <c r="PV62" s="5"/>
      <c r="PW62" s="5"/>
      <c r="PX62" s="5"/>
      <c r="PY62" s="5"/>
      <c r="PZ62" s="5"/>
      <c r="QA62" s="5"/>
      <c r="QB62" s="5"/>
      <c r="QC62" s="5"/>
      <c r="QD62" s="5"/>
      <c r="QE62" s="5"/>
      <c r="QF62" s="5"/>
      <c r="QG62" s="5"/>
      <c r="QH62" s="5"/>
      <c r="QI62" s="5"/>
      <c r="QJ62" s="5"/>
      <c r="QK62" s="5"/>
      <c r="QL62" s="5"/>
      <c r="QM62" s="5"/>
      <c r="QN62" s="5"/>
      <c r="QO62" s="5"/>
      <c r="QP62" s="5"/>
      <c r="QQ62" s="5"/>
      <c r="QR62" s="5"/>
      <c r="QS62" s="5"/>
      <c r="QT62" s="5"/>
      <c r="QU62" s="5"/>
      <c r="QV62" s="5"/>
      <c r="QW62" s="5"/>
      <c r="QX62" s="5"/>
      <c r="QY62" s="5"/>
      <c r="QZ62" s="5"/>
      <c r="RA62" s="5"/>
      <c r="RB62" s="5"/>
      <c r="RC62" s="5"/>
      <c r="RD62" s="5"/>
      <c r="RE62" s="5"/>
      <c r="RF62" s="5"/>
      <c r="RG62" s="5"/>
      <c r="RH62" s="5"/>
      <c r="RI62" s="5"/>
      <c r="RJ62" s="5"/>
      <c r="RK62" s="5"/>
      <c r="RL62" s="5"/>
      <c r="RM62" s="5"/>
      <c r="RN62" s="5"/>
      <c r="RO62" s="5"/>
      <c r="RP62" s="5"/>
      <c r="RQ62" s="5"/>
      <c r="RR62" s="5"/>
      <c r="RS62" s="5"/>
      <c r="RT62" s="5"/>
      <c r="RU62" s="5"/>
      <c r="RV62" s="5"/>
      <c r="RW62" s="5"/>
      <c r="RX62" s="5"/>
      <c r="RY62" s="5"/>
      <c r="RZ62" s="5"/>
      <c r="SA62" s="5"/>
      <c r="SB62" s="5"/>
      <c r="SC62" s="5"/>
      <c r="SD62" s="5"/>
      <c r="SE62" s="5"/>
      <c r="SF62" s="5"/>
      <c r="SG62" s="5"/>
      <c r="SH62" s="5"/>
      <c r="SI62" s="5"/>
      <c r="SJ62" s="5"/>
      <c r="SK62" s="5"/>
      <c r="SL62" s="5"/>
      <c r="SM62" s="5"/>
      <c r="SN62" s="5"/>
      <c r="SO62" s="5"/>
      <c r="SP62" s="5"/>
      <c r="SQ62" s="5"/>
      <c r="SR62" s="5"/>
      <c r="SS62" s="5"/>
      <c r="ST62" s="5"/>
      <c r="SU62" s="5"/>
      <c r="SV62" s="5"/>
      <c r="SW62" s="5"/>
      <c r="SX62" s="5"/>
      <c r="SY62" s="5"/>
      <c r="SZ62" s="5"/>
      <c r="TA62" s="5"/>
      <c r="TB62" s="5"/>
      <c r="TC62" s="5"/>
      <c r="TD62" s="5"/>
      <c r="TE62" s="5"/>
      <c r="TF62" s="5"/>
      <c r="TG62" s="5"/>
      <c r="TH62" s="5"/>
      <c r="TI62" s="5"/>
      <c r="TJ62" s="5"/>
      <c r="TK62" s="5"/>
      <c r="TL62" s="5"/>
      <c r="TM62" s="5"/>
      <c r="TN62" s="5"/>
      <c r="TO62" s="5"/>
      <c r="TP62" s="5"/>
      <c r="TQ62" s="5"/>
      <c r="TR62" s="5"/>
      <c r="TS62" s="5"/>
      <c r="TT62" s="5"/>
      <c r="TU62" s="5"/>
      <c r="TV62" s="5"/>
      <c r="TW62" s="5"/>
      <c r="TX62" s="5"/>
      <c r="TY62" s="5"/>
      <c r="TZ62" s="5"/>
      <c r="UA62" s="5"/>
      <c r="UB62" s="5"/>
      <c r="UC62" s="5"/>
      <c r="UD62" s="5"/>
      <c r="UE62" s="5"/>
      <c r="UF62" s="5"/>
      <c r="UG62" s="5"/>
      <c r="UH62" s="5"/>
      <c r="UI62" s="5"/>
      <c r="UJ62" s="5"/>
      <c r="UK62" s="5"/>
      <c r="UL62" s="5"/>
      <c r="UM62" s="5"/>
      <c r="UN62" s="5"/>
      <c r="UO62" s="5"/>
      <c r="UP62" s="5"/>
      <c r="UQ62" s="5"/>
      <c r="UR62" s="5"/>
      <c r="US62" s="5"/>
      <c r="UT62" s="5"/>
      <c r="UU62" s="5"/>
      <c r="UV62" s="5"/>
      <c r="UW62" s="5"/>
      <c r="UX62" s="5"/>
      <c r="UY62" s="5"/>
      <c r="UZ62" s="5"/>
      <c r="VA62" s="5"/>
      <c r="VB62" s="5"/>
      <c r="VC62" s="5"/>
      <c r="VD62" s="5"/>
      <c r="VE62" s="5"/>
      <c r="VF62" s="5"/>
      <c r="VG62" s="5"/>
      <c r="VH62" s="5"/>
      <c r="VI62" s="5"/>
      <c r="VJ62" s="5"/>
      <c r="VK62" s="5"/>
      <c r="VL62" s="5"/>
      <c r="VM62" s="5"/>
      <c r="VN62" s="5"/>
      <c r="VO62" s="5"/>
      <c r="VP62" s="5"/>
      <c r="VQ62" s="5"/>
      <c r="VR62" s="5"/>
      <c r="VS62" s="5"/>
      <c r="VT62" s="5"/>
      <c r="VU62" s="5"/>
      <c r="VV62" s="5"/>
      <c r="VW62" s="5"/>
      <c r="VX62" s="5"/>
      <c r="VY62" s="5"/>
      <c r="VZ62" s="5"/>
      <c r="WA62" s="5"/>
      <c r="WB62" s="5"/>
      <c r="WC62" s="5"/>
      <c r="WD62" s="5"/>
      <c r="WE62" s="5"/>
      <c r="WF62" s="5"/>
      <c r="WG62" s="5"/>
      <c r="WH62" s="5"/>
      <c r="WI62" s="5"/>
      <c r="WJ62" s="5"/>
      <c r="WK62" s="5"/>
      <c r="WL62" s="5"/>
      <c r="WM62" s="5"/>
      <c r="WN62" s="5"/>
      <c r="WO62" s="5"/>
      <c r="WP62" s="5"/>
      <c r="WQ62" s="5"/>
      <c r="WR62" s="5"/>
      <c r="WS62" s="5"/>
      <c r="WT62" s="5"/>
      <c r="WU62" s="5"/>
      <c r="WV62" s="5"/>
      <c r="WW62" s="5"/>
      <c r="WX62" s="5"/>
      <c r="WY62" s="5"/>
      <c r="WZ62" s="5"/>
      <c r="XA62" s="5"/>
      <c r="XB62" s="5"/>
      <c r="XC62" s="5"/>
      <c r="XD62" s="5"/>
      <c r="XE62" s="5"/>
      <c r="XF62" s="5"/>
      <c r="XG62" s="5"/>
      <c r="XH62" s="5"/>
      <c r="XI62" s="5"/>
      <c r="XJ62" s="5"/>
      <c r="XK62" s="5"/>
      <c r="XL62" s="5"/>
      <c r="XM62" s="5"/>
      <c r="XN62" s="5"/>
      <c r="XO62" s="5"/>
      <c r="XP62" s="5"/>
      <c r="XQ62" s="5"/>
      <c r="XR62" s="5"/>
      <c r="XS62" s="5"/>
      <c r="XT62" s="5"/>
      <c r="XU62" s="5"/>
      <c r="XV62" s="5"/>
      <c r="XW62" s="5"/>
      <c r="XX62" s="5"/>
      <c r="XY62" s="5"/>
      <c r="XZ62" s="5"/>
      <c r="YA62" s="5"/>
      <c r="YB62" s="5"/>
      <c r="YC62" s="5"/>
      <c r="YD62" s="5"/>
      <c r="YE62" s="5"/>
      <c r="YF62" s="5"/>
      <c r="YG62" s="5"/>
      <c r="YH62" s="5"/>
      <c r="YI62" s="5"/>
      <c r="YJ62" s="5"/>
      <c r="YK62" s="5"/>
      <c r="YL62" s="5"/>
      <c r="YM62" s="5"/>
      <c r="YN62" s="5"/>
      <c r="YO62" s="5"/>
      <c r="YP62" s="5"/>
      <c r="YQ62" s="5"/>
      <c r="YR62" s="5"/>
      <c r="YS62" s="5"/>
      <c r="YT62" s="5"/>
      <c r="YU62" s="5"/>
      <c r="YV62" s="5"/>
      <c r="YW62" s="5"/>
      <c r="YX62" s="5"/>
      <c r="YY62" s="5"/>
      <c r="YZ62" s="5"/>
    </row>
    <row r="63" spans="1:676">
      <c r="A63" s="7">
        <v>53</v>
      </c>
      <c r="B63" s="7" t="s">
        <v>173</v>
      </c>
      <c r="C63" s="10" t="s">
        <v>174</v>
      </c>
      <c r="D63" s="7" t="s">
        <v>40</v>
      </c>
      <c r="E63" s="7" t="s">
        <v>82</v>
      </c>
      <c r="F63" s="7" t="s">
        <v>162</v>
      </c>
      <c r="G63" s="7"/>
      <c r="H63" s="7"/>
      <c r="I63" s="11">
        <v>2</v>
      </c>
      <c r="J63" s="11">
        <v>3</v>
      </c>
      <c r="K63" s="11">
        <v>0</v>
      </c>
      <c r="L63" s="11">
        <v>4.040000000000002</v>
      </c>
      <c r="M63" s="11">
        <v>0</v>
      </c>
      <c r="N63" s="11">
        <v>0</v>
      </c>
      <c r="O63" s="11">
        <v>0.2</v>
      </c>
      <c r="P63" s="11">
        <v>0.51</v>
      </c>
      <c r="Q63" s="11">
        <v>4.750000000000003</v>
      </c>
      <c r="R63" s="11">
        <v>14.50000000000001</v>
      </c>
      <c r="S63" s="11">
        <v>19.25000000000001</v>
      </c>
      <c r="T63" s="11">
        <v>2</v>
      </c>
      <c r="U63" s="11">
        <v>3</v>
      </c>
      <c r="V63" s="11">
        <v>14.25000000000001</v>
      </c>
      <c r="W63" s="13">
        <v>6</v>
      </c>
      <c r="X63" s="13">
        <v>9</v>
      </c>
      <c r="Y63" s="13" t="str">
        <f>MIN(W63,S63)</f>
        <v>0</v>
      </c>
      <c r="Z63" s="13" t="str">
        <f>MIN(X63,(S63-Y63))</f>
        <v>0</v>
      </c>
      <c r="AA63" s="13" t="str">
        <f>S63-SUM(Y63,Z63)</f>
        <v>0</v>
      </c>
      <c r="AB63" s="15"/>
      <c r="AC63" s="15"/>
      <c r="AD63" s="1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  <c r="CZ63" s="5"/>
      <c r="DA63" s="5"/>
      <c r="DB63" s="5"/>
      <c r="DC63" s="5"/>
      <c r="DD63" s="5"/>
      <c r="DE63" s="5"/>
      <c r="DF63" s="5"/>
      <c r="DG63" s="5"/>
      <c r="DH63" s="5"/>
      <c r="DI63" s="5"/>
      <c r="DJ63" s="5"/>
      <c r="DK63" s="5"/>
      <c r="DL63" s="5"/>
      <c r="DM63" s="5"/>
      <c r="DN63" s="5"/>
      <c r="DO63" s="5"/>
      <c r="DP63" s="5"/>
      <c r="DQ63" s="5"/>
      <c r="DR63" s="5"/>
      <c r="DS63" s="5"/>
      <c r="DT63" s="5"/>
      <c r="DU63" s="5"/>
      <c r="DV63" s="5"/>
      <c r="DW63" s="5"/>
      <c r="DX63" s="5"/>
      <c r="DY63" s="5"/>
      <c r="DZ63" s="5"/>
      <c r="EA63" s="5"/>
      <c r="EB63" s="5"/>
      <c r="EC63" s="5"/>
      <c r="ED63" s="5"/>
      <c r="EE63" s="5"/>
      <c r="EF63" s="5"/>
      <c r="EG63" s="5"/>
      <c r="EH63" s="5"/>
      <c r="EI63" s="5"/>
      <c r="EJ63" s="5"/>
      <c r="EK63" s="5"/>
      <c r="EL63" s="5"/>
      <c r="EM63" s="5"/>
      <c r="EN63" s="5"/>
      <c r="EO63" s="5"/>
      <c r="EP63" s="5"/>
      <c r="EQ63" s="5"/>
      <c r="ER63" s="5"/>
      <c r="ES63" s="5"/>
      <c r="ET63" s="5"/>
      <c r="EU63" s="5"/>
      <c r="EV63" s="5"/>
      <c r="EW63" s="5"/>
      <c r="EX63" s="5"/>
      <c r="EY63" s="5"/>
      <c r="EZ63" s="5"/>
      <c r="FA63" s="5"/>
      <c r="FB63" s="5"/>
      <c r="FC63" s="5"/>
      <c r="FD63" s="5"/>
      <c r="FE63" s="5"/>
      <c r="FF63" s="5"/>
      <c r="FG63" s="5"/>
      <c r="FH63" s="5"/>
      <c r="FI63" s="5"/>
      <c r="FJ63" s="5"/>
      <c r="FK63" s="5"/>
      <c r="FL63" s="5"/>
      <c r="FM63" s="5"/>
      <c r="FN63" s="5"/>
      <c r="FO63" s="5"/>
      <c r="FP63" s="5"/>
      <c r="FQ63" s="5"/>
      <c r="FR63" s="5"/>
      <c r="FS63" s="5"/>
      <c r="FT63" s="5"/>
      <c r="FU63" s="5"/>
      <c r="FV63" s="5"/>
      <c r="FW63" s="5"/>
      <c r="FX63" s="5"/>
      <c r="FY63" s="5"/>
      <c r="FZ63" s="5"/>
      <c r="GA63" s="5"/>
      <c r="GB63" s="5"/>
      <c r="GC63" s="5"/>
      <c r="GD63" s="5"/>
      <c r="GE63" s="5"/>
      <c r="GF63" s="5"/>
      <c r="GG63" s="5"/>
      <c r="GH63" s="5"/>
      <c r="GI63" s="5"/>
      <c r="GJ63" s="5"/>
      <c r="GK63" s="5"/>
      <c r="GL63" s="5"/>
      <c r="GM63" s="5"/>
      <c r="GN63" s="5"/>
      <c r="GO63" s="5"/>
      <c r="GP63" s="5"/>
      <c r="GQ63" s="5"/>
      <c r="GR63" s="5"/>
      <c r="GS63" s="5"/>
      <c r="GT63" s="5"/>
      <c r="GU63" s="5"/>
      <c r="GV63" s="5"/>
      <c r="GW63" s="5"/>
      <c r="GX63" s="5"/>
      <c r="GY63" s="5"/>
      <c r="GZ63" s="5"/>
      <c r="HA63" s="5"/>
      <c r="HB63" s="5"/>
      <c r="HC63" s="5"/>
      <c r="HD63" s="5"/>
      <c r="HE63" s="5"/>
      <c r="HF63" s="5"/>
      <c r="HG63" s="5"/>
      <c r="HH63" s="5"/>
      <c r="HI63" s="5"/>
      <c r="HJ63" s="5"/>
      <c r="HK63" s="5"/>
      <c r="HL63" s="5"/>
      <c r="HM63" s="5"/>
      <c r="HN63" s="5"/>
      <c r="HO63" s="5"/>
      <c r="HP63" s="5"/>
      <c r="HQ63" s="5"/>
      <c r="HR63" s="5"/>
      <c r="HS63" s="5"/>
      <c r="HT63" s="5"/>
      <c r="HU63" s="5"/>
      <c r="HV63" s="5"/>
      <c r="HW63" s="5"/>
      <c r="HX63" s="5"/>
      <c r="HY63" s="5"/>
      <c r="HZ63" s="5"/>
      <c r="IA63" s="5"/>
      <c r="IB63" s="5"/>
      <c r="IC63" s="5"/>
      <c r="ID63" s="5"/>
      <c r="IE63" s="5"/>
      <c r="IF63" s="5"/>
      <c r="IG63" s="5"/>
      <c r="IH63" s="5"/>
      <c r="II63" s="5"/>
      <c r="IJ63" s="5"/>
      <c r="IK63" s="5"/>
      <c r="IL63" s="5"/>
      <c r="IM63" s="5"/>
      <c r="IN63" s="5"/>
      <c r="IO63" s="5"/>
      <c r="IP63" s="5"/>
      <c r="IQ63" s="5"/>
      <c r="IR63" s="5"/>
      <c r="IS63" s="5"/>
      <c r="IT63" s="5"/>
      <c r="IU63" s="5"/>
      <c r="IV63" s="5"/>
      <c r="IW63" s="5"/>
      <c r="IX63" s="5"/>
      <c r="IY63" s="5"/>
      <c r="IZ63" s="5"/>
      <c r="JA63" s="5"/>
      <c r="JB63" s="5"/>
      <c r="JC63" s="5"/>
      <c r="JD63" s="5"/>
      <c r="JE63" s="5"/>
      <c r="JF63" s="5"/>
      <c r="JG63" s="5"/>
      <c r="JH63" s="5"/>
      <c r="JI63" s="5"/>
      <c r="JJ63" s="5"/>
      <c r="JK63" s="5"/>
      <c r="JL63" s="5"/>
      <c r="JM63" s="5"/>
      <c r="JN63" s="5"/>
      <c r="JO63" s="5"/>
      <c r="JP63" s="5"/>
      <c r="JQ63" s="5"/>
      <c r="JR63" s="5"/>
      <c r="JS63" s="5"/>
      <c r="JT63" s="5"/>
      <c r="JU63" s="5"/>
      <c r="JV63" s="5"/>
      <c r="JW63" s="5"/>
      <c r="JX63" s="5"/>
      <c r="JY63" s="5"/>
      <c r="JZ63" s="5"/>
      <c r="KA63" s="5"/>
      <c r="KB63" s="5"/>
      <c r="KC63" s="5"/>
      <c r="KD63" s="5"/>
      <c r="KE63" s="5"/>
      <c r="KF63" s="5"/>
      <c r="KG63" s="5"/>
      <c r="KH63" s="5"/>
      <c r="KI63" s="5"/>
      <c r="KJ63" s="5"/>
      <c r="KK63" s="5"/>
      <c r="KL63" s="5"/>
      <c r="KM63" s="5"/>
      <c r="KN63" s="5"/>
      <c r="KO63" s="5"/>
      <c r="KP63" s="5"/>
      <c r="KQ63" s="5"/>
      <c r="KR63" s="5"/>
      <c r="KS63" s="5"/>
      <c r="KT63" s="5"/>
      <c r="KU63" s="5"/>
      <c r="KV63" s="5"/>
      <c r="KW63" s="5"/>
      <c r="KX63" s="5"/>
      <c r="KY63" s="5"/>
      <c r="KZ63" s="5"/>
      <c r="LA63" s="5"/>
      <c r="LB63" s="5"/>
      <c r="LC63" s="5"/>
      <c r="LD63" s="5"/>
      <c r="LE63" s="5"/>
      <c r="LF63" s="5"/>
      <c r="LG63" s="5"/>
      <c r="LH63" s="5"/>
      <c r="LI63" s="5"/>
      <c r="LJ63" s="5"/>
      <c r="LK63" s="5"/>
      <c r="LL63" s="5"/>
      <c r="LM63" s="5"/>
      <c r="LN63" s="5"/>
      <c r="LO63" s="5"/>
      <c r="LP63" s="5"/>
      <c r="LQ63" s="5"/>
      <c r="LR63" s="5"/>
      <c r="LS63" s="5"/>
      <c r="LT63" s="5"/>
      <c r="LU63" s="5"/>
      <c r="LV63" s="5"/>
      <c r="LW63" s="5"/>
      <c r="LX63" s="5"/>
      <c r="LY63" s="5"/>
      <c r="LZ63" s="5"/>
      <c r="MA63" s="5"/>
      <c r="MB63" s="5"/>
      <c r="MC63" s="5"/>
      <c r="MD63" s="5"/>
      <c r="ME63" s="5"/>
      <c r="MF63" s="5"/>
      <c r="MG63" s="5"/>
      <c r="MH63" s="5"/>
      <c r="MI63" s="5"/>
      <c r="MJ63" s="5"/>
      <c r="MK63" s="5"/>
      <c r="ML63" s="5"/>
      <c r="MM63" s="5"/>
      <c r="MN63" s="5"/>
      <c r="MO63" s="5"/>
      <c r="MP63" s="5"/>
      <c r="MQ63" s="5"/>
      <c r="MR63" s="5"/>
      <c r="MS63" s="5"/>
      <c r="MT63" s="5"/>
      <c r="MU63" s="5"/>
      <c r="MV63" s="5"/>
      <c r="MW63" s="5"/>
      <c r="MX63" s="5"/>
      <c r="MY63" s="5"/>
      <c r="MZ63" s="5"/>
      <c r="NA63" s="5"/>
      <c r="NB63" s="5"/>
      <c r="NC63" s="5"/>
      <c r="ND63" s="5"/>
      <c r="NE63" s="5"/>
      <c r="NF63" s="5"/>
      <c r="NG63" s="5"/>
      <c r="NH63" s="5"/>
      <c r="NI63" s="5"/>
      <c r="NJ63" s="5"/>
      <c r="NK63" s="5"/>
      <c r="NL63" s="5"/>
      <c r="NM63" s="5"/>
      <c r="NN63" s="5"/>
      <c r="NO63" s="5"/>
      <c r="NP63" s="5"/>
      <c r="NQ63" s="5"/>
      <c r="NR63" s="5"/>
      <c r="NS63" s="5"/>
      <c r="NT63" s="5"/>
      <c r="NU63" s="5"/>
      <c r="NV63" s="5"/>
      <c r="NW63" s="5"/>
      <c r="NX63" s="5"/>
      <c r="NY63" s="5"/>
      <c r="NZ63" s="5"/>
      <c r="OA63" s="5"/>
      <c r="OB63" s="5"/>
      <c r="OC63" s="5"/>
      <c r="OD63" s="5"/>
      <c r="OE63" s="5"/>
      <c r="OF63" s="5"/>
      <c r="OG63" s="5"/>
      <c r="OH63" s="5"/>
      <c r="OI63" s="5"/>
      <c r="OJ63" s="5"/>
      <c r="OK63" s="5"/>
      <c r="OL63" s="5"/>
      <c r="OM63" s="5"/>
      <c r="ON63" s="5"/>
      <c r="OO63" s="5"/>
      <c r="OP63" s="5"/>
      <c r="OQ63" s="5"/>
      <c r="OR63" s="5"/>
      <c r="OS63" s="5"/>
      <c r="OT63" s="5"/>
      <c r="OU63" s="5"/>
      <c r="OV63" s="5"/>
      <c r="OW63" s="5"/>
      <c r="OX63" s="5"/>
      <c r="OY63" s="5"/>
      <c r="OZ63" s="5"/>
      <c r="PA63" s="5"/>
      <c r="PB63" s="5"/>
      <c r="PC63" s="5"/>
      <c r="PD63" s="5"/>
      <c r="PE63" s="5"/>
      <c r="PF63" s="5"/>
      <c r="PG63" s="5"/>
      <c r="PH63" s="5"/>
      <c r="PI63" s="5"/>
      <c r="PJ63" s="5"/>
      <c r="PK63" s="5"/>
      <c r="PL63" s="5"/>
      <c r="PM63" s="5"/>
      <c r="PN63" s="5"/>
      <c r="PO63" s="5"/>
      <c r="PP63" s="5"/>
      <c r="PQ63" s="5"/>
      <c r="PR63" s="5"/>
      <c r="PS63" s="5"/>
      <c r="PT63" s="5"/>
      <c r="PU63" s="5"/>
      <c r="PV63" s="5"/>
      <c r="PW63" s="5"/>
      <c r="PX63" s="5"/>
      <c r="PY63" s="5"/>
      <c r="PZ63" s="5"/>
      <c r="QA63" s="5"/>
      <c r="QB63" s="5"/>
      <c r="QC63" s="5"/>
      <c r="QD63" s="5"/>
      <c r="QE63" s="5"/>
      <c r="QF63" s="5"/>
      <c r="QG63" s="5"/>
      <c r="QH63" s="5"/>
      <c r="QI63" s="5"/>
      <c r="QJ63" s="5"/>
      <c r="QK63" s="5"/>
      <c r="QL63" s="5"/>
      <c r="QM63" s="5"/>
      <c r="QN63" s="5"/>
      <c r="QO63" s="5"/>
      <c r="QP63" s="5"/>
      <c r="QQ63" s="5"/>
      <c r="QR63" s="5"/>
      <c r="QS63" s="5"/>
      <c r="QT63" s="5"/>
      <c r="QU63" s="5"/>
      <c r="QV63" s="5"/>
      <c r="QW63" s="5"/>
      <c r="QX63" s="5"/>
      <c r="QY63" s="5"/>
      <c r="QZ63" s="5"/>
      <c r="RA63" s="5"/>
      <c r="RB63" s="5"/>
      <c r="RC63" s="5"/>
      <c r="RD63" s="5"/>
      <c r="RE63" s="5"/>
      <c r="RF63" s="5"/>
      <c r="RG63" s="5"/>
      <c r="RH63" s="5"/>
      <c r="RI63" s="5"/>
      <c r="RJ63" s="5"/>
      <c r="RK63" s="5"/>
      <c r="RL63" s="5"/>
      <c r="RM63" s="5"/>
      <c r="RN63" s="5"/>
      <c r="RO63" s="5"/>
      <c r="RP63" s="5"/>
      <c r="RQ63" s="5"/>
      <c r="RR63" s="5"/>
      <c r="RS63" s="5"/>
      <c r="RT63" s="5"/>
      <c r="RU63" s="5"/>
      <c r="RV63" s="5"/>
      <c r="RW63" s="5"/>
      <c r="RX63" s="5"/>
      <c r="RY63" s="5"/>
      <c r="RZ63" s="5"/>
      <c r="SA63" s="5"/>
      <c r="SB63" s="5"/>
      <c r="SC63" s="5"/>
      <c r="SD63" s="5"/>
      <c r="SE63" s="5"/>
      <c r="SF63" s="5"/>
      <c r="SG63" s="5"/>
      <c r="SH63" s="5"/>
      <c r="SI63" s="5"/>
      <c r="SJ63" s="5"/>
      <c r="SK63" s="5"/>
      <c r="SL63" s="5"/>
      <c r="SM63" s="5"/>
      <c r="SN63" s="5"/>
      <c r="SO63" s="5"/>
      <c r="SP63" s="5"/>
      <c r="SQ63" s="5"/>
      <c r="SR63" s="5"/>
      <c r="SS63" s="5"/>
      <c r="ST63" s="5"/>
      <c r="SU63" s="5"/>
      <c r="SV63" s="5"/>
      <c r="SW63" s="5"/>
      <c r="SX63" s="5"/>
      <c r="SY63" s="5"/>
      <c r="SZ63" s="5"/>
      <c r="TA63" s="5"/>
      <c r="TB63" s="5"/>
      <c r="TC63" s="5"/>
      <c r="TD63" s="5"/>
      <c r="TE63" s="5"/>
      <c r="TF63" s="5"/>
      <c r="TG63" s="5"/>
      <c r="TH63" s="5"/>
      <c r="TI63" s="5"/>
      <c r="TJ63" s="5"/>
      <c r="TK63" s="5"/>
      <c r="TL63" s="5"/>
      <c r="TM63" s="5"/>
      <c r="TN63" s="5"/>
      <c r="TO63" s="5"/>
      <c r="TP63" s="5"/>
      <c r="TQ63" s="5"/>
      <c r="TR63" s="5"/>
      <c r="TS63" s="5"/>
      <c r="TT63" s="5"/>
      <c r="TU63" s="5"/>
      <c r="TV63" s="5"/>
      <c r="TW63" s="5"/>
      <c r="TX63" s="5"/>
      <c r="TY63" s="5"/>
      <c r="TZ63" s="5"/>
      <c r="UA63" s="5"/>
      <c r="UB63" s="5"/>
      <c r="UC63" s="5"/>
      <c r="UD63" s="5"/>
      <c r="UE63" s="5"/>
      <c r="UF63" s="5"/>
      <c r="UG63" s="5"/>
      <c r="UH63" s="5"/>
      <c r="UI63" s="5"/>
      <c r="UJ63" s="5"/>
      <c r="UK63" s="5"/>
      <c r="UL63" s="5"/>
      <c r="UM63" s="5"/>
      <c r="UN63" s="5"/>
      <c r="UO63" s="5"/>
      <c r="UP63" s="5"/>
      <c r="UQ63" s="5"/>
      <c r="UR63" s="5"/>
      <c r="US63" s="5"/>
      <c r="UT63" s="5"/>
      <c r="UU63" s="5"/>
      <c r="UV63" s="5"/>
      <c r="UW63" s="5"/>
      <c r="UX63" s="5"/>
      <c r="UY63" s="5"/>
      <c r="UZ63" s="5"/>
      <c r="VA63" s="5"/>
      <c r="VB63" s="5"/>
      <c r="VC63" s="5"/>
      <c r="VD63" s="5"/>
      <c r="VE63" s="5"/>
      <c r="VF63" s="5"/>
      <c r="VG63" s="5"/>
      <c r="VH63" s="5"/>
      <c r="VI63" s="5"/>
      <c r="VJ63" s="5"/>
      <c r="VK63" s="5"/>
      <c r="VL63" s="5"/>
      <c r="VM63" s="5"/>
      <c r="VN63" s="5"/>
      <c r="VO63" s="5"/>
      <c r="VP63" s="5"/>
      <c r="VQ63" s="5"/>
      <c r="VR63" s="5"/>
      <c r="VS63" s="5"/>
      <c r="VT63" s="5"/>
      <c r="VU63" s="5"/>
      <c r="VV63" s="5"/>
      <c r="VW63" s="5"/>
      <c r="VX63" s="5"/>
      <c r="VY63" s="5"/>
      <c r="VZ63" s="5"/>
      <c r="WA63" s="5"/>
      <c r="WB63" s="5"/>
      <c r="WC63" s="5"/>
      <c r="WD63" s="5"/>
      <c r="WE63" s="5"/>
      <c r="WF63" s="5"/>
      <c r="WG63" s="5"/>
      <c r="WH63" s="5"/>
      <c r="WI63" s="5"/>
      <c r="WJ63" s="5"/>
      <c r="WK63" s="5"/>
      <c r="WL63" s="5"/>
      <c r="WM63" s="5"/>
      <c r="WN63" s="5"/>
      <c r="WO63" s="5"/>
      <c r="WP63" s="5"/>
      <c r="WQ63" s="5"/>
      <c r="WR63" s="5"/>
      <c r="WS63" s="5"/>
      <c r="WT63" s="5"/>
      <c r="WU63" s="5"/>
      <c r="WV63" s="5"/>
      <c r="WW63" s="5"/>
      <c r="WX63" s="5"/>
      <c r="WY63" s="5"/>
      <c r="WZ63" s="5"/>
      <c r="XA63" s="5"/>
      <c r="XB63" s="5"/>
      <c r="XC63" s="5"/>
      <c r="XD63" s="5"/>
      <c r="XE63" s="5"/>
      <c r="XF63" s="5"/>
      <c r="XG63" s="5"/>
      <c r="XH63" s="5"/>
      <c r="XI63" s="5"/>
      <c r="XJ63" s="5"/>
      <c r="XK63" s="5"/>
      <c r="XL63" s="5"/>
      <c r="XM63" s="5"/>
      <c r="XN63" s="5"/>
      <c r="XO63" s="5"/>
      <c r="XP63" s="5"/>
      <c r="XQ63" s="5"/>
      <c r="XR63" s="5"/>
      <c r="XS63" s="5"/>
      <c r="XT63" s="5"/>
      <c r="XU63" s="5"/>
      <c r="XV63" s="5"/>
      <c r="XW63" s="5"/>
      <c r="XX63" s="5"/>
      <c r="XY63" s="5"/>
      <c r="XZ63" s="5"/>
      <c r="YA63" s="5"/>
      <c r="YB63" s="5"/>
      <c r="YC63" s="5"/>
      <c r="YD63" s="5"/>
      <c r="YE63" s="5"/>
      <c r="YF63" s="5"/>
      <c r="YG63" s="5"/>
      <c r="YH63" s="5"/>
      <c r="YI63" s="5"/>
      <c r="YJ63" s="5"/>
      <c r="YK63" s="5"/>
      <c r="YL63" s="5"/>
      <c r="YM63" s="5"/>
      <c r="YN63" s="5"/>
      <c r="YO63" s="5"/>
      <c r="YP63" s="5"/>
      <c r="YQ63" s="5"/>
      <c r="YR63" s="5"/>
      <c r="YS63" s="5"/>
      <c r="YT63" s="5"/>
      <c r="YU63" s="5"/>
      <c r="YV63" s="5"/>
      <c r="YW63" s="5"/>
      <c r="YX63" s="5"/>
      <c r="YY63" s="5"/>
      <c r="YZ63" s="5"/>
    </row>
    <row r="64" spans="1:676">
      <c r="A64" s="7">
        <v>54</v>
      </c>
      <c r="B64" s="7" t="s">
        <v>175</v>
      </c>
      <c r="C64" s="10" t="s">
        <v>176</v>
      </c>
      <c r="D64" s="7" t="s">
        <v>40</v>
      </c>
      <c r="E64" s="7" t="s">
        <v>78</v>
      </c>
      <c r="F64" s="7" t="s">
        <v>172</v>
      </c>
      <c r="G64" s="7"/>
      <c r="H64" s="7"/>
      <c r="I64" s="11">
        <v>2</v>
      </c>
      <c r="J64" s="11">
        <v>3</v>
      </c>
      <c r="K64" s="11">
        <v>0</v>
      </c>
      <c r="L64" s="11">
        <v>4.480000000000002</v>
      </c>
      <c r="M64" s="11">
        <v>0.08</v>
      </c>
      <c r="N64" s="11">
        <v>0</v>
      </c>
      <c r="O64" s="11">
        <v>0.18</v>
      </c>
      <c r="P64" s="11">
        <v>1.48</v>
      </c>
      <c r="Q64" s="11">
        <v>6.220000000000003</v>
      </c>
      <c r="R64" s="11">
        <v>13.06000000000001</v>
      </c>
      <c r="S64" s="11">
        <v>19.28000000000001</v>
      </c>
      <c r="T64" s="11">
        <v>2</v>
      </c>
      <c r="U64" s="11">
        <v>3</v>
      </c>
      <c r="V64" s="11">
        <v>14.28000000000001</v>
      </c>
      <c r="W64" s="13">
        <v>6</v>
      </c>
      <c r="X64" s="13">
        <v>9</v>
      </c>
      <c r="Y64" s="13" t="str">
        <f>MIN(W64,S64)</f>
        <v>0</v>
      </c>
      <c r="Z64" s="13" t="str">
        <f>MIN(X64,(S64-Y64))</f>
        <v>0</v>
      </c>
      <c r="AA64" s="13" t="str">
        <f>S64-SUM(Y64,Z64)</f>
        <v>0</v>
      </c>
      <c r="AB64" s="15"/>
      <c r="AC64" s="15"/>
      <c r="AD64" s="1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  <c r="CZ64" s="5"/>
      <c r="DA64" s="5"/>
      <c r="DB64" s="5"/>
      <c r="DC64" s="5"/>
      <c r="DD64" s="5"/>
      <c r="DE64" s="5"/>
      <c r="DF64" s="5"/>
      <c r="DG64" s="5"/>
      <c r="DH64" s="5"/>
      <c r="DI64" s="5"/>
      <c r="DJ64" s="5"/>
      <c r="DK64" s="5"/>
      <c r="DL64" s="5"/>
      <c r="DM64" s="5"/>
      <c r="DN64" s="5"/>
      <c r="DO64" s="5"/>
      <c r="DP64" s="5"/>
      <c r="DQ64" s="5"/>
      <c r="DR64" s="5"/>
      <c r="DS64" s="5"/>
      <c r="DT64" s="5"/>
      <c r="DU64" s="5"/>
      <c r="DV64" s="5"/>
      <c r="DW64" s="5"/>
      <c r="DX64" s="5"/>
      <c r="DY64" s="5"/>
      <c r="DZ64" s="5"/>
      <c r="EA64" s="5"/>
      <c r="EB64" s="5"/>
      <c r="EC64" s="5"/>
      <c r="ED64" s="5"/>
      <c r="EE64" s="5"/>
      <c r="EF64" s="5"/>
      <c r="EG64" s="5"/>
      <c r="EH64" s="5"/>
      <c r="EI64" s="5"/>
      <c r="EJ64" s="5"/>
      <c r="EK64" s="5"/>
      <c r="EL64" s="5"/>
      <c r="EM64" s="5"/>
      <c r="EN64" s="5"/>
      <c r="EO64" s="5"/>
      <c r="EP64" s="5"/>
      <c r="EQ64" s="5"/>
      <c r="ER64" s="5"/>
      <c r="ES64" s="5"/>
      <c r="ET64" s="5"/>
      <c r="EU64" s="5"/>
      <c r="EV64" s="5"/>
      <c r="EW64" s="5"/>
      <c r="EX64" s="5"/>
      <c r="EY64" s="5"/>
      <c r="EZ64" s="5"/>
      <c r="FA64" s="5"/>
      <c r="FB64" s="5"/>
      <c r="FC64" s="5"/>
      <c r="FD64" s="5"/>
      <c r="FE64" s="5"/>
      <c r="FF64" s="5"/>
      <c r="FG64" s="5"/>
      <c r="FH64" s="5"/>
      <c r="FI64" s="5"/>
      <c r="FJ64" s="5"/>
      <c r="FK64" s="5"/>
      <c r="FL64" s="5"/>
      <c r="FM64" s="5"/>
      <c r="FN64" s="5"/>
      <c r="FO64" s="5"/>
      <c r="FP64" s="5"/>
      <c r="FQ64" s="5"/>
      <c r="FR64" s="5"/>
      <c r="FS64" s="5"/>
      <c r="FT64" s="5"/>
      <c r="FU64" s="5"/>
      <c r="FV64" s="5"/>
      <c r="FW64" s="5"/>
      <c r="FX64" s="5"/>
      <c r="FY64" s="5"/>
      <c r="FZ64" s="5"/>
      <c r="GA64" s="5"/>
      <c r="GB64" s="5"/>
      <c r="GC64" s="5"/>
      <c r="GD64" s="5"/>
      <c r="GE64" s="5"/>
      <c r="GF64" s="5"/>
      <c r="GG64" s="5"/>
      <c r="GH64" s="5"/>
      <c r="GI64" s="5"/>
      <c r="GJ64" s="5"/>
      <c r="GK64" s="5"/>
      <c r="GL64" s="5"/>
      <c r="GM64" s="5"/>
      <c r="GN64" s="5"/>
      <c r="GO64" s="5"/>
      <c r="GP64" s="5"/>
      <c r="GQ64" s="5"/>
      <c r="GR64" s="5"/>
      <c r="GS64" s="5"/>
      <c r="GT64" s="5"/>
      <c r="GU64" s="5"/>
      <c r="GV64" s="5"/>
      <c r="GW64" s="5"/>
      <c r="GX64" s="5"/>
      <c r="GY64" s="5"/>
      <c r="GZ64" s="5"/>
      <c r="HA64" s="5"/>
      <c r="HB64" s="5"/>
      <c r="HC64" s="5"/>
      <c r="HD64" s="5"/>
      <c r="HE64" s="5"/>
      <c r="HF64" s="5"/>
      <c r="HG64" s="5"/>
      <c r="HH64" s="5"/>
      <c r="HI64" s="5"/>
      <c r="HJ64" s="5"/>
      <c r="HK64" s="5"/>
      <c r="HL64" s="5"/>
      <c r="HM64" s="5"/>
      <c r="HN64" s="5"/>
      <c r="HO64" s="5"/>
      <c r="HP64" s="5"/>
      <c r="HQ64" s="5"/>
      <c r="HR64" s="5"/>
      <c r="HS64" s="5"/>
      <c r="HT64" s="5"/>
      <c r="HU64" s="5"/>
      <c r="HV64" s="5"/>
      <c r="HW64" s="5"/>
      <c r="HX64" s="5"/>
      <c r="HY64" s="5"/>
      <c r="HZ64" s="5"/>
      <c r="IA64" s="5"/>
      <c r="IB64" s="5"/>
      <c r="IC64" s="5"/>
      <c r="ID64" s="5"/>
      <c r="IE64" s="5"/>
      <c r="IF64" s="5"/>
      <c r="IG64" s="5"/>
      <c r="IH64" s="5"/>
      <c r="II64" s="5"/>
      <c r="IJ64" s="5"/>
      <c r="IK64" s="5"/>
      <c r="IL64" s="5"/>
      <c r="IM64" s="5"/>
      <c r="IN64" s="5"/>
      <c r="IO64" s="5"/>
      <c r="IP64" s="5"/>
      <c r="IQ64" s="5"/>
      <c r="IR64" s="5"/>
      <c r="IS64" s="5"/>
      <c r="IT64" s="5"/>
      <c r="IU64" s="5"/>
      <c r="IV64" s="5"/>
      <c r="IW64" s="5"/>
      <c r="IX64" s="5"/>
      <c r="IY64" s="5"/>
      <c r="IZ64" s="5"/>
      <c r="JA64" s="5"/>
      <c r="JB64" s="5"/>
      <c r="JC64" s="5"/>
      <c r="JD64" s="5"/>
      <c r="JE64" s="5"/>
      <c r="JF64" s="5"/>
      <c r="JG64" s="5"/>
      <c r="JH64" s="5"/>
      <c r="JI64" s="5"/>
      <c r="JJ64" s="5"/>
      <c r="JK64" s="5"/>
      <c r="JL64" s="5"/>
      <c r="JM64" s="5"/>
      <c r="JN64" s="5"/>
      <c r="JO64" s="5"/>
      <c r="JP64" s="5"/>
      <c r="JQ64" s="5"/>
      <c r="JR64" s="5"/>
      <c r="JS64" s="5"/>
      <c r="JT64" s="5"/>
      <c r="JU64" s="5"/>
      <c r="JV64" s="5"/>
      <c r="JW64" s="5"/>
      <c r="JX64" s="5"/>
      <c r="JY64" s="5"/>
      <c r="JZ64" s="5"/>
      <c r="KA64" s="5"/>
      <c r="KB64" s="5"/>
      <c r="KC64" s="5"/>
      <c r="KD64" s="5"/>
      <c r="KE64" s="5"/>
      <c r="KF64" s="5"/>
      <c r="KG64" s="5"/>
      <c r="KH64" s="5"/>
      <c r="KI64" s="5"/>
      <c r="KJ64" s="5"/>
      <c r="KK64" s="5"/>
      <c r="KL64" s="5"/>
      <c r="KM64" s="5"/>
      <c r="KN64" s="5"/>
      <c r="KO64" s="5"/>
      <c r="KP64" s="5"/>
      <c r="KQ64" s="5"/>
      <c r="KR64" s="5"/>
      <c r="KS64" s="5"/>
      <c r="KT64" s="5"/>
      <c r="KU64" s="5"/>
      <c r="KV64" s="5"/>
      <c r="KW64" s="5"/>
      <c r="KX64" s="5"/>
      <c r="KY64" s="5"/>
      <c r="KZ64" s="5"/>
      <c r="LA64" s="5"/>
      <c r="LB64" s="5"/>
      <c r="LC64" s="5"/>
      <c r="LD64" s="5"/>
      <c r="LE64" s="5"/>
      <c r="LF64" s="5"/>
      <c r="LG64" s="5"/>
      <c r="LH64" s="5"/>
      <c r="LI64" s="5"/>
      <c r="LJ64" s="5"/>
      <c r="LK64" s="5"/>
      <c r="LL64" s="5"/>
      <c r="LM64" s="5"/>
      <c r="LN64" s="5"/>
      <c r="LO64" s="5"/>
      <c r="LP64" s="5"/>
      <c r="LQ64" s="5"/>
      <c r="LR64" s="5"/>
      <c r="LS64" s="5"/>
      <c r="LT64" s="5"/>
      <c r="LU64" s="5"/>
      <c r="LV64" s="5"/>
      <c r="LW64" s="5"/>
      <c r="LX64" s="5"/>
      <c r="LY64" s="5"/>
      <c r="LZ64" s="5"/>
      <c r="MA64" s="5"/>
      <c r="MB64" s="5"/>
      <c r="MC64" s="5"/>
      <c r="MD64" s="5"/>
      <c r="ME64" s="5"/>
      <c r="MF64" s="5"/>
      <c r="MG64" s="5"/>
      <c r="MH64" s="5"/>
      <c r="MI64" s="5"/>
      <c r="MJ64" s="5"/>
      <c r="MK64" s="5"/>
      <c r="ML64" s="5"/>
      <c r="MM64" s="5"/>
      <c r="MN64" s="5"/>
      <c r="MO64" s="5"/>
      <c r="MP64" s="5"/>
      <c r="MQ64" s="5"/>
      <c r="MR64" s="5"/>
      <c r="MS64" s="5"/>
      <c r="MT64" s="5"/>
      <c r="MU64" s="5"/>
      <c r="MV64" s="5"/>
      <c r="MW64" s="5"/>
      <c r="MX64" s="5"/>
      <c r="MY64" s="5"/>
      <c r="MZ64" s="5"/>
      <c r="NA64" s="5"/>
      <c r="NB64" s="5"/>
      <c r="NC64" s="5"/>
      <c r="ND64" s="5"/>
      <c r="NE64" s="5"/>
      <c r="NF64" s="5"/>
      <c r="NG64" s="5"/>
      <c r="NH64" s="5"/>
      <c r="NI64" s="5"/>
      <c r="NJ64" s="5"/>
      <c r="NK64" s="5"/>
      <c r="NL64" s="5"/>
      <c r="NM64" s="5"/>
      <c r="NN64" s="5"/>
      <c r="NO64" s="5"/>
      <c r="NP64" s="5"/>
      <c r="NQ64" s="5"/>
      <c r="NR64" s="5"/>
      <c r="NS64" s="5"/>
      <c r="NT64" s="5"/>
      <c r="NU64" s="5"/>
      <c r="NV64" s="5"/>
      <c r="NW64" s="5"/>
      <c r="NX64" s="5"/>
      <c r="NY64" s="5"/>
      <c r="NZ64" s="5"/>
      <c r="OA64" s="5"/>
      <c r="OB64" s="5"/>
      <c r="OC64" s="5"/>
      <c r="OD64" s="5"/>
      <c r="OE64" s="5"/>
      <c r="OF64" s="5"/>
      <c r="OG64" s="5"/>
      <c r="OH64" s="5"/>
      <c r="OI64" s="5"/>
      <c r="OJ64" s="5"/>
      <c r="OK64" s="5"/>
      <c r="OL64" s="5"/>
      <c r="OM64" s="5"/>
      <c r="ON64" s="5"/>
      <c r="OO64" s="5"/>
      <c r="OP64" s="5"/>
      <c r="OQ64" s="5"/>
      <c r="OR64" s="5"/>
      <c r="OS64" s="5"/>
      <c r="OT64" s="5"/>
      <c r="OU64" s="5"/>
      <c r="OV64" s="5"/>
      <c r="OW64" s="5"/>
      <c r="OX64" s="5"/>
      <c r="OY64" s="5"/>
      <c r="OZ64" s="5"/>
      <c r="PA64" s="5"/>
      <c r="PB64" s="5"/>
      <c r="PC64" s="5"/>
      <c r="PD64" s="5"/>
      <c r="PE64" s="5"/>
      <c r="PF64" s="5"/>
      <c r="PG64" s="5"/>
      <c r="PH64" s="5"/>
      <c r="PI64" s="5"/>
      <c r="PJ64" s="5"/>
      <c r="PK64" s="5"/>
      <c r="PL64" s="5"/>
      <c r="PM64" s="5"/>
      <c r="PN64" s="5"/>
      <c r="PO64" s="5"/>
      <c r="PP64" s="5"/>
      <c r="PQ64" s="5"/>
      <c r="PR64" s="5"/>
      <c r="PS64" s="5"/>
      <c r="PT64" s="5"/>
      <c r="PU64" s="5"/>
      <c r="PV64" s="5"/>
      <c r="PW64" s="5"/>
      <c r="PX64" s="5"/>
      <c r="PY64" s="5"/>
      <c r="PZ64" s="5"/>
      <c r="QA64" s="5"/>
      <c r="QB64" s="5"/>
      <c r="QC64" s="5"/>
      <c r="QD64" s="5"/>
      <c r="QE64" s="5"/>
      <c r="QF64" s="5"/>
      <c r="QG64" s="5"/>
      <c r="QH64" s="5"/>
      <c r="QI64" s="5"/>
      <c r="QJ64" s="5"/>
      <c r="QK64" s="5"/>
      <c r="QL64" s="5"/>
      <c r="QM64" s="5"/>
      <c r="QN64" s="5"/>
      <c r="QO64" s="5"/>
      <c r="QP64" s="5"/>
      <c r="QQ64" s="5"/>
      <c r="QR64" s="5"/>
      <c r="QS64" s="5"/>
      <c r="QT64" s="5"/>
      <c r="QU64" s="5"/>
      <c r="QV64" s="5"/>
      <c r="QW64" s="5"/>
      <c r="QX64" s="5"/>
      <c r="QY64" s="5"/>
      <c r="QZ64" s="5"/>
      <c r="RA64" s="5"/>
      <c r="RB64" s="5"/>
      <c r="RC64" s="5"/>
      <c r="RD64" s="5"/>
      <c r="RE64" s="5"/>
      <c r="RF64" s="5"/>
      <c r="RG64" s="5"/>
      <c r="RH64" s="5"/>
      <c r="RI64" s="5"/>
      <c r="RJ64" s="5"/>
      <c r="RK64" s="5"/>
      <c r="RL64" s="5"/>
      <c r="RM64" s="5"/>
      <c r="RN64" s="5"/>
      <c r="RO64" s="5"/>
      <c r="RP64" s="5"/>
      <c r="RQ64" s="5"/>
      <c r="RR64" s="5"/>
      <c r="RS64" s="5"/>
      <c r="RT64" s="5"/>
      <c r="RU64" s="5"/>
      <c r="RV64" s="5"/>
      <c r="RW64" s="5"/>
      <c r="RX64" s="5"/>
      <c r="RY64" s="5"/>
      <c r="RZ64" s="5"/>
      <c r="SA64" s="5"/>
      <c r="SB64" s="5"/>
      <c r="SC64" s="5"/>
      <c r="SD64" s="5"/>
      <c r="SE64" s="5"/>
      <c r="SF64" s="5"/>
      <c r="SG64" s="5"/>
      <c r="SH64" s="5"/>
      <c r="SI64" s="5"/>
      <c r="SJ64" s="5"/>
      <c r="SK64" s="5"/>
      <c r="SL64" s="5"/>
      <c r="SM64" s="5"/>
      <c r="SN64" s="5"/>
      <c r="SO64" s="5"/>
      <c r="SP64" s="5"/>
      <c r="SQ64" s="5"/>
      <c r="SR64" s="5"/>
      <c r="SS64" s="5"/>
      <c r="ST64" s="5"/>
      <c r="SU64" s="5"/>
      <c r="SV64" s="5"/>
      <c r="SW64" s="5"/>
      <c r="SX64" s="5"/>
      <c r="SY64" s="5"/>
      <c r="SZ64" s="5"/>
      <c r="TA64" s="5"/>
      <c r="TB64" s="5"/>
      <c r="TC64" s="5"/>
      <c r="TD64" s="5"/>
      <c r="TE64" s="5"/>
      <c r="TF64" s="5"/>
      <c r="TG64" s="5"/>
      <c r="TH64" s="5"/>
      <c r="TI64" s="5"/>
      <c r="TJ64" s="5"/>
      <c r="TK64" s="5"/>
      <c r="TL64" s="5"/>
      <c r="TM64" s="5"/>
      <c r="TN64" s="5"/>
      <c r="TO64" s="5"/>
      <c r="TP64" s="5"/>
      <c r="TQ64" s="5"/>
      <c r="TR64" s="5"/>
      <c r="TS64" s="5"/>
      <c r="TT64" s="5"/>
      <c r="TU64" s="5"/>
      <c r="TV64" s="5"/>
      <c r="TW64" s="5"/>
      <c r="TX64" s="5"/>
      <c r="TY64" s="5"/>
      <c r="TZ64" s="5"/>
      <c r="UA64" s="5"/>
      <c r="UB64" s="5"/>
      <c r="UC64" s="5"/>
      <c r="UD64" s="5"/>
      <c r="UE64" s="5"/>
      <c r="UF64" s="5"/>
      <c r="UG64" s="5"/>
      <c r="UH64" s="5"/>
      <c r="UI64" s="5"/>
      <c r="UJ64" s="5"/>
      <c r="UK64" s="5"/>
      <c r="UL64" s="5"/>
      <c r="UM64" s="5"/>
      <c r="UN64" s="5"/>
      <c r="UO64" s="5"/>
      <c r="UP64" s="5"/>
      <c r="UQ64" s="5"/>
      <c r="UR64" s="5"/>
      <c r="US64" s="5"/>
      <c r="UT64" s="5"/>
      <c r="UU64" s="5"/>
      <c r="UV64" s="5"/>
      <c r="UW64" s="5"/>
      <c r="UX64" s="5"/>
      <c r="UY64" s="5"/>
      <c r="UZ64" s="5"/>
      <c r="VA64" s="5"/>
      <c r="VB64" s="5"/>
      <c r="VC64" s="5"/>
      <c r="VD64" s="5"/>
      <c r="VE64" s="5"/>
      <c r="VF64" s="5"/>
      <c r="VG64" s="5"/>
      <c r="VH64" s="5"/>
      <c r="VI64" s="5"/>
      <c r="VJ64" s="5"/>
      <c r="VK64" s="5"/>
      <c r="VL64" s="5"/>
      <c r="VM64" s="5"/>
      <c r="VN64" s="5"/>
      <c r="VO64" s="5"/>
      <c r="VP64" s="5"/>
      <c r="VQ64" s="5"/>
      <c r="VR64" s="5"/>
      <c r="VS64" s="5"/>
      <c r="VT64" s="5"/>
      <c r="VU64" s="5"/>
      <c r="VV64" s="5"/>
      <c r="VW64" s="5"/>
      <c r="VX64" s="5"/>
      <c r="VY64" s="5"/>
      <c r="VZ64" s="5"/>
      <c r="WA64" s="5"/>
      <c r="WB64" s="5"/>
      <c r="WC64" s="5"/>
      <c r="WD64" s="5"/>
      <c r="WE64" s="5"/>
      <c r="WF64" s="5"/>
      <c r="WG64" s="5"/>
      <c r="WH64" s="5"/>
      <c r="WI64" s="5"/>
      <c r="WJ64" s="5"/>
      <c r="WK64" s="5"/>
      <c r="WL64" s="5"/>
      <c r="WM64" s="5"/>
      <c r="WN64" s="5"/>
      <c r="WO64" s="5"/>
      <c r="WP64" s="5"/>
      <c r="WQ64" s="5"/>
      <c r="WR64" s="5"/>
      <c r="WS64" s="5"/>
      <c r="WT64" s="5"/>
      <c r="WU64" s="5"/>
      <c r="WV64" s="5"/>
      <c r="WW64" s="5"/>
      <c r="WX64" s="5"/>
      <c r="WY64" s="5"/>
      <c r="WZ64" s="5"/>
      <c r="XA64" s="5"/>
      <c r="XB64" s="5"/>
      <c r="XC64" s="5"/>
      <c r="XD64" s="5"/>
      <c r="XE64" s="5"/>
      <c r="XF64" s="5"/>
      <c r="XG64" s="5"/>
      <c r="XH64" s="5"/>
      <c r="XI64" s="5"/>
      <c r="XJ64" s="5"/>
      <c r="XK64" s="5"/>
      <c r="XL64" s="5"/>
      <c r="XM64" s="5"/>
      <c r="XN64" s="5"/>
      <c r="XO64" s="5"/>
      <c r="XP64" s="5"/>
      <c r="XQ64" s="5"/>
      <c r="XR64" s="5"/>
      <c r="XS64" s="5"/>
      <c r="XT64" s="5"/>
      <c r="XU64" s="5"/>
      <c r="XV64" s="5"/>
      <c r="XW64" s="5"/>
      <c r="XX64" s="5"/>
      <c r="XY64" s="5"/>
      <c r="XZ64" s="5"/>
      <c r="YA64" s="5"/>
      <c r="YB64" s="5"/>
      <c r="YC64" s="5"/>
      <c r="YD64" s="5"/>
      <c r="YE64" s="5"/>
      <c r="YF64" s="5"/>
      <c r="YG64" s="5"/>
      <c r="YH64" s="5"/>
      <c r="YI64" s="5"/>
      <c r="YJ64" s="5"/>
      <c r="YK64" s="5"/>
      <c r="YL64" s="5"/>
      <c r="YM64" s="5"/>
      <c r="YN64" s="5"/>
      <c r="YO64" s="5"/>
      <c r="YP64" s="5"/>
      <c r="YQ64" s="5"/>
      <c r="YR64" s="5"/>
      <c r="YS64" s="5"/>
      <c r="YT64" s="5"/>
      <c r="YU64" s="5"/>
      <c r="YV64" s="5"/>
      <c r="YW64" s="5"/>
      <c r="YX64" s="5"/>
      <c r="YY64" s="5"/>
      <c r="YZ64" s="5"/>
    </row>
    <row r="65" spans="1:676">
      <c r="A65" s="7">
        <v>55</v>
      </c>
      <c r="B65" s="7" t="s">
        <v>177</v>
      </c>
      <c r="C65" s="10" t="s">
        <v>178</v>
      </c>
      <c r="D65" s="7" t="s">
        <v>46</v>
      </c>
      <c r="E65" s="7" t="s">
        <v>82</v>
      </c>
      <c r="F65" s="7" t="s">
        <v>179</v>
      </c>
      <c r="G65" s="7"/>
      <c r="H65" s="7" t="s">
        <v>79</v>
      </c>
      <c r="I65" s="11">
        <v>2</v>
      </c>
      <c r="J65" s="11">
        <v>0</v>
      </c>
      <c r="K65" s="11">
        <v>0</v>
      </c>
      <c r="L65" s="11">
        <v>0</v>
      </c>
      <c r="M65" s="11">
        <v>0</v>
      </c>
      <c r="N65" s="11">
        <v>0</v>
      </c>
      <c r="O65" s="11">
        <v>0</v>
      </c>
      <c r="P65" s="11">
        <v>0.17</v>
      </c>
      <c r="Q65" s="11">
        <v>0.17</v>
      </c>
      <c r="R65" s="11">
        <v>0.34</v>
      </c>
      <c r="S65" s="11">
        <v>0.51</v>
      </c>
      <c r="T65" s="11">
        <v>0.51</v>
      </c>
      <c r="U65" s="11">
        <v>0</v>
      </c>
      <c r="V65" s="11">
        <v>0</v>
      </c>
      <c r="W65" s="13">
        <v>6</v>
      </c>
      <c r="X65" s="13">
        <v>0</v>
      </c>
      <c r="Y65" s="13" t="str">
        <f>MIN(W65,S65)</f>
        <v>0</v>
      </c>
      <c r="Z65" s="13" t="str">
        <f>MIN(X65,(S65-Y65))</f>
        <v>0</v>
      </c>
      <c r="AA65" s="13" t="str">
        <f>S65-SUM(Y65,Z65)</f>
        <v>0</v>
      </c>
      <c r="AB65" s="15"/>
      <c r="AC65" s="15"/>
      <c r="AD65" s="1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  <c r="CZ65" s="5"/>
      <c r="DA65" s="5"/>
      <c r="DB65" s="5"/>
      <c r="DC65" s="5"/>
      <c r="DD65" s="5"/>
      <c r="DE65" s="5"/>
      <c r="DF65" s="5"/>
      <c r="DG65" s="5"/>
      <c r="DH65" s="5"/>
      <c r="DI65" s="5"/>
      <c r="DJ65" s="5"/>
      <c r="DK65" s="5"/>
      <c r="DL65" s="5"/>
      <c r="DM65" s="5"/>
      <c r="DN65" s="5"/>
      <c r="DO65" s="5"/>
      <c r="DP65" s="5"/>
      <c r="DQ65" s="5"/>
      <c r="DR65" s="5"/>
      <c r="DS65" s="5"/>
      <c r="DT65" s="5"/>
      <c r="DU65" s="5"/>
      <c r="DV65" s="5"/>
      <c r="DW65" s="5"/>
      <c r="DX65" s="5"/>
      <c r="DY65" s="5"/>
      <c r="DZ65" s="5"/>
      <c r="EA65" s="5"/>
      <c r="EB65" s="5"/>
      <c r="EC65" s="5"/>
      <c r="ED65" s="5"/>
      <c r="EE65" s="5"/>
      <c r="EF65" s="5"/>
      <c r="EG65" s="5"/>
      <c r="EH65" s="5"/>
      <c r="EI65" s="5"/>
      <c r="EJ65" s="5"/>
      <c r="EK65" s="5"/>
      <c r="EL65" s="5"/>
      <c r="EM65" s="5"/>
      <c r="EN65" s="5"/>
      <c r="EO65" s="5"/>
      <c r="EP65" s="5"/>
      <c r="EQ65" s="5"/>
      <c r="ER65" s="5"/>
      <c r="ES65" s="5"/>
      <c r="ET65" s="5"/>
      <c r="EU65" s="5"/>
      <c r="EV65" s="5"/>
      <c r="EW65" s="5"/>
      <c r="EX65" s="5"/>
      <c r="EY65" s="5"/>
      <c r="EZ65" s="5"/>
      <c r="FA65" s="5"/>
      <c r="FB65" s="5"/>
      <c r="FC65" s="5"/>
      <c r="FD65" s="5"/>
      <c r="FE65" s="5"/>
      <c r="FF65" s="5"/>
      <c r="FG65" s="5"/>
      <c r="FH65" s="5"/>
      <c r="FI65" s="5"/>
      <c r="FJ65" s="5"/>
      <c r="FK65" s="5"/>
      <c r="FL65" s="5"/>
      <c r="FM65" s="5"/>
      <c r="FN65" s="5"/>
      <c r="FO65" s="5"/>
      <c r="FP65" s="5"/>
      <c r="FQ65" s="5"/>
      <c r="FR65" s="5"/>
      <c r="FS65" s="5"/>
      <c r="FT65" s="5"/>
      <c r="FU65" s="5"/>
      <c r="FV65" s="5"/>
      <c r="FW65" s="5"/>
      <c r="FX65" s="5"/>
      <c r="FY65" s="5"/>
      <c r="FZ65" s="5"/>
      <c r="GA65" s="5"/>
      <c r="GB65" s="5"/>
      <c r="GC65" s="5"/>
      <c r="GD65" s="5"/>
      <c r="GE65" s="5"/>
      <c r="GF65" s="5"/>
      <c r="GG65" s="5"/>
      <c r="GH65" s="5"/>
      <c r="GI65" s="5"/>
      <c r="GJ65" s="5"/>
      <c r="GK65" s="5"/>
      <c r="GL65" s="5"/>
      <c r="GM65" s="5"/>
      <c r="GN65" s="5"/>
      <c r="GO65" s="5"/>
      <c r="GP65" s="5"/>
      <c r="GQ65" s="5"/>
      <c r="GR65" s="5"/>
      <c r="GS65" s="5"/>
      <c r="GT65" s="5"/>
      <c r="GU65" s="5"/>
      <c r="GV65" s="5"/>
      <c r="GW65" s="5"/>
      <c r="GX65" s="5"/>
      <c r="GY65" s="5"/>
      <c r="GZ65" s="5"/>
      <c r="HA65" s="5"/>
      <c r="HB65" s="5"/>
      <c r="HC65" s="5"/>
      <c r="HD65" s="5"/>
      <c r="HE65" s="5"/>
      <c r="HF65" s="5"/>
      <c r="HG65" s="5"/>
      <c r="HH65" s="5"/>
      <c r="HI65" s="5"/>
      <c r="HJ65" s="5"/>
      <c r="HK65" s="5"/>
      <c r="HL65" s="5"/>
      <c r="HM65" s="5"/>
      <c r="HN65" s="5"/>
      <c r="HO65" s="5"/>
      <c r="HP65" s="5"/>
      <c r="HQ65" s="5"/>
      <c r="HR65" s="5"/>
      <c r="HS65" s="5"/>
      <c r="HT65" s="5"/>
      <c r="HU65" s="5"/>
      <c r="HV65" s="5"/>
      <c r="HW65" s="5"/>
      <c r="HX65" s="5"/>
      <c r="HY65" s="5"/>
      <c r="HZ65" s="5"/>
      <c r="IA65" s="5"/>
      <c r="IB65" s="5"/>
      <c r="IC65" s="5"/>
      <c r="ID65" s="5"/>
      <c r="IE65" s="5"/>
      <c r="IF65" s="5"/>
      <c r="IG65" s="5"/>
      <c r="IH65" s="5"/>
      <c r="II65" s="5"/>
      <c r="IJ65" s="5"/>
      <c r="IK65" s="5"/>
      <c r="IL65" s="5"/>
      <c r="IM65" s="5"/>
      <c r="IN65" s="5"/>
      <c r="IO65" s="5"/>
      <c r="IP65" s="5"/>
      <c r="IQ65" s="5"/>
      <c r="IR65" s="5"/>
      <c r="IS65" s="5"/>
      <c r="IT65" s="5"/>
      <c r="IU65" s="5"/>
      <c r="IV65" s="5"/>
      <c r="IW65" s="5"/>
      <c r="IX65" s="5"/>
      <c r="IY65" s="5"/>
      <c r="IZ65" s="5"/>
      <c r="JA65" s="5"/>
      <c r="JB65" s="5"/>
      <c r="JC65" s="5"/>
      <c r="JD65" s="5"/>
      <c r="JE65" s="5"/>
      <c r="JF65" s="5"/>
      <c r="JG65" s="5"/>
      <c r="JH65" s="5"/>
      <c r="JI65" s="5"/>
      <c r="JJ65" s="5"/>
      <c r="JK65" s="5"/>
      <c r="JL65" s="5"/>
      <c r="JM65" s="5"/>
      <c r="JN65" s="5"/>
      <c r="JO65" s="5"/>
      <c r="JP65" s="5"/>
      <c r="JQ65" s="5"/>
      <c r="JR65" s="5"/>
      <c r="JS65" s="5"/>
      <c r="JT65" s="5"/>
      <c r="JU65" s="5"/>
      <c r="JV65" s="5"/>
      <c r="JW65" s="5"/>
      <c r="JX65" s="5"/>
      <c r="JY65" s="5"/>
      <c r="JZ65" s="5"/>
      <c r="KA65" s="5"/>
      <c r="KB65" s="5"/>
      <c r="KC65" s="5"/>
      <c r="KD65" s="5"/>
      <c r="KE65" s="5"/>
      <c r="KF65" s="5"/>
      <c r="KG65" s="5"/>
      <c r="KH65" s="5"/>
      <c r="KI65" s="5"/>
      <c r="KJ65" s="5"/>
      <c r="KK65" s="5"/>
      <c r="KL65" s="5"/>
      <c r="KM65" s="5"/>
      <c r="KN65" s="5"/>
      <c r="KO65" s="5"/>
      <c r="KP65" s="5"/>
      <c r="KQ65" s="5"/>
      <c r="KR65" s="5"/>
      <c r="KS65" s="5"/>
      <c r="KT65" s="5"/>
      <c r="KU65" s="5"/>
      <c r="KV65" s="5"/>
      <c r="KW65" s="5"/>
      <c r="KX65" s="5"/>
      <c r="KY65" s="5"/>
      <c r="KZ65" s="5"/>
      <c r="LA65" s="5"/>
      <c r="LB65" s="5"/>
      <c r="LC65" s="5"/>
      <c r="LD65" s="5"/>
      <c r="LE65" s="5"/>
      <c r="LF65" s="5"/>
      <c r="LG65" s="5"/>
      <c r="LH65" s="5"/>
      <c r="LI65" s="5"/>
      <c r="LJ65" s="5"/>
      <c r="LK65" s="5"/>
      <c r="LL65" s="5"/>
      <c r="LM65" s="5"/>
      <c r="LN65" s="5"/>
      <c r="LO65" s="5"/>
      <c r="LP65" s="5"/>
      <c r="LQ65" s="5"/>
      <c r="LR65" s="5"/>
      <c r="LS65" s="5"/>
      <c r="LT65" s="5"/>
      <c r="LU65" s="5"/>
      <c r="LV65" s="5"/>
      <c r="LW65" s="5"/>
      <c r="LX65" s="5"/>
      <c r="LY65" s="5"/>
      <c r="LZ65" s="5"/>
      <c r="MA65" s="5"/>
      <c r="MB65" s="5"/>
      <c r="MC65" s="5"/>
      <c r="MD65" s="5"/>
      <c r="ME65" s="5"/>
      <c r="MF65" s="5"/>
      <c r="MG65" s="5"/>
      <c r="MH65" s="5"/>
      <c r="MI65" s="5"/>
      <c r="MJ65" s="5"/>
      <c r="MK65" s="5"/>
      <c r="ML65" s="5"/>
      <c r="MM65" s="5"/>
      <c r="MN65" s="5"/>
      <c r="MO65" s="5"/>
      <c r="MP65" s="5"/>
      <c r="MQ65" s="5"/>
      <c r="MR65" s="5"/>
      <c r="MS65" s="5"/>
      <c r="MT65" s="5"/>
      <c r="MU65" s="5"/>
      <c r="MV65" s="5"/>
      <c r="MW65" s="5"/>
      <c r="MX65" s="5"/>
      <c r="MY65" s="5"/>
      <c r="MZ65" s="5"/>
      <c r="NA65" s="5"/>
      <c r="NB65" s="5"/>
      <c r="NC65" s="5"/>
      <c r="ND65" s="5"/>
      <c r="NE65" s="5"/>
      <c r="NF65" s="5"/>
      <c r="NG65" s="5"/>
      <c r="NH65" s="5"/>
      <c r="NI65" s="5"/>
      <c r="NJ65" s="5"/>
      <c r="NK65" s="5"/>
      <c r="NL65" s="5"/>
      <c r="NM65" s="5"/>
      <c r="NN65" s="5"/>
      <c r="NO65" s="5"/>
      <c r="NP65" s="5"/>
      <c r="NQ65" s="5"/>
      <c r="NR65" s="5"/>
      <c r="NS65" s="5"/>
      <c r="NT65" s="5"/>
      <c r="NU65" s="5"/>
      <c r="NV65" s="5"/>
      <c r="NW65" s="5"/>
      <c r="NX65" s="5"/>
      <c r="NY65" s="5"/>
      <c r="NZ65" s="5"/>
      <c r="OA65" s="5"/>
      <c r="OB65" s="5"/>
      <c r="OC65" s="5"/>
      <c r="OD65" s="5"/>
      <c r="OE65" s="5"/>
      <c r="OF65" s="5"/>
      <c r="OG65" s="5"/>
      <c r="OH65" s="5"/>
      <c r="OI65" s="5"/>
      <c r="OJ65" s="5"/>
      <c r="OK65" s="5"/>
      <c r="OL65" s="5"/>
      <c r="OM65" s="5"/>
      <c r="ON65" s="5"/>
      <c r="OO65" s="5"/>
      <c r="OP65" s="5"/>
      <c r="OQ65" s="5"/>
      <c r="OR65" s="5"/>
      <c r="OS65" s="5"/>
      <c r="OT65" s="5"/>
      <c r="OU65" s="5"/>
      <c r="OV65" s="5"/>
      <c r="OW65" s="5"/>
      <c r="OX65" s="5"/>
      <c r="OY65" s="5"/>
      <c r="OZ65" s="5"/>
      <c r="PA65" s="5"/>
      <c r="PB65" s="5"/>
      <c r="PC65" s="5"/>
      <c r="PD65" s="5"/>
      <c r="PE65" s="5"/>
      <c r="PF65" s="5"/>
      <c r="PG65" s="5"/>
      <c r="PH65" s="5"/>
      <c r="PI65" s="5"/>
      <c r="PJ65" s="5"/>
      <c r="PK65" s="5"/>
      <c r="PL65" s="5"/>
      <c r="PM65" s="5"/>
      <c r="PN65" s="5"/>
      <c r="PO65" s="5"/>
      <c r="PP65" s="5"/>
      <c r="PQ65" s="5"/>
      <c r="PR65" s="5"/>
      <c r="PS65" s="5"/>
      <c r="PT65" s="5"/>
      <c r="PU65" s="5"/>
      <c r="PV65" s="5"/>
      <c r="PW65" s="5"/>
      <c r="PX65" s="5"/>
      <c r="PY65" s="5"/>
      <c r="PZ65" s="5"/>
      <c r="QA65" s="5"/>
      <c r="QB65" s="5"/>
      <c r="QC65" s="5"/>
      <c r="QD65" s="5"/>
      <c r="QE65" s="5"/>
      <c r="QF65" s="5"/>
      <c r="QG65" s="5"/>
      <c r="QH65" s="5"/>
      <c r="QI65" s="5"/>
      <c r="QJ65" s="5"/>
      <c r="QK65" s="5"/>
      <c r="QL65" s="5"/>
      <c r="QM65" s="5"/>
      <c r="QN65" s="5"/>
      <c r="QO65" s="5"/>
      <c r="QP65" s="5"/>
      <c r="QQ65" s="5"/>
      <c r="QR65" s="5"/>
      <c r="QS65" s="5"/>
      <c r="QT65" s="5"/>
      <c r="QU65" s="5"/>
      <c r="QV65" s="5"/>
      <c r="QW65" s="5"/>
      <c r="QX65" s="5"/>
      <c r="QY65" s="5"/>
      <c r="QZ65" s="5"/>
      <c r="RA65" s="5"/>
      <c r="RB65" s="5"/>
      <c r="RC65" s="5"/>
      <c r="RD65" s="5"/>
      <c r="RE65" s="5"/>
      <c r="RF65" s="5"/>
      <c r="RG65" s="5"/>
      <c r="RH65" s="5"/>
      <c r="RI65" s="5"/>
      <c r="RJ65" s="5"/>
      <c r="RK65" s="5"/>
      <c r="RL65" s="5"/>
      <c r="RM65" s="5"/>
      <c r="RN65" s="5"/>
      <c r="RO65" s="5"/>
      <c r="RP65" s="5"/>
      <c r="RQ65" s="5"/>
      <c r="RR65" s="5"/>
      <c r="RS65" s="5"/>
      <c r="RT65" s="5"/>
      <c r="RU65" s="5"/>
      <c r="RV65" s="5"/>
      <c r="RW65" s="5"/>
      <c r="RX65" s="5"/>
      <c r="RY65" s="5"/>
      <c r="RZ65" s="5"/>
      <c r="SA65" s="5"/>
      <c r="SB65" s="5"/>
      <c r="SC65" s="5"/>
      <c r="SD65" s="5"/>
      <c r="SE65" s="5"/>
      <c r="SF65" s="5"/>
      <c r="SG65" s="5"/>
      <c r="SH65" s="5"/>
      <c r="SI65" s="5"/>
      <c r="SJ65" s="5"/>
      <c r="SK65" s="5"/>
      <c r="SL65" s="5"/>
      <c r="SM65" s="5"/>
      <c r="SN65" s="5"/>
      <c r="SO65" s="5"/>
      <c r="SP65" s="5"/>
      <c r="SQ65" s="5"/>
      <c r="SR65" s="5"/>
      <c r="SS65" s="5"/>
      <c r="ST65" s="5"/>
      <c r="SU65" s="5"/>
      <c r="SV65" s="5"/>
      <c r="SW65" s="5"/>
      <c r="SX65" s="5"/>
      <c r="SY65" s="5"/>
      <c r="SZ65" s="5"/>
      <c r="TA65" s="5"/>
      <c r="TB65" s="5"/>
      <c r="TC65" s="5"/>
      <c r="TD65" s="5"/>
      <c r="TE65" s="5"/>
      <c r="TF65" s="5"/>
      <c r="TG65" s="5"/>
      <c r="TH65" s="5"/>
      <c r="TI65" s="5"/>
      <c r="TJ65" s="5"/>
      <c r="TK65" s="5"/>
      <c r="TL65" s="5"/>
      <c r="TM65" s="5"/>
      <c r="TN65" s="5"/>
      <c r="TO65" s="5"/>
      <c r="TP65" s="5"/>
      <c r="TQ65" s="5"/>
      <c r="TR65" s="5"/>
      <c r="TS65" s="5"/>
      <c r="TT65" s="5"/>
      <c r="TU65" s="5"/>
      <c r="TV65" s="5"/>
      <c r="TW65" s="5"/>
      <c r="TX65" s="5"/>
      <c r="TY65" s="5"/>
      <c r="TZ65" s="5"/>
      <c r="UA65" s="5"/>
      <c r="UB65" s="5"/>
      <c r="UC65" s="5"/>
      <c r="UD65" s="5"/>
      <c r="UE65" s="5"/>
      <c r="UF65" s="5"/>
      <c r="UG65" s="5"/>
      <c r="UH65" s="5"/>
      <c r="UI65" s="5"/>
      <c r="UJ65" s="5"/>
      <c r="UK65" s="5"/>
      <c r="UL65" s="5"/>
      <c r="UM65" s="5"/>
      <c r="UN65" s="5"/>
      <c r="UO65" s="5"/>
      <c r="UP65" s="5"/>
      <c r="UQ65" s="5"/>
      <c r="UR65" s="5"/>
      <c r="US65" s="5"/>
      <c r="UT65" s="5"/>
      <c r="UU65" s="5"/>
      <c r="UV65" s="5"/>
      <c r="UW65" s="5"/>
      <c r="UX65" s="5"/>
      <c r="UY65" s="5"/>
      <c r="UZ65" s="5"/>
      <c r="VA65" s="5"/>
      <c r="VB65" s="5"/>
      <c r="VC65" s="5"/>
      <c r="VD65" s="5"/>
      <c r="VE65" s="5"/>
      <c r="VF65" s="5"/>
      <c r="VG65" s="5"/>
      <c r="VH65" s="5"/>
      <c r="VI65" s="5"/>
      <c r="VJ65" s="5"/>
      <c r="VK65" s="5"/>
      <c r="VL65" s="5"/>
      <c r="VM65" s="5"/>
      <c r="VN65" s="5"/>
      <c r="VO65" s="5"/>
      <c r="VP65" s="5"/>
      <c r="VQ65" s="5"/>
      <c r="VR65" s="5"/>
      <c r="VS65" s="5"/>
      <c r="VT65" s="5"/>
      <c r="VU65" s="5"/>
      <c r="VV65" s="5"/>
      <c r="VW65" s="5"/>
      <c r="VX65" s="5"/>
      <c r="VY65" s="5"/>
      <c r="VZ65" s="5"/>
      <c r="WA65" s="5"/>
      <c r="WB65" s="5"/>
      <c r="WC65" s="5"/>
      <c r="WD65" s="5"/>
      <c r="WE65" s="5"/>
      <c r="WF65" s="5"/>
      <c r="WG65" s="5"/>
      <c r="WH65" s="5"/>
      <c r="WI65" s="5"/>
      <c r="WJ65" s="5"/>
      <c r="WK65" s="5"/>
      <c r="WL65" s="5"/>
      <c r="WM65" s="5"/>
      <c r="WN65" s="5"/>
      <c r="WO65" s="5"/>
      <c r="WP65" s="5"/>
      <c r="WQ65" s="5"/>
      <c r="WR65" s="5"/>
      <c r="WS65" s="5"/>
      <c r="WT65" s="5"/>
      <c r="WU65" s="5"/>
      <c r="WV65" s="5"/>
      <c r="WW65" s="5"/>
      <c r="WX65" s="5"/>
      <c r="WY65" s="5"/>
      <c r="WZ65" s="5"/>
      <c r="XA65" s="5"/>
      <c r="XB65" s="5"/>
      <c r="XC65" s="5"/>
      <c r="XD65" s="5"/>
      <c r="XE65" s="5"/>
      <c r="XF65" s="5"/>
      <c r="XG65" s="5"/>
      <c r="XH65" s="5"/>
      <c r="XI65" s="5"/>
      <c r="XJ65" s="5"/>
      <c r="XK65" s="5"/>
      <c r="XL65" s="5"/>
      <c r="XM65" s="5"/>
      <c r="XN65" s="5"/>
      <c r="XO65" s="5"/>
      <c r="XP65" s="5"/>
      <c r="XQ65" s="5"/>
      <c r="XR65" s="5"/>
      <c r="XS65" s="5"/>
      <c r="XT65" s="5"/>
      <c r="XU65" s="5"/>
      <c r="XV65" s="5"/>
      <c r="XW65" s="5"/>
      <c r="XX65" s="5"/>
      <c r="XY65" s="5"/>
      <c r="XZ65" s="5"/>
      <c r="YA65" s="5"/>
      <c r="YB65" s="5"/>
      <c r="YC65" s="5"/>
      <c r="YD65" s="5"/>
      <c r="YE65" s="5"/>
      <c r="YF65" s="5"/>
      <c r="YG65" s="5"/>
      <c r="YH65" s="5"/>
      <c r="YI65" s="5"/>
      <c r="YJ65" s="5"/>
      <c r="YK65" s="5"/>
      <c r="YL65" s="5"/>
      <c r="YM65" s="5"/>
      <c r="YN65" s="5"/>
      <c r="YO65" s="5"/>
      <c r="YP65" s="5"/>
      <c r="YQ65" s="5"/>
      <c r="YR65" s="5"/>
      <c r="YS65" s="5"/>
      <c r="YT65" s="5"/>
      <c r="YU65" s="5"/>
      <c r="YV65" s="5"/>
      <c r="YW65" s="5"/>
      <c r="YX65" s="5"/>
      <c r="YY65" s="5"/>
      <c r="YZ65" s="5"/>
    </row>
    <row r="66" spans="1:676">
      <c r="A66" s="7">
        <v>56</v>
      </c>
      <c r="B66" s="7" t="s">
        <v>180</v>
      </c>
      <c r="C66" s="10" t="s">
        <v>181</v>
      </c>
      <c r="D66" s="7" t="s">
        <v>46</v>
      </c>
      <c r="E66" s="7" t="s">
        <v>78</v>
      </c>
      <c r="F66" s="7" t="s">
        <v>172</v>
      </c>
      <c r="G66" s="7"/>
      <c r="H66" s="7"/>
      <c r="I66" s="11">
        <v>2</v>
      </c>
      <c r="J66" s="11">
        <v>3</v>
      </c>
      <c r="K66" s="11">
        <v>0</v>
      </c>
      <c r="L66" s="11">
        <v>0</v>
      </c>
      <c r="M66" s="11">
        <v>0.24</v>
      </c>
      <c r="N66" s="11">
        <v>0</v>
      </c>
      <c r="O66" s="11">
        <v>0.18</v>
      </c>
      <c r="P66" s="11">
        <v>0.34</v>
      </c>
      <c r="Q66" s="11">
        <v>0.76</v>
      </c>
      <c r="R66" s="11">
        <v>2.12</v>
      </c>
      <c r="S66" s="11">
        <v>2.88</v>
      </c>
      <c r="T66" s="11">
        <v>2</v>
      </c>
      <c r="U66" s="11">
        <v>0.8799999999999999</v>
      </c>
      <c r="V66" s="11">
        <v>0</v>
      </c>
      <c r="W66" s="13">
        <v>6</v>
      </c>
      <c r="X66" s="13">
        <v>9</v>
      </c>
      <c r="Y66" s="13" t="str">
        <f>MIN(W66,S66)</f>
        <v>0</v>
      </c>
      <c r="Z66" s="13" t="str">
        <f>MIN(X66,(S66-Y66))</f>
        <v>0</v>
      </c>
      <c r="AA66" s="13" t="str">
        <f>S66-SUM(Y66,Z66)</f>
        <v>0</v>
      </c>
      <c r="AB66" s="15"/>
      <c r="AC66" s="15"/>
      <c r="AD66" s="1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  <c r="CZ66" s="5"/>
      <c r="DA66" s="5"/>
      <c r="DB66" s="5"/>
      <c r="DC66" s="5"/>
      <c r="DD66" s="5"/>
      <c r="DE66" s="5"/>
      <c r="DF66" s="5"/>
      <c r="DG66" s="5"/>
      <c r="DH66" s="5"/>
      <c r="DI66" s="5"/>
      <c r="DJ66" s="5"/>
      <c r="DK66" s="5"/>
      <c r="DL66" s="5"/>
      <c r="DM66" s="5"/>
      <c r="DN66" s="5"/>
      <c r="DO66" s="5"/>
      <c r="DP66" s="5"/>
      <c r="DQ66" s="5"/>
      <c r="DR66" s="5"/>
      <c r="DS66" s="5"/>
      <c r="DT66" s="5"/>
      <c r="DU66" s="5"/>
      <c r="DV66" s="5"/>
      <c r="DW66" s="5"/>
      <c r="DX66" s="5"/>
      <c r="DY66" s="5"/>
      <c r="DZ66" s="5"/>
      <c r="EA66" s="5"/>
      <c r="EB66" s="5"/>
      <c r="EC66" s="5"/>
      <c r="ED66" s="5"/>
      <c r="EE66" s="5"/>
      <c r="EF66" s="5"/>
      <c r="EG66" s="5"/>
      <c r="EH66" s="5"/>
      <c r="EI66" s="5"/>
      <c r="EJ66" s="5"/>
      <c r="EK66" s="5"/>
      <c r="EL66" s="5"/>
      <c r="EM66" s="5"/>
      <c r="EN66" s="5"/>
      <c r="EO66" s="5"/>
      <c r="EP66" s="5"/>
      <c r="EQ66" s="5"/>
      <c r="ER66" s="5"/>
      <c r="ES66" s="5"/>
      <c r="ET66" s="5"/>
      <c r="EU66" s="5"/>
      <c r="EV66" s="5"/>
      <c r="EW66" s="5"/>
      <c r="EX66" s="5"/>
      <c r="EY66" s="5"/>
      <c r="EZ66" s="5"/>
      <c r="FA66" s="5"/>
      <c r="FB66" s="5"/>
      <c r="FC66" s="5"/>
      <c r="FD66" s="5"/>
      <c r="FE66" s="5"/>
      <c r="FF66" s="5"/>
      <c r="FG66" s="5"/>
      <c r="FH66" s="5"/>
      <c r="FI66" s="5"/>
      <c r="FJ66" s="5"/>
      <c r="FK66" s="5"/>
      <c r="FL66" s="5"/>
      <c r="FM66" s="5"/>
      <c r="FN66" s="5"/>
      <c r="FO66" s="5"/>
      <c r="FP66" s="5"/>
      <c r="FQ66" s="5"/>
      <c r="FR66" s="5"/>
      <c r="FS66" s="5"/>
      <c r="FT66" s="5"/>
      <c r="FU66" s="5"/>
      <c r="FV66" s="5"/>
      <c r="FW66" s="5"/>
      <c r="FX66" s="5"/>
      <c r="FY66" s="5"/>
      <c r="FZ66" s="5"/>
      <c r="GA66" s="5"/>
      <c r="GB66" s="5"/>
      <c r="GC66" s="5"/>
      <c r="GD66" s="5"/>
      <c r="GE66" s="5"/>
      <c r="GF66" s="5"/>
      <c r="GG66" s="5"/>
      <c r="GH66" s="5"/>
      <c r="GI66" s="5"/>
      <c r="GJ66" s="5"/>
      <c r="GK66" s="5"/>
      <c r="GL66" s="5"/>
      <c r="GM66" s="5"/>
      <c r="GN66" s="5"/>
      <c r="GO66" s="5"/>
      <c r="GP66" s="5"/>
      <c r="GQ66" s="5"/>
      <c r="GR66" s="5"/>
      <c r="GS66" s="5"/>
      <c r="GT66" s="5"/>
      <c r="GU66" s="5"/>
      <c r="GV66" s="5"/>
      <c r="GW66" s="5"/>
      <c r="GX66" s="5"/>
      <c r="GY66" s="5"/>
      <c r="GZ66" s="5"/>
      <c r="HA66" s="5"/>
      <c r="HB66" s="5"/>
      <c r="HC66" s="5"/>
      <c r="HD66" s="5"/>
      <c r="HE66" s="5"/>
      <c r="HF66" s="5"/>
      <c r="HG66" s="5"/>
      <c r="HH66" s="5"/>
      <c r="HI66" s="5"/>
      <c r="HJ66" s="5"/>
      <c r="HK66" s="5"/>
      <c r="HL66" s="5"/>
      <c r="HM66" s="5"/>
      <c r="HN66" s="5"/>
      <c r="HO66" s="5"/>
      <c r="HP66" s="5"/>
      <c r="HQ66" s="5"/>
      <c r="HR66" s="5"/>
      <c r="HS66" s="5"/>
      <c r="HT66" s="5"/>
      <c r="HU66" s="5"/>
      <c r="HV66" s="5"/>
      <c r="HW66" s="5"/>
      <c r="HX66" s="5"/>
      <c r="HY66" s="5"/>
      <c r="HZ66" s="5"/>
      <c r="IA66" s="5"/>
      <c r="IB66" s="5"/>
      <c r="IC66" s="5"/>
      <c r="ID66" s="5"/>
      <c r="IE66" s="5"/>
      <c r="IF66" s="5"/>
      <c r="IG66" s="5"/>
      <c r="IH66" s="5"/>
      <c r="II66" s="5"/>
      <c r="IJ66" s="5"/>
      <c r="IK66" s="5"/>
      <c r="IL66" s="5"/>
      <c r="IM66" s="5"/>
      <c r="IN66" s="5"/>
      <c r="IO66" s="5"/>
      <c r="IP66" s="5"/>
      <c r="IQ66" s="5"/>
      <c r="IR66" s="5"/>
      <c r="IS66" s="5"/>
      <c r="IT66" s="5"/>
      <c r="IU66" s="5"/>
      <c r="IV66" s="5"/>
      <c r="IW66" s="5"/>
      <c r="IX66" s="5"/>
      <c r="IY66" s="5"/>
      <c r="IZ66" s="5"/>
      <c r="JA66" s="5"/>
      <c r="JB66" s="5"/>
      <c r="JC66" s="5"/>
      <c r="JD66" s="5"/>
      <c r="JE66" s="5"/>
      <c r="JF66" s="5"/>
      <c r="JG66" s="5"/>
      <c r="JH66" s="5"/>
      <c r="JI66" s="5"/>
      <c r="JJ66" s="5"/>
      <c r="JK66" s="5"/>
      <c r="JL66" s="5"/>
      <c r="JM66" s="5"/>
      <c r="JN66" s="5"/>
      <c r="JO66" s="5"/>
      <c r="JP66" s="5"/>
      <c r="JQ66" s="5"/>
      <c r="JR66" s="5"/>
      <c r="JS66" s="5"/>
      <c r="JT66" s="5"/>
      <c r="JU66" s="5"/>
      <c r="JV66" s="5"/>
      <c r="JW66" s="5"/>
      <c r="JX66" s="5"/>
      <c r="JY66" s="5"/>
      <c r="JZ66" s="5"/>
      <c r="KA66" s="5"/>
      <c r="KB66" s="5"/>
      <c r="KC66" s="5"/>
      <c r="KD66" s="5"/>
      <c r="KE66" s="5"/>
      <c r="KF66" s="5"/>
      <c r="KG66" s="5"/>
      <c r="KH66" s="5"/>
      <c r="KI66" s="5"/>
      <c r="KJ66" s="5"/>
      <c r="KK66" s="5"/>
      <c r="KL66" s="5"/>
      <c r="KM66" s="5"/>
      <c r="KN66" s="5"/>
      <c r="KO66" s="5"/>
      <c r="KP66" s="5"/>
      <c r="KQ66" s="5"/>
      <c r="KR66" s="5"/>
      <c r="KS66" s="5"/>
      <c r="KT66" s="5"/>
      <c r="KU66" s="5"/>
      <c r="KV66" s="5"/>
      <c r="KW66" s="5"/>
      <c r="KX66" s="5"/>
      <c r="KY66" s="5"/>
      <c r="KZ66" s="5"/>
      <c r="LA66" s="5"/>
      <c r="LB66" s="5"/>
      <c r="LC66" s="5"/>
      <c r="LD66" s="5"/>
      <c r="LE66" s="5"/>
      <c r="LF66" s="5"/>
      <c r="LG66" s="5"/>
      <c r="LH66" s="5"/>
      <c r="LI66" s="5"/>
      <c r="LJ66" s="5"/>
      <c r="LK66" s="5"/>
      <c r="LL66" s="5"/>
      <c r="LM66" s="5"/>
      <c r="LN66" s="5"/>
      <c r="LO66" s="5"/>
      <c r="LP66" s="5"/>
      <c r="LQ66" s="5"/>
      <c r="LR66" s="5"/>
      <c r="LS66" s="5"/>
      <c r="LT66" s="5"/>
      <c r="LU66" s="5"/>
      <c r="LV66" s="5"/>
      <c r="LW66" s="5"/>
      <c r="LX66" s="5"/>
      <c r="LY66" s="5"/>
      <c r="LZ66" s="5"/>
      <c r="MA66" s="5"/>
      <c r="MB66" s="5"/>
      <c r="MC66" s="5"/>
      <c r="MD66" s="5"/>
      <c r="ME66" s="5"/>
      <c r="MF66" s="5"/>
      <c r="MG66" s="5"/>
      <c r="MH66" s="5"/>
      <c r="MI66" s="5"/>
      <c r="MJ66" s="5"/>
      <c r="MK66" s="5"/>
      <c r="ML66" s="5"/>
      <c r="MM66" s="5"/>
      <c r="MN66" s="5"/>
      <c r="MO66" s="5"/>
      <c r="MP66" s="5"/>
      <c r="MQ66" s="5"/>
      <c r="MR66" s="5"/>
      <c r="MS66" s="5"/>
      <c r="MT66" s="5"/>
      <c r="MU66" s="5"/>
      <c r="MV66" s="5"/>
      <c r="MW66" s="5"/>
      <c r="MX66" s="5"/>
      <c r="MY66" s="5"/>
      <c r="MZ66" s="5"/>
      <c r="NA66" s="5"/>
      <c r="NB66" s="5"/>
      <c r="NC66" s="5"/>
      <c r="ND66" s="5"/>
      <c r="NE66" s="5"/>
      <c r="NF66" s="5"/>
      <c r="NG66" s="5"/>
      <c r="NH66" s="5"/>
      <c r="NI66" s="5"/>
      <c r="NJ66" s="5"/>
      <c r="NK66" s="5"/>
      <c r="NL66" s="5"/>
      <c r="NM66" s="5"/>
      <c r="NN66" s="5"/>
      <c r="NO66" s="5"/>
      <c r="NP66" s="5"/>
      <c r="NQ66" s="5"/>
      <c r="NR66" s="5"/>
      <c r="NS66" s="5"/>
      <c r="NT66" s="5"/>
      <c r="NU66" s="5"/>
      <c r="NV66" s="5"/>
      <c r="NW66" s="5"/>
      <c r="NX66" s="5"/>
      <c r="NY66" s="5"/>
      <c r="NZ66" s="5"/>
      <c r="OA66" s="5"/>
      <c r="OB66" s="5"/>
      <c r="OC66" s="5"/>
      <c r="OD66" s="5"/>
      <c r="OE66" s="5"/>
      <c r="OF66" s="5"/>
      <c r="OG66" s="5"/>
      <c r="OH66" s="5"/>
      <c r="OI66" s="5"/>
      <c r="OJ66" s="5"/>
      <c r="OK66" s="5"/>
      <c r="OL66" s="5"/>
      <c r="OM66" s="5"/>
      <c r="ON66" s="5"/>
      <c r="OO66" s="5"/>
      <c r="OP66" s="5"/>
      <c r="OQ66" s="5"/>
      <c r="OR66" s="5"/>
      <c r="OS66" s="5"/>
      <c r="OT66" s="5"/>
      <c r="OU66" s="5"/>
      <c r="OV66" s="5"/>
      <c r="OW66" s="5"/>
      <c r="OX66" s="5"/>
      <c r="OY66" s="5"/>
      <c r="OZ66" s="5"/>
      <c r="PA66" s="5"/>
      <c r="PB66" s="5"/>
      <c r="PC66" s="5"/>
      <c r="PD66" s="5"/>
      <c r="PE66" s="5"/>
      <c r="PF66" s="5"/>
      <c r="PG66" s="5"/>
      <c r="PH66" s="5"/>
      <c r="PI66" s="5"/>
      <c r="PJ66" s="5"/>
      <c r="PK66" s="5"/>
      <c r="PL66" s="5"/>
      <c r="PM66" s="5"/>
      <c r="PN66" s="5"/>
      <c r="PO66" s="5"/>
      <c r="PP66" s="5"/>
      <c r="PQ66" s="5"/>
      <c r="PR66" s="5"/>
      <c r="PS66" s="5"/>
      <c r="PT66" s="5"/>
      <c r="PU66" s="5"/>
      <c r="PV66" s="5"/>
      <c r="PW66" s="5"/>
      <c r="PX66" s="5"/>
      <c r="PY66" s="5"/>
      <c r="PZ66" s="5"/>
      <c r="QA66" s="5"/>
      <c r="QB66" s="5"/>
      <c r="QC66" s="5"/>
      <c r="QD66" s="5"/>
      <c r="QE66" s="5"/>
      <c r="QF66" s="5"/>
      <c r="QG66" s="5"/>
      <c r="QH66" s="5"/>
      <c r="QI66" s="5"/>
      <c r="QJ66" s="5"/>
      <c r="QK66" s="5"/>
      <c r="QL66" s="5"/>
      <c r="QM66" s="5"/>
      <c r="QN66" s="5"/>
      <c r="QO66" s="5"/>
      <c r="QP66" s="5"/>
      <c r="QQ66" s="5"/>
      <c r="QR66" s="5"/>
      <c r="QS66" s="5"/>
      <c r="QT66" s="5"/>
      <c r="QU66" s="5"/>
      <c r="QV66" s="5"/>
      <c r="QW66" s="5"/>
      <c r="QX66" s="5"/>
      <c r="QY66" s="5"/>
      <c r="QZ66" s="5"/>
      <c r="RA66" s="5"/>
      <c r="RB66" s="5"/>
      <c r="RC66" s="5"/>
      <c r="RD66" s="5"/>
      <c r="RE66" s="5"/>
      <c r="RF66" s="5"/>
      <c r="RG66" s="5"/>
      <c r="RH66" s="5"/>
      <c r="RI66" s="5"/>
      <c r="RJ66" s="5"/>
      <c r="RK66" s="5"/>
      <c r="RL66" s="5"/>
      <c r="RM66" s="5"/>
      <c r="RN66" s="5"/>
      <c r="RO66" s="5"/>
      <c r="RP66" s="5"/>
      <c r="RQ66" s="5"/>
      <c r="RR66" s="5"/>
      <c r="RS66" s="5"/>
      <c r="RT66" s="5"/>
      <c r="RU66" s="5"/>
      <c r="RV66" s="5"/>
      <c r="RW66" s="5"/>
      <c r="RX66" s="5"/>
      <c r="RY66" s="5"/>
      <c r="RZ66" s="5"/>
      <c r="SA66" s="5"/>
      <c r="SB66" s="5"/>
      <c r="SC66" s="5"/>
      <c r="SD66" s="5"/>
      <c r="SE66" s="5"/>
      <c r="SF66" s="5"/>
      <c r="SG66" s="5"/>
      <c r="SH66" s="5"/>
      <c r="SI66" s="5"/>
      <c r="SJ66" s="5"/>
      <c r="SK66" s="5"/>
      <c r="SL66" s="5"/>
      <c r="SM66" s="5"/>
      <c r="SN66" s="5"/>
      <c r="SO66" s="5"/>
      <c r="SP66" s="5"/>
      <c r="SQ66" s="5"/>
      <c r="SR66" s="5"/>
      <c r="SS66" s="5"/>
      <c r="ST66" s="5"/>
      <c r="SU66" s="5"/>
      <c r="SV66" s="5"/>
      <c r="SW66" s="5"/>
      <c r="SX66" s="5"/>
      <c r="SY66" s="5"/>
      <c r="SZ66" s="5"/>
      <c r="TA66" s="5"/>
      <c r="TB66" s="5"/>
      <c r="TC66" s="5"/>
      <c r="TD66" s="5"/>
      <c r="TE66" s="5"/>
      <c r="TF66" s="5"/>
      <c r="TG66" s="5"/>
      <c r="TH66" s="5"/>
      <c r="TI66" s="5"/>
      <c r="TJ66" s="5"/>
      <c r="TK66" s="5"/>
      <c r="TL66" s="5"/>
      <c r="TM66" s="5"/>
      <c r="TN66" s="5"/>
      <c r="TO66" s="5"/>
      <c r="TP66" s="5"/>
      <c r="TQ66" s="5"/>
      <c r="TR66" s="5"/>
      <c r="TS66" s="5"/>
      <c r="TT66" s="5"/>
      <c r="TU66" s="5"/>
      <c r="TV66" s="5"/>
      <c r="TW66" s="5"/>
      <c r="TX66" s="5"/>
      <c r="TY66" s="5"/>
      <c r="TZ66" s="5"/>
      <c r="UA66" s="5"/>
      <c r="UB66" s="5"/>
      <c r="UC66" s="5"/>
      <c r="UD66" s="5"/>
      <c r="UE66" s="5"/>
      <c r="UF66" s="5"/>
      <c r="UG66" s="5"/>
      <c r="UH66" s="5"/>
      <c r="UI66" s="5"/>
      <c r="UJ66" s="5"/>
      <c r="UK66" s="5"/>
      <c r="UL66" s="5"/>
      <c r="UM66" s="5"/>
      <c r="UN66" s="5"/>
      <c r="UO66" s="5"/>
      <c r="UP66" s="5"/>
      <c r="UQ66" s="5"/>
      <c r="UR66" s="5"/>
      <c r="US66" s="5"/>
      <c r="UT66" s="5"/>
      <c r="UU66" s="5"/>
      <c r="UV66" s="5"/>
      <c r="UW66" s="5"/>
      <c r="UX66" s="5"/>
      <c r="UY66" s="5"/>
      <c r="UZ66" s="5"/>
      <c r="VA66" s="5"/>
      <c r="VB66" s="5"/>
      <c r="VC66" s="5"/>
      <c r="VD66" s="5"/>
      <c r="VE66" s="5"/>
      <c r="VF66" s="5"/>
      <c r="VG66" s="5"/>
      <c r="VH66" s="5"/>
      <c r="VI66" s="5"/>
      <c r="VJ66" s="5"/>
      <c r="VK66" s="5"/>
      <c r="VL66" s="5"/>
      <c r="VM66" s="5"/>
      <c r="VN66" s="5"/>
      <c r="VO66" s="5"/>
      <c r="VP66" s="5"/>
      <c r="VQ66" s="5"/>
      <c r="VR66" s="5"/>
      <c r="VS66" s="5"/>
      <c r="VT66" s="5"/>
      <c r="VU66" s="5"/>
      <c r="VV66" s="5"/>
      <c r="VW66" s="5"/>
      <c r="VX66" s="5"/>
      <c r="VY66" s="5"/>
      <c r="VZ66" s="5"/>
      <c r="WA66" s="5"/>
      <c r="WB66" s="5"/>
      <c r="WC66" s="5"/>
      <c r="WD66" s="5"/>
      <c r="WE66" s="5"/>
      <c r="WF66" s="5"/>
      <c r="WG66" s="5"/>
      <c r="WH66" s="5"/>
      <c r="WI66" s="5"/>
      <c r="WJ66" s="5"/>
      <c r="WK66" s="5"/>
      <c r="WL66" s="5"/>
      <c r="WM66" s="5"/>
      <c r="WN66" s="5"/>
      <c r="WO66" s="5"/>
      <c r="WP66" s="5"/>
      <c r="WQ66" s="5"/>
      <c r="WR66" s="5"/>
      <c r="WS66" s="5"/>
      <c r="WT66" s="5"/>
      <c r="WU66" s="5"/>
      <c r="WV66" s="5"/>
      <c r="WW66" s="5"/>
      <c r="WX66" s="5"/>
      <c r="WY66" s="5"/>
      <c r="WZ66" s="5"/>
      <c r="XA66" s="5"/>
      <c r="XB66" s="5"/>
      <c r="XC66" s="5"/>
      <c r="XD66" s="5"/>
      <c r="XE66" s="5"/>
      <c r="XF66" s="5"/>
      <c r="XG66" s="5"/>
      <c r="XH66" s="5"/>
      <c r="XI66" s="5"/>
      <c r="XJ66" s="5"/>
      <c r="XK66" s="5"/>
      <c r="XL66" s="5"/>
      <c r="XM66" s="5"/>
      <c r="XN66" s="5"/>
      <c r="XO66" s="5"/>
      <c r="XP66" s="5"/>
      <c r="XQ66" s="5"/>
      <c r="XR66" s="5"/>
      <c r="XS66" s="5"/>
      <c r="XT66" s="5"/>
      <c r="XU66" s="5"/>
      <c r="XV66" s="5"/>
      <c r="XW66" s="5"/>
      <c r="XX66" s="5"/>
      <c r="XY66" s="5"/>
      <c r="XZ66" s="5"/>
      <c r="YA66" s="5"/>
      <c r="YB66" s="5"/>
      <c r="YC66" s="5"/>
      <c r="YD66" s="5"/>
      <c r="YE66" s="5"/>
      <c r="YF66" s="5"/>
      <c r="YG66" s="5"/>
      <c r="YH66" s="5"/>
      <c r="YI66" s="5"/>
      <c r="YJ66" s="5"/>
      <c r="YK66" s="5"/>
      <c r="YL66" s="5"/>
      <c r="YM66" s="5"/>
      <c r="YN66" s="5"/>
      <c r="YO66" s="5"/>
      <c r="YP66" s="5"/>
      <c r="YQ66" s="5"/>
      <c r="YR66" s="5"/>
      <c r="YS66" s="5"/>
      <c r="YT66" s="5"/>
      <c r="YU66" s="5"/>
      <c r="YV66" s="5"/>
      <c r="YW66" s="5"/>
      <c r="YX66" s="5"/>
      <c r="YY66" s="5"/>
      <c r="YZ66" s="5"/>
    </row>
    <row r="67" spans="1:676">
      <c r="A67" s="7">
        <v>57</v>
      </c>
      <c r="B67" s="7" t="s">
        <v>182</v>
      </c>
      <c r="C67" s="10" t="s">
        <v>183</v>
      </c>
      <c r="D67" s="7" t="s">
        <v>46</v>
      </c>
      <c r="E67" s="7" t="s">
        <v>78</v>
      </c>
      <c r="F67" s="7" t="s">
        <v>179</v>
      </c>
      <c r="G67" s="7"/>
      <c r="H67" s="7"/>
      <c r="I67" s="11">
        <v>2</v>
      </c>
      <c r="J67" s="11">
        <v>0</v>
      </c>
      <c r="K67" s="11">
        <v>0</v>
      </c>
      <c r="L67" s="11">
        <v>0</v>
      </c>
      <c r="M67" s="11">
        <v>0</v>
      </c>
      <c r="N67" s="11">
        <v>0</v>
      </c>
      <c r="O67" s="11">
        <v>0</v>
      </c>
      <c r="P67" s="11">
        <v>0</v>
      </c>
      <c r="Q67" s="11">
        <v>0</v>
      </c>
      <c r="R67" s="11">
        <v>0</v>
      </c>
      <c r="S67" s="11">
        <v>0</v>
      </c>
      <c r="T67" s="11">
        <v>0</v>
      </c>
      <c r="U67" s="11">
        <v>0</v>
      </c>
      <c r="V67" s="11">
        <v>0</v>
      </c>
      <c r="W67" s="13">
        <v>6</v>
      </c>
      <c r="X67" s="13">
        <v>0</v>
      </c>
      <c r="Y67" s="13" t="str">
        <f>MIN(W67,S67)</f>
        <v>0</v>
      </c>
      <c r="Z67" s="13" t="str">
        <f>MIN(X67,(S67-Y67))</f>
        <v>0</v>
      </c>
      <c r="AA67" s="13" t="str">
        <f>S67-SUM(Y67,Z67)</f>
        <v>0</v>
      </c>
      <c r="AB67" s="15"/>
      <c r="AC67" s="15"/>
      <c r="AD67" s="1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  <c r="CZ67" s="5"/>
      <c r="DA67" s="5"/>
      <c r="DB67" s="5"/>
      <c r="DC67" s="5"/>
      <c r="DD67" s="5"/>
      <c r="DE67" s="5"/>
      <c r="DF67" s="5"/>
      <c r="DG67" s="5"/>
      <c r="DH67" s="5"/>
      <c r="DI67" s="5"/>
      <c r="DJ67" s="5"/>
      <c r="DK67" s="5"/>
      <c r="DL67" s="5"/>
      <c r="DM67" s="5"/>
      <c r="DN67" s="5"/>
      <c r="DO67" s="5"/>
      <c r="DP67" s="5"/>
      <c r="DQ67" s="5"/>
      <c r="DR67" s="5"/>
      <c r="DS67" s="5"/>
      <c r="DT67" s="5"/>
      <c r="DU67" s="5"/>
      <c r="DV67" s="5"/>
      <c r="DW67" s="5"/>
      <c r="DX67" s="5"/>
      <c r="DY67" s="5"/>
      <c r="DZ67" s="5"/>
      <c r="EA67" s="5"/>
      <c r="EB67" s="5"/>
      <c r="EC67" s="5"/>
      <c r="ED67" s="5"/>
      <c r="EE67" s="5"/>
      <c r="EF67" s="5"/>
      <c r="EG67" s="5"/>
      <c r="EH67" s="5"/>
      <c r="EI67" s="5"/>
      <c r="EJ67" s="5"/>
      <c r="EK67" s="5"/>
      <c r="EL67" s="5"/>
      <c r="EM67" s="5"/>
      <c r="EN67" s="5"/>
      <c r="EO67" s="5"/>
      <c r="EP67" s="5"/>
      <c r="EQ67" s="5"/>
      <c r="ER67" s="5"/>
      <c r="ES67" s="5"/>
      <c r="ET67" s="5"/>
      <c r="EU67" s="5"/>
      <c r="EV67" s="5"/>
      <c r="EW67" s="5"/>
      <c r="EX67" s="5"/>
      <c r="EY67" s="5"/>
      <c r="EZ67" s="5"/>
      <c r="FA67" s="5"/>
      <c r="FB67" s="5"/>
      <c r="FC67" s="5"/>
      <c r="FD67" s="5"/>
      <c r="FE67" s="5"/>
      <c r="FF67" s="5"/>
      <c r="FG67" s="5"/>
      <c r="FH67" s="5"/>
      <c r="FI67" s="5"/>
      <c r="FJ67" s="5"/>
      <c r="FK67" s="5"/>
      <c r="FL67" s="5"/>
      <c r="FM67" s="5"/>
      <c r="FN67" s="5"/>
      <c r="FO67" s="5"/>
      <c r="FP67" s="5"/>
      <c r="FQ67" s="5"/>
      <c r="FR67" s="5"/>
      <c r="FS67" s="5"/>
      <c r="FT67" s="5"/>
      <c r="FU67" s="5"/>
      <c r="FV67" s="5"/>
      <c r="FW67" s="5"/>
      <c r="FX67" s="5"/>
      <c r="FY67" s="5"/>
      <c r="FZ67" s="5"/>
      <c r="GA67" s="5"/>
      <c r="GB67" s="5"/>
      <c r="GC67" s="5"/>
      <c r="GD67" s="5"/>
      <c r="GE67" s="5"/>
      <c r="GF67" s="5"/>
      <c r="GG67" s="5"/>
      <c r="GH67" s="5"/>
      <c r="GI67" s="5"/>
      <c r="GJ67" s="5"/>
      <c r="GK67" s="5"/>
      <c r="GL67" s="5"/>
      <c r="GM67" s="5"/>
      <c r="GN67" s="5"/>
      <c r="GO67" s="5"/>
      <c r="GP67" s="5"/>
      <c r="GQ67" s="5"/>
      <c r="GR67" s="5"/>
      <c r="GS67" s="5"/>
      <c r="GT67" s="5"/>
      <c r="GU67" s="5"/>
      <c r="GV67" s="5"/>
      <c r="GW67" s="5"/>
      <c r="GX67" s="5"/>
      <c r="GY67" s="5"/>
      <c r="GZ67" s="5"/>
      <c r="HA67" s="5"/>
      <c r="HB67" s="5"/>
      <c r="HC67" s="5"/>
      <c r="HD67" s="5"/>
      <c r="HE67" s="5"/>
      <c r="HF67" s="5"/>
      <c r="HG67" s="5"/>
      <c r="HH67" s="5"/>
      <c r="HI67" s="5"/>
      <c r="HJ67" s="5"/>
      <c r="HK67" s="5"/>
      <c r="HL67" s="5"/>
      <c r="HM67" s="5"/>
      <c r="HN67" s="5"/>
      <c r="HO67" s="5"/>
      <c r="HP67" s="5"/>
      <c r="HQ67" s="5"/>
      <c r="HR67" s="5"/>
      <c r="HS67" s="5"/>
      <c r="HT67" s="5"/>
      <c r="HU67" s="5"/>
      <c r="HV67" s="5"/>
      <c r="HW67" s="5"/>
      <c r="HX67" s="5"/>
      <c r="HY67" s="5"/>
      <c r="HZ67" s="5"/>
      <c r="IA67" s="5"/>
      <c r="IB67" s="5"/>
      <c r="IC67" s="5"/>
      <c r="ID67" s="5"/>
      <c r="IE67" s="5"/>
      <c r="IF67" s="5"/>
      <c r="IG67" s="5"/>
      <c r="IH67" s="5"/>
      <c r="II67" s="5"/>
      <c r="IJ67" s="5"/>
      <c r="IK67" s="5"/>
      <c r="IL67" s="5"/>
      <c r="IM67" s="5"/>
      <c r="IN67" s="5"/>
      <c r="IO67" s="5"/>
      <c r="IP67" s="5"/>
      <c r="IQ67" s="5"/>
      <c r="IR67" s="5"/>
      <c r="IS67" s="5"/>
      <c r="IT67" s="5"/>
      <c r="IU67" s="5"/>
      <c r="IV67" s="5"/>
      <c r="IW67" s="5"/>
      <c r="IX67" s="5"/>
      <c r="IY67" s="5"/>
      <c r="IZ67" s="5"/>
      <c r="JA67" s="5"/>
      <c r="JB67" s="5"/>
      <c r="JC67" s="5"/>
      <c r="JD67" s="5"/>
      <c r="JE67" s="5"/>
      <c r="JF67" s="5"/>
      <c r="JG67" s="5"/>
      <c r="JH67" s="5"/>
      <c r="JI67" s="5"/>
      <c r="JJ67" s="5"/>
      <c r="JK67" s="5"/>
      <c r="JL67" s="5"/>
      <c r="JM67" s="5"/>
      <c r="JN67" s="5"/>
      <c r="JO67" s="5"/>
      <c r="JP67" s="5"/>
      <c r="JQ67" s="5"/>
      <c r="JR67" s="5"/>
      <c r="JS67" s="5"/>
      <c r="JT67" s="5"/>
      <c r="JU67" s="5"/>
      <c r="JV67" s="5"/>
      <c r="JW67" s="5"/>
      <c r="JX67" s="5"/>
      <c r="JY67" s="5"/>
      <c r="JZ67" s="5"/>
      <c r="KA67" s="5"/>
      <c r="KB67" s="5"/>
      <c r="KC67" s="5"/>
      <c r="KD67" s="5"/>
      <c r="KE67" s="5"/>
      <c r="KF67" s="5"/>
      <c r="KG67" s="5"/>
      <c r="KH67" s="5"/>
      <c r="KI67" s="5"/>
      <c r="KJ67" s="5"/>
      <c r="KK67" s="5"/>
      <c r="KL67" s="5"/>
      <c r="KM67" s="5"/>
      <c r="KN67" s="5"/>
      <c r="KO67" s="5"/>
      <c r="KP67" s="5"/>
      <c r="KQ67" s="5"/>
      <c r="KR67" s="5"/>
      <c r="KS67" s="5"/>
      <c r="KT67" s="5"/>
      <c r="KU67" s="5"/>
      <c r="KV67" s="5"/>
      <c r="KW67" s="5"/>
      <c r="KX67" s="5"/>
      <c r="KY67" s="5"/>
      <c r="KZ67" s="5"/>
      <c r="LA67" s="5"/>
      <c r="LB67" s="5"/>
      <c r="LC67" s="5"/>
      <c r="LD67" s="5"/>
      <c r="LE67" s="5"/>
      <c r="LF67" s="5"/>
      <c r="LG67" s="5"/>
      <c r="LH67" s="5"/>
      <c r="LI67" s="5"/>
      <c r="LJ67" s="5"/>
      <c r="LK67" s="5"/>
      <c r="LL67" s="5"/>
      <c r="LM67" s="5"/>
      <c r="LN67" s="5"/>
      <c r="LO67" s="5"/>
      <c r="LP67" s="5"/>
      <c r="LQ67" s="5"/>
      <c r="LR67" s="5"/>
      <c r="LS67" s="5"/>
      <c r="LT67" s="5"/>
      <c r="LU67" s="5"/>
      <c r="LV67" s="5"/>
      <c r="LW67" s="5"/>
      <c r="LX67" s="5"/>
      <c r="LY67" s="5"/>
      <c r="LZ67" s="5"/>
      <c r="MA67" s="5"/>
      <c r="MB67" s="5"/>
      <c r="MC67" s="5"/>
      <c r="MD67" s="5"/>
      <c r="ME67" s="5"/>
      <c r="MF67" s="5"/>
      <c r="MG67" s="5"/>
      <c r="MH67" s="5"/>
      <c r="MI67" s="5"/>
      <c r="MJ67" s="5"/>
      <c r="MK67" s="5"/>
      <c r="ML67" s="5"/>
      <c r="MM67" s="5"/>
      <c r="MN67" s="5"/>
      <c r="MO67" s="5"/>
      <c r="MP67" s="5"/>
      <c r="MQ67" s="5"/>
      <c r="MR67" s="5"/>
      <c r="MS67" s="5"/>
      <c r="MT67" s="5"/>
      <c r="MU67" s="5"/>
      <c r="MV67" s="5"/>
      <c r="MW67" s="5"/>
      <c r="MX67" s="5"/>
      <c r="MY67" s="5"/>
      <c r="MZ67" s="5"/>
      <c r="NA67" s="5"/>
      <c r="NB67" s="5"/>
      <c r="NC67" s="5"/>
      <c r="ND67" s="5"/>
      <c r="NE67" s="5"/>
      <c r="NF67" s="5"/>
      <c r="NG67" s="5"/>
      <c r="NH67" s="5"/>
      <c r="NI67" s="5"/>
      <c r="NJ67" s="5"/>
      <c r="NK67" s="5"/>
      <c r="NL67" s="5"/>
      <c r="NM67" s="5"/>
      <c r="NN67" s="5"/>
      <c r="NO67" s="5"/>
      <c r="NP67" s="5"/>
      <c r="NQ67" s="5"/>
      <c r="NR67" s="5"/>
      <c r="NS67" s="5"/>
      <c r="NT67" s="5"/>
      <c r="NU67" s="5"/>
      <c r="NV67" s="5"/>
      <c r="NW67" s="5"/>
      <c r="NX67" s="5"/>
      <c r="NY67" s="5"/>
      <c r="NZ67" s="5"/>
      <c r="OA67" s="5"/>
      <c r="OB67" s="5"/>
      <c r="OC67" s="5"/>
      <c r="OD67" s="5"/>
      <c r="OE67" s="5"/>
      <c r="OF67" s="5"/>
      <c r="OG67" s="5"/>
      <c r="OH67" s="5"/>
      <c r="OI67" s="5"/>
      <c r="OJ67" s="5"/>
      <c r="OK67" s="5"/>
      <c r="OL67" s="5"/>
      <c r="OM67" s="5"/>
      <c r="ON67" s="5"/>
      <c r="OO67" s="5"/>
      <c r="OP67" s="5"/>
      <c r="OQ67" s="5"/>
      <c r="OR67" s="5"/>
      <c r="OS67" s="5"/>
      <c r="OT67" s="5"/>
      <c r="OU67" s="5"/>
      <c r="OV67" s="5"/>
      <c r="OW67" s="5"/>
      <c r="OX67" s="5"/>
      <c r="OY67" s="5"/>
      <c r="OZ67" s="5"/>
      <c r="PA67" s="5"/>
      <c r="PB67" s="5"/>
      <c r="PC67" s="5"/>
      <c r="PD67" s="5"/>
      <c r="PE67" s="5"/>
      <c r="PF67" s="5"/>
      <c r="PG67" s="5"/>
      <c r="PH67" s="5"/>
      <c r="PI67" s="5"/>
      <c r="PJ67" s="5"/>
      <c r="PK67" s="5"/>
      <c r="PL67" s="5"/>
      <c r="PM67" s="5"/>
      <c r="PN67" s="5"/>
      <c r="PO67" s="5"/>
      <c r="PP67" s="5"/>
      <c r="PQ67" s="5"/>
      <c r="PR67" s="5"/>
      <c r="PS67" s="5"/>
      <c r="PT67" s="5"/>
      <c r="PU67" s="5"/>
      <c r="PV67" s="5"/>
      <c r="PW67" s="5"/>
      <c r="PX67" s="5"/>
      <c r="PY67" s="5"/>
      <c r="PZ67" s="5"/>
      <c r="QA67" s="5"/>
      <c r="QB67" s="5"/>
      <c r="QC67" s="5"/>
      <c r="QD67" s="5"/>
      <c r="QE67" s="5"/>
      <c r="QF67" s="5"/>
      <c r="QG67" s="5"/>
      <c r="QH67" s="5"/>
      <c r="QI67" s="5"/>
      <c r="QJ67" s="5"/>
      <c r="QK67" s="5"/>
      <c r="QL67" s="5"/>
      <c r="QM67" s="5"/>
      <c r="QN67" s="5"/>
      <c r="QO67" s="5"/>
      <c r="QP67" s="5"/>
      <c r="QQ67" s="5"/>
      <c r="QR67" s="5"/>
      <c r="QS67" s="5"/>
      <c r="QT67" s="5"/>
      <c r="QU67" s="5"/>
      <c r="QV67" s="5"/>
      <c r="QW67" s="5"/>
      <c r="QX67" s="5"/>
      <c r="QY67" s="5"/>
      <c r="QZ67" s="5"/>
      <c r="RA67" s="5"/>
      <c r="RB67" s="5"/>
      <c r="RC67" s="5"/>
      <c r="RD67" s="5"/>
      <c r="RE67" s="5"/>
      <c r="RF67" s="5"/>
      <c r="RG67" s="5"/>
      <c r="RH67" s="5"/>
      <c r="RI67" s="5"/>
      <c r="RJ67" s="5"/>
      <c r="RK67" s="5"/>
      <c r="RL67" s="5"/>
      <c r="RM67" s="5"/>
      <c r="RN67" s="5"/>
      <c r="RO67" s="5"/>
      <c r="RP67" s="5"/>
      <c r="RQ67" s="5"/>
      <c r="RR67" s="5"/>
      <c r="RS67" s="5"/>
      <c r="RT67" s="5"/>
      <c r="RU67" s="5"/>
      <c r="RV67" s="5"/>
      <c r="RW67" s="5"/>
      <c r="RX67" s="5"/>
      <c r="RY67" s="5"/>
      <c r="RZ67" s="5"/>
      <c r="SA67" s="5"/>
      <c r="SB67" s="5"/>
      <c r="SC67" s="5"/>
      <c r="SD67" s="5"/>
      <c r="SE67" s="5"/>
      <c r="SF67" s="5"/>
      <c r="SG67" s="5"/>
      <c r="SH67" s="5"/>
      <c r="SI67" s="5"/>
      <c r="SJ67" s="5"/>
      <c r="SK67" s="5"/>
      <c r="SL67" s="5"/>
      <c r="SM67" s="5"/>
      <c r="SN67" s="5"/>
      <c r="SO67" s="5"/>
      <c r="SP67" s="5"/>
      <c r="SQ67" s="5"/>
      <c r="SR67" s="5"/>
      <c r="SS67" s="5"/>
      <c r="ST67" s="5"/>
      <c r="SU67" s="5"/>
      <c r="SV67" s="5"/>
      <c r="SW67" s="5"/>
      <c r="SX67" s="5"/>
      <c r="SY67" s="5"/>
      <c r="SZ67" s="5"/>
      <c r="TA67" s="5"/>
      <c r="TB67" s="5"/>
      <c r="TC67" s="5"/>
      <c r="TD67" s="5"/>
      <c r="TE67" s="5"/>
      <c r="TF67" s="5"/>
      <c r="TG67" s="5"/>
      <c r="TH67" s="5"/>
      <c r="TI67" s="5"/>
      <c r="TJ67" s="5"/>
      <c r="TK67" s="5"/>
      <c r="TL67" s="5"/>
      <c r="TM67" s="5"/>
      <c r="TN67" s="5"/>
      <c r="TO67" s="5"/>
      <c r="TP67" s="5"/>
      <c r="TQ67" s="5"/>
      <c r="TR67" s="5"/>
      <c r="TS67" s="5"/>
      <c r="TT67" s="5"/>
      <c r="TU67" s="5"/>
      <c r="TV67" s="5"/>
      <c r="TW67" s="5"/>
      <c r="TX67" s="5"/>
      <c r="TY67" s="5"/>
      <c r="TZ67" s="5"/>
      <c r="UA67" s="5"/>
      <c r="UB67" s="5"/>
      <c r="UC67" s="5"/>
      <c r="UD67" s="5"/>
      <c r="UE67" s="5"/>
      <c r="UF67" s="5"/>
      <c r="UG67" s="5"/>
      <c r="UH67" s="5"/>
      <c r="UI67" s="5"/>
      <c r="UJ67" s="5"/>
      <c r="UK67" s="5"/>
      <c r="UL67" s="5"/>
      <c r="UM67" s="5"/>
      <c r="UN67" s="5"/>
      <c r="UO67" s="5"/>
      <c r="UP67" s="5"/>
      <c r="UQ67" s="5"/>
      <c r="UR67" s="5"/>
      <c r="US67" s="5"/>
      <c r="UT67" s="5"/>
      <c r="UU67" s="5"/>
      <c r="UV67" s="5"/>
      <c r="UW67" s="5"/>
      <c r="UX67" s="5"/>
      <c r="UY67" s="5"/>
      <c r="UZ67" s="5"/>
      <c r="VA67" s="5"/>
      <c r="VB67" s="5"/>
      <c r="VC67" s="5"/>
      <c r="VD67" s="5"/>
      <c r="VE67" s="5"/>
      <c r="VF67" s="5"/>
      <c r="VG67" s="5"/>
      <c r="VH67" s="5"/>
      <c r="VI67" s="5"/>
      <c r="VJ67" s="5"/>
      <c r="VK67" s="5"/>
      <c r="VL67" s="5"/>
      <c r="VM67" s="5"/>
      <c r="VN67" s="5"/>
      <c r="VO67" s="5"/>
      <c r="VP67" s="5"/>
      <c r="VQ67" s="5"/>
      <c r="VR67" s="5"/>
      <c r="VS67" s="5"/>
      <c r="VT67" s="5"/>
      <c r="VU67" s="5"/>
      <c r="VV67" s="5"/>
      <c r="VW67" s="5"/>
      <c r="VX67" s="5"/>
      <c r="VY67" s="5"/>
      <c r="VZ67" s="5"/>
      <c r="WA67" s="5"/>
      <c r="WB67" s="5"/>
      <c r="WC67" s="5"/>
      <c r="WD67" s="5"/>
      <c r="WE67" s="5"/>
      <c r="WF67" s="5"/>
      <c r="WG67" s="5"/>
      <c r="WH67" s="5"/>
      <c r="WI67" s="5"/>
      <c r="WJ67" s="5"/>
      <c r="WK67" s="5"/>
      <c r="WL67" s="5"/>
      <c r="WM67" s="5"/>
      <c r="WN67" s="5"/>
      <c r="WO67" s="5"/>
      <c r="WP67" s="5"/>
      <c r="WQ67" s="5"/>
      <c r="WR67" s="5"/>
      <c r="WS67" s="5"/>
      <c r="WT67" s="5"/>
      <c r="WU67" s="5"/>
      <c r="WV67" s="5"/>
      <c r="WW67" s="5"/>
      <c r="WX67" s="5"/>
      <c r="WY67" s="5"/>
      <c r="WZ67" s="5"/>
      <c r="XA67" s="5"/>
      <c r="XB67" s="5"/>
      <c r="XC67" s="5"/>
      <c r="XD67" s="5"/>
      <c r="XE67" s="5"/>
      <c r="XF67" s="5"/>
      <c r="XG67" s="5"/>
      <c r="XH67" s="5"/>
      <c r="XI67" s="5"/>
      <c r="XJ67" s="5"/>
      <c r="XK67" s="5"/>
      <c r="XL67" s="5"/>
      <c r="XM67" s="5"/>
      <c r="XN67" s="5"/>
      <c r="XO67" s="5"/>
      <c r="XP67" s="5"/>
      <c r="XQ67" s="5"/>
      <c r="XR67" s="5"/>
      <c r="XS67" s="5"/>
      <c r="XT67" s="5"/>
      <c r="XU67" s="5"/>
      <c r="XV67" s="5"/>
      <c r="XW67" s="5"/>
      <c r="XX67" s="5"/>
      <c r="XY67" s="5"/>
      <c r="XZ67" s="5"/>
      <c r="YA67" s="5"/>
      <c r="YB67" s="5"/>
      <c r="YC67" s="5"/>
      <c r="YD67" s="5"/>
      <c r="YE67" s="5"/>
      <c r="YF67" s="5"/>
      <c r="YG67" s="5"/>
      <c r="YH67" s="5"/>
      <c r="YI67" s="5"/>
      <c r="YJ67" s="5"/>
      <c r="YK67" s="5"/>
      <c r="YL67" s="5"/>
      <c r="YM67" s="5"/>
      <c r="YN67" s="5"/>
      <c r="YO67" s="5"/>
      <c r="YP67" s="5"/>
      <c r="YQ67" s="5"/>
      <c r="YR67" s="5"/>
      <c r="YS67" s="5"/>
      <c r="YT67" s="5"/>
      <c r="YU67" s="5"/>
      <c r="YV67" s="5"/>
      <c r="YW67" s="5"/>
      <c r="YX67" s="5"/>
      <c r="YY67" s="5"/>
      <c r="YZ67" s="5"/>
    </row>
    <row r="68" spans="1:676">
      <c r="A68" s="7">
        <v>58</v>
      </c>
      <c r="B68" s="7" t="s">
        <v>184</v>
      </c>
      <c r="C68" s="10" t="s">
        <v>185</v>
      </c>
      <c r="D68" s="7" t="s">
        <v>46</v>
      </c>
      <c r="E68" s="7" t="s">
        <v>78</v>
      </c>
      <c r="F68" s="7" t="s">
        <v>162</v>
      </c>
      <c r="G68" s="7"/>
      <c r="H68" s="7" t="s">
        <v>79</v>
      </c>
      <c r="I68" s="11">
        <v>2</v>
      </c>
      <c r="J68" s="11">
        <v>3</v>
      </c>
      <c r="K68" s="11">
        <v>0</v>
      </c>
      <c r="L68" s="11">
        <v>1.24</v>
      </c>
      <c r="M68" s="11">
        <v>0.16</v>
      </c>
      <c r="N68" s="11">
        <v>0</v>
      </c>
      <c r="O68" s="11">
        <v>0.18</v>
      </c>
      <c r="P68" s="11">
        <v>1.14</v>
      </c>
      <c r="Q68" s="11">
        <v>2.720000000000002</v>
      </c>
      <c r="R68" s="11">
        <v>4.580000000000001</v>
      </c>
      <c r="S68" s="11">
        <v>7.300000000000002</v>
      </c>
      <c r="T68" s="11">
        <v>2</v>
      </c>
      <c r="U68" s="11">
        <v>3</v>
      </c>
      <c r="V68" s="11">
        <v>2.300000000000002</v>
      </c>
      <c r="W68" s="13">
        <v>6</v>
      </c>
      <c r="X68" s="13">
        <v>9</v>
      </c>
      <c r="Y68" s="13" t="str">
        <f>MIN(W68,S68)</f>
        <v>0</v>
      </c>
      <c r="Z68" s="13" t="str">
        <f>MIN(X68,(S68-Y68))</f>
        <v>0</v>
      </c>
      <c r="AA68" s="13" t="str">
        <f>S68-SUM(Y68,Z68)</f>
        <v>0</v>
      </c>
      <c r="AB68" s="15"/>
      <c r="AC68" s="15"/>
      <c r="AD68" s="1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  <c r="CZ68" s="5"/>
      <c r="DA68" s="5"/>
      <c r="DB68" s="5"/>
      <c r="DC68" s="5"/>
      <c r="DD68" s="5"/>
      <c r="DE68" s="5"/>
      <c r="DF68" s="5"/>
      <c r="DG68" s="5"/>
      <c r="DH68" s="5"/>
      <c r="DI68" s="5"/>
      <c r="DJ68" s="5"/>
      <c r="DK68" s="5"/>
      <c r="DL68" s="5"/>
      <c r="DM68" s="5"/>
      <c r="DN68" s="5"/>
      <c r="DO68" s="5"/>
      <c r="DP68" s="5"/>
      <c r="DQ68" s="5"/>
      <c r="DR68" s="5"/>
      <c r="DS68" s="5"/>
      <c r="DT68" s="5"/>
      <c r="DU68" s="5"/>
      <c r="DV68" s="5"/>
      <c r="DW68" s="5"/>
      <c r="DX68" s="5"/>
      <c r="DY68" s="5"/>
      <c r="DZ68" s="5"/>
      <c r="EA68" s="5"/>
      <c r="EB68" s="5"/>
      <c r="EC68" s="5"/>
      <c r="ED68" s="5"/>
      <c r="EE68" s="5"/>
      <c r="EF68" s="5"/>
      <c r="EG68" s="5"/>
      <c r="EH68" s="5"/>
      <c r="EI68" s="5"/>
      <c r="EJ68" s="5"/>
      <c r="EK68" s="5"/>
      <c r="EL68" s="5"/>
      <c r="EM68" s="5"/>
      <c r="EN68" s="5"/>
      <c r="EO68" s="5"/>
      <c r="EP68" s="5"/>
      <c r="EQ68" s="5"/>
      <c r="ER68" s="5"/>
      <c r="ES68" s="5"/>
      <c r="ET68" s="5"/>
      <c r="EU68" s="5"/>
      <c r="EV68" s="5"/>
      <c r="EW68" s="5"/>
      <c r="EX68" s="5"/>
      <c r="EY68" s="5"/>
      <c r="EZ68" s="5"/>
      <c r="FA68" s="5"/>
      <c r="FB68" s="5"/>
      <c r="FC68" s="5"/>
      <c r="FD68" s="5"/>
      <c r="FE68" s="5"/>
      <c r="FF68" s="5"/>
      <c r="FG68" s="5"/>
      <c r="FH68" s="5"/>
      <c r="FI68" s="5"/>
      <c r="FJ68" s="5"/>
      <c r="FK68" s="5"/>
      <c r="FL68" s="5"/>
      <c r="FM68" s="5"/>
      <c r="FN68" s="5"/>
      <c r="FO68" s="5"/>
      <c r="FP68" s="5"/>
      <c r="FQ68" s="5"/>
      <c r="FR68" s="5"/>
      <c r="FS68" s="5"/>
      <c r="FT68" s="5"/>
      <c r="FU68" s="5"/>
      <c r="FV68" s="5"/>
      <c r="FW68" s="5"/>
      <c r="FX68" s="5"/>
      <c r="FY68" s="5"/>
      <c r="FZ68" s="5"/>
      <c r="GA68" s="5"/>
      <c r="GB68" s="5"/>
      <c r="GC68" s="5"/>
      <c r="GD68" s="5"/>
      <c r="GE68" s="5"/>
      <c r="GF68" s="5"/>
      <c r="GG68" s="5"/>
      <c r="GH68" s="5"/>
      <c r="GI68" s="5"/>
      <c r="GJ68" s="5"/>
      <c r="GK68" s="5"/>
      <c r="GL68" s="5"/>
      <c r="GM68" s="5"/>
      <c r="GN68" s="5"/>
      <c r="GO68" s="5"/>
      <c r="GP68" s="5"/>
      <c r="GQ68" s="5"/>
      <c r="GR68" s="5"/>
      <c r="GS68" s="5"/>
      <c r="GT68" s="5"/>
      <c r="GU68" s="5"/>
      <c r="GV68" s="5"/>
      <c r="GW68" s="5"/>
      <c r="GX68" s="5"/>
      <c r="GY68" s="5"/>
      <c r="GZ68" s="5"/>
      <c r="HA68" s="5"/>
      <c r="HB68" s="5"/>
      <c r="HC68" s="5"/>
      <c r="HD68" s="5"/>
      <c r="HE68" s="5"/>
      <c r="HF68" s="5"/>
      <c r="HG68" s="5"/>
      <c r="HH68" s="5"/>
      <c r="HI68" s="5"/>
      <c r="HJ68" s="5"/>
      <c r="HK68" s="5"/>
      <c r="HL68" s="5"/>
      <c r="HM68" s="5"/>
      <c r="HN68" s="5"/>
      <c r="HO68" s="5"/>
      <c r="HP68" s="5"/>
      <c r="HQ68" s="5"/>
      <c r="HR68" s="5"/>
      <c r="HS68" s="5"/>
      <c r="HT68" s="5"/>
      <c r="HU68" s="5"/>
      <c r="HV68" s="5"/>
      <c r="HW68" s="5"/>
      <c r="HX68" s="5"/>
      <c r="HY68" s="5"/>
      <c r="HZ68" s="5"/>
      <c r="IA68" s="5"/>
      <c r="IB68" s="5"/>
      <c r="IC68" s="5"/>
      <c r="ID68" s="5"/>
      <c r="IE68" s="5"/>
      <c r="IF68" s="5"/>
      <c r="IG68" s="5"/>
      <c r="IH68" s="5"/>
      <c r="II68" s="5"/>
      <c r="IJ68" s="5"/>
      <c r="IK68" s="5"/>
      <c r="IL68" s="5"/>
      <c r="IM68" s="5"/>
      <c r="IN68" s="5"/>
      <c r="IO68" s="5"/>
      <c r="IP68" s="5"/>
      <c r="IQ68" s="5"/>
      <c r="IR68" s="5"/>
      <c r="IS68" s="5"/>
      <c r="IT68" s="5"/>
      <c r="IU68" s="5"/>
      <c r="IV68" s="5"/>
      <c r="IW68" s="5"/>
      <c r="IX68" s="5"/>
      <c r="IY68" s="5"/>
      <c r="IZ68" s="5"/>
      <c r="JA68" s="5"/>
      <c r="JB68" s="5"/>
      <c r="JC68" s="5"/>
      <c r="JD68" s="5"/>
      <c r="JE68" s="5"/>
      <c r="JF68" s="5"/>
      <c r="JG68" s="5"/>
      <c r="JH68" s="5"/>
      <c r="JI68" s="5"/>
      <c r="JJ68" s="5"/>
      <c r="JK68" s="5"/>
      <c r="JL68" s="5"/>
      <c r="JM68" s="5"/>
      <c r="JN68" s="5"/>
      <c r="JO68" s="5"/>
      <c r="JP68" s="5"/>
      <c r="JQ68" s="5"/>
      <c r="JR68" s="5"/>
      <c r="JS68" s="5"/>
      <c r="JT68" s="5"/>
      <c r="JU68" s="5"/>
      <c r="JV68" s="5"/>
      <c r="JW68" s="5"/>
      <c r="JX68" s="5"/>
      <c r="JY68" s="5"/>
      <c r="JZ68" s="5"/>
      <c r="KA68" s="5"/>
      <c r="KB68" s="5"/>
      <c r="KC68" s="5"/>
      <c r="KD68" s="5"/>
      <c r="KE68" s="5"/>
      <c r="KF68" s="5"/>
      <c r="KG68" s="5"/>
      <c r="KH68" s="5"/>
      <c r="KI68" s="5"/>
      <c r="KJ68" s="5"/>
      <c r="KK68" s="5"/>
      <c r="KL68" s="5"/>
      <c r="KM68" s="5"/>
      <c r="KN68" s="5"/>
      <c r="KO68" s="5"/>
      <c r="KP68" s="5"/>
      <c r="KQ68" s="5"/>
      <c r="KR68" s="5"/>
      <c r="KS68" s="5"/>
      <c r="KT68" s="5"/>
      <c r="KU68" s="5"/>
      <c r="KV68" s="5"/>
      <c r="KW68" s="5"/>
      <c r="KX68" s="5"/>
      <c r="KY68" s="5"/>
      <c r="KZ68" s="5"/>
      <c r="LA68" s="5"/>
      <c r="LB68" s="5"/>
      <c r="LC68" s="5"/>
      <c r="LD68" s="5"/>
      <c r="LE68" s="5"/>
      <c r="LF68" s="5"/>
      <c r="LG68" s="5"/>
      <c r="LH68" s="5"/>
      <c r="LI68" s="5"/>
      <c r="LJ68" s="5"/>
      <c r="LK68" s="5"/>
      <c r="LL68" s="5"/>
      <c r="LM68" s="5"/>
      <c r="LN68" s="5"/>
      <c r="LO68" s="5"/>
      <c r="LP68" s="5"/>
      <c r="LQ68" s="5"/>
      <c r="LR68" s="5"/>
      <c r="LS68" s="5"/>
      <c r="LT68" s="5"/>
      <c r="LU68" s="5"/>
      <c r="LV68" s="5"/>
      <c r="LW68" s="5"/>
      <c r="LX68" s="5"/>
      <c r="LY68" s="5"/>
      <c r="LZ68" s="5"/>
      <c r="MA68" s="5"/>
      <c r="MB68" s="5"/>
      <c r="MC68" s="5"/>
      <c r="MD68" s="5"/>
      <c r="ME68" s="5"/>
      <c r="MF68" s="5"/>
      <c r="MG68" s="5"/>
      <c r="MH68" s="5"/>
      <c r="MI68" s="5"/>
      <c r="MJ68" s="5"/>
      <c r="MK68" s="5"/>
      <c r="ML68" s="5"/>
      <c r="MM68" s="5"/>
      <c r="MN68" s="5"/>
      <c r="MO68" s="5"/>
      <c r="MP68" s="5"/>
      <c r="MQ68" s="5"/>
      <c r="MR68" s="5"/>
      <c r="MS68" s="5"/>
      <c r="MT68" s="5"/>
      <c r="MU68" s="5"/>
      <c r="MV68" s="5"/>
      <c r="MW68" s="5"/>
      <c r="MX68" s="5"/>
      <c r="MY68" s="5"/>
      <c r="MZ68" s="5"/>
      <c r="NA68" s="5"/>
      <c r="NB68" s="5"/>
      <c r="NC68" s="5"/>
      <c r="ND68" s="5"/>
      <c r="NE68" s="5"/>
      <c r="NF68" s="5"/>
      <c r="NG68" s="5"/>
      <c r="NH68" s="5"/>
      <c r="NI68" s="5"/>
      <c r="NJ68" s="5"/>
      <c r="NK68" s="5"/>
      <c r="NL68" s="5"/>
      <c r="NM68" s="5"/>
      <c r="NN68" s="5"/>
      <c r="NO68" s="5"/>
      <c r="NP68" s="5"/>
      <c r="NQ68" s="5"/>
      <c r="NR68" s="5"/>
      <c r="NS68" s="5"/>
      <c r="NT68" s="5"/>
      <c r="NU68" s="5"/>
      <c r="NV68" s="5"/>
      <c r="NW68" s="5"/>
      <c r="NX68" s="5"/>
      <c r="NY68" s="5"/>
      <c r="NZ68" s="5"/>
      <c r="OA68" s="5"/>
      <c r="OB68" s="5"/>
      <c r="OC68" s="5"/>
      <c r="OD68" s="5"/>
      <c r="OE68" s="5"/>
      <c r="OF68" s="5"/>
      <c r="OG68" s="5"/>
      <c r="OH68" s="5"/>
      <c r="OI68" s="5"/>
      <c r="OJ68" s="5"/>
      <c r="OK68" s="5"/>
      <c r="OL68" s="5"/>
      <c r="OM68" s="5"/>
      <c r="ON68" s="5"/>
      <c r="OO68" s="5"/>
      <c r="OP68" s="5"/>
      <c r="OQ68" s="5"/>
      <c r="OR68" s="5"/>
      <c r="OS68" s="5"/>
      <c r="OT68" s="5"/>
      <c r="OU68" s="5"/>
      <c r="OV68" s="5"/>
      <c r="OW68" s="5"/>
      <c r="OX68" s="5"/>
      <c r="OY68" s="5"/>
      <c r="OZ68" s="5"/>
      <c r="PA68" s="5"/>
      <c r="PB68" s="5"/>
      <c r="PC68" s="5"/>
      <c r="PD68" s="5"/>
      <c r="PE68" s="5"/>
      <c r="PF68" s="5"/>
      <c r="PG68" s="5"/>
      <c r="PH68" s="5"/>
      <c r="PI68" s="5"/>
      <c r="PJ68" s="5"/>
      <c r="PK68" s="5"/>
      <c r="PL68" s="5"/>
      <c r="PM68" s="5"/>
      <c r="PN68" s="5"/>
      <c r="PO68" s="5"/>
      <c r="PP68" s="5"/>
      <c r="PQ68" s="5"/>
      <c r="PR68" s="5"/>
      <c r="PS68" s="5"/>
      <c r="PT68" s="5"/>
      <c r="PU68" s="5"/>
      <c r="PV68" s="5"/>
      <c r="PW68" s="5"/>
      <c r="PX68" s="5"/>
      <c r="PY68" s="5"/>
      <c r="PZ68" s="5"/>
      <c r="QA68" s="5"/>
      <c r="QB68" s="5"/>
      <c r="QC68" s="5"/>
      <c r="QD68" s="5"/>
      <c r="QE68" s="5"/>
      <c r="QF68" s="5"/>
      <c r="QG68" s="5"/>
      <c r="QH68" s="5"/>
      <c r="QI68" s="5"/>
      <c r="QJ68" s="5"/>
      <c r="QK68" s="5"/>
      <c r="QL68" s="5"/>
      <c r="QM68" s="5"/>
      <c r="QN68" s="5"/>
      <c r="QO68" s="5"/>
      <c r="QP68" s="5"/>
      <c r="QQ68" s="5"/>
      <c r="QR68" s="5"/>
      <c r="QS68" s="5"/>
      <c r="QT68" s="5"/>
      <c r="QU68" s="5"/>
      <c r="QV68" s="5"/>
      <c r="QW68" s="5"/>
      <c r="QX68" s="5"/>
      <c r="QY68" s="5"/>
      <c r="QZ68" s="5"/>
      <c r="RA68" s="5"/>
      <c r="RB68" s="5"/>
      <c r="RC68" s="5"/>
      <c r="RD68" s="5"/>
      <c r="RE68" s="5"/>
      <c r="RF68" s="5"/>
      <c r="RG68" s="5"/>
      <c r="RH68" s="5"/>
      <c r="RI68" s="5"/>
      <c r="RJ68" s="5"/>
      <c r="RK68" s="5"/>
      <c r="RL68" s="5"/>
      <c r="RM68" s="5"/>
      <c r="RN68" s="5"/>
      <c r="RO68" s="5"/>
      <c r="RP68" s="5"/>
      <c r="RQ68" s="5"/>
      <c r="RR68" s="5"/>
      <c r="RS68" s="5"/>
      <c r="RT68" s="5"/>
      <c r="RU68" s="5"/>
      <c r="RV68" s="5"/>
      <c r="RW68" s="5"/>
      <c r="RX68" s="5"/>
      <c r="RY68" s="5"/>
      <c r="RZ68" s="5"/>
      <c r="SA68" s="5"/>
      <c r="SB68" s="5"/>
      <c r="SC68" s="5"/>
      <c r="SD68" s="5"/>
      <c r="SE68" s="5"/>
      <c r="SF68" s="5"/>
      <c r="SG68" s="5"/>
      <c r="SH68" s="5"/>
      <c r="SI68" s="5"/>
      <c r="SJ68" s="5"/>
      <c r="SK68" s="5"/>
      <c r="SL68" s="5"/>
      <c r="SM68" s="5"/>
      <c r="SN68" s="5"/>
      <c r="SO68" s="5"/>
      <c r="SP68" s="5"/>
      <c r="SQ68" s="5"/>
      <c r="SR68" s="5"/>
      <c r="SS68" s="5"/>
      <c r="ST68" s="5"/>
      <c r="SU68" s="5"/>
      <c r="SV68" s="5"/>
      <c r="SW68" s="5"/>
      <c r="SX68" s="5"/>
      <c r="SY68" s="5"/>
      <c r="SZ68" s="5"/>
      <c r="TA68" s="5"/>
      <c r="TB68" s="5"/>
      <c r="TC68" s="5"/>
      <c r="TD68" s="5"/>
      <c r="TE68" s="5"/>
      <c r="TF68" s="5"/>
      <c r="TG68" s="5"/>
      <c r="TH68" s="5"/>
      <c r="TI68" s="5"/>
      <c r="TJ68" s="5"/>
      <c r="TK68" s="5"/>
      <c r="TL68" s="5"/>
      <c r="TM68" s="5"/>
      <c r="TN68" s="5"/>
      <c r="TO68" s="5"/>
      <c r="TP68" s="5"/>
      <c r="TQ68" s="5"/>
      <c r="TR68" s="5"/>
      <c r="TS68" s="5"/>
      <c r="TT68" s="5"/>
      <c r="TU68" s="5"/>
      <c r="TV68" s="5"/>
      <c r="TW68" s="5"/>
      <c r="TX68" s="5"/>
      <c r="TY68" s="5"/>
      <c r="TZ68" s="5"/>
      <c r="UA68" s="5"/>
      <c r="UB68" s="5"/>
      <c r="UC68" s="5"/>
      <c r="UD68" s="5"/>
      <c r="UE68" s="5"/>
      <c r="UF68" s="5"/>
      <c r="UG68" s="5"/>
      <c r="UH68" s="5"/>
      <c r="UI68" s="5"/>
      <c r="UJ68" s="5"/>
      <c r="UK68" s="5"/>
      <c r="UL68" s="5"/>
      <c r="UM68" s="5"/>
      <c r="UN68" s="5"/>
      <c r="UO68" s="5"/>
      <c r="UP68" s="5"/>
      <c r="UQ68" s="5"/>
      <c r="UR68" s="5"/>
      <c r="US68" s="5"/>
      <c r="UT68" s="5"/>
      <c r="UU68" s="5"/>
      <c r="UV68" s="5"/>
      <c r="UW68" s="5"/>
      <c r="UX68" s="5"/>
      <c r="UY68" s="5"/>
      <c r="UZ68" s="5"/>
      <c r="VA68" s="5"/>
      <c r="VB68" s="5"/>
      <c r="VC68" s="5"/>
      <c r="VD68" s="5"/>
      <c r="VE68" s="5"/>
      <c r="VF68" s="5"/>
      <c r="VG68" s="5"/>
      <c r="VH68" s="5"/>
      <c r="VI68" s="5"/>
      <c r="VJ68" s="5"/>
      <c r="VK68" s="5"/>
      <c r="VL68" s="5"/>
      <c r="VM68" s="5"/>
      <c r="VN68" s="5"/>
      <c r="VO68" s="5"/>
      <c r="VP68" s="5"/>
      <c r="VQ68" s="5"/>
      <c r="VR68" s="5"/>
      <c r="VS68" s="5"/>
      <c r="VT68" s="5"/>
      <c r="VU68" s="5"/>
      <c r="VV68" s="5"/>
      <c r="VW68" s="5"/>
      <c r="VX68" s="5"/>
      <c r="VY68" s="5"/>
      <c r="VZ68" s="5"/>
      <c r="WA68" s="5"/>
      <c r="WB68" s="5"/>
      <c r="WC68" s="5"/>
      <c r="WD68" s="5"/>
      <c r="WE68" s="5"/>
      <c r="WF68" s="5"/>
      <c r="WG68" s="5"/>
      <c r="WH68" s="5"/>
      <c r="WI68" s="5"/>
      <c r="WJ68" s="5"/>
      <c r="WK68" s="5"/>
      <c r="WL68" s="5"/>
      <c r="WM68" s="5"/>
      <c r="WN68" s="5"/>
      <c r="WO68" s="5"/>
      <c r="WP68" s="5"/>
      <c r="WQ68" s="5"/>
      <c r="WR68" s="5"/>
      <c r="WS68" s="5"/>
      <c r="WT68" s="5"/>
      <c r="WU68" s="5"/>
      <c r="WV68" s="5"/>
      <c r="WW68" s="5"/>
      <c r="WX68" s="5"/>
      <c r="WY68" s="5"/>
      <c r="WZ68" s="5"/>
      <c r="XA68" s="5"/>
      <c r="XB68" s="5"/>
      <c r="XC68" s="5"/>
      <c r="XD68" s="5"/>
      <c r="XE68" s="5"/>
      <c r="XF68" s="5"/>
      <c r="XG68" s="5"/>
      <c r="XH68" s="5"/>
      <c r="XI68" s="5"/>
      <c r="XJ68" s="5"/>
      <c r="XK68" s="5"/>
      <c r="XL68" s="5"/>
      <c r="XM68" s="5"/>
      <c r="XN68" s="5"/>
      <c r="XO68" s="5"/>
      <c r="XP68" s="5"/>
      <c r="XQ68" s="5"/>
      <c r="XR68" s="5"/>
      <c r="XS68" s="5"/>
      <c r="XT68" s="5"/>
      <c r="XU68" s="5"/>
      <c r="XV68" s="5"/>
      <c r="XW68" s="5"/>
      <c r="XX68" s="5"/>
      <c r="XY68" s="5"/>
      <c r="XZ68" s="5"/>
      <c r="YA68" s="5"/>
      <c r="YB68" s="5"/>
      <c r="YC68" s="5"/>
      <c r="YD68" s="5"/>
      <c r="YE68" s="5"/>
      <c r="YF68" s="5"/>
      <c r="YG68" s="5"/>
      <c r="YH68" s="5"/>
      <c r="YI68" s="5"/>
      <c r="YJ68" s="5"/>
      <c r="YK68" s="5"/>
      <c r="YL68" s="5"/>
      <c r="YM68" s="5"/>
      <c r="YN68" s="5"/>
      <c r="YO68" s="5"/>
      <c r="YP68" s="5"/>
      <c r="YQ68" s="5"/>
      <c r="YR68" s="5"/>
      <c r="YS68" s="5"/>
      <c r="YT68" s="5"/>
      <c r="YU68" s="5"/>
      <c r="YV68" s="5"/>
      <c r="YW68" s="5"/>
      <c r="YX68" s="5"/>
      <c r="YY68" s="5"/>
      <c r="YZ68" s="5"/>
    </row>
    <row r="69" spans="1:676">
      <c r="A69" s="7">
        <v>59</v>
      </c>
      <c r="B69" s="7" t="s">
        <v>186</v>
      </c>
      <c r="C69" s="10" t="s">
        <v>187</v>
      </c>
      <c r="D69" s="7" t="s">
        <v>46</v>
      </c>
      <c r="E69" s="7" t="s">
        <v>78</v>
      </c>
      <c r="F69" s="7" t="s">
        <v>162</v>
      </c>
      <c r="G69" s="7"/>
      <c r="H69" s="7"/>
      <c r="I69" s="11">
        <v>2</v>
      </c>
      <c r="J69" s="11">
        <v>3</v>
      </c>
      <c r="K69" s="11">
        <v>0</v>
      </c>
      <c r="L69" s="11">
        <v>3.27</v>
      </c>
      <c r="M69" s="11">
        <v>0.48</v>
      </c>
      <c r="N69" s="11">
        <v>0</v>
      </c>
      <c r="O69" s="11">
        <v>0.39</v>
      </c>
      <c r="P69" s="11">
        <v>1.48</v>
      </c>
      <c r="Q69" s="11">
        <v>5.620000000000001</v>
      </c>
      <c r="R69" s="11">
        <v>8.41</v>
      </c>
      <c r="S69" s="11">
        <v>14.03</v>
      </c>
      <c r="T69" s="11">
        <v>2</v>
      </c>
      <c r="U69" s="11">
        <v>3</v>
      </c>
      <c r="V69" s="11">
        <v>9.030000000000001</v>
      </c>
      <c r="W69" s="13">
        <v>6</v>
      </c>
      <c r="X69" s="13">
        <v>9</v>
      </c>
      <c r="Y69" s="13" t="str">
        <f>MIN(W69,S69)</f>
        <v>0</v>
      </c>
      <c r="Z69" s="13" t="str">
        <f>MIN(X69,(S69-Y69))</f>
        <v>0</v>
      </c>
      <c r="AA69" s="13" t="str">
        <f>S69-SUM(Y69,Z69)</f>
        <v>0</v>
      </c>
      <c r="AB69" s="15"/>
      <c r="AC69" s="15"/>
      <c r="AD69" s="1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  <c r="CZ69" s="5"/>
      <c r="DA69" s="5"/>
      <c r="DB69" s="5"/>
      <c r="DC69" s="5"/>
      <c r="DD69" s="5"/>
      <c r="DE69" s="5"/>
      <c r="DF69" s="5"/>
      <c r="DG69" s="5"/>
      <c r="DH69" s="5"/>
      <c r="DI69" s="5"/>
      <c r="DJ69" s="5"/>
      <c r="DK69" s="5"/>
      <c r="DL69" s="5"/>
      <c r="DM69" s="5"/>
      <c r="DN69" s="5"/>
      <c r="DO69" s="5"/>
      <c r="DP69" s="5"/>
      <c r="DQ69" s="5"/>
      <c r="DR69" s="5"/>
      <c r="DS69" s="5"/>
      <c r="DT69" s="5"/>
      <c r="DU69" s="5"/>
      <c r="DV69" s="5"/>
      <c r="DW69" s="5"/>
      <c r="DX69" s="5"/>
      <c r="DY69" s="5"/>
      <c r="DZ69" s="5"/>
      <c r="EA69" s="5"/>
      <c r="EB69" s="5"/>
      <c r="EC69" s="5"/>
      <c r="ED69" s="5"/>
      <c r="EE69" s="5"/>
      <c r="EF69" s="5"/>
      <c r="EG69" s="5"/>
      <c r="EH69" s="5"/>
      <c r="EI69" s="5"/>
      <c r="EJ69" s="5"/>
      <c r="EK69" s="5"/>
      <c r="EL69" s="5"/>
      <c r="EM69" s="5"/>
      <c r="EN69" s="5"/>
      <c r="EO69" s="5"/>
      <c r="EP69" s="5"/>
      <c r="EQ69" s="5"/>
      <c r="ER69" s="5"/>
      <c r="ES69" s="5"/>
      <c r="ET69" s="5"/>
      <c r="EU69" s="5"/>
      <c r="EV69" s="5"/>
      <c r="EW69" s="5"/>
      <c r="EX69" s="5"/>
      <c r="EY69" s="5"/>
      <c r="EZ69" s="5"/>
      <c r="FA69" s="5"/>
      <c r="FB69" s="5"/>
      <c r="FC69" s="5"/>
      <c r="FD69" s="5"/>
      <c r="FE69" s="5"/>
      <c r="FF69" s="5"/>
      <c r="FG69" s="5"/>
      <c r="FH69" s="5"/>
      <c r="FI69" s="5"/>
      <c r="FJ69" s="5"/>
      <c r="FK69" s="5"/>
      <c r="FL69" s="5"/>
      <c r="FM69" s="5"/>
      <c r="FN69" s="5"/>
      <c r="FO69" s="5"/>
      <c r="FP69" s="5"/>
      <c r="FQ69" s="5"/>
      <c r="FR69" s="5"/>
      <c r="FS69" s="5"/>
      <c r="FT69" s="5"/>
      <c r="FU69" s="5"/>
      <c r="FV69" s="5"/>
      <c r="FW69" s="5"/>
      <c r="FX69" s="5"/>
      <c r="FY69" s="5"/>
      <c r="FZ69" s="5"/>
      <c r="GA69" s="5"/>
      <c r="GB69" s="5"/>
      <c r="GC69" s="5"/>
      <c r="GD69" s="5"/>
      <c r="GE69" s="5"/>
      <c r="GF69" s="5"/>
      <c r="GG69" s="5"/>
      <c r="GH69" s="5"/>
      <c r="GI69" s="5"/>
      <c r="GJ69" s="5"/>
      <c r="GK69" s="5"/>
      <c r="GL69" s="5"/>
      <c r="GM69" s="5"/>
      <c r="GN69" s="5"/>
      <c r="GO69" s="5"/>
      <c r="GP69" s="5"/>
      <c r="GQ69" s="5"/>
      <c r="GR69" s="5"/>
      <c r="GS69" s="5"/>
      <c r="GT69" s="5"/>
      <c r="GU69" s="5"/>
      <c r="GV69" s="5"/>
      <c r="GW69" s="5"/>
      <c r="GX69" s="5"/>
      <c r="GY69" s="5"/>
      <c r="GZ69" s="5"/>
      <c r="HA69" s="5"/>
      <c r="HB69" s="5"/>
      <c r="HC69" s="5"/>
      <c r="HD69" s="5"/>
      <c r="HE69" s="5"/>
      <c r="HF69" s="5"/>
      <c r="HG69" s="5"/>
      <c r="HH69" s="5"/>
      <c r="HI69" s="5"/>
      <c r="HJ69" s="5"/>
      <c r="HK69" s="5"/>
      <c r="HL69" s="5"/>
      <c r="HM69" s="5"/>
      <c r="HN69" s="5"/>
      <c r="HO69" s="5"/>
      <c r="HP69" s="5"/>
      <c r="HQ69" s="5"/>
      <c r="HR69" s="5"/>
      <c r="HS69" s="5"/>
      <c r="HT69" s="5"/>
      <c r="HU69" s="5"/>
      <c r="HV69" s="5"/>
      <c r="HW69" s="5"/>
      <c r="HX69" s="5"/>
      <c r="HY69" s="5"/>
      <c r="HZ69" s="5"/>
      <c r="IA69" s="5"/>
      <c r="IB69" s="5"/>
      <c r="IC69" s="5"/>
      <c r="ID69" s="5"/>
      <c r="IE69" s="5"/>
      <c r="IF69" s="5"/>
      <c r="IG69" s="5"/>
      <c r="IH69" s="5"/>
      <c r="II69" s="5"/>
      <c r="IJ69" s="5"/>
      <c r="IK69" s="5"/>
      <c r="IL69" s="5"/>
      <c r="IM69" s="5"/>
      <c r="IN69" s="5"/>
      <c r="IO69" s="5"/>
      <c r="IP69" s="5"/>
      <c r="IQ69" s="5"/>
      <c r="IR69" s="5"/>
      <c r="IS69" s="5"/>
      <c r="IT69" s="5"/>
      <c r="IU69" s="5"/>
      <c r="IV69" s="5"/>
      <c r="IW69" s="5"/>
      <c r="IX69" s="5"/>
      <c r="IY69" s="5"/>
      <c r="IZ69" s="5"/>
      <c r="JA69" s="5"/>
      <c r="JB69" s="5"/>
      <c r="JC69" s="5"/>
      <c r="JD69" s="5"/>
      <c r="JE69" s="5"/>
      <c r="JF69" s="5"/>
      <c r="JG69" s="5"/>
      <c r="JH69" s="5"/>
      <c r="JI69" s="5"/>
      <c r="JJ69" s="5"/>
      <c r="JK69" s="5"/>
      <c r="JL69" s="5"/>
      <c r="JM69" s="5"/>
      <c r="JN69" s="5"/>
      <c r="JO69" s="5"/>
      <c r="JP69" s="5"/>
      <c r="JQ69" s="5"/>
      <c r="JR69" s="5"/>
      <c r="JS69" s="5"/>
      <c r="JT69" s="5"/>
      <c r="JU69" s="5"/>
      <c r="JV69" s="5"/>
      <c r="JW69" s="5"/>
      <c r="JX69" s="5"/>
      <c r="JY69" s="5"/>
      <c r="JZ69" s="5"/>
      <c r="KA69" s="5"/>
      <c r="KB69" s="5"/>
      <c r="KC69" s="5"/>
      <c r="KD69" s="5"/>
      <c r="KE69" s="5"/>
      <c r="KF69" s="5"/>
      <c r="KG69" s="5"/>
      <c r="KH69" s="5"/>
      <c r="KI69" s="5"/>
      <c r="KJ69" s="5"/>
      <c r="KK69" s="5"/>
      <c r="KL69" s="5"/>
      <c r="KM69" s="5"/>
      <c r="KN69" s="5"/>
      <c r="KO69" s="5"/>
      <c r="KP69" s="5"/>
      <c r="KQ69" s="5"/>
      <c r="KR69" s="5"/>
      <c r="KS69" s="5"/>
      <c r="KT69" s="5"/>
      <c r="KU69" s="5"/>
      <c r="KV69" s="5"/>
      <c r="KW69" s="5"/>
      <c r="KX69" s="5"/>
      <c r="KY69" s="5"/>
      <c r="KZ69" s="5"/>
      <c r="LA69" s="5"/>
      <c r="LB69" s="5"/>
      <c r="LC69" s="5"/>
      <c r="LD69" s="5"/>
      <c r="LE69" s="5"/>
      <c r="LF69" s="5"/>
      <c r="LG69" s="5"/>
      <c r="LH69" s="5"/>
      <c r="LI69" s="5"/>
      <c r="LJ69" s="5"/>
      <c r="LK69" s="5"/>
      <c r="LL69" s="5"/>
      <c r="LM69" s="5"/>
      <c r="LN69" s="5"/>
      <c r="LO69" s="5"/>
      <c r="LP69" s="5"/>
      <c r="LQ69" s="5"/>
      <c r="LR69" s="5"/>
      <c r="LS69" s="5"/>
      <c r="LT69" s="5"/>
      <c r="LU69" s="5"/>
      <c r="LV69" s="5"/>
      <c r="LW69" s="5"/>
      <c r="LX69" s="5"/>
      <c r="LY69" s="5"/>
      <c r="LZ69" s="5"/>
      <c r="MA69" s="5"/>
      <c r="MB69" s="5"/>
      <c r="MC69" s="5"/>
      <c r="MD69" s="5"/>
      <c r="ME69" s="5"/>
      <c r="MF69" s="5"/>
      <c r="MG69" s="5"/>
      <c r="MH69" s="5"/>
      <c r="MI69" s="5"/>
      <c r="MJ69" s="5"/>
      <c r="MK69" s="5"/>
      <c r="ML69" s="5"/>
      <c r="MM69" s="5"/>
      <c r="MN69" s="5"/>
      <c r="MO69" s="5"/>
      <c r="MP69" s="5"/>
      <c r="MQ69" s="5"/>
      <c r="MR69" s="5"/>
      <c r="MS69" s="5"/>
      <c r="MT69" s="5"/>
      <c r="MU69" s="5"/>
      <c r="MV69" s="5"/>
      <c r="MW69" s="5"/>
      <c r="MX69" s="5"/>
      <c r="MY69" s="5"/>
      <c r="MZ69" s="5"/>
      <c r="NA69" s="5"/>
      <c r="NB69" s="5"/>
      <c r="NC69" s="5"/>
      <c r="ND69" s="5"/>
      <c r="NE69" s="5"/>
      <c r="NF69" s="5"/>
      <c r="NG69" s="5"/>
      <c r="NH69" s="5"/>
      <c r="NI69" s="5"/>
      <c r="NJ69" s="5"/>
      <c r="NK69" s="5"/>
      <c r="NL69" s="5"/>
      <c r="NM69" s="5"/>
      <c r="NN69" s="5"/>
      <c r="NO69" s="5"/>
      <c r="NP69" s="5"/>
      <c r="NQ69" s="5"/>
      <c r="NR69" s="5"/>
      <c r="NS69" s="5"/>
      <c r="NT69" s="5"/>
      <c r="NU69" s="5"/>
      <c r="NV69" s="5"/>
      <c r="NW69" s="5"/>
      <c r="NX69" s="5"/>
      <c r="NY69" s="5"/>
      <c r="NZ69" s="5"/>
      <c r="OA69" s="5"/>
      <c r="OB69" s="5"/>
      <c r="OC69" s="5"/>
      <c r="OD69" s="5"/>
      <c r="OE69" s="5"/>
      <c r="OF69" s="5"/>
      <c r="OG69" s="5"/>
      <c r="OH69" s="5"/>
      <c r="OI69" s="5"/>
      <c r="OJ69" s="5"/>
      <c r="OK69" s="5"/>
      <c r="OL69" s="5"/>
      <c r="OM69" s="5"/>
      <c r="ON69" s="5"/>
      <c r="OO69" s="5"/>
      <c r="OP69" s="5"/>
      <c r="OQ69" s="5"/>
      <c r="OR69" s="5"/>
      <c r="OS69" s="5"/>
      <c r="OT69" s="5"/>
      <c r="OU69" s="5"/>
      <c r="OV69" s="5"/>
      <c r="OW69" s="5"/>
      <c r="OX69" s="5"/>
      <c r="OY69" s="5"/>
      <c r="OZ69" s="5"/>
      <c r="PA69" s="5"/>
      <c r="PB69" s="5"/>
      <c r="PC69" s="5"/>
      <c r="PD69" s="5"/>
      <c r="PE69" s="5"/>
      <c r="PF69" s="5"/>
      <c r="PG69" s="5"/>
      <c r="PH69" s="5"/>
      <c r="PI69" s="5"/>
      <c r="PJ69" s="5"/>
      <c r="PK69" s="5"/>
      <c r="PL69" s="5"/>
      <c r="PM69" s="5"/>
      <c r="PN69" s="5"/>
      <c r="PO69" s="5"/>
      <c r="PP69" s="5"/>
      <c r="PQ69" s="5"/>
      <c r="PR69" s="5"/>
      <c r="PS69" s="5"/>
      <c r="PT69" s="5"/>
      <c r="PU69" s="5"/>
      <c r="PV69" s="5"/>
      <c r="PW69" s="5"/>
      <c r="PX69" s="5"/>
      <c r="PY69" s="5"/>
      <c r="PZ69" s="5"/>
      <c r="QA69" s="5"/>
      <c r="QB69" s="5"/>
      <c r="QC69" s="5"/>
      <c r="QD69" s="5"/>
      <c r="QE69" s="5"/>
      <c r="QF69" s="5"/>
      <c r="QG69" s="5"/>
      <c r="QH69" s="5"/>
      <c r="QI69" s="5"/>
      <c r="QJ69" s="5"/>
      <c r="QK69" s="5"/>
      <c r="QL69" s="5"/>
      <c r="QM69" s="5"/>
      <c r="QN69" s="5"/>
      <c r="QO69" s="5"/>
      <c r="QP69" s="5"/>
      <c r="QQ69" s="5"/>
      <c r="QR69" s="5"/>
      <c r="QS69" s="5"/>
      <c r="QT69" s="5"/>
      <c r="QU69" s="5"/>
      <c r="QV69" s="5"/>
      <c r="QW69" s="5"/>
      <c r="QX69" s="5"/>
      <c r="QY69" s="5"/>
      <c r="QZ69" s="5"/>
      <c r="RA69" s="5"/>
      <c r="RB69" s="5"/>
      <c r="RC69" s="5"/>
      <c r="RD69" s="5"/>
      <c r="RE69" s="5"/>
      <c r="RF69" s="5"/>
      <c r="RG69" s="5"/>
      <c r="RH69" s="5"/>
      <c r="RI69" s="5"/>
      <c r="RJ69" s="5"/>
      <c r="RK69" s="5"/>
      <c r="RL69" s="5"/>
      <c r="RM69" s="5"/>
      <c r="RN69" s="5"/>
      <c r="RO69" s="5"/>
      <c r="RP69" s="5"/>
      <c r="RQ69" s="5"/>
      <c r="RR69" s="5"/>
      <c r="RS69" s="5"/>
      <c r="RT69" s="5"/>
      <c r="RU69" s="5"/>
      <c r="RV69" s="5"/>
      <c r="RW69" s="5"/>
      <c r="RX69" s="5"/>
      <c r="RY69" s="5"/>
      <c r="RZ69" s="5"/>
      <c r="SA69" s="5"/>
      <c r="SB69" s="5"/>
      <c r="SC69" s="5"/>
      <c r="SD69" s="5"/>
      <c r="SE69" s="5"/>
      <c r="SF69" s="5"/>
      <c r="SG69" s="5"/>
      <c r="SH69" s="5"/>
      <c r="SI69" s="5"/>
      <c r="SJ69" s="5"/>
      <c r="SK69" s="5"/>
      <c r="SL69" s="5"/>
      <c r="SM69" s="5"/>
      <c r="SN69" s="5"/>
      <c r="SO69" s="5"/>
      <c r="SP69" s="5"/>
      <c r="SQ69" s="5"/>
      <c r="SR69" s="5"/>
      <c r="SS69" s="5"/>
      <c r="ST69" s="5"/>
      <c r="SU69" s="5"/>
      <c r="SV69" s="5"/>
      <c r="SW69" s="5"/>
      <c r="SX69" s="5"/>
      <c r="SY69" s="5"/>
      <c r="SZ69" s="5"/>
      <c r="TA69" s="5"/>
      <c r="TB69" s="5"/>
      <c r="TC69" s="5"/>
      <c r="TD69" s="5"/>
      <c r="TE69" s="5"/>
      <c r="TF69" s="5"/>
      <c r="TG69" s="5"/>
      <c r="TH69" s="5"/>
      <c r="TI69" s="5"/>
      <c r="TJ69" s="5"/>
      <c r="TK69" s="5"/>
      <c r="TL69" s="5"/>
      <c r="TM69" s="5"/>
      <c r="TN69" s="5"/>
      <c r="TO69" s="5"/>
      <c r="TP69" s="5"/>
      <c r="TQ69" s="5"/>
      <c r="TR69" s="5"/>
      <c r="TS69" s="5"/>
      <c r="TT69" s="5"/>
      <c r="TU69" s="5"/>
      <c r="TV69" s="5"/>
      <c r="TW69" s="5"/>
      <c r="TX69" s="5"/>
      <c r="TY69" s="5"/>
      <c r="TZ69" s="5"/>
      <c r="UA69" s="5"/>
      <c r="UB69" s="5"/>
      <c r="UC69" s="5"/>
      <c r="UD69" s="5"/>
      <c r="UE69" s="5"/>
      <c r="UF69" s="5"/>
      <c r="UG69" s="5"/>
      <c r="UH69" s="5"/>
      <c r="UI69" s="5"/>
      <c r="UJ69" s="5"/>
      <c r="UK69" s="5"/>
      <c r="UL69" s="5"/>
      <c r="UM69" s="5"/>
      <c r="UN69" s="5"/>
      <c r="UO69" s="5"/>
      <c r="UP69" s="5"/>
      <c r="UQ69" s="5"/>
      <c r="UR69" s="5"/>
      <c r="US69" s="5"/>
      <c r="UT69" s="5"/>
      <c r="UU69" s="5"/>
      <c r="UV69" s="5"/>
      <c r="UW69" s="5"/>
      <c r="UX69" s="5"/>
      <c r="UY69" s="5"/>
      <c r="UZ69" s="5"/>
      <c r="VA69" s="5"/>
      <c r="VB69" s="5"/>
      <c r="VC69" s="5"/>
      <c r="VD69" s="5"/>
      <c r="VE69" s="5"/>
      <c r="VF69" s="5"/>
      <c r="VG69" s="5"/>
      <c r="VH69" s="5"/>
      <c r="VI69" s="5"/>
      <c r="VJ69" s="5"/>
      <c r="VK69" s="5"/>
      <c r="VL69" s="5"/>
      <c r="VM69" s="5"/>
      <c r="VN69" s="5"/>
      <c r="VO69" s="5"/>
      <c r="VP69" s="5"/>
      <c r="VQ69" s="5"/>
      <c r="VR69" s="5"/>
      <c r="VS69" s="5"/>
      <c r="VT69" s="5"/>
      <c r="VU69" s="5"/>
      <c r="VV69" s="5"/>
      <c r="VW69" s="5"/>
      <c r="VX69" s="5"/>
      <c r="VY69" s="5"/>
      <c r="VZ69" s="5"/>
      <c r="WA69" s="5"/>
      <c r="WB69" s="5"/>
      <c r="WC69" s="5"/>
      <c r="WD69" s="5"/>
      <c r="WE69" s="5"/>
      <c r="WF69" s="5"/>
      <c r="WG69" s="5"/>
      <c r="WH69" s="5"/>
      <c r="WI69" s="5"/>
      <c r="WJ69" s="5"/>
      <c r="WK69" s="5"/>
      <c r="WL69" s="5"/>
      <c r="WM69" s="5"/>
      <c r="WN69" s="5"/>
      <c r="WO69" s="5"/>
      <c r="WP69" s="5"/>
      <c r="WQ69" s="5"/>
      <c r="WR69" s="5"/>
      <c r="WS69" s="5"/>
      <c r="WT69" s="5"/>
      <c r="WU69" s="5"/>
      <c r="WV69" s="5"/>
      <c r="WW69" s="5"/>
      <c r="WX69" s="5"/>
      <c r="WY69" s="5"/>
      <c r="WZ69" s="5"/>
      <c r="XA69" s="5"/>
      <c r="XB69" s="5"/>
      <c r="XC69" s="5"/>
      <c r="XD69" s="5"/>
      <c r="XE69" s="5"/>
      <c r="XF69" s="5"/>
      <c r="XG69" s="5"/>
      <c r="XH69" s="5"/>
      <c r="XI69" s="5"/>
      <c r="XJ69" s="5"/>
      <c r="XK69" s="5"/>
      <c r="XL69" s="5"/>
      <c r="XM69" s="5"/>
      <c r="XN69" s="5"/>
      <c r="XO69" s="5"/>
      <c r="XP69" s="5"/>
      <c r="XQ69" s="5"/>
      <c r="XR69" s="5"/>
      <c r="XS69" s="5"/>
      <c r="XT69" s="5"/>
      <c r="XU69" s="5"/>
      <c r="XV69" s="5"/>
      <c r="XW69" s="5"/>
      <c r="XX69" s="5"/>
      <c r="XY69" s="5"/>
      <c r="XZ69" s="5"/>
      <c r="YA69" s="5"/>
      <c r="YB69" s="5"/>
      <c r="YC69" s="5"/>
      <c r="YD69" s="5"/>
      <c r="YE69" s="5"/>
      <c r="YF69" s="5"/>
      <c r="YG69" s="5"/>
      <c r="YH69" s="5"/>
      <c r="YI69" s="5"/>
      <c r="YJ69" s="5"/>
      <c r="YK69" s="5"/>
      <c r="YL69" s="5"/>
      <c r="YM69" s="5"/>
      <c r="YN69" s="5"/>
      <c r="YO69" s="5"/>
      <c r="YP69" s="5"/>
      <c r="YQ69" s="5"/>
      <c r="YR69" s="5"/>
      <c r="YS69" s="5"/>
      <c r="YT69" s="5"/>
      <c r="YU69" s="5"/>
      <c r="YV69" s="5"/>
      <c r="YW69" s="5"/>
      <c r="YX69" s="5"/>
      <c r="YY69" s="5"/>
      <c r="YZ69" s="5"/>
    </row>
    <row r="70" spans="1:676">
      <c r="A70" s="7">
        <v>60</v>
      </c>
      <c r="B70" s="7" t="s">
        <v>188</v>
      </c>
      <c r="C70" s="10" t="s">
        <v>189</v>
      </c>
      <c r="D70" s="7" t="s">
        <v>40</v>
      </c>
      <c r="E70" s="7" t="s">
        <v>47</v>
      </c>
      <c r="F70" s="7" t="s">
        <v>190</v>
      </c>
      <c r="G70" s="7"/>
      <c r="H70" s="7"/>
      <c r="I70" s="11">
        <v>2</v>
      </c>
      <c r="J70" s="11">
        <v>3</v>
      </c>
      <c r="K70" s="11">
        <v>0</v>
      </c>
      <c r="L70" s="11">
        <v>4.44</v>
      </c>
      <c r="M70" s="11">
        <v>0.16</v>
      </c>
      <c r="N70" s="11">
        <v>0</v>
      </c>
      <c r="O70" s="11">
        <v>0.21</v>
      </c>
      <c r="P70" s="11">
        <v>0.51</v>
      </c>
      <c r="Q70" s="11">
        <v>5.32</v>
      </c>
      <c r="R70" s="11">
        <v>15.93000000000001</v>
      </c>
      <c r="S70" s="11">
        <v>21.25000000000001</v>
      </c>
      <c r="T70" s="11">
        <v>2</v>
      </c>
      <c r="U70" s="11">
        <v>3</v>
      </c>
      <c r="V70" s="11">
        <v>16.25000000000001</v>
      </c>
      <c r="W70" s="13">
        <v>6</v>
      </c>
      <c r="X70" s="13">
        <v>9</v>
      </c>
      <c r="Y70" s="13" t="str">
        <f>MIN(W70,S70)</f>
        <v>0</v>
      </c>
      <c r="Z70" s="13" t="str">
        <f>MIN(X70,(S70-Y70))</f>
        <v>0</v>
      </c>
      <c r="AA70" s="13" t="str">
        <f>S70-SUM(Y70,Z70)</f>
        <v>0</v>
      </c>
      <c r="AB70" s="15"/>
      <c r="AC70" s="15"/>
      <c r="AD70" s="1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  <c r="CZ70" s="5"/>
      <c r="DA70" s="5"/>
      <c r="DB70" s="5"/>
      <c r="DC70" s="5"/>
      <c r="DD70" s="5"/>
      <c r="DE70" s="5"/>
      <c r="DF70" s="5"/>
      <c r="DG70" s="5"/>
      <c r="DH70" s="5"/>
      <c r="DI70" s="5"/>
      <c r="DJ70" s="5"/>
      <c r="DK70" s="5"/>
      <c r="DL70" s="5"/>
      <c r="DM70" s="5"/>
      <c r="DN70" s="5"/>
      <c r="DO70" s="5"/>
      <c r="DP70" s="5"/>
      <c r="DQ70" s="5"/>
      <c r="DR70" s="5"/>
      <c r="DS70" s="5"/>
      <c r="DT70" s="5"/>
      <c r="DU70" s="5"/>
      <c r="DV70" s="5"/>
      <c r="DW70" s="5"/>
      <c r="DX70" s="5"/>
      <c r="DY70" s="5"/>
      <c r="DZ70" s="5"/>
      <c r="EA70" s="5"/>
      <c r="EB70" s="5"/>
      <c r="EC70" s="5"/>
      <c r="ED70" s="5"/>
      <c r="EE70" s="5"/>
      <c r="EF70" s="5"/>
      <c r="EG70" s="5"/>
      <c r="EH70" s="5"/>
      <c r="EI70" s="5"/>
      <c r="EJ70" s="5"/>
      <c r="EK70" s="5"/>
      <c r="EL70" s="5"/>
      <c r="EM70" s="5"/>
      <c r="EN70" s="5"/>
      <c r="EO70" s="5"/>
      <c r="EP70" s="5"/>
      <c r="EQ70" s="5"/>
      <c r="ER70" s="5"/>
      <c r="ES70" s="5"/>
      <c r="ET70" s="5"/>
      <c r="EU70" s="5"/>
      <c r="EV70" s="5"/>
      <c r="EW70" s="5"/>
      <c r="EX70" s="5"/>
      <c r="EY70" s="5"/>
      <c r="EZ70" s="5"/>
      <c r="FA70" s="5"/>
      <c r="FB70" s="5"/>
      <c r="FC70" s="5"/>
      <c r="FD70" s="5"/>
      <c r="FE70" s="5"/>
      <c r="FF70" s="5"/>
      <c r="FG70" s="5"/>
      <c r="FH70" s="5"/>
      <c r="FI70" s="5"/>
      <c r="FJ70" s="5"/>
      <c r="FK70" s="5"/>
      <c r="FL70" s="5"/>
      <c r="FM70" s="5"/>
      <c r="FN70" s="5"/>
      <c r="FO70" s="5"/>
      <c r="FP70" s="5"/>
      <c r="FQ70" s="5"/>
      <c r="FR70" s="5"/>
      <c r="FS70" s="5"/>
      <c r="FT70" s="5"/>
      <c r="FU70" s="5"/>
      <c r="FV70" s="5"/>
      <c r="FW70" s="5"/>
      <c r="FX70" s="5"/>
      <c r="FY70" s="5"/>
      <c r="FZ70" s="5"/>
      <c r="GA70" s="5"/>
      <c r="GB70" s="5"/>
      <c r="GC70" s="5"/>
      <c r="GD70" s="5"/>
      <c r="GE70" s="5"/>
      <c r="GF70" s="5"/>
      <c r="GG70" s="5"/>
      <c r="GH70" s="5"/>
      <c r="GI70" s="5"/>
      <c r="GJ70" s="5"/>
      <c r="GK70" s="5"/>
      <c r="GL70" s="5"/>
      <c r="GM70" s="5"/>
      <c r="GN70" s="5"/>
      <c r="GO70" s="5"/>
      <c r="GP70" s="5"/>
      <c r="GQ70" s="5"/>
      <c r="GR70" s="5"/>
      <c r="GS70" s="5"/>
      <c r="GT70" s="5"/>
      <c r="GU70" s="5"/>
      <c r="GV70" s="5"/>
      <c r="GW70" s="5"/>
      <c r="GX70" s="5"/>
      <c r="GY70" s="5"/>
      <c r="GZ70" s="5"/>
      <c r="HA70" s="5"/>
      <c r="HB70" s="5"/>
      <c r="HC70" s="5"/>
      <c r="HD70" s="5"/>
      <c r="HE70" s="5"/>
      <c r="HF70" s="5"/>
      <c r="HG70" s="5"/>
      <c r="HH70" s="5"/>
      <c r="HI70" s="5"/>
      <c r="HJ70" s="5"/>
      <c r="HK70" s="5"/>
      <c r="HL70" s="5"/>
      <c r="HM70" s="5"/>
      <c r="HN70" s="5"/>
      <c r="HO70" s="5"/>
      <c r="HP70" s="5"/>
      <c r="HQ70" s="5"/>
      <c r="HR70" s="5"/>
      <c r="HS70" s="5"/>
      <c r="HT70" s="5"/>
      <c r="HU70" s="5"/>
      <c r="HV70" s="5"/>
      <c r="HW70" s="5"/>
      <c r="HX70" s="5"/>
      <c r="HY70" s="5"/>
      <c r="HZ70" s="5"/>
      <c r="IA70" s="5"/>
      <c r="IB70" s="5"/>
      <c r="IC70" s="5"/>
      <c r="ID70" s="5"/>
      <c r="IE70" s="5"/>
      <c r="IF70" s="5"/>
      <c r="IG70" s="5"/>
      <c r="IH70" s="5"/>
      <c r="II70" s="5"/>
      <c r="IJ70" s="5"/>
      <c r="IK70" s="5"/>
      <c r="IL70" s="5"/>
      <c r="IM70" s="5"/>
      <c r="IN70" s="5"/>
      <c r="IO70" s="5"/>
      <c r="IP70" s="5"/>
      <c r="IQ70" s="5"/>
      <c r="IR70" s="5"/>
      <c r="IS70" s="5"/>
      <c r="IT70" s="5"/>
      <c r="IU70" s="5"/>
      <c r="IV70" s="5"/>
      <c r="IW70" s="5"/>
      <c r="IX70" s="5"/>
      <c r="IY70" s="5"/>
      <c r="IZ70" s="5"/>
      <c r="JA70" s="5"/>
      <c r="JB70" s="5"/>
      <c r="JC70" s="5"/>
      <c r="JD70" s="5"/>
      <c r="JE70" s="5"/>
      <c r="JF70" s="5"/>
      <c r="JG70" s="5"/>
      <c r="JH70" s="5"/>
      <c r="JI70" s="5"/>
      <c r="JJ70" s="5"/>
      <c r="JK70" s="5"/>
      <c r="JL70" s="5"/>
      <c r="JM70" s="5"/>
      <c r="JN70" s="5"/>
      <c r="JO70" s="5"/>
      <c r="JP70" s="5"/>
      <c r="JQ70" s="5"/>
      <c r="JR70" s="5"/>
      <c r="JS70" s="5"/>
      <c r="JT70" s="5"/>
      <c r="JU70" s="5"/>
      <c r="JV70" s="5"/>
      <c r="JW70" s="5"/>
      <c r="JX70" s="5"/>
      <c r="JY70" s="5"/>
      <c r="JZ70" s="5"/>
      <c r="KA70" s="5"/>
      <c r="KB70" s="5"/>
      <c r="KC70" s="5"/>
      <c r="KD70" s="5"/>
      <c r="KE70" s="5"/>
      <c r="KF70" s="5"/>
      <c r="KG70" s="5"/>
      <c r="KH70" s="5"/>
      <c r="KI70" s="5"/>
      <c r="KJ70" s="5"/>
      <c r="KK70" s="5"/>
      <c r="KL70" s="5"/>
      <c r="KM70" s="5"/>
      <c r="KN70" s="5"/>
      <c r="KO70" s="5"/>
      <c r="KP70" s="5"/>
      <c r="KQ70" s="5"/>
      <c r="KR70" s="5"/>
      <c r="KS70" s="5"/>
      <c r="KT70" s="5"/>
      <c r="KU70" s="5"/>
      <c r="KV70" s="5"/>
      <c r="KW70" s="5"/>
      <c r="KX70" s="5"/>
      <c r="KY70" s="5"/>
      <c r="KZ70" s="5"/>
      <c r="LA70" s="5"/>
      <c r="LB70" s="5"/>
      <c r="LC70" s="5"/>
      <c r="LD70" s="5"/>
      <c r="LE70" s="5"/>
      <c r="LF70" s="5"/>
      <c r="LG70" s="5"/>
      <c r="LH70" s="5"/>
      <c r="LI70" s="5"/>
      <c r="LJ70" s="5"/>
      <c r="LK70" s="5"/>
      <c r="LL70" s="5"/>
      <c r="LM70" s="5"/>
      <c r="LN70" s="5"/>
      <c r="LO70" s="5"/>
      <c r="LP70" s="5"/>
      <c r="LQ70" s="5"/>
      <c r="LR70" s="5"/>
      <c r="LS70" s="5"/>
      <c r="LT70" s="5"/>
      <c r="LU70" s="5"/>
      <c r="LV70" s="5"/>
      <c r="LW70" s="5"/>
      <c r="LX70" s="5"/>
      <c r="LY70" s="5"/>
      <c r="LZ70" s="5"/>
      <c r="MA70" s="5"/>
      <c r="MB70" s="5"/>
      <c r="MC70" s="5"/>
      <c r="MD70" s="5"/>
      <c r="ME70" s="5"/>
      <c r="MF70" s="5"/>
      <c r="MG70" s="5"/>
      <c r="MH70" s="5"/>
      <c r="MI70" s="5"/>
      <c r="MJ70" s="5"/>
      <c r="MK70" s="5"/>
      <c r="ML70" s="5"/>
      <c r="MM70" s="5"/>
      <c r="MN70" s="5"/>
      <c r="MO70" s="5"/>
      <c r="MP70" s="5"/>
      <c r="MQ70" s="5"/>
      <c r="MR70" s="5"/>
      <c r="MS70" s="5"/>
      <c r="MT70" s="5"/>
      <c r="MU70" s="5"/>
      <c r="MV70" s="5"/>
      <c r="MW70" s="5"/>
      <c r="MX70" s="5"/>
      <c r="MY70" s="5"/>
      <c r="MZ70" s="5"/>
      <c r="NA70" s="5"/>
      <c r="NB70" s="5"/>
      <c r="NC70" s="5"/>
      <c r="ND70" s="5"/>
      <c r="NE70" s="5"/>
      <c r="NF70" s="5"/>
      <c r="NG70" s="5"/>
      <c r="NH70" s="5"/>
      <c r="NI70" s="5"/>
      <c r="NJ70" s="5"/>
      <c r="NK70" s="5"/>
      <c r="NL70" s="5"/>
      <c r="NM70" s="5"/>
      <c r="NN70" s="5"/>
      <c r="NO70" s="5"/>
      <c r="NP70" s="5"/>
      <c r="NQ70" s="5"/>
      <c r="NR70" s="5"/>
      <c r="NS70" s="5"/>
      <c r="NT70" s="5"/>
      <c r="NU70" s="5"/>
      <c r="NV70" s="5"/>
      <c r="NW70" s="5"/>
      <c r="NX70" s="5"/>
      <c r="NY70" s="5"/>
      <c r="NZ70" s="5"/>
      <c r="OA70" s="5"/>
      <c r="OB70" s="5"/>
      <c r="OC70" s="5"/>
      <c r="OD70" s="5"/>
      <c r="OE70" s="5"/>
      <c r="OF70" s="5"/>
      <c r="OG70" s="5"/>
      <c r="OH70" s="5"/>
      <c r="OI70" s="5"/>
      <c r="OJ70" s="5"/>
      <c r="OK70" s="5"/>
      <c r="OL70" s="5"/>
      <c r="OM70" s="5"/>
      <c r="ON70" s="5"/>
      <c r="OO70" s="5"/>
      <c r="OP70" s="5"/>
      <c r="OQ70" s="5"/>
      <c r="OR70" s="5"/>
      <c r="OS70" s="5"/>
      <c r="OT70" s="5"/>
      <c r="OU70" s="5"/>
      <c r="OV70" s="5"/>
      <c r="OW70" s="5"/>
      <c r="OX70" s="5"/>
      <c r="OY70" s="5"/>
      <c r="OZ70" s="5"/>
      <c r="PA70" s="5"/>
      <c r="PB70" s="5"/>
      <c r="PC70" s="5"/>
      <c r="PD70" s="5"/>
      <c r="PE70" s="5"/>
      <c r="PF70" s="5"/>
      <c r="PG70" s="5"/>
      <c r="PH70" s="5"/>
      <c r="PI70" s="5"/>
      <c r="PJ70" s="5"/>
      <c r="PK70" s="5"/>
      <c r="PL70" s="5"/>
      <c r="PM70" s="5"/>
      <c r="PN70" s="5"/>
      <c r="PO70" s="5"/>
      <c r="PP70" s="5"/>
      <c r="PQ70" s="5"/>
      <c r="PR70" s="5"/>
      <c r="PS70" s="5"/>
      <c r="PT70" s="5"/>
      <c r="PU70" s="5"/>
      <c r="PV70" s="5"/>
      <c r="PW70" s="5"/>
      <c r="PX70" s="5"/>
      <c r="PY70" s="5"/>
      <c r="PZ70" s="5"/>
      <c r="QA70" s="5"/>
      <c r="QB70" s="5"/>
      <c r="QC70" s="5"/>
      <c r="QD70" s="5"/>
      <c r="QE70" s="5"/>
      <c r="QF70" s="5"/>
      <c r="QG70" s="5"/>
      <c r="QH70" s="5"/>
      <c r="QI70" s="5"/>
      <c r="QJ70" s="5"/>
      <c r="QK70" s="5"/>
      <c r="QL70" s="5"/>
      <c r="QM70" s="5"/>
      <c r="QN70" s="5"/>
      <c r="QO70" s="5"/>
      <c r="QP70" s="5"/>
      <c r="QQ70" s="5"/>
      <c r="QR70" s="5"/>
      <c r="QS70" s="5"/>
      <c r="QT70" s="5"/>
      <c r="QU70" s="5"/>
      <c r="QV70" s="5"/>
      <c r="QW70" s="5"/>
      <c r="QX70" s="5"/>
      <c r="QY70" s="5"/>
      <c r="QZ70" s="5"/>
      <c r="RA70" s="5"/>
      <c r="RB70" s="5"/>
      <c r="RC70" s="5"/>
      <c r="RD70" s="5"/>
      <c r="RE70" s="5"/>
      <c r="RF70" s="5"/>
      <c r="RG70" s="5"/>
      <c r="RH70" s="5"/>
      <c r="RI70" s="5"/>
      <c r="RJ70" s="5"/>
      <c r="RK70" s="5"/>
      <c r="RL70" s="5"/>
      <c r="RM70" s="5"/>
      <c r="RN70" s="5"/>
      <c r="RO70" s="5"/>
      <c r="RP70" s="5"/>
      <c r="RQ70" s="5"/>
      <c r="RR70" s="5"/>
      <c r="RS70" s="5"/>
      <c r="RT70" s="5"/>
      <c r="RU70" s="5"/>
      <c r="RV70" s="5"/>
      <c r="RW70" s="5"/>
      <c r="RX70" s="5"/>
      <c r="RY70" s="5"/>
      <c r="RZ70" s="5"/>
      <c r="SA70" s="5"/>
      <c r="SB70" s="5"/>
      <c r="SC70" s="5"/>
      <c r="SD70" s="5"/>
      <c r="SE70" s="5"/>
      <c r="SF70" s="5"/>
      <c r="SG70" s="5"/>
      <c r="SH70" s="5"/>
      <c r="SI70" s="5"/>
      <c r="SJ70" s="5"/>
      <c r="SK70" s="5"/>
      <c r="SL70" s="5"/>
      <c r="SM70" s="5"/>
      <c r="SN70" s="5"/>
      <c r="SO70" s="5"/>
      <c r="SP70" s="5"/>
      <c r="SQ70" s="5"/>
      <c r="SR70" s="5"/>
      <c r="SS70" s="5"/>
      <c r="ST70" s="5"/>
      <c r="SU70" s="5"/>
      <c r="SV70" s="5"/>
      <c r="SW70" s="5"/>
      <c r="SX70" s="5"/>
      <c r="SY70" s="5"/>
      <c r="SZ70" s="5"/>
      <c r="TA70" s="5"/>
      <c r="TB70" s="5"/>
      <c r="TC70" s="5"/>
      <c r="TD70" s="5"/>
      <c r="TE70" s="5"/>
      <c r="TF70" s="5"/>
      <c r="TG70" s="5"/>
      <c r="TH70" s="5"/>
      <c r="TI70" s="5"/>
      <c r="TJ70" s="5"/>
      <c r="TK70" s="5"/>
      <c r="TL70" s="5"/>
      <c r="TM70" s="5"/>
      <c r="TN70" s="5"/>
      <c r="TO70" s="5"/>
      <c r="TP70" s="5"/>
      <c r="TQ70" s="5"/>
      <c r="TR70" s="5"/>
      <c r="TS70" s="5"/>
      <c r="TT70" s="5"/>
      <c r="TU70" s="5"/>
      <c r="TV70" s="5"/>
      <c r="TW70" s="5"/>
      <c r="TX70" s="5"/>
      <c r="TY70" s="5"/>
      <c r="TZ70" s="5"/>
      <c r="UA70" s="5"/>
      <c r="UB70" s="5"/>
      <c r="UC70" s="5"/>
      <c r="UD70" s="5"/>
      <c r="UE70" s="5"/>
      <c r="UF70" s="5"/>
      <c r="UG70" s="5"/>
      <c r="UH70" s="5"/>
      <c r="UI70" s="5"/>
      <c r="UJ70" s="5"/>
      <c r="UK70" s="5"/>
      <c r="UL70" s="5"/>
      <c r="UM70" s="5"/>
      <c r="UN70" s="5"/>
      <c r="UO70" s="5"/>
      <c r="UP70" s="5"/>
      <c r="UQ70" s="5"/>
      <c r="UR70" s="5"/>
      <c r="US70" s="5"/>
      <c r="UT70" s="5"/>
      <c r="UU70" s="5"/>
      <c r="UV70" s="5"/>
      <c r="UW70" s="5"/>
      <c r="UX70" s="5"/>
      <c r="UY70" s="5"/>
      <c r="UZ70" s="5"/>
      <c r="VA70" s="5"/>
      <c r="VB70" s="5"/>
      <c r="VC70" s="5"/>
      <c r="VD70" s="5"/>
      <c r="VE70" s="5"/>
      <c r="VF70" s="5"/>
      <c r="VG70" s="5"/>
      <c r="VH70" s="5"/>
      <c r="VI70" s="5"/>
      <c r="VJ70" s="5"/>
      <c r="VK70" s="5"/>
      <c r="VL70" s="5"/>
      <c r="VM70" s="5"/>
      <c r="VN70" s="5"/>
      <c r="VO70" s="5"/>
      <c r="VP70" s="5"/>
      <c r="VQ70" s="5"/>
      <c r="VR70" s="5"/>
      <c r="VS70" s="5"/>
      <c r="VT70" s="5"/>
      <c r="VU70" s="5"/>
      <c r="VV70" s="5"/>
      <c r="VW70" s="5"/>
      <c r="VX70" s="5"/>
      <c r="VY70" s="5"/>
      <c r="VZ70" s="5"/>
      <c r="WA70" s="5"/>
      <c r="WB70" s="5"/>
      <c r="WC70" s="5"/>
      <c r="WD70" s="5"/>
      <c r="WE70" s="5"/>
      <c r="WF70" s="5"/>
      <c r="WG70" s="5"/>
      <c r="WH70" s="5"/>
      <c r="WI70" s="5"/>
      <c r="WJ70" s="5"/>
      <c r="WK70" s="5"/>
      <c r="WL70" s="5"/>
      <c r="WM70" s="5"/>
      <c r="WN70" s="5"/>
      <c r="WO70" s="5"/>
      <c r="WP70" s="5"/>
      <c r="WQ70" s="5"/>
      <c r="WR70" s="5"/>
      <c r="WS70" s="5"/>
      <c r="WT70" s="5"/>
      <c r="WU70" s="5"/>
      <c r="WV70" s="5"/>
      <c r="WW70" s="5"/>
      <c r="WX70" s="5"/>
      <c r="WY70" s="5"/>
      <c r="WZ70" s="5"/>
      <c r="XA70" s="5"/>
      <c r="XB70" s="5"/>
      <c r="XC70" s="5"/>
      <c r="XD70" s="5"/>
      <c r="XE70" s="5"/>
      <c r="XF70" s="5"/>
      <c r="XG70" s="5"/>
      <c r="XH70" s="5"/>
      <c r="XI70" s="5"/>
      <c r="XJ70" s="5"/>
      <c r="XK70" s="5"/>
      <c r="XL70" s="5"/>
      <c r="XM70" s="5"/>
      <c r="XN70" s="5"/>
      <c r="XO70" s="5"/>
      <c r="XP70" s="5"/>
      <c r="XQ70" s="5"/>
      <c r="XR70" s="5"/>
      <c r="XS70" s="5"/>
      <c r="XT70" s="5"/>
      <c r="XU70" s="5"/>
      <c r="XV70" s="5"/>
      <c r="XW70" s="5"/>
      <c r="XX70" s="5"/>
      <c r="XY70" s="5"/>
      <c r="XZ70" s="5"/>
      <c r="YA70" s="5"/>
      <c r="YB70" s="5"/>
      <c r="YC70" s="5"/>
      <c r="YD70" s="5"/>
      <c r="YE70" s="5"/>
      <c r="YF70" s="5"/>
      <c r="YG70" s="5"/>
      <c r="YH70" s="5"/>
      <c r="YI70" s="5"/>
      <c r="YJ70" s="5"/>
      <c r="YK70" s="5"/>
      <c r="YL70" s="5"/>
      <c r="YM70" s="5"/>
      <c r="YN70" s="5"/>
      <c r="YO70" s="5"/>
      <c r="YP70" s="5"/>
      <c r="YQ70" s="5"/>
      <c r="YR70" s="5"/>
      <c r="YS70" s="5"/>
      <c r="YT70" s="5"/>
      <c r="YU70" s="5"/>
      <c r="YV70" s="5"/>
      <c r="YW70" s="5"/>
      <c r="YX70" s="5"/>
      <c r="YY70" s="5"/>
      <c r="YZ70" s="5"/>
    </row>
    <row r="71" spans="1:676">
      <c r="A71" s="7">
        <v>61</v>
      </c>
      <c r="B71" s="7" t="s">
        <v>191</v>
      </c>
      <c r="C71" s="10" t="s">
        <v>192</v>
      </c>
      <c r="D71" s="7" t="s">
        <v>46</v>
      </c>
      <c r="E71" s="7" t="s">
        <v>82</v>
      </c>
      <c r="F71" s="7" t="s">
        <v>179</v>
      </c>
      <c r="G71" s="7"/>
      <c r="H71" s="7" t="s">
        <v>79</v>
      </c>
      <c r="I71" s="11">
        <v>2</v>
      </c>
      <c r="J71" s="11">
        <v>0</v>
      </c>
      <c r="K71" s="11">
        <v>0</v>
      </c>
      <c r="L71" s="11">
        <v>0</v>
      </c>
      <c r="M71" s="11">
        <v>0</v>
      </c>
      <c r="N71" s="11">
        <v>0</v>
      </c>
      <c r="O71" s="11">
        <v>0</v>
      </c>
      <c r="P71" s="11">
        <v>0.17</v>
      </c>
      <c r="Q71" s="11">
        <v>0.17</v>
      </c>
      <c r="R71" s="11">
        <v>0.34</v>
      </c>
      <c r="S71" s="11">
        <v>0.51</v>
      </c>
      <c r="T71" s="11">
        <v>0.51</v>
      </c>
      <c r="U71" s="11">
        <v>0</v>
      </c>
      <c r="V71" s="11">
        <v>0</v>
      </c>
      <c r="W71" s="13">
        <v>6</v>
      </c>
      <c r="X71" s="13">
        <v>0</v>
      </c>
      <c r="Y71" s="13" t="str">
        <f>MIN(W71,S71)</f>
        <v>0</v>
      </c>
      <c r="Z71" s="13" t="str">
        <f>MIN(X71,(S71-Y71))</f>
        <v>0</v>
      </c>
      <c r="AA71" s="13" t="str">
        <f>S71-SUM(Y71,Z71)</f>
        <v>0</v>
      </c>
      <c r="AB71" s="15"/>
      <c r="AC71" s="15"/>
      <c r="AD71" s="1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  <c r="CZ71" s="5"/>
      <c r="DA71" s="5"/>
      <c r="DB71" s="5"/>
      <c r="DC71" s="5"/>
      <c r="DD71" s="5"/>
      <c r="DE71" s="5"/>
      <c r="DF71" s="5"/>
      <c r="DG71" s="5"/>
      <c r="DH71" s="5"/>
      <c r="DI71" s="5"/>
      <c r="DJ71" s="5"/>
      <c r="DK71" s="5"/>
      <c r="DL71" s="5"/>
      <c r="DM71" s="5"/>
      <c r="DN71" s="5"/>
      <c r="DO71" s="5"/>
      <c r="DP71" s="5"/>
      <c r="DQ71" s="5"/>
      <c r="DR71" s="5"/>
      <c r="DS71" s="5"/>
      <c r="DT71" s="5"/>
      <c r="DU71" s="5"/>
      <c r="DV71" s="5"/>
      <c r="DW71" s="5"/>
      <c r="DX71" s="5"/>
      <c r="DY71" s="5"/>
      <c r="DZ71" s="5"/>
      <c r="EA71" s="5"/>
      <c r="EB71" s="5"/>
      <c r="EC71" s="5"/>
      <c r="ED71" s="5"/>
      <c r="EE71" s="5"/>
      <c r="EF71" s="5"/>
      <c r="EG71" s="5"/>
      <c r="EH71" s="5"/>
      <c r="EI71" s="5"/>
      <c r="EJ71" s="5"/>
      <c r="EK71" s="5"/>
      <c r="EL71" s="5"/>
      <c r="EM71" s="5"/>
      <c r="EN71" s="5"/>
      <c r="EO71" s="5"/>
      <c r="EP71" s="5"/>
      <c r="EQ71" s="5"/>
      <c r="ER71" s="5"/>
      <c r="ES71" s="5"/>
      <c r="ET71" s="5"/>
      <c r="EU71" s="5"/>
      <c r="EV71" s="5"/>
      <c r="EW71" s="5"/>
      <c r="EX71" s="5"/>
      <c r="EY71" s="5"/>
      <c r="EZ71" s="5"/>
      <c r="FA71" s="5"/>
      <c r="FB71" s="5"/>
      <c r="FC71" s="5"/>
      <c r="FD71" s="5"/>
      <c r="FE71" s="5"/>
      <c r="FF71" s="5"/>
      <c r="FG71" s="5"/>
      <c r="FH71" s="5"/>
      <c r="FI71" s="5"/>
      <c r="FJ71" s="5"/>
      <c r="FK71" s="5"/>
      <c r="FL71" s="5"/>
      <c r="FM71" s="5"/>
      <c r="FN71" s="5"/>
      <c r="FO71" s="5"/>
      <c r="FP71" s="5"/>
      <c r="FQ71" s="5"/>
      <c r="FR71" s="5"/>
      <c r="FS71" s="5"/>
      <c r="FT71" s="5"/>
      <c r="FU71" s="5"/>
      <c r="FV71" s="5"/>
      <c r="FW71" s="5"/>
      <c r="FX71" s="5"/>
      <c r="FY71" s="5"/>
      <c r="FZ71" s="5"/>
      <c r="GA71" s="5"/>
      <c r="GB71" s="5"/>
      <c r="GC71" s="5"/>
      <c r="GD71" s="5"/>
      <c r="GE71" s="5"/>
      <c r="GF71" s="5"/>
      <c r="GG71" s="5"/>
      <c r="GH71" s="5"/>
      <c r="GI71" s="5"/>
      <c r="GJ71" s="5"/>
      <c r="GK71" s="5"/>
      <c r="GL71" s="5"/>
      <c r="GM71" s="5"/>
      <c r="GN71" s="5"/>
      <c r="GO71" s="5"/>
      <c r="GP71" s="5"/>
      <c r="GQ71" s="5"/>
      <c r="GR71" s="5"/>
      <c r="GS71" s="5"/>
      <c r="GT71" s="5"/>
      <c r="GU71" s="5"/>
      <c r="GV71" s="5"/>
      <c r="GW71" s="5"/>
      <c r="GX71" s="5"/>
      <c r="GY71" s="5"/>
      <c r="GZ71" s="5"/>
      <c r="HA71" s="5"/>
      <c r="HB71" s="5"/>
      <c r="HC71" s="5"/>
      <c r="HD71" s="5"/>
      <c r="HE71" s="5"/>
      <c r="HF71" s="5"/>
      <c r="HG71" s="5"/>
      <c r="HH71" s="5"/>
      <c r="HI71" s="5"/>
      <c r="HJ71" s="5"/>
      <c r="HK71" s="5"/>
      <c r="HL71" s="5"/>
      <c r="HM71" s="5"/>
      <c r="HN71" s="5"/>
      <c r="HO71" s="5"/>
      <c r="HP71" s="5"/>
      <c r="HQ71" s="5"/>
      <c r="HR71" s="5"/>
      <c r="HS71" s="5"/>
      <c r="HT71" s="5"/>
      <c r="HU71" s="5"/>
      <c r="HV71" s="5"/>
      <c r="HW71" s="5"/>
      <c r="HX71" s="5"/>
      <c r="HY71" s="5"/>
      <c r="HZ71" s="5"/>
      <c r="IA71" s="5"/>
      <c r="IB71" s="5"/>
      <c r="IC71" s="5"/>
      <c r="ID71" s="5"/>
      <c r="IE71" s="5"/>
      <c r="IF71" s="5"/>
      <c r="IG71" s="5"/>
      <c r="IH71" s="5"/>
      <c r="II71" s="5"/>
      <c r="IJ71" s="5"/>
      <c r="IK71" s="5"/>
      <c r="IL71" s="5"/>
      <c r="IM71" s="5"/>
      <c r="IN71" s="5"/>
      <c r="IO71" s="5"/>
      <c r="IP71" s="5"/>
      <c r="IQ71" s="5"/>
      <c r="IR71" s="5"/>
      <c r="IS71" s="5"/>
      <c r="IT71" s="5"/>
      <c r="IU71" s="5"/>
      <c r="IV71" s="5"/>
      <c r="IW71" s="5"/>
      <c r="IX71" s="5"/>
      <c r="IY71" s="5"/>
      <c r="IZ71" s="5"/>
      <c r="JA71" s="5"/>
      <c r="JB71" s="5"/>
      <c r="JC71" s="5"/>
      <c r="JD71" s="5"/>
      <c r="JE71" s="5"/>
      <c r="JF71" s="5"/>
      <c r="JG71" s="5"/>
      <c r="JH71" s="5"/>
      <c r="JI71" s="5"/>
      <c r="JJ71" s="5"/>
      <c r="JK71" s="5"/>
      <c r="JL71" s="5"/>
      <c r="JM71" s="5"/>
      <c r="JN71" s="5"/>
      <c r="JO71" s="5"/>
      <c r="JP71" s="5"/>
      <c r="JQ71" s="5"/>
      <c r="JR71" s="5"/>
      <c r="JS71" s="5"/>
      <c r="JT71" s="5"/>
      <c r="JU71" s="5"/>
      <c r="JV71" s="5"/>
      <c r="JW71" s="5"/>
      <c r="JX71" s="5"/>
      <c r="JY71" s="5"/>
      <c r="JZ71" s="5"/>
      <c r="KA71" s="5"/>
      <c r="KB71" s="5"/>
      <c r="KC71" s="5"/>
      <c r="KD71" s="5"/>
      <c r="KE71" s="5"/>
      <c r="KF71" s="5"/>
      <c r="KG71" s="5"/>
      <c r="KH71" s="5"/>
      <c r="KI71" s="5"/>
      <c r="KJ71" s="5"/>
      <c r="KK71" s="5"/>
      <c r="KL71" s="5"/>
      <c r="KM71" s="5"/>
      <c r="KN71" s="5"/>
      <c r="KO71" s="5"/>
      <c r="KP71" s="5"/>
      <c r="KQ71" s="5"/>
      <c r="KR71" s="5"/>
      <c r="KS71" s="5"/>
      <c r="KT71" s="5"/>
      <c r="KU71" s="5"/>
      <c r="KV71" s="5"/>
      <c r="KW71" s="5"/>
      <c r="KX71" s="5"/>
      <c r="KY71" s="5"/>
      <c r="KZ71" s="5"/>
      <c r="LA71" s="5"/>
      <c r="LB71" s="5"/>
      <c r="LC71" s="5"/>
      <c r="LD71" s="5"/>
      <c r="LE71" s="5"/>
      <c r="LF71" s="5"/>
      <c r="LG71" s="5"/>
      <c r="LH71" s="5"/>
      <c r="LI71" s="5"/>
      <c r="LJ71" s="5"/>
      <c r="LK71" s="5"/>
      <c r="LL71" s="5"/>
      <c r="LM71" s="5"/>
      <c r="LN71" s="5"/>
      <c r="LO71" s="5"/>
      <c r="LP71" s="5"/>
      <c r="LQ71" s="5"/>
      <c r="LR71" s="5"/>
      <c r="LS71" s="5"/>
      <c r="LT71" s="5"/>
      <c r="LU71" s="5"/>
      <c r="LV71" s="5"/>
      <c r="LW71" s="5"/>
      <c r="LX71" s="5"/>
      <c r="LY71" s="5"/>
      <c r="LZ71" s="5"/>
      <c r="MA71" s="5"/>
      <c r="MB71" s="5"/>
      <c r="MC71" s="5"/>
      <c r="MD71" s="5"/>
      <c r="ME71" s="5"/>
      <c r="MF71" s="5"/>
      <c r="MG71" s="5"/>
      <c r="MH71" s="5"/>
      <c r="MI71" s="5"/>
      <c r="MJ71" s="5"/>
      <c r="MK71" s="5"/>
      <c r="ML71" s="5"/>
      <c r="MM71" s="5"/>
      <c r="MN71" s="5"/>
      <c r="MO71" s="5"/>
      <c r="MP71" s="5"/>
      <c r="MQ71" s="5"/>
      <c r="MR71" s="5"/>
      <c r="MS71" s="5"/>
      <c r="MT71" s="5"/>
      <c r="MU71" s="5"/>
      <c r="MV71" s="5"/>
      <c r="MW71" s="5"/>
      <c r="MX71" s="5"/>
      <c r="MY71" s="5"/>
      <c r="MZ71" s="5"/>
      <c r="NA71" s="5"/>
      <c r="NB71" s="5"/>
      <c r="NC71" s="5"/>
      <c r="ND71" s="5"/>
      <c r="NE71" s="5"/>
      <c r="NF71" s="5"/>
      <c r="NG71" s="5"/>
      <c r="NH71" s="5"/>
      <c r="NI71" s="5"/>
      <c r="NJ71" s="5"/>
      <c r="NK71" s="5"/>
      <c r="NL71" s="5"/>
      <c r="NM71" s="5"/>
      <c r="NN71" s="5"/>
      <c r="NO71" s="5"/>
      <c r="NP71" s="5"/>
      <c r="NQ71" s="5"/>
      <c r="NR71" s="5"/>
      <c r="NS71" s="5"/>
      <c r="NT71" s="5"/>
      <c r="NU71" s="5"/>
      <c r="NV71" s="5"/>
      <c r="NW71" s="5"/>
      <c r="NX71" s="5"/>
      <c r="NY71" s="5"/>
      <c r="NZ71" s="5"/>
      <c r="OA71" s="5"/>
      <c r="OB71" s="5"/>
      <c r="OC71" s="5"/>
      <c r="OD71" s="5"/>
      <c r="OE71" s="5"/>
      <c r="OF71" s="5"/>
      <c r="OG71" s="5"/>
      <c r="OH71" s="5"/>
      <c r="OI71" s="5"/>
      <c r="OJ71" s="5"/>
      <c r="OK71" s="5"/>
      <c r="OL71" s="5"/>
      <c r="OM71" s="5"/>
      <c r="ON71" s="5"/>
      <c r="OO71" s="5"/>
      <c r="OP71" s="5"/>
      <c r="OQ71" s="5"/>
      <c r="OR71" s="5"/>
      <c r="OS71" s="5"/>
      <c r="OT71" s="5"/>
      <c r="OU71" s="5"/>
      <c r="OV71" s="5"/>
      <c r="OW71" s="5"/>
      <c r="OX71" s="5"/>
      <c r="OY71" s="5"/>
      <c r="OZ71" s="5"/>
      <c r="PA71" s="5"/>
      <c r="PB71" s="5"/>
      <c r="PC71" s="5"/>
      <c r="PD71" s="5"/>
      <c r="PE71" s="5"/>
      <c r="PF71" s="5"/>
      <c r="PG71" s="5"/>
      <c r="PH71" s="5"/>
      <c r="PI71" s="5"/>
      <c r="PJ71" s="5"/>
      <c r="PK71" s="5"/>
      <c r="PL71" s="5"/>
      <c r="PM71" s="5"/>
      <c r="PN71" s="5"/>
      <c r="PO71" s="5"/>
      <c r="PP71" s="5"/>
      <c r="PQ71" s="5"/>
      <c r="PR71" s="5"/>
      <c r="PS71" s="5"/>
      <c r="PT71" s="5"/>
      <c r="PU71" s="5"/>
      <c r="PV71" s="5"/>
      <c r="PW71" s="5"/>
      <c r="PX71" s="5"/>
      <c r="PY71" s="5"/>
      <c r="PZ71" s="5"/>
      <c r="QA71" s="5"/>
      <c r="QB71" s="5"/>
      <c r="QC71" s="5"/>
      <c r="QD71" s="5"/>
      <c r="QE71" s="5"/>
      <c r="QF71" s="5"/>
      <c r="QG71" s="5"/>
      <c r="QH71" s="5"/>
      <c r="QI71" s="5"/>
      <c r="QJ71" s="5"/>
      <c r="QK71" s="5"/>
      <c r="QL71" s="5"/>
      <c r="QM71" s="5"/>
      <c r="QN71" s="5"/>
      <c r="QO71" s="5"/>
      <c r="QP71" s="5"/>
      <c r="QQ71" s="5"/>
      <c r="QR71" s="5"/>
      <c r="QS71" s="5"/>
      <c r="QT71" s="5"/>
      <c r="QU71" s="5"/>
      <c r="QV71" s="5"/>
      <c r="QW71" s="5"/>
      <c r="QX71" s="5"/>
      <c r="QY71" s="5"/>
      <c r="QZ71" s="5"/>
      <c r="RA71" s="5"/>
      <c r="RB71" s="5"/>
      <c r="RC71" s="5"/>
      <c r="RD71" s="5"/>
      <c r="RE71" s="5"/>
      <c r="RF71" s="5"/>
      <c r="RG71" s="5"/>
      <c r="RH71" s="5"/>
      <c r="RI71" s="5"/>
      <c r="RJ71" s="5"/>
      <c r="RK71" s="5"/>
      <c r="RL71" s="5"/>
      <c r="RM71" s="5"/>
      <c r="RN71" s="5"/>
      <c r="RO71" s="5"/>
      <c r="RP71" s="5"/>
      <c r="RQ71" s="5"/>
      <c r="RR71" s="5"/>
      <c r="RS71" s="5"/>
      <c r="RT71" s="5"/>
      <c r="RU71" s="5"/>
      <c r="RV71" s="5"/>
      <c r="RW71" s="5"/>
      <c r="RX71" s="5"/>
      <c r="RY71" s="5"/>
      <c r="RZ71" s="5"/>
      <c r="SA71" s="5"/>
      <c r="SB71" s="5"/>
      <c r="SC71" s="5"/>
      <c r="SD71" s="5"/>
      <c r="SE71" s="5"/>
      <c r="SF71" s="5"/>
      <c r="SG71" s="5"/>
      <c r="SH71" s="5"/>
      <c r="SI71" s="5"/>
      <c r="SJ71" s="5"/>
      <c r="SK71" s="5"/>
      <c r="SL71" s="5"/>
      <c r="SM71" s="5"/>
      <c r="SN71" s="5"/>
      <c r="SO71" s="5"/>
      <c r="SP71" s="5"/>
      <c r="SQ71" s="5"/>
      <c r="SR71" s="5"/>
      <c r="SS71" s="5"/>
      <c r="ST71" s="5"/>
      <c r="SU71" s="5"/>
      <c r="SV71" s="5"/>
      <c r="SW71" s="5"/>
      <c r="SX71" s="5"/>
      <c r="SY71" s="5"/>
      <c r="SZ71" s="5"/>
      <c r="TA71" s="5"/>
      <c r="TB71" s="5"/>
      <c r="TC71" s="5"/>
      <c r="TD71" s="5"/>
      <c r="TE71" s="5"/>
      <c r="TF71" s="5"/>
      <c r="TG71" s="5"/>
      <c r="TH71" s="5"/>
      <c r="TI71" s="5"/>
      <c r="TJ71" s="5"/>
      <c r="TK71" s="5"/>
      <c r="TL71" s="5"/>
      <c r="TM71" s="5"/>
      <c r="TN71" s="5"/>
      <c r="TO71" s="5"/>
      <c r="TP71" s="5"/>
      <c r="TQ71" s="5"/>
      <c r="TR71" s="5"/>
      <c r="TS71" s="5"/>
      <c r="TT71" s="5"/>
      <c r="TU71" s="5"/>
      <c r="TV71" s="5"/>
      <c r="TW71" s="5"/>
      <c r="TX71" s="5"/>
      <c r="TY71" s="5"/>
      <c r="TZ71" s="5"/>
      <c r="UA71" s="5"/>
      <c r="UB71" s="5"/>
      <c r="UC71" s="5"/>
      <c r="UD71" s="5"/>
      <c r="UE71" s="5"/>
      <c r="UF71" s="5"/>
      <c r="UG71" s="5"/>
      <c r="UH71" s="5"/>
      <c r="UI71" s="5"/>
      <c r="UJ71" s="5"/>
      <c r="UK71" s="5"/>
      <c r="UL71" s="5"/>
      <c r="UM71" s="5"/>
      <c r="UN71" s="5"/>
      <c r="UO71" s="5"/>
      <c r="UP71" s="5"/>
      <c r="UQ71" s="5"/>
      <c r="UR71" s="5"/>
      <c r="US71" s="5"/>
      <c r="UT71" s="5"/>
      <c r="UU71" s="5"/>
      <c r="UV71" s="5"/>
      <c r="UW71" s="5"/>
      <c r="UX71" s="5"/>
      <c r="UY71" s="5"/>
      <c r="UZ71" s="5"/>
      <c r="VA71" s="5"/>
      <c r="VB71" s="5"/>
      <c r="VC71" s="5"/>
      <c r="VD71" s="5"/>
      <c r="VE71" s="5"/>
      <c r="VF71" s="5"/>
      <c r="VG71" s="5"/>
      <c r="VH71" s="5"/>
      <c r="VI71" s="5"/>
      <c r="VJ71" s="5"/>
      <c r="VK71" s="5"/>
      <c r="VL71" s="5"/>
      <c r="VM71" s="5"/>
      <c r="VN71" s="5"/>
      <c r="VO71" s="5"/>
      <c r="VP71" s="5"/>
      <c r="VQ71" s="5"/>
      <c r="VR71" s="5"/>
      <c r="VS71" s="5"/>
      <c r="VT71" s="5"/>
      <c r="VU71" s="5"/>
      <c r="VV71" s="5"/>
      <c r="VW71" s="5"/>
      <c r="VX71" s="5"/>
      <c r="VY71" s="5"/>
      <c r="VZ71" s="5"/>
      <c r="WA71" s="5"/>
      <c r="WB71" s="5"/>
      <c r="WC71" s="5"/>
      <c r="WD71" s="5"/>
      <c r="WE71" s="5"/>
      <c r="WF71" s="5"/>
      <c r="WG71" s="5"/>
      <c r="WH71" s="5"/>
      <c r="WI71" s="5"/>
      <c r="WJ71" s="5"/>
      <c r="WK71" s="5"/>
      <c r="WL71" s="5"/>
      <c r="WM71" s="5"/>
      <c r="WN71" s="5"/>
      <c r="WO71" s="5"/>
      <c r="WP71" s="5"/>
      <c r="WQ71" s="5"/>
      <c r="WR71" s="5"/>
      <c r="WS71" s="5"/>
      <c r="WT71" s="5"/>
      <c r="WU71" s="5"/>
      <c r="WV71" s="5"/>
      <c r="WW71" s="5"/>
      <c r="WX71" s="5"/>
      <c r="WY71" s="5"/>
      <c r="WZ71" s="5"/>
      <c r="XA71" s="5"/>
      <c r="XB71" s="5"/>
      <c r="XC71" s="5"/>
      <c r="XD71" s="5"/>
      <c r="XE71" s="5"/>
      <c r="XF71" s="5"/>
      <c r="XG71" s="5"/>
      <c r="XH71" s="5"/>
      <c r="XI71" s="5"/>
      <c r="XJ71" s="5"/>
      <c r="XK71" s="5"/>
      <c r="XL71" s="5"/>
      <c r="XM71" s="5"/>
      <c r="XN71" s="5"/>
      <c r="XO71" s="5"/>
      <c r="XP71" s="5"/>
      <c r="XQ71" s="5"/>
      <c r="XR71" s="5"/>
      <c r="XS71" s="5"/>
      <c r="XT71" s="5"/>
      <c r="XU71" s="5"/>
      <c r="XV71" s="5"/>
      <c r="XW71" s="5"/>
      <c r="XX71" s="5"/>
      <c r="XY71" s="5"/>
      <c r="XZ71" s="5"/>
      <c r="YA71" s="5"/>
      <c r="YB71" s="5"/>
      <c r="YC71" s="5"/>
      <c r="YD71" s="5"/>
      <c r="YE71" s="5"/>
      <c r="YF71" s="5"/>
      <c r="YG71" s="5"/>
      <c r="YH71" s="5"/>
      <c r="YI71" s="5"/>
      <c r="YJ71" s="5"/>
      <c r="YK71" s="5"/>
      <c r="YL71" s="5"/>
      <c r="YM71" s="5"/>
      <c r="YN71" s="5"/>
      <c r="YO71" s="5"/>
      <c r="YP71" s="5"/>
      <c r="YQ71" s="5"/>
      <c r="YR71" s="5"/>
      <c r="YS71" s="5"/>
      <c r="YT71" s="5"/>
      <c r="YU71" s="5"/>
      <c r="YV71" s="5"/>
      <c r="YW71" s="5"/>
      <c r="YX71" s="5"/>
      <c r="YY71" s="5"/>
      <c r="YZ71" s="5"/>
    </row>
    <row r="72" spans="1:676">
      <c r="A72" s="7">
        <v>62</v>
      </c>
      <c r="B72" s="7" t="s">
        <v>193</v>
      </c>
      <c r="C72" s="10" t="s">
        <v>194</v>
      </c>
      <c r="D72" s="7" t="s">
        <v>40</v>
      </c>
      <c r="E72" s="7" t="s">
        <v>78</v>
      </c>
      <c r="F72" s="7" t="s">
        <v>179</v>
      </c>
      <c r="G72" s="7"/>
      <c r="H72" s="7" t="s">
        <v>79</v>
      </c>
      <c r="I72" s="11">
        <v>2</v>
      </c>
      <c r="J72" s="11">
        <v>0</v>
      </c>
      <c r="K72" s="11">
        <v>0</v>
      </c>
      <c r="L72" s="11">
        <v>0</v>
      </c>
      <c r="M72" s="11">
        <v>0</v>
      </c>
      <c r="N72" s="11">
        <v>0</v>
      </c>
      <c r="O72" s="11">
        <v>0</v>
      </c>
      <c r="P72" s="11">
        <v>0.17</v>
      </c>
      <c r="Q72" s="11">
        <v>0.17</v>
      </c>
      <c r="R72" s="11">
        <v>0.34</v>
      </c>
      <c r="S72" s="11">
        <v>0.51</v>
      </c>
      <c r="T72" s="11">
        <v>0.51</v>
      </c>
      <c r="U72" s="11">
        <v>0</v>
      </c>
      <c r="V72" s="11">
        <v>0</v>
      </c>
      <c r="W72" s="13">
        <v>6</v>
      </c>
      <c r="X72" s="13">
        <v>0</v>
      </c>
      <c r="Y72" s="13" t="str">
        <f>MIN(W72,S72)</f>
        <v>0</v>
      </c>
      <c r="Z72" s="13" t="str">
        <f>MIN(X72,(S72-Y72))</f>
        <v>0</v>
      </c>
      <c r="AA72" s="13" t="str">
        <f>S72-SUM(Y72,Z72)</f>
        <v>0</v>
      </c>
      <c r="AB72" s="15"/>
      <c r="AC72" s="15"/>
      <c r="AD72" s="1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  <c r="CZ72" s="5"/>
      <c r="DA72" s="5"/>
      <c r="DB72" s="5"/>
      <c r="DC72" s="5"/>
      <c r="DD72" s="5"/>
      <c r="DE72" s="5"/>
      <c r="DF72" s="5"/>
      <c r="DG72" s="5"/>
      <c r="DH72" s="5"/>
      <c r="DI72" s="5"/>
      <c r="DJ72" s="5"/>
      <c r="DK72" s="5"/>
      <c r="DL72" s="5"/>
      <c r="DM72" s="5"/>
      <c r="DN72" s="5"/>
      <c r="DO72" s="5"/>
      <c r="DP72" s="5"/>
      <c r="DQ72" s="5"/>
      <c r="DR72" s="5"/>
      <c r="DS72" s="5"/>
      <c r="DT72" s="5"/>
      <c r="DU72" s="5"/>
      <c r="DV72" s="5"/>
      <c r="DW72" s="5"/>
      <c r="DX72" s="5"/>
      <c r="DY72" s="5"/>
      <c r="DZ72" s="5"/>
      <c r="EA72" s="5"/>
      <c r="EB72" s="5"/>
      <c r="EC72" s="5"/>
      <c r="ED72" s="5"/>
      <c r="EE72" s="5"/>
      <c r="EF72" s="5"/>
      <c r="EG72" s="5"/>
      <c r="EH72" s="5"/>
      <c r="EI72" s="5"/>
      <c r="EJ72" s="5"/>
      <c r="EK72" s="5"/>
      <c r="EL72" s="5"/>
      <c r="EM72" s="5"/>
      <c r="EN72" s="5"/>
      <c r="EO72" s="5"/>
      <c r="EP72" s="5"/>
      <c r="EQ72" s="5"/>
      <c r="ER72" s="5"/>
      <c r="ES72" s="5"/>
      <c r="ET72" s="5"/>
      <c r="EU72" s="5"/>
      <c r="EV72" s="5"/>
      <c r="EW72" s="5"/>
      <c r="EX72" s="5"/>
      <c r="EY72" s="5"/>
      <c r="EZ72" s="5"/>
      <c r="FA72" s="5"/>
      <c r="FB72" s="5"/>
      <c r="FC72" s="5"/>
      <c r="FD72" s="5"/>
      <c r="FE72" s="5"/>
      <c r="FF72" s="5"/>
      <c r="FG72" s="5"/>
      <c r="FH72" s="5"/>
      <c r="FI72" s="5"/>
      <c r="FJ72" s="5"/>
      <c r="FK72" s="5"/>
      <c r="FL72" s="5"/>
      <c r="FM72" s="5"/>
      <c r="FN72" s="5"/>
      <c r="FO72" s="5"/>
      <c r="FP72" s="5"/>
      <c r="FQ72" s="5"/>
      <c r="FR72" s="5"/>
      <c r="FS72" s="5"/>
      <c r="FT72" s="5"/>
      <c r="FU72" s="5"/>
      <c r="FV72" s="5"/>
      <c r="FW72" s="5"/>
      <c r="FX72" s="5"/>
      <c r="FY72" s="5"/>
      <c r="FZ72" s="5"/>
      <c r="GA72" s="5"/>
      <c r="GB72" s="5"/>
      <c r="GC72" s="5"/>
      <c r="GD72" s="5"/>
      <c r="GE72" s="5"/>
      <c r="GF72" s="5"/>
      <c r="GG72" s="5"/>
      <c r="GH72" s="5"/>
      <c r="GI72" s="5"/>
      <c r="GJ72" s="5"/>
      <c r="GK72" s="5"/>
      <c r="GL72" s="5"/>
      <c r="GM72" s="5"/>
      <c r="GN72" s="5"/>
      <c r="GO72" s="5"/>
      <c r="GP72" s="5"/>
      <c r="GQ72" s="5"/>
      <c r="GR72" s="5"/>
      <c r="GS72" s="5"/>
      <c r="GT72" s="5"/>
      <c r="GU72" s="5"/>
      <c r="GV72" s="5"/>
      <c r="GW72" s="5"/>
      <c r="GX72" s="5"/>
      <c r="GY72" s="5"/>
      <c r="GZ72" s="5"/>
      <c r="HA72" s="5"/>
      <c r="HB72" s="5"/>
      <c r="HC72" s="5"/>
      <c r="HD72" s="5"/>
      <c r="HE72" s="5"/>
      <c r="HF72" s="5"/>
      <c r="HG72" s="5"/>
      <c r="HH72" s="5"/>
      <c r="HI72" s="5"/>
      <c r="HJ72" s="5"/>
      <c r="HK72" s="5"/>
      <c r="HL72" s="5"/>
      <c r="HM72" s="5"/>
      <c r="HN72" s="5"/>
      <c r="HO72" s="5"/>
      <c r="HP72" s="5"/>
      <c r="HQ72" s="5"/>
      <c r="HR72" s="5"/>
      <c r="HS72" s="5"/>
      <c r="HT72" s="5"/>
      <c r="HU72" s="5"/>
      <c r="HV72" s="5"/>
      <c r="HW72" s="5"/>
      <c r="HX72" s="5"/>
      <c r="HY72" s="5"/>
      <c r="HZ72" s="5"/>
      <c r="IA72" s="5"/>
      <c r="IB72" s="5"/>
      <c r="IC72" s="5"/>
      <c r="ID72" s="5"/>
      <c r="IE72" s="5"/>
      <c r="IF72" s="5"/>
      <c r="IG72" s="5"/>
      <c r="IH72" s="5"/>
      <c r="II72" s="5"/>
      <c r="IJ72" s="5"/>
      <c r="IK72" s="5"/>
      <c r="IL72" s="5"/>
      <c r="IM72" s="5"/>
      <c r="IN72" s="5"/>
      <c r="IO72" s="5"/>
      <c r="IP72" s="5"/>
      <c r="IQ72" s="5"/>
      <c r="IR72" s="5"/>
      <c r="IS72" s="5"/>
      <c r="IT72" s="5"/>
      <c r="IU72" s="5"/>
      <c r="IV72" s="5"/>
      <c r="IW72" s="5"/>
      <c r="IX72" s="5"/>
      <c r="IY72" s="5"/>
      <c r="IZ72" s="5"/>
      <c r="JA72" s="5"/>
      <c r="JB72" s="5"/>
      <c r="JC72" s="5"/>
      <c r="JD72" s="5"/>
      <c r="JE72" s="5"/>
      <c r="JF72" s="5"/>
      <c r="JG72" s="5"/>
      <c r="JH72" s="5"/>
      <c r="JI72" s="5"/>
      <c r="JJ72" s="5"/>
      <c r="JK72" s="5"/>
      <c r="JL72" s="5"/>
      <c r="JM72" s="5"/>
      <c r="JN72" s="5"/>
      <c r="JO72" s="5"/>
      <c r="JP72" s="5"/>
      <c r="JQ72" s="5"/>
      <c r="JR72" s="5"/>
      <c r="JS72" s="5"/>
      <c r="JT72" s="5"/>
      <c r="JU72" s="5"/>
      <c r="JV72" s="5"/>
      <c r="JW72" s="5"/>
      <c r="JX72" s="5"/>
      <c r="JY72" s="5"/>
      <c r="JZ72" s="5"/>
      <c r="KA72" s="5"/>
      <c r="KB72" s="5"/>
      <c r="KC72" s="5"/>
      <c r="KD72" s="5"/>
      <c r="KE72" s="5"/>
      <c r="KF72" s="5"/>
      <c r="KG72" s="5"/>
      <c r="KH72" s="5"/>
      <c r="KI72" s="5"/>
      <c r="KJ72" s="5"/>
      <c r="KK72" s="5"/>
      <c r="KL72" s="5"/>
      <c r="KM72" s="5"/>
      <c r="KN72" s="5"/>
      <c r="KO72" s="5"/>
      <c r="KP72" s="5"/>
      <c r="KQ72" s="5"/>
      <c r="KR72" s="5"/>
      <c r="KS72" s="5"/>
      <c r="KT72" s="5"/>
      <c r="KU72" s="5"/>
      <c r="KV72" s="5"/>
      <c r="KW72" s="5"/>
      <c r="KX72" s="5"/>
      <c r="KY72" s="5"/>
      <c r="KZ72" s="5"/>
      <c r="LA72" s="5"/>
      <c r="LB72" s="5"/>
      <c r="LC72" s="5"/>
      <c r="LD72" s="5"/>
      <c r="LE72" s="5"/>
      <c r="LF72" s="5"/>
      <c r="LG72" s="5"/>
      <c r="LH72" s="5"/>
      <c r="LI72" s="5"/>
      <c r="LJ72" s="5"/>
      <c r="LK72" s="5"/>
      <c r="LL72" s="5"/>
      <c r="LM72" s="5"/>
      <c r="LN72" s="5"/>
      <c r="LO72" s="5"/>
      <c r="LP72" s="5"/>
      <c r="LQ72" s="5"/>
      <c r="LR72" s="5"/>
      <c r="LS72" s="5"/>
      <c r="LT72" s="5"/>
      <c r="LU72" s="5"/>
      <c r="LV72" s="5"/>
      <c r="LW72" s="5"/>
      <c r="LX72" s="5"/>
      <c r="LY72" s="5"/>
      <c r="LZ72" s="5"/>
      <c r="MA72" s="5"/>
      <c r="MB72" s="5"/>
      <c r="MC72" s="5"/>
      <c r="MD72" s="5"/>
      <c r="ME72" s="5"/>
      <c r="MF72" s="5"/>
      <c r="MG72" s="5"/>
      <c r="MH72" s="5"/>
      <c r="MI72" s="5"/>
      <c r="MJ72" s="5"/>
      <c r="MK72" s="5"/>
      <c r="ML72" s="5"/>
      <c r="MM72" s="5"/>
      <c r="MN72" s="5"/>
      <c r="MO72" s="5"/>
      <c r="MP72" s="5"/>
      <c r="MQ72" s="5"/>
      <c r="MR72" s="5"/>
      <c r="MS72" s="5"/>
      <c r="MT72" s="5"/>
      <c r="MU72" s="5"/>
      <c r="MV72" s="5"/>
      <c r="MW72" s="5"/>
      <c r="MX72" s="5"/>
      <c r="MY72" s="5"/>
      <c r="MZ72" s="5"/>
      <c r="NA72" s="5"/>
      <c r="NB72" s="5"/>
      <c r="NC72" s="5"/>
      <c r="ND72" s="5"/>
      <c r="NE72" s="5"/>
      <c r="NF72" s="5"/>
      <c r="NG72" s="5"/>
      <c r="NH72" s="5"/>
      <c r="NI72" s="5"/>
      <c r="NJ72" s="5"/>
      <c r="NK72" s="5"/>
      <c r="NL72" s="5"/>
      <c r="NM72" s="5"/>
      <c r="NN72" s="5"/>
      <c r="NO72" s="5"/>
      <c r="NP72" s="5"/>
      <c r="NQ72" s="5"/>
      <c r="NR72" s="5"/>
      <c r="NS72" s="5"/>
      <c r="NT72" s="5"/>
      <c r="NU72" s="5"/>
      <c r="NV72" s="5"/>
      <c r="NW72" s="5"/>
      <c r="NX72" s="5"/>
      <c r="NY72" s="5"/>
      <c r="NZ72" s="5"/>
      <c r="OA72" s="5"/>
      <c r="OB72" s="5"/>
      <c r="OC72" s="5"/>
      <c r="OD72" s="5"/>
      <c r="OE72" s="5"/>
      <c r="OF72" s="5"/>
      <c r="OG72" s="5"/>
      <c r="OH72" s="5"/>
      <c r="OI72" s="5"/>
      <c r="OJ72" s="5"/>
      <c r="OK72" s="5"/>
      <c r="OL72" s="5"/>
      <c r="OM72" s="5"/>
      <c r="ON72" s="5"/>
      <c r="OO72" s="5"/>
      <c r="OP72" s="5"/>
      <c r="OQ72" s="5"/>
      <c r="OR72" s="5"/>
      <c r="OS72" s="5"/>
      <c r="OT72" s="5"/>
      <c r="OU72" s="5"/>
      <c r="OV72" s="5"/>
      <c r="OW72" s="5"/>
      <c r="OX72" s="5"/>
      <c r="OY72" s="5"/>
      <c r="OZ72" s="5"/>
      <c r="PA72" s="5"/>
      <c r="PB72" s="5"/>
      <c r="PC72" s="5"/>
      <c r="PD72" s="5"/>
      <c r="PE72" s="5"/>
      <c r="PF72" s="5"/>
      <c r="PG72" s="5"/>
      <c r="PH72" s="5"/>
      <c r="PI72" s="5"/>
      <c r="PJ72" s="5"/>
      <c r="PK72" s="5"/>
      <c r="PL72" s="5"/>
      <c r="PM72" s="5"/>
      <c r="PN72" s="5"/>
      <c r="PO72" s="5"/>
      <c r="PP72" s="5"/>
      <c r="PQ72" s="5"/>
      <c r="PR72" s="5"/>
      <c r="PS72" s="5"/>
      <c r="PT72" s="5"/>
      <c r="PU72" s="5"/>
      <c r="PV72" s="5"/>
      <c r="PW72" s="5"/>
      <c r="PX72" s="5"/>
      <c r="PY72" s="5"/>
      <c r="PZ72" s="5"/>
      <c r="QA72" s="5"/>
      <c r="QB72" s="5"/>
      <c r="QC72" s="5"/>
      <c r="QD72" s="5"/>
      <c r="QE72" s="5"/>
      <c r="QF72" s="5"/>
      <c r="QG72" s="5"/>
      <c r="QH72" s="5"/>
      <c r="QI72" s="5"/>
      <c r="QJ72" s="5"/>
      <c r="QK72" s="5"/>
      <c r="QL72" s="5"/>
      <c r="QM72" s="5"/>
      <c r="QN72" s="5"/>
      <c r="QO72" s="5"/>
      <c r="QP72" s="5"/>
      <c r="QQ72" s="5"/>
      <c r="QR72" s="5"/>
      <c r="QS72" s="5"/>
      <c r="QT72" s="5"/>
      <c r="QU72" s="5"/>
      <c r="QV72" s="5"/>
      <c r="QW72" s="5"/>
      <c r="QX72" s="5"/>
      <c r="QY72" s="5"/>
      <c r="QZ72" s="5"/>
      <c r="RA72" s="5"/>
      <c r="RB72" s="5"/>
      <c r="RC72" s="5"/>
      <c r="RD72" s="5"/>
      <c r="RE72" s="5"/>
      <c r="RF72" s="5"/>
      <c r="RG72" s="5"/>
      <c r="RH72" s="5"/>
      <c r="RI72" s="5"/>
      <c r="RJ72" s="5"/>
      <c r="RK72" s="5"/>
      <c r="RL72" s="5"/>
      <c r="RM72" s="5"/>
      <c r="RN72" s="5"/>
      <c r="RO72" s="5"/>
      <c r="RP72" s="5"/>
      <c r="RQ72" s="5"/>
      <c r="RR72" s="5"/>
      <c r="RS72" s="5"/>
      <c r="RT72" s="5"/>
      <c r="RU72" s="5"/>
      <c r="RV72" s="5"/>
      <c r="RW72" s="5"/>
      <c r="RX72" s="5"/>
      <c r="RY72" s="5"/>
      <c r="RZ72" s="5"/>
      <c r="SA72" s="5"/>
      <c r="SB72" s="5"/>
      <c r="SC72" s="5"/>
      <c r="SD72" s="5"/>
      <c r="SE72" s="5"/>
      <c r="SF72" s="5"/>
      <c r="SG72" s="5"/>
      <c r="SH72" s="5"/>
      <c r="SI72" s="5"/>
      <c r="SJ72" s="5"/>
      <c r="SK72" s="5"/>
      <c r="SL72" s="5"/>
      <c r="SM72" s="5"/>
      <c r="SN72" s="5"/>
      <c r="SO72" s="5"/>
      <c r="SP72" s="5"/>
      <c r="SQ72" s="5"/>
      <c r="SR72" s="5"/>
      <c r="SS72" s="5"/>
      <c r="ST72" s="5"/>
      <c r="SU72" s="5"/>
      <c r="SV72" s="5"/>
      <c r="SW72" s="5"/>
      <c r="SX72" s="5"/>
      <c r="SY72" s="5"/>
      <c r="SZ72" s="5"/>
      <c r="TA72" s="5"/>
      <c r="TB72" s="5"/>
      <c r="TC72" s="5"/>
      <c r="TD72" s="5"/>
      <c r="TE72" s="5"/>
      <c r="TF72" s="5"/>
      <c r="TG72" s="5"/>
      <c r="TH72" s="5"/>
      <c r="TI72" s="5"/>
      <c r="TJ72" s="5"/>
      <c r="TK72" s="5"/>
      <c r="TL72" s="5"/>
      <c r="TM72" s="5"/>
      <c r="TN72" s="5"/>
      <c r="TO72" s="5"/>
      <c r="TP72" s="5"/>
      <c r="TQ72" s="5"/>
      <c r="TR72" s="5"/>
      <c r="TS72" s="5"/>
      <c r="TT72" s="5"/>
      <c r="TU72" s="5"/>
      <c r="TV72" s="5"/>
      <c r="TW72" s="5"/>
      <c r="TX72" s="5"/>
      <c r="TY72" s="5"/>
      <c r="TZ72" s="5"/>
      <c r="UA72" s="5"/>
      <c r="UB72" s="5"/>
      <c r="UC72" s="5"/>
      <c r="UD72" s="5"/>
      <c r="UE72" s="5"/>
      <c r="UF72" s="5"/>
      <c r="UG72" s="5"/>
      <c r="UH72" s="5"/>
      <c r="UI72" s="5"/>
      <c r="UJ72" s="5"/>
      <c r="UK72" s="5"/>
      <c r="UL72" s="5"/>
      <c r="UM72" s="5"/>
      <c r="UN72" s="5"/>
      <c r="UO72" s="5"/>
      <c r="UP72" s="5"/>
      <c r="UQ72" s="5"/>
      <c r="UR72" s="5"/>
      <c r="US72" s="5"/>
      <c r="UT72" s="5"/>
      <c r="UU72" s="5"/>
      <c r="UV72" s="5"/>
      <c r="UW72" s="5"/>
      <c r="UX72" s="5"/>
      <c r="UY72" s="5"/>
      <c r="UZ72" s="5"/>
      <c r="VA72" s="5"/>
      <c r="VB72" s="5"/>
      <c r="VC72" s="5"/>
      <c r="VD72" s="5"/>
      <c r="VE72" s="5"/>
      <c r="VF72" s="5"/>
      <c r="VG72" s="5"/>
      <c r="VH72" s="5"/>
      <c r="VI72" s="5"/>
      <c r="VJ72" s="5"/>
      <c r="VK72" s="5"/>
      <c r="VL72" s="5"/>
      <c r="VM72" s="5"/>
      <c r="VN72" s="5"/>
      <c r="VO72" s="5"/>
      <c r="VP72" s="5"/>
      <c r="VQ72" s="5"/>
      <c r="VR72" s="5"/>
      <c r="VS72" s="5"/>
      <c r="VT72" s="5"/>
      <c r="VU72" s="5"/>
      <c r="VV72" s="5"/>
      <c r="VW72" s="5"/>
      <c r="VX72" s="5"/>
      <c r="VY72" s="5"/>
      <c r="VZ72" s="5"/>
      <c r="WA72" s="5"/>
      <c r="WB72" s="5"/>
      <c r="WC72" s="5"/>
      <c r="WD72" s="5"/>
      <c r="WE72" s="5"/>
      <c r="WF72" s="5"/>
      <c r="WG72" s="5"/>
      <c r="WH72" s="5"/>
      <c r="WI72" s="5"/>
      <c r="WJ72" s="5"/>
      <c r="WK72" s="5"/>
      <c r="WL72" s="5"/>
      <c r="WM72" s="5"/>
      <c r="WN72" s="5"/>
      <c r="WO72" s="5"/>
      <c r="WP72" s="5"/>
      <c r="WQ72" s="5"/>
      <c r="WR72" s="5"/>
      <c r="WS72" s="5"/>
      <c r="WT72" s="5"/>
      <c r="WU72" s="5"/>
      <c r="WV72" s="5"/>
      <c r="WW72" s="5"/>
      <c r="WX72" s="5"/>
      <c r="WY72" s="5"/>
      <c r="WZ72" s="5"/>
      <c r="XA72" s="5"/>
      <c r="XB72" s="5"/>
      <c r="XC72" s="5"/>
      <c r="XD72" s="5"/>
      <c r="XE72" s="5"/>
      <c r="XF72" s="5"/>
      <c r="XG72" s="5"/>
      <c r="XH72" s="5"/>
      <c r="XI72" s="5"/>
      <c r="XJ72" s="5"/>
      <c r="XK72" s="5"/>
      <c r="XL72" s="5"/>
      <c r="XM72" s="5"/>
      <c r="XN72" s="5"/>
      <c r="XO72" s="5"/>
      <c r="XP72" s="5"/>
      <c r="XQ72" s="5"/>
      <c r="XR72" s="5"/>
      <c r="XS72" s="5"/>
      <c r="XT72" s="5"/>
      <c r="XU72" s="5"/>
      <c r="XV72" s="5"/>
      <c r="XW72" s="5"/>
      <c r="XX72" s="5"/>
      <c r="XY72" s="5"/>
      <c r="XZ72" s="5"/>
      <c r="YA72" s="5"/>
      <c r="YB72" s="5"/>
      <c r="YC72" s="5"/>
      <c r="YD72" s="5"/>
      <c r="YE72" s="5"/>
      <c r="YF72" s="5"/>
      <c r="YG72" s="5"/>
      <c r="YH72" s="5"/>
      <c r="YI72" s="5"/>
      <c r="YJ72" s="5"/>
      <c r="YK72" s="5"/>
      <c r="YL72" s="5"/>
      <c r="YM72" s="5"/>
      <c r="YN72" s="5"/>
      <c r="YO72" s="5"/>
      <c r="YP72" s="5"/>
      <c r="YQ72" s="5"/>
      <c r="YR72" s="5"/>
      <c r="YS72" s="5"/>
      <c r="YT72" s="5"/>
      <c r="YU72" s="5"/>
      <c r="YV72" s="5"/>
      <c r="YW72" s="5"/>
      <c r="YX72" s="5"/>
      <c r="YY72" s="5"/>
      <c r="YZ72" s="5"/>
    </row>
    <row r="73" spans="1:676">
      <c r="A73" s="7">
        <v>63</v>
      </c>
      <c r="B73" s="7" t="s">
        <v>195</v>
      </c>
      <c r="C73" s="10" t="s">
        <v>196</v>
      </c>
      <c r="D73" s="7" t="s">
        <v>46</v>
      </c>
      <c r="E73" s="7" t="s">
        <v>82</v>
      </c>
      <c r="F73" s="7" t="s">
        <v>179</v>
      </c>
      <c r="G73" s="7"/>
      <c r="H73" s="7" t="s">
        <v>79</v>
      </c>
      <c r="I73" s="11">
        <v>2</v>
      </c>
      <c r="J73" s="11">
        <v>0</v>
      </c>
      <c r="K73" s="11">
        <v>0</v>
      </c>
      <c r="L73" s="11">
        <v>0</v>
      </c>
      <c r="M73" s="11">
        <v>0</v>
      </c>
      <c r="N73" s="11">
        <v>0</v>
      </c>
      <c r="O73" s="11">
        <v>0</v>
      </c>
      <c r="P73" s="11">
        <v>0.17</v>
      </c>
      <c r="Q73" s="11">
        <v>0.17</v>
      </c>
      <c r="R73" s="11">
        <v>0.34</v>
      </c>
      <c r="S73" s="11">
        <v>0.51</v>
      </c>
      <c r="T73" s="11">
        <v>0.51</v>
      </c>
      <c r="U73" s="11">
        <v>0</v>
      </c>
      <c r="V73" s="11">
        <v>0</v>
      </c>
      <c r="W73" s="13">
        <v>6</v>
      </c>
      <c r="X73" s="13">
        <v>0</v>
      </c>
      <c r="Y73" s="13" t="str">
        <f>MIN(W73,S73)</f>
        <v>0</v>
      </c>
      <c r="Z73" s="13" t="str">
        <f>MIN(X73,(S73-Y73))</f>
        <v>0</v>
      </c>
      <c r="AA73" s="13" t="str">
        <f>S73-SUM(Y73,Z73)</f>
        <v>0</v>
      </c>
      <c r="AB73" s="15"/>
      <c r="AC73" s="15"/>
      <c r="AD73" s="1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  <c r="CZ73" s="5"/>
      <c r="DA73" s="5"/>
      <c r="DB73" s="5"/>
      <c r="DC73" s="5"/>
      <c r="DD73" s="5"/>
      <c r="DE73" s="5"/>
      <c r="DF73" s="5"/>
      <c r="DG73" s="5"/>
      <c r="DH73" s="5"/>
      <c r="DI73" s="5"/>
      <c r="DJ73" s="5"/>
      <c r="DK73" s="5"/>
      <c r="DL73" s="5"/>
      <c r="DM73" s="5"/>
      <c r="DN73" s="5"/>
      <c r="DO73" s="5"/>
      <c r="DP73" s="5"/>
      <c r="DQ73" s="5"/>
      <c r="DR73" s="5"/>
      <c r="DS73" s="5"/>
      <c r="DT73" s="5"/>
      <c r="DU73" s="5"/>
      <c r="DV73" s="5"/>
      <c r="DW73" s="5"/>
      <c r="DX73" s="5"/>
      <c r="DY73" s="5"/>
      <c r="DZ73" s="5"/>
      <c r="EA73" s="5"/>
      <c r="EB73" s="5"/>
      <c r="EC73" s="5"/>
      <c r="ED73" s="5"/>
      <c r="EE73" s="5"/>
      <c r="EF73" s="5"/>
      <c r="EG73" s="5"/>
      <c r="EH73" s="5"/>
      <c r="EI73" s="5"/>
      <c r="EJ73" s="5"/>
      <c r="EK73" s="5"/>
      <c r="EL73" s="5"/>
      <c r="EM73" s="5"/>
      <c r="EN73" s="5"/>
      <c r="EO73" s="5"/>
      <c r="EP73" s="5"/>
      <c r="EQ73" s="5"/>
      <c r="ER73" s="5"/>
      <c r="ES73" s="5"/>
      <c r="ET73" s="5"/>
      <c r="EU73" s="5"/>
      <c r="EV73" s="5"/>
      <c r="EW73" s="5"/>
      <c r="EX73" s="5"/>
      <c r="EY73" s="5"/>
      <c r="EZ73" s="5"/>
      <c r="FA73" s="5"/>
      <c r="FB73" s="5"/>
      <c r="FC73" s="5"/>
      <c r="FD73" s="5"/>
      <c r="FE73" s="5"/>
      <c r="FF73" s="5"/>
      <c r="FG73" s="5"/>
      <c r="FH73" s="5"/>
      <c r="FI73" s="5"/>
      <c r="FJ73" s="5"/>
      <c r="FK73" s="5"/>
      <c r="FL73" s="5"/>
      <c r="FM73" s="5"/>
      <c r="FN73" s="5"/>
      <c r="FO73" s="5"/>
      <c r="FP73" s="5"/>
      <c r="FQ73" s="5"/>
      <c r="FR73" s="5"/>
      <c r="FS73" s="5"/>
      <c r="FT73" s="5"/>
      <c r="FU73" s="5"/>
      <c r="FV73" s="5"/>
      <c r="FW73" s="5"/>
      <c r="FX73" s="5"/>
      <c r="FY73" s="5"/>
      <c r="FZ73" s="5"/>
      <c r="GA73" s="5"/>
      <c r="GB73" s="5"/>
      <c r="GC73" s="5"/>
      <c r="GD73" s="5"/>
      <c r="GE73" s="5"/>
      <c r="GF73" s="5"/>
      <c r="GG73" s="5"/>
      <c r="GH73" s="5"/>
      <c r="GI73" s="5"/>
      <c r="GJ73" s="5"/>
      <c r="GK73" s="5"/>
      <c r="GL73" s="5"/>
      <c r="GM73" s="5"/>
      <c r="GN73" s="5"/>
      <c r="GO73" s="5"/>
      <c r="GP73" s="5"/>
      <c r="GQ73" s="5"/>
      <c r="GR73" s="5"/>
      <c r="GS73" s="5"/>
      <c r="GT73" s="5"/>
      <c r="GU73" s="5"/>
      <c r="GV73" s="5"/>
      <c r="GW73" s="5"/>
      <c r="GX73" s="5"/>
      <c r="GY73" s="5"/>
      <c r="GZ73" s="5"/>
      <c r="HA73" s="5"/>
      <c r="HB73" s="5"/>
      <c r="HC73" s="5"/>
      <c r="HD73" s="5"/>
      <c r="HE73" s="5"/>
      <c r="HF73" s="5"/>
      <c r="HG73" s="5"/>
      <c r="HH73" s="5"/>
      <c r="HI73" s="5"/>
      <c r="HJ73" s="5"/>
      <c r="HK73" s="5"/>
      <c r="HL73" s="5"/>
      <c r="HM73" s="5"/>
      <c r="HN73" s="5"/>
      <c r="HO73" s="5"/>
      <c r="HP73" s="5"/>
      <c r="HQ73" s="5"/>
      <c r="HR73" s="5"/>
      <c r="HS73" s="5"/>
      <c r="HT73" s="5"/>
      <c r="HU73" s="5"/>
      <c r="HV73" s="5"/>
      <c r="HW73" s="5"/>
      <c r="HX73" s="5"/>
      <c r="HY73" s="5"/>
      <c r="HZ73" s="5"/>
      <c r="IA73" s="5"/>
      <c r="IB73" s="5"/>
      <c r="IC73" s="5"/>
      <c r="ID73" s="5"/>
      <c r="IE73" s="5"/>
      <c r="IF73" s="5"/>
      <c r="IG73" s="5"/>
      <c r="IH73" s="5"/>
      <c r="II73" s="5"/>
      <c r="IJ73" s="5"/>
      <c r="IK73" s="5"/>
      <c r="IL73" s="5"/>
      <c r="IM73" s="5"/>
      <c r="IN73" s="5"/>
      <c r="IO73" s="5"/>
      <c r="IP73" s="5"/>
      <c r="IQ73" s="5"/>
      <c r="IR73" s="5"/>
      <c r="IS73" s="5"/>
      <c r="IT73" s="5"/>
      <c r="IU73" s="5"/>
      <c r="IV73" s="5"/>
      <c r="IW73" s="5"/>
      <c r="IX73" s="5"/>
      <c r="IY73" s="5"/>
      <c r="IZ73" s="5"/>
      <c r="JA73" s="5"/>
      <c r="JB73" s="5"/>
      <c r="JC73" s="5"/>
      <c r="JD73" s="5"/>
      <c r="JE73" s="5"/>
      <c r="JF73" s="5"/>
      <c r="JG73" s="5"/>
      <c r="JH73" s="5"/>
      <c r="JI73" s="5"/>
      <c r="JJ73" s="5"/>
      <c r="JK73" s="5"/>
      <c r="JL73" s="5"/>
      <c r="JM73" s="5"/>
      <c r="JN73" s="5"/>
      <c r="JO73" s="5"/>
      <c r="JP73" s="5"/>
      <c r="JQ73" s="5"/>
      <c r="JR73" s="5"/>
      <c r="JS73" s="5"/>
      <c r="JT73" s="5"/>
      <c r="JU73" s="5"/>
      <c r="JV73" s="5"/>
      <c r="JW73" s="5"/>
      <c r="JX73" s="5"/>
      <c r="JY73" s="5"/>
      <c r="JZ73" s="5"/>
      <c r="KA73" s="5"/>
      <c r="KB73" s="5"/>
      <c r="KC73" s="5"/>
      <c r="KD73" s="5"/>
      <c r="KE73" s="5"/>
      <c r="KF73" s="5"/>
      <c r="KG73" s="5"/>
      <c r="KH73" s="5"/>
      <c r="KI73" s="5"/>
      <c r="KJ73" s="5"/>
      <c r="KK73" s="5"/>
      <c r="KL73" s="5"/>
      <c r="KM73" s="5"/>
      <c r="KN73" s="5"/>
      <c r="KO73" s="5"/>
      <c r="KP73" s="5"/>
      <c r="KQ73" s="5"/>
      <c r="KR73" s="5"/>
      <c r="KS73" s="5"/>
      <c r="KT73" s="5"/>
      <c r="KU73" s="5"/>
      <c r="KV73" s="5"/>
      <c r="KW73" s="5"/>
      <c r="KX73" s="5"/>
      <c r="KY73" s="5"/>
      <c r="KZ73" s="5"/>
      <c r="LA73" s="5"/>
      <c r="LB73" s="5"/>
      <c r="LC73" s="5"/>
      <c r="LD73" s="5"/>
      <c r="LE73" s="5"/>
      <c r="LF73" s="5"/>
      <c r="LG73" s="5"/>
      <c r="LH73" s="5"/>
      <c r="LI73" s="5"/>
      <c r="LJ73" s="5"/>
      <c r="LK73" s="5"/>
      <c r="LL73" s="5"/>
      <c r="LM73" s="5"/>
      <c r="LN73" s="5"/>
      <c r="LO73" s="5"/>
      <c r="LP73" s="5"/>
      <c r="LQ73" s="5"/>
      <c r="LR73" s="5"/>
      <c r="LS73" s="5"/>
      <c r="LT73" s="5"/>
      <c r="LU73" s="5"/>
      <c r="LV73" s="5"/>
      <c r="LW73" s="5"/>
      <c r="LX73" s="5"/>
      <c r="LY73" s="5"/>
      <c r="LZ73" s="5"/>
      <c r="MA73" s="5"/>
      <c r="MB73" s="5"/>
      <c r="MC73" s="5"/>
      <c r="MD73" s="5"/>
      <c r="ME73" s="5"/>
      <c r="MF73" s="5"/>
      <c r="MG73" s="5"/>
      <c r="MH73" s="5"/>
      <c r="MI73" s="5"/>
      <c r="MJ73" s="5"/>
      <c r="MK73" s="5"/>
      <c r="ML73" s="5"/>
      <c r="MM73" s="5"/>
      <c r="MN73" s="5"/>
      <c r="MO73" s="5"/>
      <c r="MP73" s="5"/>
      <c r="MQ73" s="5"/>
      <c r="MR73" s="5"/>
      <c r="MS73" s="5"/>
      <c r="MT73" s="5"/>
      <c r="MU73" s="5"/>
      <c r="MV73" s="5"/>
      <c r="MW73" s="5"/>
      <c r="MX73" s="5"/>
      <c r="MY73" s="5"/>
      <c r="MZ73" s="5"/>
      <c r="NA73" s="5"/>
      <c r="NB73" s="5"/>
      <c r="NC73" s="5"/>
      <c r="ND73" s="5"/>
      <c r="NE73" s="5"/>
      <c r="NF73" s="5"/>
      <c r="NG73" s="5"/>
      <c r="NH73" s="5"/>
      <c r="NI73" s="5"/>
      <c r="NJ73" s="5"/>
      <c r="NK73" s="5"/>
      <c r="NL73" s="5"/>
      <c r="NM73" s="5"/>
      <c r="NN73" s="5"/>
      <c r="NO73" s="5"/>
      <c r="NP73" s="5"/>
      <c r="NQ73" s="5"/>
      <c r="NR73" s="5"/>
      <c r="NS73" s="5"/>
      <c r="NT73" s="5"/>
      <c r="NU73" s="5"/>
      <c r="NV73" s="5"/>
      <c r="NW73" s="5"/>
      <c r="NX73" s="5"/>
      <c r="NY73" s="5"/>
      <c r="NZ73" s="5"/>
      <c r="OA73" s="5"/>
      <c r="OB73" s="5"/>
      <c r="OC73" s="5"/>
      <c r="OD73" s="5"/>
      <c r="OE73" s="5"/>
      <c r="OF73" s="5"/>
      <c r="OG73" s="5"/>
      <c r="OH73" s="5"/>
      <c r="OI73" s="5"/>
      <c r="OJ73" s="5"/>
      <c r="OK73" s="5"/>
      <c r="OL73" s="5"/>
      <c r="OM73" s="5"/>
      <c r="ON73" s="5"/>
      <c r="OO73" s="5"/>
      <c r="OP73" s="5"/>
      <c r="OQ73" s="5"/>
      <c r="OR73" s="5"/>
      <c r="OS73" s="5"/>
      <c r="OT73" s="5"/>
      <c r="OU73" s="5"/>
      <c r="OV73" s="5"/>
      <c r="OW73" s="5"/>
      <c r="OX73" s="5"/>
      <c r="OY73" s="5"/>
      <c r="OZ73" s="5"/>
      <c r="PA73" s="5"/>
      <c r="PB73" s="5"/>
      <c r="PC73" s="5"/>
      <c r="PD73" s="5"/>
      <c r="PE73" s="5"/>
      <c r="PF73" s="5"/>
      <c r="PG73" s="5"/>
      <c r="PH73" s="5"/>
      <c r="PI73" s="5"/>
      <c r="PJ73" s="5"/>
      <c r="PK73" s="5"/>
      <c r="PL73" s="5"/>
      <c r="PM73" s="5"/>
      <c r="PN73" s="5"/>
      <c r="PO73" s="5"/>
      <c r="PP73" s="5"/>
      <c r="PQ73" s="5"/>
      <c r="PR73" s="5"/>
      <c r="PS73" s="5"/>
      <c r="PT73" s="5"/>
      <c r="PU73" s="5"/>
      <c r="PV73" s="5"/>
      <c r="PW73" s="5"/>
      <c r="PX73" s="5"/>
      <c r="PY73" s="5"/>
      <c r="PZ73" s="5"/>
      <c r="QA73" s="5"/>
      <c r="QB73" s="5"/>
      <c r="QC73" s="5"/>
      <c r="QD73" s="5"/>
      <c r="QE73" s="5"/>
      <c r="QF73" s="5"/>
      <c r="QG73" s="5"/>
      <c r="QH73" s="5"/>
      <c r="QI73" s="5"/>
      <c r="QJ73" s="5"/>
      <c r="QK73" s="5"/>
      <c r="QL73" s="5"/>
      <c r="QM73" s="5"/>
      <c r="QN73" s="5"/>
      <c r="QO73" s="5"/>
      <c r="QP73" s="5"/>
      <c r="QQ73" s="5"/>
      <c r="QR73" s="5"/>
      <c r="QS73" s="5"/>
      <c r="QT73" s="5"/>
      <c r="QU73" s="5"/>
      <c r="QV73" s="5"/>
      <c r="QW73" s="5"/>
      <c r="QX73" s="5"/>
      <c r="QY73" s="5"/>
      <c r="QZ73" s="5"/>
      <c r="RA73" s="5"/>
      <c r="RB73" s="5"/>
      <c r="RC73" s="5"/>
      <c r="RD73" s="5"/>
      <c r="RE73" s="5"/>
      <c r="RF73" s="5"/>
      <c r="RG73" s="5"/>
      <c r="RH73" s="5"/>
      <c r="RI73" s="5"/>
      <c r="RJ73" s="5"/>
      <c r="RK73" s="5"/>
      <c r="RL73" s="5"/>
      <c r="RM73" s="5"/>
      <c r="RN73" s="5"/>
      <c r="RO73" s="5"/>
      <c r="RP73" s="5"/>
      <c r="RQ73" s="5"/>
      <c r="RR73" s="5"/>
      <c r="RS73" s="5"/>
      <c r="RT73" s="5"/>
      <c r="RU73" s="5"/>
      <c r="RV73" s="5"/>
      <c r="RW73" s="5"/>
      <c r="RX73" s="5"/>
      <c r="RY73" s="5"/>
      <c r="RZ73" s="5"/>
      <c r="SA73" s="5"/>
      <c r="SB73" s="5"/>
      <c r="SC73" s="5"/>
      <c r="SD73" s="5"/>
      <c r="SE73" s="5"/>
      <c r="SF73" s="5"/>
      <c r="SG73" s="5"/>
      <c r="SH73" s="5"/>
      <c r="SI73" s="5"/>
      <c r="SJ73" s="5"/>
      <c r="SK73" s="5"/>
      <c r="SL73" s="5"/>
      <c r="SM73" s="5"/>
      <c r="SN73" s="5"/>
      <c r="SO73" s="5"/>
      <c r="SP73" s="5"/>
      <c r="SQ73" s="5"/>
      <c r="SR73" s="5"/>
      <c r="SS73" s="5"/>
      <c r="ST73" s="5"/>
      <c r="SU73" s="5"/>
      <c r="SV73" s="5"/>
      <c r="SW73" s="5"/>
      <c r="SX73" s="5"/>
      <c r="SY73" s="5"/>
      <c r="SZ73" s="5"/>
      <c r="TA73" s="5"/>
      <c r="TB73" s="5"/>
      <c r="TC73" s="5"/>
      <c r="TD73" s="5"/>
      <c r="TE73" s="5"/>
      <c r="TF73" s="5"/>
      <c r="TG73" s="5"/>
      <c r="TH73" s="5"/>
      <c r="TI73" s="5"/>
      <c r="TJ73" s="5"/>
      <c r="TK73" s="5"/>
      <c r="TL73" s="5"/>
      <c r="TM73" s="5"/>
      <c r="TN73" s="5"/>
      <c r="TO73" s="5"/>
      <c r="TP73" s="5"/>
      <c r="TQ73" s="5"/>
      <c r="TR73" s="5"/>
      <c r="TS73" s="5"/>
      <c r="TT73" s="5"/>
      <c r="TU73" s="5"/>
      <c r="TV73" s="5"/>
      <c r="TW73" s="5"/>
      <c r="TX73" s="5"/>
      <c r="TY73" s="5"/>
      <c r="TZ73" s="5"/>
      <c r="UA73" s="5"/>
      <c r="UB73" s="5"/>
      <c r="UC73" s="5"/>
      <c r="UD73" s="5"/>
      <c r="UE73" s="5"/>
      <c r="UF73" s="5"/>
      <c r="UG73" s="5"/>
      <c r="UH73" s="5"/>
      <c r="UI73" s="5"/>
      <c r="UJ73" s="5"/>
      <c r="UK73" s="5"/>
      <c r="UL73" s="5"/>
      <c r="UM73" s="5"/>
      <c r="UN73" s="5"/>
      <c r="UO73" s="5"/>
      <c r="UP73" s="5"/>
      <c r="UQ73" s="5"/>
      <c r="UR73" s="5"/>
      <c r="US73" s="5"/>
      <c r="UT73" s="5"/>
      <c r="UU73" s="5"/>
      <c r="UV73" s="5"/>
      <c r="UW73" s="5"/>
      <c r="UX73" s="5"/>
      <c r="UY73" s="5"/>
      <c r="UZ73" s="5"/>
      <c r="VA73" s="5"/>
      <c r="VB73" s="5"/>
      <c r="VC73" s="5"/>
      <c r="VD73" s="5"/>
      <c r="VE73" s="5"/>
      <c r="VF73" s="5"/>
      <c r="VG73" s="5"/>
      <c r="VH73" s="5"/>
      <c r="VI73" s="5"/>
      <c r="VJ73" s="5"/>
      <c r="VK73" s="5"/>
      <c r="VL73" s="5"/>
      <c r="VM73" s="5"/>
      <c r="VN73" s="5"/>
      <c r="VO73" s="5"/>
      <c r="VP73" s="5"/>
      <c r="VQ73" s="5"/>
      <c r="VR73" s="5"/>
      <c r="VS73" s="5"/>
      <c r="VT73" s="5"/>
      <c r="VU73" s="5"/>
      <c r="VV73" s="5"/>
      <c r="VW73" s="5"/>
      <c r="VX73" s="5"/>
      <c r="VY73" s="5"/>
      <c r="VZ73" s="5"/>
      <c r="WA73" s="5"/>
      <c r="WB73" s="5"/>
      <c r="WC73" s="5"/>
      <c r="WD73" s="5"/>
      <c r="WE73" s="5"/>
      <c r="WF73" s="5"/>
      <c r="WG73" s="5"/>
      <c r="WH73" s="5"/>
      <c r="WI73" s="5"/>
      <c r="WJ73" s="5"/>
      <c r="WK73" s="5"/>
      <c r="WL73" s="5"/>
      <c r="WM73" s="5"/>
      <c r="WN73" s="5"/>
      <c r="WO73" s="5"/>
      <c r="WP73" s="5"/>
      <c r="WQ73" s="5"/>
      <c r="WR73" s="5"/>
      <c r="WS73" s="5"/>
      <c r="WT73" s="5"/>
      <c r="WU73" s="5"/>
      <c r="WV73" s="5"/>
      <c r="WW73" s="5"/>
      <c r="WX73" s="5"/>
      <c r="WY73" s="5"/>
      <c r="WZ73" s="5"/>
      <c r="XA73" s="5"/>
      <c r="XB73" s="5"/>
      <c r="XC73" s="5"/>
      <c r="XD73" s="5"/>
      <c r="XE73" s="5"/>
      <c r="XF73" s="5"/>
      <c r="XG73" s="5"/>
      <c r="XH73" s="5"/>
      <c r="XI73" s="5"/>
      <c r="XJ73" s="5"/>
      <c r="XK73" s="5"/>
      <c r="XL73" s="5"/>
      <c r="XM73" s="5"/>
      <c r="XN73" s="5"/>
      <c r="XO73" s="5"/>
      <c r="XP73" s="5"/>
      <c r="XQ73" s="5"/>
      <c r="XR73" s="5"/>
      <c r="XS73" s="5"/>
      <c r="XT73" s="5"/>
      <c r="XU73" s="5"/>
      <c r="XV73" s="5"/>
      <c r="XW73" s="5"/>
      <c r="XX73" s="5"/>
      <c r="XY73" s="5"/>
      <c r="XZ73" s="5"/>
      <c r="YA73" s="5"/>
      <c r="YB73" s="5"/>
      <c r="YC73" s="5"/>
      <c r="YD73" s="5"/>
      <c r="YE73" s="5"/>
      <c r="YF73" s="5"/>
      <c r="YG73" s="5"/>
      <c r="YH73" s="5"/>
      <c r="YI73" s="5"/>
      <c r="YJ73" s="5"/>
      <c r="YK73" s="5"/>
      <c r="YL73" s="5"/>
      <c r="YM73" s="5"/>
      <c r="YN73" s="5"/>
      <c r="YO73" s="5"/>
      <c r="YP73" s="5"/>
      <c r="YQ73" s="5"/>
      <c r="YR73" s="5"/>
      <c r="YS73" s="5"/>
      <c r="YT73" s="5"/>
      <c r="YU73" s="5"/>
      <c r="YV73" s="5"/>
      <c r="YW73" s="5"/>
      <c r="YX73" s="5"/>
      <c r="YY73" s="5"/>
      <c r="YZ73" s="5"/>
    </row>
    <row r="74" spans="1:676">
      <c r="A74" s="7">
        <v>64</v>
      </c>
      <c r="B74" s="7" t="s">
        <v>197</v>
      </c>
      <c r="C74" s="10" t="s">
        <v>198</v>
      </c>
      <c r="D74" s="7" t="s">
        <v>40</v>
      </c>
      <c r="E74" s="7" t="s">
        <v>47</v>
      </c>
      <c r="F74" s="7" t="s">
        <v>199</v>
      </c>
      <c r="G74" s="7"/>
      <c r="H74" s="7"/>
      <c r="I74" s="11">
        <v>2</v>
      </c>
      <c r="J74" s="11">
        <v>0</v>
      </c>
      <c r="K74" s="11">
        <v>0</v>
      </c>
      <c r="L74" s="11">
        <v>0.48</v>
      </c>
      <c r="M74" s="11">
        <v>0</v>
      </c>
      <c r="N74" s="11">
        <v>0</v>
      </c>
      <c r="O74" s="11">
        <v>0</v>
      </c>
      <c r="P74" s="11">
        <v>0.17</v>
      </c>
      <c r="Q74" s="11">
        <v>0.65</v>
      </c>
      <c r="R74" s="11">
        <v>0.34</v>
      </c>
      <c r="S74" s="11">
        <v>0.99</v>
      </c>
      <c r="T74" s="11">
        <v>0.99</v>
      </c>
      <c r="U74" s="11">
        <v>0</v>
      </c>
      <c r="V74" s="11">
        <v>0</v>
      </c>
      <c r="W74" s="13">
        <v>6</v>
      </c>
      <c r="X74" s="13">
        <v>0</v>
      </c>
      <c r="Y74" s="13" t="str">
        <f>MIN(W74,S74)</f>
        <v>0</v>
      </c>
      <c r="Z74" s="13" t="str">
        <f>MIN(X74,(S74-Y74))</f>
        <v>0</v>
      </c>
      <c r="AA74" s="13" t="str">
        <f>S74-SUM(Y74,Z74)</f>
        <v>0</v>
      </c>
      <c r="AB74" s="15"/>
      <c r="AC74" s="15"/>
      <c r="AD74" s="1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  <c r="CZ74" s="5"/>
      <c r="DA74" s="5"/>
      <c r="DB74" s="5"/>
      <c r="DC74" s="5"/>
      <c r="DD74" s="5"/>
      <c r="DE74" s="5"/>
      <c r="DF74" s="5"/>
      <c r="DG74" s="5"/>
      <c r="DH74" s="5"/>
      <c r="DI74" s="5"/>
      <c r="DJ74" s="5"/>
      <c r="DK74" s="5"/>
      <c r="DL74" s="5"/>
      <c r="DM74" s="5"/>
      <c r="DN74" s="5"/>
      <c r="DO74" s="5"/>
      <c r="DP74" s="5"/>
      <c r="DQ74" s="5"/>
      <c r="DR74" s="5"/>
      <c r="DS74" s="5"/>
      <c r="DT74" s="5"/>
      <c r="DU74" s="5"/>
      <c r="DV74" s="5"/>
      <c r="DW74" s="5"/>
      <c r="DX74" s="5"/>
      <c r="DY74" s="5"/>
      <c r="DZ74" s="5"/>
      <c r="EA74" s="5"/>
      <c r="EB74" s="5"/>
      <c r="EC74" s="5"/>
      <c r="ED74" s="5"/>
      <c r="EE74" s="5"/>
      <c r="EF74" s="5"/>
      <c r="EG74" s="5"/>
      <c r="EH74" s="5"/>
      <c r="EI74" s="5"/>
      <c r="EJ74" s="5"/>
      <c r="EK74" s="5"/>
      <c r="EL74" s="5"/>
      <c r="EM74" s="5"/>
      <c r="EN74" s="5"/>
      <c r="EO74" s="5"/>
      <c r="EP74" s="5"/>
      <c r="EQ74" s="5"/>
      <c r="ER74" s="5"/>
      <c r="ES74" s="5"/>
      <c r="ET74" s="5"/>
      <c r="EU74" s="5"/>
      <c r="EV74" s="5"/>
      <c r="EW74" s="5"/>
      <c r="EX74" s="5"/>
      <c r="EY74" s="5"/>
      <c r="EZ74" s="5"/>
      <c r="FA74" s="5"/>
      <c r="FB74" s="5"/>
      <c r="FC74" s="5"/>
      <c r="FD74" s="5"/>
      <c r="FE74" s="5"/>
      <c r="FF74" s="5"/>
      <c r="FG74" s="5"/>
      <c r="FH74" s="5"/>
      <c r="FI74" s="5"/>
      <c r="FJ74" s="5"/>
      <c r="FK74" s="5"/>
      <c r="FL74" s="5"/>
      <c r="FM74" s="5"/>
      <c r="FN74" s="5"/>
      <c r="FO74" s="5"/>
      <c r="FP74" s="5"/>
      <c r="FQ74" s="5"/>
      <c r="FR74" s="5"/>
      <c r="FS74" s="5"/>
      <c r="FT74" s="5"/>
      <c r="FU74" s="5"/>
      <c r="FV74" s="5"/>
      <c r="FW74" s="5"/>
      <c r="FX74" s="5"/>
      <c r="FY74" s="5"/>
      <c r="FZ74" s="5"/>
      <c r="GA74" s="5"/>
      <c r="GB74" s="5"/>
      <c r="GC74" s="5"/>
      <c r="GD74" s="5"/>
      <c r="GE74" s="5"/>
      <c r="GF74" s="5"/>
      <c r="GG74" s="5"/>
      <c r="GH74" s="5"/>
      <c r="GI74" s="5"/>
      <c r="GJ74" s="5"/>
      <c r="GK74" s="5"/>
      <c r="GL74" s="5"/>
      <c r="GM74" s="5"/>
      <c r="GN74" s="5"/>
      <c r="GO74" s="5"/>
      <c r="GP74" s="5"/>
      <c r="GQ74" s="5"/>
      <c r="GR74" s="5"/>
      <c r="GS74" s="5"/>
      <c r="GT74" s="5"/>
      <c r="GU74" s="5"/>
      <c r="GV74" s="5"/>
      <c r="GW74" s="5"/>
      <c r="GX74" s="5"/>
      <c r="GY74" s="5"/>
      <c r="GZ74" s="5"/>
      <c r="HA74" s="5"/>
      <c r="HB74" s="5"/>
      <c r="HC74" s="5"/>
      <c r="HD74" s="5"/>
      <c r="HE74" s="5"/>
      <c r="HF74" s="5"/>
      <c r="HG74" s="5"/>
      <c r="HH74" s="5"/>
      <c r="HI74" s="5"/>
      <c r="HJ74" s="5"/>
      <c r="HK74" s="5"/>
      <c r="HL74" s="5"/>
      <c r="HM74" s="5"/>
      <c r="HN74" s="5"/>
      <c r="HO74" s="5"/>
      <c r="HP74" s="5"/>
      <c r="HQ74" s="5"/>
      <c r="HR74" s="5"/>
      <c r="HS74" s="5"/>
      <c r="HT74" s="5"/>
      <c r="HU74" s="5"/>
      <c r="HV74" s="5"/>
      <c r="HW74" s="5"/>
      <c r="HX74" s="5"/>
      <c r="HY74" s="5"/>
      <c r="HZ74" s="5"/>
      <c r="IA74" s="5"/>
      <c r="IB74" s="5"/>
      <c r="IC74" s="5"/>
      <c r="ID74" s="5"/>
      <c r="IE74" s="5"/>
      <c r="IF74" s="5"/>
      <c r="IG74" s="5"/>
      <c r="IH74" s="5"/>
      <c r="II74" s="5"/>
      <c r="IJ74" s="5"/>
      <c r="IK74" s="5"/>
      <c r="IL74" s="5"/>
      <c r="IM74" s="5"/>
      <c r="IN74" s="5"/>
      <c r="IO74" s="5"/>
      <c r="IP74" s="5"/>
      <c r="IQ74" s="5"/>
      <c r="IR74" s="5"/>
      <c r="IS74" s="5"/>
      <c r="IT74" s="5"/>
      <c r="IU74" s="5"/>
      <c r="IV74" s="5"/>
      <c r="IW74" s="5"/>
      <c r="IX74" s="5"/>
      <c r="IY74" s="5"/>
      <c r="IZ74" s="5"/>
      <c r="JA74" s="5"/>
      <c r="JB74" s="5"/>
      <c r="JC74" s="5"/>
      <c r="JD74" s="5"/>
      <c r="JE74" s="5"/>
      <c r="JF74" s="5"/>
      <c r="JG74" s="5"/>
      <c r="JH74" s="5"/>
      <c r="JI74" s="5"/>
      <c r="JJ74" s="5"/>
      <c r="JK74" s="5"/>
      <c r="JL74" s="5"/>
      <c r="JM74" s="5"/>
      <c r="JN74" s="5"/>
      <c r="JO74" s="5"/>
      <c r="JP74" s="5"/>
      <c r="JQ74" s="5"/>
      <c r="JR74" s="5"/>
      <c r="JS74" s="5"/>
      <c r="JT74" s="5"/>
      <c r="JU74" s="5"/>
      <c r="JV74" s="5"/>
      <c r="JW74" s="5"/>
      <c r="JX74" s="5"/>
      <c r="JY74" s="5"/>
      <c r="JZ74" s="5"/>
      <c r="KA74" s="5"/>
      <c r="KB74" s="5"/>
      <c r="KC74" s="5"/>
      <c r="KD74" s="5"/>
      <c r="KE74" s="5"/>
      <c r="KF74" s="5"/>
      <c r="KG74" s="5"/>
      <c r="KH74" s="5"/>
      <c r="KI74" s="5"/>
      <c r="KJ74" s="5"/>
      <c r="KK74" s="5"/>
      <c r="KL74" s="5"/>
      <c r="KM74" s="5"/>
      <c r="KN74" s="5"/>
      <c r="KO74" s="5"/>
      <c r="KP74" s="5"/>
      <c r="KQ74" s="5"/>
      <c r="KR74" s="5"/>
      <c r="KS74" s="5"/>
      <c r="KT74" s="5"/>
      <c r="KU74" s="5"/>
      <c r="KV74" s="5"/>
      <c r="KW74" s="5"/>
      <c r="KX74" s="5"/>
      <c r="KY74" s="5"/>
      <c r="KZ74" s="5"/>
      <c r="LA74" s="5"/>
      <c r="LB74" s="5"/>
      <c r="LC74" s="5"/>
      <c r="LD74" s="5"/>
      <c r="LE74" s="5"/>
      <c r="LF74" s="5"/>
      <c r="LG74" s="5"/>
      <c r="LH74" s="5"/>
      <c r="LI74" s="5"/>
      <c r="LJ74" s="5"/>
      <c r="LK74" s="5"/>
      <c r="LL74" s="5"/>
      <c r="LM74" s="5"/>
      <c r="LN74" s="5"/>
      <c r="LO74" s="5"/>
      <c r="LP74" s="5"/>
      <c r="LQ74" s="5"/>
      <c r="LR74" s="5"/>
      <c r="LS74" s="5"/>
      <c r="LT74" s="5"/>
      <c r="LU74" s="5"/>
      <c r="LV74" s="5"/>
      <c r="LW74" s="5"/>
      <c r="LX74" s="5"/>
      <c r="LY74" s="5"/>
      <c r="LZ74" s="5"/>
      <c r="MA74" s="5"/>
      <c r="MB74" s="5"/>
      <c r="MC74" s="5"/>
      <c r="MD74" s="5"/>
      <c r="ME74" s="5"/>
      <c r="MF74" s="5"/>
      <c r="MG74" s="5"/>
      <c r="MH74" s="5"/>
      <c r="MI74" s="5"/>
      <c r="MJ74" s="5"/>
      <c r="MK74" s="5"/>
      <c r="ML74" s="5"/>
      <c r="MM74" s="5"/>
      <c r="MN74" s="5"/>
      <c r="MO74" s="5"/>
      <c r="MP74" s="5"/>
      <c r="MQ74" s="5"/>
      <c r="MR74" s="5"/>
      <c r="MS74" s="5"/>
      <c r="MT74" s="5"/>
      <c r="MU74" s="5"/>
      <c r="MV74" s="5"/>
      <c r="MW74" s="5"/>
      <c r="MX74" s="5"/>
      <c r="MY74" s="5"/>
      <c r="MZ74" s="5"/>
      <c r="NA74" s="5"/>
      <c r="NB74" s="5"/>
      <c r="NC74" s="5"/>
      <c r="ND74" s="5"/>
      <c r="NE74" s="5"/>
      <c r="NF74" s="5"/>
      <c r="NG74" s="5"/>
      <c r="NH74" s="5"/>
      <c r="NI74" s="5"/>
      <c r="NJ74" s="5"/>
      <c r="NK74" s="5"/>
      <c r="NL74" s="5"/>
      <c r="NM74" s="5"/>
      <c r="NN74" s="5"/>
      <c r="NO74" s="5"/>
      <c r="NP74" s="5"/>
      <c r="NQ74" s="5"/>
      <c r="NR74" s="5"/>
      <c r="NS74" s="5"/>
      <c r="NT74" s="5"/>
      <c r="NU74" s="5"/>
      <c r="NV74" s="5"/>
      <c r="NW74" s="5"/>
      <c r="NX74" s="5"/>
      <c r="NY74" s="5"/>
      <c r="NZ74" s="5"/>
      <c r="OA74" s="5"/>
      <c r="OB74" s="5"/>
      <c r="OC74" s="5"/>
      <c r="OD74" s="5"/>
      <c r="OE74" s="5"/>
      <c r="OF74" s="5"/>
      <c r="OG74" s="5"/>
      <c r="OH74" s="5"/>
      <c r="OI74" s="5"/>
      <c r="OJ74" s="5"/>
      <c r="OK74" s="5"/>
      <c r="OL74" s="5"/>
      <c r="OM74" s="5"/>
      <c r="ON74" s="5"/>
      <c r="OO74" s="5"/>
      <c r="OP74" s="5"/>
      <c r="OQ74" s="5"/>
      <c r="OR74" s="5"/>
      <c r="OS74" s="5"/>
      <c r="OT74" s="5"/>
      <c r="OU74" s="5"/>
      <c r="OV74" s="5"/>
      <c r="OW74" s="5"/>
      <c r="OX74" s="5"/>
      <c r="OY74" s="5"/>
      <c r="OZ74" s="5"/>
      <c r="PA74" s="5"/>
      <c r="PB74" s="5"/>
      <c r="PC74" s="5"/>
      <c r="PD74" s="5"/>
      <c r="PE74" s="5"/>
      <c r="PF74" s="5"/>
      <c r="PG74" s="5"/>
      <c r="PH74" s="5"/>
      <c r="PI74" s="5"/>
      <c r="PJ74" s="5"/>
      <c r="PK74" s="5"/>
      <c r="PL74" s="5"/>
      <c r="PM74" s="5"/>
      <c r="PN74" s="5"/>
      <c r="PO74" s="5"/>
      <c r="PP74" s="5"/>
      <c r="PQ74" s="5"/>
      <c r="PR74" s="5"/>
      <c r="PS74" s="5"/>
      <c r="PT74" s="5"/>
      <c r="PU74" s="5"/>
      <c r="PV74" s="5"/>
      <c r="PW74" s="5"/>
      <c r="PX74" s="5"/>
      <c r="PY74" s="5"/>
      <c r="PZ74" s="5"/>
      <c r="QA74" s="5"/>
      <c r="QB74" s="5"/>
      <c r="QC74" s="5"/>
      <c r="QD74" s="5"/>
      <c r="QE74" s="5"/>
      <c r="QF74" s="5"/>
      <c r="QG74" s="5"/>
      <c r="QH74" s="5"/>
      <c r="QI74" s="5"/>
      <c r="QJ74" s="5"/>
      <c r="QK74" s="5"/>
      <c r="QL74" s="5"/>
      <c r="QM74" s="5"/>
      <c r="QN74" s="5"/>
      <c r="QO74" s="5"/>
      <c r="QP74" s="5"/>
      <c r="QQ74" s="5"/>
      <c r="QR74" s="5"/>
      <c r="QS74" s="5"/>
      <c r="QT74" s="5"/>
      <c r="QU74" s="5"/>
      <c r="QV74" s="5"/>
      <c r="QW74" s="5"/>
      <c r="QX74" s="5"/>
      <c r="QY74" s="5"/>
      <c r="QZ74" s="5"/>
      <c r="RA74" s="5"/>
      <c r="RB74" s="5"/>
      <c r="RC74" s="5"/>
      <c r="RD74" s="5"/>
      <c r="RE74" s="5"/>
      <c r="RF74" s="5"/>
      <c r="RG74" s="5"/>
      <c r="RH74" s="5"/>
      <c r="RI74" s="5"/>
      <c r="RJ74" s="5"/>
      <c r="RK74" s="5"/>
      <c r="RL74" s="5"/>
      <c r="RM74" s="5"/>
      <c r="RN74" s="5"/>
      <c r="RO74" s="5"/>
      <c r="RP74" s="5"/>
      <c r="RQ74" s="5"/>
      <c r="RR74" s="5"/>
      <c r="RS74" s="5"/>
      <c r="RT74" s="5"/>
      <c r="RU74" s="5"/>
      <c r="RV74" s="5"/>
      <c r="RW74" s="5"/>
      <c r="RX74" s="5"/>
      <c r="RY74" s="5"/>
      <c r="RZ74" s="5"/>
      <c r="SA74" s="5"/>
      <c r="SB74" s="5"/>
      <c r="SC74" s="5"/>
      <c r="SD74" s="5"/>
      <c r="SE74" s="5"/>
      <c r="SF74" s="5"/>
      <c r="SG74" s="5"/>
      <c r="SH74" s="5"/>
      <c r="SI74" s="5"/>
      <c r="SJ74" s="5"/>
      <c r="SK74" s="5"/>
      <c r="SL74" s="5"/>
      <c r="SM74" s="5"/>
      <c r="SN74" s="5"/>
      <c r="SO74" s="5"/>
      <c r="SP74" s="5"/>
      <c r="SQ74" s="5"/>
      <c r="SR74" s="5"/>
      <c r="SS74" s="5"/>
      <c r="ST74" s="5"/>
      <c r="SU74" s="5"/>
      <c r="SV74" s="5"/>
      <c r="SW74" s="5"/>
      <c r="SX74" s="5"/>
      <c r="SY74" s="5"/>
      <c r="SZ74" s="5"/>
      <c r="TA74" s="5"/>
      <c r="TB74" s="5"/>
      <c r="TC74" s="5"/>
      <c r="TD74" s="5"/>
      <c r="TE74" s="5"/>
      <c r="TF74" s="5"/>
      <c r="TG74" s="5"/>
      <c r="TH74" s="5"/>
      <c r="TI74" s="5"/>
      <c r="TJ74" s="5"/>
      <c r="TK74" s="5"/>
      <c r="TL74" s="5"/>
      <c r="TM74" s="5"/>
      <c r="TN74" s="5"/>
      <c r="TO74" s="5"/>
      <c r="TP74" s="5"/>
      <c r="TQ74" s="5"/>
      <c r="TR74" s="5"/>
      <c r="TS74" s="5"/>
      <c r="TT74" s="5"/>
      <c r="TU74" s="5"/>
      <c r="TV74" s="5"/>
      <c r="TW74" s="5"/>
      <c r="TX74" s="5"/>
      <c r="TY74" s="5"/>
      <c r="TZ74" s="5"/>
      <c r="UA74" s="5"/>
      <c r="UB74" s="5"/>
      <c r="UC74" s="5"/>
      <c r="UD74" s="5"/>
      <c r="UE74" s="5"/>
      <c r="UF74" s="5"/>
      <c r="UG74" s="5"/>
      <c r="UH74" s="5"/>
      <c r="UI74" s="5"/>
      <c r="UJ74" s="5"/>
      <c r="UK74" s="5"/>
      <c r="UL74" s="5"/>
      <c r="UM74" s="5"/>
      <c r="UN74" s="5"/>
      <c r="UO74" s="5"/>
      <c r="UP74" s="5"/>
      <c r="UQ74" s="5"/>
      <c r="UR74" s="5"/>
      <c r="US74" s="5"/>
      <c r="UT74" s="5"/>
      <c r="UU74" s="5"/>
      <c r="UV74" s="5"/>
      <c r="UW74" s="5"/>
      <c r="UX74" s="5"/>
      <c r="UY74" s="5"/>
      <c r="UZ74" s="5"/>
      <c r="VA74" s="5"/>
      <c r="VB74" s="5"/>
      <c r="VC74" s="5"/>
      <c r="VD74" s="5"/>
      <c r="VE74" s="5"/>
      <c r="VF74" s="5"/>
      <c r="VG74" s="5"/>
      <c r="VH74" s="5"/>
      <c r="VI74" s="5"/>
      <c r="VJ74" s="5"/>
      <c r="VK74" s="5"/>
      <c r="VL74" s="5"/>
      <c r="VM74" s="5"/>
      <c r="VN74" s="5"/>
      <c r="VO74" s="5"/>
      <c r="VP74" s="5"/>
      <c r="VQ74" s="5"/>
      <c r="VR74" s="5"/>
      <c r="VS74" s="5"/>
      <c r="VT74" s="5"/>
      <c r="VU74" s="5"/>
      <c r="VV74" s="5"/>
      <c r="VW74" s="5"/>
      <c r="VX74" s="5"/>
      <c r="VY74" s="5"/>
      <c r="VZ74" s="5"/>
      <c r="WA74" s="5"/>
      <c r="WB74" s="5"/>
      <c r="WC74" s="5"/>
      <c r="WD74" s="5"/>
      <c r="WE74" s="5"/>
      <c r="WF74" s="5"/>
      <c r="WG74" s="5"/>
      <c r="WH74" s="5"/>
      <c r="WI74" s="5"/>
      <c r="WJ74" s="5"/>
      <c r="WK74" s="5"/>
      <c r="WL74" s="5"/>
      <c r="WM74" s="5"/>
      <c r="WN74" s="5"/>
      <c r="WO74" s="5"/>
      <c r="WP74" s="5"/>
      <c r="WQ74" s="5"/>
      <c r="WR74" s="5"/>
      <c r="WS74" s="5"/>
      <c r="WT74" s="5"/>
      <c r="WU74" s="5"/>
      <c r="WV74" s="5"/>
      <c r="WW74" s="5"/>
      <c r="WX74" s="5"/>
      <c r="WY74" s="5"/>
      <c r="WZ74" s="5"/>
      <c r="XA74" s="5"/>
      <c r="XB74" s="5"/>
      <c r="XC74" s="5"/>
      <c r="XD74" s="5"/>
      <c r="XE74" s="5"/>
      <c r="XF74" s="5"/>
      <c r="XG74" s="5"/>
      <c r="XH74" s="5"/>
      <c r="XI74" s="5"/>
      <c r="XJ74" s="5"/>
      <c r="XK74" s="5"/>
      <c r="XL74" s="5"/>
      <c r="XM74" s="5"/>
      <c r="XN74" s="5"/>
      <c r="XO74" s="5"/>
      <c r="XP74" s="5"/>
      <c r="XQ74" s="5"/>
      <c r="XR74" s="5"/>
      <c r="XS74" s="5"/>
      <c r="XT74" s="5"/>
      <c r="XU74" s="5"/>
      <c r="XV74" s="5"/>
      <c r="XW74" s="5"/>
      <c r="XX74" s="5"/>
      <c r="XY74" s="5"/>
      <c r="XZ74" s="5"/>
      <c r="YA74" s="5"/>
      <c r="YB74" s="5"/>
      <c r="YC74" s="5"/>
      <c r="YD74" s="5"/>
      <c r="YE74" s="5"/>
      <c r="YF74" s="5"/>
      <c r="YG74" s="5"/>
      <c r="YH74" s="5"/>
      <c r="YI74" s="5"/>
      <c r="YJ74" s="5"/>
      <c r="YK74" s="5"/>
      <c r="YL74" s="5"/>
      <c r="YM74" s="5"/>
      <c r="YN74" s="5"/>
      <c r="YO74" s="5"/>
      <c r="YP74" s="5"/>
      <c r="YQ74" s="5"/>
      <c r="YR74" s="5"/>
      <c r="YS74" s="5"/>
      <c r="YT74" s="5"/>
      <c r="YU74" s="5"/>
      <c r="YV74" s="5"/>
      <c r="YW74" s="5"/>
      <c r="YX74" s="5"/>
      <c r="YY74" s="5"/>
      <c r="YZ74" s="5"/>
    </row>
    <row r="75" spans="1:676">
      <c r="A75" s="7">
        <v>65</v>
      </c>
      <c r="B75" s="7" t="s">
        <v>200</v>
      </c>
      <c r="C75" s="10" t="s">
        <v>201</v>
      </c>
      <c r="D75" s="7" t="s">
        <v>46</v>
      </c>
      <c r="E75" s="7" t="s">
        <v>82</v>
      </c>
      <c r="F75" s="7" t="s">
        <v>179</v>
      </c>
      <c r="G75" s="7"/>
      <c r="H75" s="7" t="s">
        <v>79</v>
      </c>
      <c r="I75" s="11">
        <v>2</v>
      </c>
      <c r="J75" s="11">
        <v>0</v>
      </c>
      <c r="K75" s="11">
        <v>0</v>
      </c>
      <c r="L75" s="11">
        <v>0</v>
      </c>
      <c r="M75" s="11">
        <v>0</v>
      </c>
      <c r="N75" s="11">
        <v>0</v>
      </c>
      <c r="O75" s="11">
        <v>0</v>
      </c>
      <c r="P75" s="11">
        <v>0.17</v>
      </c>
      <c r="Q75" s="11">
        <v>0.17</v>
      </c>
      <c r="R75" s="11">
        <v>0.34</v>
      </c>
      <c r="S75" s="11">
        <v>0.51</v>
      </c>
      <c r="T75" s="11">
        <v>0.51</v>
      </c>
      <c r="U75" s="11">
        <v>0</v>
      </c>
      <c r="V75" s="11">
        <v>0</v>
      </c>
      <c r="W75" s="13">
        <v>6</v>
      </c>
      <c r="X75" s="13">
        <v>0</v>
      </c>
      <c r="Y75" s="13" t="str">
        <f>MIN(W75,S75)</f>
        <v>0</v>
      </c>
      <c r="Z75" s="13" t="str">
        <f>MIN(X75,(S75-Y75))</f>
        <v>0</v>
      </c>
      <c r="AA75" s="13" t="str">
        <f>S75-SUM(Y75,Z75)</f>
        <v>0</v>
      </c>
      <c r="AB75" s="15"/>
      <c r="AC75" s="15"/>
      <c r="AD75" s="1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  <c r="CZ75" s="5"/>
      <c r="DA75" s="5"/>
      <c r="DB75" s="5"/>
      <c r="DC75" s="5"/>
      <c r="DD75" s="5"/>
      <c r="DE75" s="5"/>
      <c r="DF75" s="5"/>
      <c r="DG75" s="5"/>
      <c r="DH75" s="5"/>
      <c r="DI75" s="5"/>
      <c r="DJ75" s="5"/>
      <c r="DK75" s="5"/>
      <c r="DL75" s="5"/>
      <c r="DM75" s="5"/>
      <c r="DN75" s="5"/>
      <c r="DO75" s="5"/>
      <c r="DP75" s="5"/>
      <c r="DQ75" s="5"/>
      <c r="DR75" s="5"/>
      <c r="DS75" s="5"/>
      <c r="DT75" s="5"/>
      <c r="DU75" s="5"/>
      <c r="DV75" s="5"/>
      <c r="DW75" s="5"/>
      <c r="DX75" s="5"/>
      <c r="DY75" s="5"/>
      <c r="DZ75" s="5"/>
      <c r="EA75" s="5"/>
      <c r="EB75" s="5"/>
      <c r="EC75" s="5"/>
      <c r="ED75" s="5"/>
      <c r="EE75" s="5"/>
      <c r="EF75" s="5"/>
      <c r="EG75" s="5"/>
      <c r="EH75" s="5"/>
      <c r="EI75" s="5"/>
      <c r="EJ75" s="5"/>
      <c r="EK75" s="5"/>
      <c r="EL75" s="5"/>
      <c r="EM75" s="5"/>
      <c r="EN75" s="5"/>
      <c r="EO75" s="5"/>
      <c r="EP75" s="5"/>
      <c r="EQ75" s="5"/>
      <c r="ER75" s="5"/>
      <c r="ES75" s="5"/>
      <c r="ET75" s="5"/>
      <c r="EU75" s="5"/>
      <c r="EV75" s="5"/>
      <c r="EW75" s="5"/>
      <c r="EX75" s="5"/>
      <c r="EY75" s="5"/>
      <c r="EZ75" s="5"/>
      <c r="FA75" s="5"/>
      <c r="FB75" s="5"/>
      <c r="FC75" s="5"/>
      <c r="FD75" s="5"/>
      <c r="FE75" s="5"/>
      <c r="FF75" s="5"/>
      <c r="FG75" s="5"/>
      <c r="FH75" s="5"/>
      <c r="FI75" s="5"/>
      <c r="FJ75" s="5"/>
      <c r="FK75" s="5"/>
      <c r="FL75" s="5"/>
      <c r="FM75" s="5"/>
      <c r="FN75" s="5"/>
      <c r="FO75" s="5"/>
      <c r="FP75" s="5"/>
      <c r="FQ75" s="5"/>
      <c r="FR75" s="5"/>
      <c r="FS75" s="5"/>
      <c r="FT75" s="5"/>
      <c r="FU75" s="5"/>
      <c r="FV75" s="5"/>
      <c r="FW75" s="5"/>
      <c r="FX75" s="5"/>
      <c r="FY75" s="5"/>
      <c r="FZ75" s="5"/>
      <c r="GA75" s="5"/>
      <c r="GB75" s="5"/>
      <c r="GC75" s="5"/>
      <c r="GD75" s="5"/>
      <c r="GE75" s="5"/>
      <c r="GF75" s="5"/>
      <c r="GG75" s="5"/>
      <c r="GH75" s="5"/>
      <c r="GI75" s="5"/>
      <c r="GJ75" s="5"/>
      <c r="GK75" s="5"/>
      <c r="GL75" s="5"/>
      <c r="GM75" s="5"/>
      <c r="GN75" s="5"/>
      <c r="GO75" s="5"/>
      <c r="GP75" s="5"/>
      <c r="GQ75" s="5"/>
      <c r="GR75" s="5"/>
      <c r="GS75" s="5"/>
      <c r="GT75" s="5"/>
      <c r="GU75" s="5"/>
      <c r="GV75" s="5"/>
      <c r="GW75" s="5"/>
      <c r="GX75" s="5"/>
      <c r="GY75" s="5"/>
      <c r="GZ75" s="5"/>
      <c r="HA75" s="5"/>
      <c r="HB75" s="5"/>
      <c r="HC75" s="5"/>
      <c r="HD75" s="5"/>
      <c r="HE75" s="5"/>
      <c r="HF75" s="5"/>
      <c r="HG75" s="5"/>
      <c r="HH75" s="5"/>
      <c r="HI75" s="5"/>
      <c r="HJ75" s="5"/>
      <c r="HK75" s="5"/>
      <c r="HL75" s="5"/>
      <c r="HM75" s="5"/>
      <c r="HN75" s="5"/>
      <c r="HO75" s="5"/>
      <c r="HP75" s="5"/>
      <c r="HQ75" s="5"/>
      <c r="HR75" s="5"/>
      <c r="HS75" s="5"/>
      <c r="HT75" s="5"/>
      <c r="HU75" s="5"/>
      <c r="HV75" s="5"/>
      <c r="HW75" s="5"/>
      <c r="HX75" s="5"/>
      <c r="HY75" s="5"/>
      <c r="HZ75" s="5"/>
      <c r="IA75" s="5"/>
      <c r="IB75" s="5"/>
      <c r="IC75" s="5"/>
      <c r="ID75" s="5"/>
      <c r="IE75" s="5"/>
      <c r="IF75" s="5"/>
      <c r="IG75" s="5"/>
      <c r="IH75" s="5"/>
      <c r="II75" s="5"/>
      <c r="IJ75" s="5"/>
      <c r="IK75" s="5"/>
      <c r="IL75" s="5"/>
      <c r="IM75" s="5"/>
      <c r="IN75" s="5"/>
      <c r="IO75" s="5"/>
      <c r="IP75" s="5"/>
      <c r="IQ75" s="5"/>
      <c r="IR75" s="5"/>
      <c r="IS75" s="5"/>
      <c r="IT75" s="5"/>
      <c r="IU75" s="5"/>
      <c r="IV75" s="5"/>
      <c r="IW75" s="5"/>
      <c r="IX75" s="5"/>
      <c r="IY75" s="5"/>
      <c r="IZ75" s="5"/>
      <c r="JA75" s="5"/>
      <c r="JB75" s="5"/>
      <c r="JC75" s="5"/>
      <c r="JD75" s="5"/>
      <c r="JE75" s="5"/>
      <c r="JF75" s="5"/>
      <c r="JG75" s="5"/>
      <c r="JH75" s="5"/>
      <c r="JI75" s="5"/>
      <c r="JJ75" s="5"/>
      <c r="JK75" s="5"/>
      <c r="JL75" s="5"/>
      <c r="JM75" s="5"/>
      <c r="JN75" s="5"/>
      <c r="JO75" s="5"/>
      <c r="JP75" s="5"/>
      <c r="JQ75" s="5"/>
      <c r="JR75" s="5"/>
      <c r="JS75" s="5"/>
      <c r="JT75" s="5"/>
      <c r="JU75" s="5"/>
      <c r="JV75" s="5"/>
      <c r="JW75" s="5"/>
      <c r="JX75" s="5"/>
      <c r="JY75" s="5"/>
      <c r="JZ75" s="5"/>
      <c r="KA75" s="5"/>
      <c r="KB75" s="5"/>
      <c r="KC75" s="5"/>
      <c r="KD75" s="5"/>
      <c r="KE75" s="5"/>
      <c r="KF75" s="5"/>
      <c r="KG75" s="5"/>
      <c r="KH75" s="5"/>
      <c r="KI75" s="5"/>
      <c r="KJ75" s="5"/>
      <c r="KK75" s="5"/>
      <c r="KL75" s="5"/>
      <c r="KM75" s="5"/>
      <c r="KN75" s="5"/>
      <c r="KO75" s="5"/>
      <c r="KP75" s="5"/>
      <c r="KQ75" s="5"/>
      <c r="KR75" s="5"/>
      <c r="KS75" s="5"/>
      <c r="KT75" s="5"/>
      <c r="KU75" s="5"/>
      <c r="KV75" s="5"/>
      <c r="KW75" s="5"/>
      <c r="KX75" s="5"/>
      <c r="KY75" s="5"/>
      <c r="KZ75" s="5"/>
      <c r="LA75" s="5"/>
      <c r="LB75" s="5"/>
      <c r="LC75" s="5"/>
      <c r="LD75" s="5"/>
      <c r="LE75" s="5"/>
      <c r="LF75" s="5"/>
      <c r="LG75" s="5"/>
      <c r="LH75" s="5"/>
      <c r="LI75" s="5"/>
      <c r="LJ75" s="5"/>
      <c r="LK75" s="5"/>
      <c r="LL75" s="5"/>
      <c r="LM75" s="5"/>
      <c r="LN75" s="5"/>
      <c r="LO75" s="5"/>
      <c r="LP75" s="5"/>
      <c r="LQ75" s="5"/>
      <c r="LR75" s="5"/>
      <c r="LS75" s="5"/>
      <c r="LT75" s="5"/>
      <c r="LU75" s="5"/>
      <c r="LV75" s="5"/>
      <c r="LW75" s="5"/>
      <c r="LX75" s="5"/>
      <c r="LY75" s="5"/>
      <c r="LZ75" s="5"/>
      <c r="MA75" s="5"/>
      <c r="MB75" s="5"/>
      <c r="MC75" s="5"/>
      <c r="MD75" s="5"/>
      <c r="ME75" s="5"/>
      <c r="MF75" s="5"/>
      <c r="MG75" s="5"/>
      <c r="MH75" s="5"/>
      <c r="MI75" s="5"/>
      <c r="MJ75" s="5"/>
      <c r="MK75" s="5"/>
      <c r="ML75" s="5"/>
      <c r="MM75" s="5"/>
      <c r="MN75" s="5"/>
      <c r="MO75" s="5"/>
      <c r="MP75" s="5"/>
      <c r="MQ75" s="5"/>
      <c r="MR75" s="5"/>
      <c r="MS75" s="5"/>
      <c r="MT75" s="5"/>
      <c r="MU75" s="5"/>
      <c r="MV75" s="5"/>
      <c r="MW75" s="5"/>
      <c r="MX75" s="5"/>
      <c r="MY75" s="5"/>
      <c r="MZ75" s="5"/>
      <c r="NA75" s="5"/>
      <c r="NB75" s="5"/>
      <c r="NC75" s="5"/>
      <c r="ND75" s="5"/>
      <c r="NE75" s="5"/>
      <c r="NF75" s="5"/>
      <c r="NG75" s="5"/>
      <c r="NH75" s="5"/>
      <c r="NI75" s="5"/>
      <c r="NJ75" s="5"/>
      <c r="NK75" s="5"/>
      <c r="NL75" s="5"/>
      <c r="NM75" s="5"/>
      <c r="NN75" s="5"/>
      <c r="NO75" s="5"/>
      <c r="NP75" s="5"/>
      <c r="NQ75" s="5"/>
      <c r="NR75" s="5"/>
      <c r="NS75" s="5"/>
      <c r="NT75" s="5"/>
      <c r="NU75" s="5"/>
      <c r="NV75" s="5"/>
      <c r="NW75" s="5"/>
      <c r="NX75" s="5"/>
      <c r="NY75" s="5"/>
      <c r="NZ75" s="5"/>
      <c r="OA75" s="5"/>
      <c r="OB75" s="5"/>
      <c r="OC75" s="5"/>
      <c r="OD75" s="5"/>
      <c r="OE75" s="5"/>
      <c r="OF75" s="5"/>
      <c r="OG75" s="5"/>
      <c r="OH75" s="5"/>
      <c r="OI75" s="5"/>
      <c r="OJ75" s="5"/>
      <c r="OK75" s="5"/>
      <c r="OL75" s="5"/>
      <c r="OM75" s="5"/>
      <c r="ON75" s="5"/>
      <c r="OO75" s="5"/>
      <c r="OP75" s="5"/>
      <c r="OQ75" s="5"/>
      <c r="OR75" s="5"/>
      <c r="OS75" s="5"/>
      <c r="OT75" s="5"/>
      <c r="OU75" s="5"/>
      <c r="OV75" s="5"/>
      <c r="OW75" s="5"/>
      <c r="OX75" s="5"/>
      <c r="OY75" s="5"/>
      <c r="OZ75" s="5"/>
      <c r="PA75" s="5"/>
      <c r="PB75" s="5"/>
      <c r="PC75" s="5"/>
      <c r="PD75" s="5"/>
      <c r="PE75" s="5"/>
      <c r="PF75" s="5"/>
      <c r="PG75" s="5"/>
      <c r="PH75" s="5"/>
      <c r="PI75" s="5"/>
      <c r="PJ75" s="5"/>
      <c r="PK75" s="5"/>
      <c r="PL75" s="5"/>
      <c r="PM75" s="5"/>
      <c r="PN75" s="5"/>
      <c r="PO75" s="5"/>
      <c r="PP75" s="5"/>
      <c r="PQ75" s="5"/>
      <c r="PR75" s="5"/>
      <c r="PS75" s="5"/>
      <c r="PT75" s="5"/>
      <c r="PU75" s="5"/>
      <c r="PV75" s="5"/>
      <c r="PW75" s="5"/>
      <c r="PX75" s="5"/>
      <c r="PY75" s="5"/>
      <c r="PZ75" s="5"/>
      <c r="QA75" s="5"/>
      <c r="QB75" s="5"/>
      <c r="QC75" s="5"/>
      <c r="QD75" s="5"/>
      <c r="QE75" s="5"/>
      <c r="QF75" s="5"/>
      <c r="QG75" s="5"/>
      <c r="QH75" s="5"/>
      <c r="QI75" s="5"/>
      <c r="QJ75" s="5"/>
      <c r="QK75" s="5"/>
      <c r="QL75" s="5"/>
      <c r="QM75" s="5"/>
      <c r="QN75" s="5"/>
      <c r="QO75" s="5"/>
      <c r="QP75" s="5"/>
      <c r="QQ75" s="5"/>
      <c r="QR75" s="5"/>
      <c r="QS75" s="5"/>
      <c r="QT75" s="5"/>
      <c r="QU75" s="5"/>
      <c r="QV75" s="5"/>
      <c r="QW75" s="5"/>
      <c r="QX75" s="5"/>
      <c r="QY75" s="5"/>
      <c r="QZ75" s="5"/>
      <c r="RA75" s="5"/>
      <c r="RB75" s="5"/>
      <c r="RC75" s="5"/>
      <c r="RD75" s="5"/>
      <c r="RE75" s="5"/>
      <c r="RF75" s="5"/>
      <c r="RG75" s="5"/>
      <c r="RH75" s="5"/>
      <c r="RI75" s="5"/>
      <c r="RJ75" s="5"/>
      <c r="RK75" s="5"/>
      <c r="RL75" s="5"/>
      <c r="RM75" s="5"/>
      <c r="RN75" s="5"/>
      <c r="RO75" s="5"/>
      <c r="RP75" s="5"/>
      <c r="RQ75" s="5"/>
      <c r="RR75" s="5"/>
      <c r="RS75" s="5"/>
      <c r="RT75" s="5"/>
      <c r="RU75" s="5"/>
      <c r="RV75" s="5"/>
      <c r="RW75" s="5"/>
      <c r="RX75" s="5"/>
      <c r="RY75" s="5"/>
      <c r="RZ75" s="5"/>
      <c r="SA75" s="5"/>
      <c r="SB75" s="5"/>
      <c r="SC75" s="5"/>
      <c r="SD75" s="5"/>
      <c r="SE75" s="5"/>
      <c r="SF75" s="5"/>
      <c r="SG75" s="5"/>
      <c r="SH75" s="5"/>
      <c r="SI75" s="5"/>
      <c r="SJ75" s="5"/>
      <c r="SK75" s="5"/>
      <c r="SL75" s="5"/>
      <c r="SM75" s="5"/>
      <c r="SN75" s="5"/>
      <c r="SO75" s="5"/>
      <c r="SP75" s="5"/>
      <c r="SQ75" s="5"/>
      <c r="SR75" s="5"/>
      <c r="SS75" s="5"/>
      <c r="ST75" s="5"/>
      <c r="SU75" s="5"/>
      <c r="SV75" s="5"/>
      <c r="SW75" s="5"/>
      <c r="SX75" s="5"/>
      <c r="SY75" s="5"/>
      <c r="SZ75" s="5"/>
      <c r="TA75" s="5"/>
      <c r="TB75" s="5"/>
      <c r="TC75" s="5"/>
      <c r="TD75" s="5"/>
      <c r="TE75" s="5"/>
      <c r="TF75" s="5"/>
      <c r="TG75" s="5"/>
      <c r="TH75" s="5"/>
      <c r="TI75" s="5"/>
      <c r="TJ75" s="5"/>
      <c r="TK75" s="5"/>
      <c r="TL75" s="5"/>
      <c r="TM75" s="5"/>
      <c r="TN75" s="5"/>
      <c r="TO75" s="5"/>
      <c r="TP75" s="5"/>
      <c r="TQ75" s="5"/>
      <c r="TR75" s="5"/>
      <c r="TS75" s="5"/>
      <c r="TT75" s="5"/>
      <c r="TU75" s="5"/>
      <c r="TV75" s="5"/>
      <c r="TW75" s="5"/>
      <c r="TX75" s="5"/>
      <c r="TY75" s="5"/>
      <c r="TZ75" s="5"/>
      <c r="UA75" s="5"/>
      <c r="UB75" s="5"/>
      <c r="UC75" s="5"/>
      <c r="UD75" s="5"/>
      <c r="UE75" s="5"/>
      <c r="UF75" s="5"/>
      <c r="UG75" s="5"/>
      <c r="UH75" s="5"/>
      <c r="UI75" s="5"/>
      <c r="UJ75" s="5"/>
      <c r="UK75" s="5"/>
      <c r="UL75" s="5"/>
      <c r="UM75" s="5"/>
      <c r="UN75" s="5"/>
      <c r="UO75" s="5"/>
      <c r="UP75" s="5"/>
      <c r="UQ75" s="5"/>
      <c r="UR75" s="5"/>
      <c r="US75" s="5"/>
      <c r="UT75" s="5"/>
      <c r="UU75" s="5"/>
      <c r="UV75" s="5"/>
      <c r="UW75" s="5"/>
      <c r="UX75" s="5"/>
      <c r="UY75" s="5"/>
      <c r="UZ75" s="5"/>
      <c r="VA75" s="5"/>
      <c r="VB75" s="5"/>
      <c r="VC75" s="5"/>
      <c r="VD75" s="5"/>
      <c r="VE75" s="5"/>
      <c r="VF75" s="5"/>
      <c r="VG75" s="5"/>
      <c r="VH75" s="5"/>
      <c r="VI75" s="5"/>
      <c r="VJ75" s="5"/>
      <c r="VK75" s="5"/>
      <c r="VL75" s="5"/>
      <c r="VM75" s="5"/>
      <c r="VN75" s="5"/>
      <c r="VO75" s="5"/>
      <c r="VP75" s="5"/>
      <c r="VQ75" s="5"/>
      <c r="VR75" s="5"/>
      <c r="VS75" s="5"/>
      <c r="VT75" s="5"/>
      <c r="VU75" s="5"/>
      <c r="VV75" s="5"/>
      <c r="VW75" s="5"/>
      <c r="VX75" s="5"/>
      <c r="VY75" s="5"/>
      <c r="VZ75" s="5"/>
      <c r="WA75" s="5"/>
      <c r="WB75" s="5"/>
      <c r="WC75" s="5"/>
      <c r="WD75" s="5"/>
      <c r="WE75" s="5"/>
      <c r="WF75" s="5"/>
      <c r="WG75" s="5"/>
      <c r="WH75" s="5"/>
      <c r="WI75" s="5"/>
      <c r="WJ75" s="5"/>
      <c r="WK75" s="5"/>
      <c r="WL75" s="5"/>
      <c r="WM75" s="5"/>
      <c r="WN75" s="5"/>
      <c r="WO75" s="5"/>
      <c r="WP75" s="5"/>
      <c r="WQ75" s="5"/>
      <c r="WR75" s="5"/>
      <c r="WS75" s="5"/>
      <c r="WT75" s="5"/>
      <c r="WU75" s="5"/>
      <c r="WV75" s="5"/>
      <c r="WW75" s="5"/>
      <c r="WX75" s="5"/>
      <c r="WY75" s="5"/>
      <c r="WZ75" s="5"/>
      <c r="XA75" s="5"/>
      <c r="XB75" s="5"/>
      <c r="XC75" s="5"/>
      <c r="XD75" s="5"/>
      <c r="XE75" s="5"/>
      <c r="XF75" s="5"/>
      <c r="XG75" s="5"/>
      <c r="XH75" s="5"/>
      <c r="XI75" s="5"/>
      <c r="XJ75" s="5"/>
      <c r="XK75" s="5"/>
      <c r="XL75" s="5"/>
      <c r="XM75" s="5"/>
      <c r="XN75" s="5"/>
      <c r="XO75" s="5"/>
      <c r="XP75" s="5"/>
      <c r="XQ75" s="5"/>
      <c r="XR75" s="5"/>
      <c r="XS75" s="5"/>
      <c r="XT75" s="5"/>
      <c r="XU75" s="5"/>
      <c r="XV75" s="5"/>
      <c r="XW75" s="5"/>
      <c r="XX75" s="5"/>
      <c r="XY75" s="5"/>
      <c r="XZ75" s="5"/>
      <c r="YA75" s="5"/>
      <c r="YB75" s="5"/>
      <c r="YC75" s="5"/>
      <c r="YD75" s="5"/>
      <c r="YE75" s="5"/>
      <c r="YF75" s="5"/>
      <c r="YG75" s="5"/>
      <c r="YH75" s="5"/>
      <c r="YI75" s="5"/>
      <c r="YJ75" s="5"/>
      <c r="YK75" s="5"/>
      <c r="YL75" s="5"/>
      <c r="YM75" s="5"/>
      <c r="YN75" s="5"/>
      <c r="YO75" s="5"/>
      <c r="YP75" s="5"/>
      <c r="YQ75" s="5"/>
      <c r="YR75" s="5"/>
      <c r="YS75" s="5"/>
      <c r="YT75" s="5"/>
      <c r="YU75" s="5"/>
      <c r="YV75" s="5"/>
      <c r="YW75" s="5"/>
      <c r="YX75" s="5"/>
      <c r="YY75" s="5"/>
      <c r="YZ75" s="5"/>
    </row>
    <row r="76" spans="1:676">
      <c r="A76" s="7">
        <v>66</v>
      </c>
      <c r="B76" s="7" t="s">
        <v>202</v>
      </c>
      <c r="C76" s="10" t="s">
        <v>203</v>
      </c>
      <c r="D76" s="7" t="s">
        <v>40</v>
      </c>
      <c r="E76" s="7" t="s">
        <v>78</v>
      </c>
      <c r="F76" s="7" t="s">
        <v>172</v>
      </c>
      <c r="G76" s="7"/>
      <c r="H76" s="7"/>
      <c r="I76" s="11">
        <v>2</v>
      </c>
      <c r="J76" s="11">
        <v>3</v>
      </c>
      <c r="K76" s="11">
        <v>0</v>
      </c>
      <c r="L76" s="11">
        <v>5.580000000000004</v>
      </c>
      <c r="M76" s="11">
        <v>0.16</v>
      </c>
      <c r="N76" s="11">
        <v>0</v>
      </c>
      <c r="O76" s="11">
        <v>0</v>
      </c>
      <c r="P76" s="11">
        <v>2.28</v>
      </c>
      <c r="Q76" s="11">
        <v>8.020000000000001</v>
      </c>
      <c r="R76" s="11">
        <v>14.70000000000001</v>
      </c>
      <c r="S76" s="11">
        <v>22.72000000000001</v>
      </c>
      <c r="T76" s="11">
        <v>2</v>
      </c>
      <c r="U76" s="11">
        <v>3</v>
      </c>
      <c r="V76" s="11">
        <v>17.72000000000001</v>
      </c>
      <c r="W76" s="13">
        <v>6</v>
      </c>
      <c r="X76" s="13">
        <v>9</v>
      </c>
      <c r="Y76" s="13" t="str">
        <f>MIN(W76,S76)</f>
        <v>0</v>
      </c>
      <c r="Z76" s="13" t="str">
        <f>MIN(X76,(S76-Y76))</f>
        <v>0</v>
      </c>
      <c r="AA76" s="13" t="str">
        <f>S76-SUM(Y76,Z76)</f>
        <v>0</v>
      </c>
      <c r="AB76" s="15"/>
      <c r="AC76" s="15"/>
      <c r="AD76" s="1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  <c r="CZ76" s="5"/>
      <c r="DA76" s="5"/>
      <c r="DB76" s="5"/>
      <c r="DC76" s="5"/>
      <c r="DD76" s="5"/>
      <c r="DE76" s="5"/>
      <c r="DF76" s="5"/>
      <c r="DG76" s="5"/>
      <c r="DH76" s="5"/>
      <c r="DI76" s="5"/>
      <c r="DJ76" s="5"/>
      <c r="DK76" s="5"/>
      <c r="DL76" s="5"/>
      <c r="DM76" s="5"/>
      <c r="DN76" s="5"/>
      <c r="DO76" s="5"/>
      <c r="DP76" s="5"/>
      <c r="DQ76" s="5"/>
      <c r="DR76" s="5"/>
      <c r="DS76" s="5"/>
      <c r="DT76" s="5"/>
      <c r="DU76" s="5"/>
      <c r="DV76" s="5"/>
      <c r="DW76" s="5"/>
      <c r="DX76" s="5"/>
      <c r="DY76" s="5"/>
      <c r="DZ76" s="5"/>
      <c r="EA76" s="5"/>
      <c r="EB76" s="5"/>
      <c r="EC76" s="5"/>
      <c r="ED76" s="5"/>
      <c r="EE76" s="5"/>
      <c r="EF76" s="5"/>
      <c r="EG76" s="5"/>
      <c r="EH76" s="5"/>
      <c r="EI76" s="5"/>
      <c r="EJ76" s="5"/>
      <c r="EK76" s="5"/>
      <c r="EL76" s="5"/>
      <c r="EM76" s="5"/>
      <c r="EN76" s="5"/>
      <c r="EO76" s="5"/>
      <c r="EP76" s="5"/>
      <c r="EQ76" s="5"/>
      <c r="ER76" s="5"/>
      <c r="ES76" s="5"/>
      <c r="ET76" s="5"/>
      <c r="EU76" s="5"/>
      <c r="EV76" s="5"/>
      <c r="EW76" s="5"/>
      <c r="EX76" s="5"/>
      <c r="EY76" s="5"/>
      <c r="EZ76" s="5"/>
      <c r="FA76" s="5"/>
      <c r="FB76" s="5"/>
      <c r="FC76" s="5"/>
      <c r="FD76" s="5"/>
      <c r="FE76" s="5"/>
      <c r="FF76" s="5"/>
      <c r="FG76" s="5"/>
      <c r="FH76" s="5"/>
      <c r="FI76" s="5"/>
      <c r="FJ76" s="5"/>
      <c r="FK76" s="5"/>
      <c r="FL76" s="5"/>
      <c r="FM76" s="5"/>
      <c r="FN76" s="5"/>
      <c r="FO76" s="5"/>
      <c r="FP76" s="5"/>
      <c r="FQ76" s="5"/>
      <c r="FR76" s="5"/>
      <c r="FS76" s="5"/>
      <c r="FT76" s="5"/>
      <c r="FU76" s="5"/>
      <c r="FV76" s="5"/>
      <c r="FW76" s="5"/>
      <c r="FX76" s="5"/>
      <c r="FY76" s="5"/>
      <c r="FZ76" s="5"/>
      <c r="GA76" s="5"/>
      <c r="GB76" s="5"/>
      <c r="GC76" s="5"/>
      <c r="GD76" s="5"/>
      <c r="GE76" s="5"/>
      <c r="GF76" s="5"/>
      <c r="GG76" s="5"/>
      <c r="GH76" s="5"/>
      <c r="GI76" s="5"/>
      <c r="GJ76" s="5"/>
      <c r="GK76" s="5"/>
      <c r="GL76" s="5"/>
      <c r="GM76" s="5"/>
      <c r="GN76" s="5"/>
      <c r="GO76" s="5"/>
      <c r="GP76" s="5"/>
      <c r="GQ76" s="5"/>
      <c r="GR76" s="5"/>
      <c r="GS76" s="5"/>
      <c r="GT76" s="5"/>
      <c r="GU76" s="5"/>
      <c r="GV76" s="5"/>
      <c r="GW76" s="5"/>
      <c r="GX76" s="5"/>
      <c r="GY76" s="5"/>
      <c r="GZ76" s="5"/>
      <c r="HA76" s="5"/>
      <c r="HB76" s="5"/>
      <c r="HC76" s="5"/>
      <c r="HD76" s="5"/>
      <c r="HE76" s="5"/>
      <c r="HF76" s="5"/>
      <c r="HG76" s="5"/>
      <c r="HH76" s="5"/>
      <c r="HI76" s="5"/>
      <c r="HJ76" s="5"/>
      <c r="HK76" s="5"/>
      <c r="HL76" s="5"/>
      <c r="HM76" s="5"/>
      <c r="HN76" s="5"/>
      <c r="HO76" s="5"/>
      <c r="HP76" s="5"/>
      <c r="HQ76" s="5"/>
      <c r="HR76" s="5"/>
      <c r="HS76" s="5"/>
      <c r="HT76" s="5"/>
      <c r="HU76" s="5"/>
      <c r="HV76" s="5"/>
      <c r="HW76" s="5"/>
      <c r="HX76" s="5"/>
      <c r="HY76" s="5"/>
      <c r="HZ76" s="5"/>
      <c r="IA76" s="5"/>
      <c r="IB76" s="5"/>
      <c r="IC76" s="5"/>
      <c r="ID76" s="5"/>
      <c r="IE76" s="5"/>
      <c r="IF76" s="5"/>
      <c r="IG76" s="5"/>
      <c r="IH76" s="5"/>
      <c r="II76" s="5"/>
      <c r="IJ76" s="5"/>
      <c r="IK76" s="5"/>
      <c r="IL76" s="5"/>
      <c r="IM76" s="5"/>
      <c r="IN76" s="5"/>
      <c r="IO76" s="5"/>
      <c r="IP76" s="5"/>
      <c r="IQ76" s="5"/>
      <c r="IR76" s="5"/>
      <c r="IS76" s="5"/>
      <c r="IT76" s="5"/>
      <c r="IU76" s="5"/>
      <c r="IV76" s="5"/>
      <c r="IW76" s="5"/>
      <c r="IX76" s="5"/>
      <c r="IY76" s="5"/>
      <c r="IZ76" s="5"/>
      <c r="JA76" s="5"/>
      <c r="JB76" s="5"/>
      <c r="JC76" s="5"/>
      <c r="JD76" s="5"/>
      <c r="JE76" s="5"/>
      <c r="JF76" s="5"/>
      <c r="JG76" s="5"/>
      <c r="JH76" s="5"/>
      <c r="JI76" s="5"/>
      <c r="JJ76" s="5"/>
      <c r="JK76" s="5"/>
      <c r="JL76" s="5"/>
      <c r="JM76" s="5"/>
      <c r="JN76" s="5"/>
      <c r="JO76" s="5"/>
      <c r="JP76" s="5"/>
      <c r="JQ76" s="5"/>
      <c r="JR76" s="5"/>
      <c r="JS76" s="5"/>
      <c r="JT76" s="5"/>
      <c r="JU76" s="5"/>
      <c r="JV76" s="5"/>
      <c r="JW76" s="5"/>
      <c r="JX76" s="5"/>
      <c r="JY76" s="5"/>
      <c r="JZ76" s="5"/>
      <c r="KA76" s="5"/>
      <c r="KB76" s="5"/>
      <c r="KC76" s="5"/>
      <c r="KD76" s="5"/>
      <c r="KE76" s="5"/>
      <c r="KF76" s="5"/>
      <c r="KG76" s="5"/>
      <c r="KH76" s="5"/>
      <c r="KI76" s="5"/>
      <c r="KJ76" s="5"/>
      <c r="KK76" s="5"/>
      <c r="KL76" s="5"/>
      <c r="KM76" s="5"/>
      <c r="KN76" s="5"/>
      <c r="KO76" s="5"/>
      <c r="KP76" s="5"/>
      <c r="KQ76" s="5"/>
      <c r="KR76" s="5"/>
      <c r="KS76" s="5"/>
      <c r="KT76" s="5"/>
      <c r="KU76" s="5"/>
      <c r="KV76" s="5"/>
      <c r="KW76" s="5"/>
      <c r="KX76" s="5"/>
      <c r="KY76" s="5"/>
      <c r="KZ76" s="5"/>
      <c r="LA76" s="5"/>
      <c r="LB76" s="5"/>
      <c r="LC76" s="5"/>
      <c r="LD76" s="5"/>
      <c r="LE76" s="5"/>
      <c r="LF76" s="5"/>
      <c r="LG76" s="5"/>
      <c r="LH76" s="5"/>
      <c r="LI76" s="5"/>
      <c r="LJ76" s="5"/>
      <c r="LK76" s="5"/>
      <c r="LL76" s="5"/>
      <c r="LM76" s="5"/>
      <c r="LN76" s="5"/>
      <c r="LO76" s="5"/>
      <c r="LP76" s="5"/>
      <c r="LQ76" s="5"/>
      <c r="LR76" s="5"/>
      <c r="LS76" s="5"/>
      <c r="LT76" s="5"/>
      <c r="LU76" s="5"/>
      <c r="LV76" s="5"/>
      <c r="LW76" s="5"/>
      <c r="LX76" s="5"/>
      <c r="LY76" s="5"/>
      <c r="LZ76" s="5"/>
      <c r="MA76" s="5"/>
      <c r="MB76" s="5"/>
      <c r="MC76" s="5"/>
      <c r="MD76" s="5"/>
      <c r="ME76" s="5"/>
      <c r="MF76" s="5"/>
      <c r="MG76" s="5"/>
      <c r="MH76" s="5"/>
      <c r="MI76" s="5"/>
      <c r="MJ76" s="5"/>
      <c r="MK76" s="5"/>
      <c r="ML76" s="5"/>
      <c r="MM76" s="5"/>
      <c r="MN76" s="5"/>
      <c r="MO76" s="5"/>
      <c r="MP76" s="5"/>
      <c r="MQ76" s="5"/>
      <c r="MR76" s="5"/>
      <c r="MS76" s="5"/>
      <c r="MT76" s="5"/>
      <c r="MU76" s="5"/>
      <c r="MV76" s="5"/>
      <c r="MW76" s="5"/>
      <c r="MX76" s="5"/>
      <c r="MY76" s="5"/>
      <c r="MZ76" s="5"/>
      <c r="NA76" s="5"/>
      <c r="NB76" s="5"/>
      <c r="NC76" s="5"/>
      <c r="ND76" s="5"/>
      <c r="NE76" s="5"/>
      <c r="NF76" s="5"/>
      <c r="NG76" s="5"/>
      <c r="NH76" s="5"/>
      <c r="NI76" s="5"/>
      <c r="NJ76" s="5"/>
      <c r="NK76" s="5"/>
      <c r="NL76" s="5"/>
      <c r="NM76" s="5"/>
      <c r="NN76" s="5"/>
      <c r="NO76" s="5"/>
      <c r="NP76" s="5"/>
      <c r="NQ76" s="5"/>
      <c r="NR76" s="5"/>
      <c r="NS76" s="5"/>
      <c r="NT76" s="5"/>
      <c r="NU76" s="5"/>
      <c r="NV76" s="5"/>
      <c r="NW76" s="5"/>
      <c r="NX76" s="5"/>
      <c r="NY76" s="5"/>
      <c r="NZ76" s="5"/>
      <c r="OA76" s="5"/>
      <c r="OB76" s="5"/>
      <c r="OC76" s="5"/>
      <c r="OD76" s="5"/>
      <c r="OE76" s="5"/>
      <c r="OF76" s="5"/>
      <c r="OG76" s="5"/>
      <c r="OH76" s="5"/>
      <c r="OI76" s="5"/>
      <c r="OJ76" s="5"/>
      <c r="OK76" s="5"/>
      <c r="OL76" s="5"/>
      <c r="OM76" s="5"/>
      <c r="ON76" s="5"/>
      <c r="OO76" s="5"/>
      <c r="OP76" s="5"/>
      <c r="OQ76" s="5"/>
      <c r="OR76" s="5"/>
      <c r="OS76" s="5"/>
      <c r="OT76" s="5"/>
      <c r="OU76" s="5"/>
      <c r="OV76" s="5"/>
      <c r="OW76" s="5"/>
      <c r="OX76" s="5"/>
      <c r="OY76" s="5"/>
      <c r="OZ76" s="5"/>
      <c r="PA76" s="5"/>
      <c r="PB76" s="5"/>
      <c r="PC76" s="5"/>
      <c r="PD76" s="5"/>
      <c r="PE76" s="5"/>
      <c r="PF76" s="5"/>
      <c r="PG76" s="5"/>
      <c r="PH76" s="5"/>
      <c r="PI76" s="5"/>
      <c r="PJ76" s="5"/>
      <c r="PK76" s="5"/>
      <c r="PL76" s="5"/>
      <c r="PM76" s="5"/>
      <c r="PN76" s="5"/>
      <c r="PO76" s="5"/>
      <c r="PP76" s="5"/>
      <c r="PQ76" s="5"/>
      <c r="PR76" s="5"/>
      <c r="PS76" s="5"/>
      <c r="PT76" s="5"/>
      <c r="PU76" s="5"/>
      <c r="PV76" s="5"/>
      <c r="PW76" s="5"/>
      <c r="PX76" s="5"/>
      <c r="PY76" s="5"/>
      <c r="PZ76" s="5"/>
      <c r="QA76" s="5"/>
      <c r="QB76" s="5"/>
      <c r="QC76" s="5"/>
      <c r="QD76" s="5"/>
      <c r="QE76" s="5"/>
      <c r="QF76" s="5"/>
      <c r="QG76" s="5"/>
      <c r="QH76" s="5"/>
      <c r="QI76" s="5"/>
      <c r="QJ76" s="5"/>
      <c r="QK76" s="5"/>
      <c r="QL76" s="5"/>
      <c r="QM76" s="5"/>
      <c r="QN76" s="5"/>
      <c r="QO76" s="5"/>
      <c r="QP76" s="5"/>
      <c r="QQ76" s="5"/>
      <c r="QR76" s="5"/>
      <c r="QS76" s="5"/>
      <c r="QT76" s="5"/>
      <c r="QU76" s="5"/>
      <c r="QV76" s="5"/>
      <c r="QW76" s="5"/>
      <c r="QX76" s="5"/>
      <c r="QY76" s="5"/>
      <c r="QZ76" s="5"/>
      <c r="RA76" s="5"/>
      <c r="RB76" s="5"/>
      <c r="RC76" s="5"/>
      <c r="RD76" s="5"/>
      <c r="RE76" s="5"/>
      <c r="RF76" s="5"/>
      <c r="RG76" s="5"/>
      <c r="RH76" s="5"/>
      <c r="RI76" s="5"/>
      <c r="RJ76" s="5"/>
      <c r="RK76" s="5"/>
      <c r="RL76" s="5"/>
      <c r="RM76" s="5"/>
      <c r="RN76" s="5"/>
      <c r="RO76" s="5"/>
      <c r="RP76" s="5"/>
      <c r="RQ76" s="5"/>
      <c r="RR76" s="5"/>
      <c r="RS76" s="5"/>
      <c r="RT76" s="5"/>
      <c r="RU76" s="5"/>
      <c r="RV76" s="5"/>
      <c r="RW76" s="5"/>
      <c r="RX76" s="5"/>
      <c r="RY76" s="5"/>
      <c r="RZ76" s="5"/>
      <c r="SA76" s="5"/>
      <c r="SB76" s="5"/>
      <c r="SC76" s="5"/>
      <c r="SD76" s="5"/>
      <c r="SE76" s="5"/>
      <c r="SF76" s="5"/>
      <c r="SG76" s="5"/>
      <c r="SH76" s="5"/>
      <c r="SI76" s="5"/>
      <c r="SJ76" s="5"/>
      <c r="SK76" s="5"/>
      <c r="SL76" s="5"/>
      <c r="SM76" s="5"/>
      <c r="SN76" s="5"/>
      <c r="SO76" s="5"/>
      <c r="SP76" s="5"/>
      <c r="SQ76" s="5"/>
      <c r="SR76" s="5"/>
      <c r="SS76" s="5"/>
      <c r="ST76" s="5"/>
      <c r="SU76" s="5"/>
      <c r="SV76" s="5"/>
      <c r="SW76" s="5"/>
      <c r="SX76" s="5"/>
      <c r="SY76" s="5"/>
      <c r="SZ76" s="5"/>
      <c r="TA76" s="5"/>
      <c r="TB76" s="5"/>
      <c r="TC76" s="5"/>
      <c r="TD76" s="5"/>
      <c r="TE76" s="5"/>
      <c r="TF76" s="5"/>
      <c r="TG76" s="5"/>
      <c r="TH76" s="5"/>
      <c r="TI76" s="5"/>
      <c r="TJ76" s="5"/>
      <c r="TK76" s="5"/>
      <c r="TL76" s="5"/>
      <c r="TM76" s="5"/>
      <c r="TN76" s="5"/>
      <c r="TO76" s="5"/>
      <c r="TP76" s="5"/>
      <c r="TQ76" s="5"/>
      <c r="TR76" s="5"/>
      <c r="TS76" s="5"/>
      <c r="TT76" s="5"/>
      <c r="TU76" s="5"/>
      <c r="TV76" s="5"/>
      <c r="TW76" s="5"/>
      <c r="TX76" s="5"/>
      <c r="TY76" s="5"/>
      <c r="TZ76" s="5"/>
      <c r="UA76" s="5"/>
      <c r="UB76" s="5"/>
      <c r="UC76" s="5"/>
      <c r="UD76" s="5"/>
      <c r="UE76" s="5"/>
      <c r="UF76" s="5"/>
      <c r="UG76" s="5"/>
      <c r="UH76" s="5"/>
      <c r="UI76" s="5"/>
      <c r="UJ76" s="5"/>
      <c r="UK76" s="5"/>
      <c r="UL76" s="5"/>
      <c r="UM76" s="5"/>
      <c r="UN76" s="5"/>
      <c r="UO76" s="5"/>
      <c r="UP76" s="5"/>
      <c r="UQ76" s="5"/>
      <c r="UR76" s="5"/>
      <c r="US76" s="5"/>
      <c r="UT76" s="5"/>
      <c r="UU76" s="5"/>
      <c r="UV76" s="5"/>
      <c r="UW76" s="5"/>
      <c r="UX76" s="5"/>
      <c r="UY76" s="5"/>
      <c r="UZ76" s="5"/>
      <c r="VA76" s="5"/>
      <c r="VB76" s="5"/>
      <c r="VC76" s="5"/>
      <c r="VD76" s="5"/>
      <c r="VE76" s="5"/>
      <c r="VF76" s="5"/>
      <c r="VG76" s="5"/>
      <c r="VH76" s="5"/>
      <c r="VI76" s="5"/>
      <c r="VJ76" s="5"/>
      <c r="VK76" s="5"/>
      <c r="VL76" s="5"/>
      <c r="VM76" s="5"/>
      <c r="VN76" s="5"/>
      <c r="VO76" s="5"/>
      <c r="VP76" s="5"/>
      <c r="VQ76" s="5"/>
      <c r="VR76" s="5"/>
      <c r="VS76" s="5"/>
      <c r="VT76" s="5"/>
      <c r="VU76" s="5"/>
      <c r="VV76" s="5"/>
      <c r="VW76" s="5"/>
      <c r="VX76" s="5"/>
      <c r="VY76" s="5"/>
      <c r="VZ76" s="5"/>
      <c r="WA76" s="5"/>
      <c r="WB76" s="5"/>
      <c r="WC76" s="5"/>
      <c r="WD76" s="5"/>
      <c r="WE76" s="5"/>
      <c r="WF76" s="5"/>
      <c r="WG76" s="5"/>
      <c r="WH76" s="5"/>
      <c r="WI76" s="5"/>
      <c r="WJ76" s="5"/>
      <c r="WK76" s="5"/>
      <c r="WL76" s="5"/>
      <c r="WM76" s="5"/>
      <c r="WN76" s="5"/>
      <c r="WO76" s="5"/>
      <c r="WP76" s="5"/>
      <c r="WQ76" s="5"/>
      <c r="WR76" s="5"/>
      <c r="WS76" s="5"/>
      <c r="WT76" s="5"/>
      <c r="WU76" s="5"/>
      <c r="WV76" s="5"/>
      <c r="WW76" s="5"/>
      <c r="WX76" s="5"/>
      <c r="WY76" s="5"/>
      <c r="WZ76" s="5"/>
      <c r="XA76" s="5"/>
      <c r="XB76" s="5"/>
      <c r="XC76" s="5"/>
      <c r="XD76" s="5"/>
      <c r="XE76" s="5"/>
      <c r="XF76" s="5"/>
      <c r="XG76" s="5"/>
      <c r="XH76" s="5"/>
      <c r="XI76" s="5"/>
      <c r="XJ76" s="5"/>
      <c r="XK76" s="5"/>
      <c r="XL76" s="5"/>
      <c r="XM76" s="5"/>
      <c r="XN76" s="5"/>
      <c r="XO76" s="5"/>
      <c r="XP76" s="5"/>
      <c r="XQ76" s="5"/>
      <c r="XR76" s="5"/>
      <c r="XS76" s="5"/>
      <c r="XT76" s="5"/>
      <c r="XU76" s="5"/>
      <c r="XV76" s="5"/>
      <c r="XW76" s="5"/>
      <c r="XX76" s="5"/>
      <c r="XY76" s="5"/>
      <c r="XZ76" s="5"/>
      <c r="YA76" s="5"/>
      <c r="YB76" s="5"/>
      <c r="YC76" s="5"/>
      <c r="YD76" s="5"/>
      <c r="YE76" s="5"/>
      <c r="YF76" s="5"/>
      <c r="YG76" s="5"/>
      <c r="YH76" s="5"/>
      <c r="YI76" s="5"/>
      <c r="YJ76" s="5"/>
      <c r="YK76" s="5"/>
      <c r="YL76" s="5"/>
      <c r="YM76" s="5"/>
      <c r="YN76" s="5"/>
      <c r="YO76" s="5"/>
      <c r="YP76" s="5"/>
      <c r="YQ76" s="5"/>
      <c r="YR76" s="5"/>
      <c r="YS76" s="5"/>
      <c r="YT76" s="5"/>
      <c r="YU76" s="5"/>
      <c r="YV76" s="5"/>
      <c r="YW76" s="5"/>
      <c r="YX76" s="5"/>
      <c r="YY76" s="5"/>
      <c r="YZ76" s="5"/>
    </row>
    <row r="77" spans="1:676">
      <c r="A77" s="7">
        <v>67</v>
      </c>
      <c r="B77" s="7" t="s">
        <v>204</v>
      </c>
      <c r="C77" s="10" t="s">
        <v>205</v>
      </c>
      <c r="D77" s="7" t="s">
        <v>40</v>
      </c>
      <c r="E77" s="7" t="s">
        <v>78</v>
      </c>
      <c r="F77" s="7" t="s">
        <v>162</v>
      </c>
      <c r="G77" s="7"/>
      <c r="H77" s="7" t="s">
        <v>79</v>
      </c>
      <c r="I77" s="11">
        <v>2</v>
      </c>
      <c r="J77" s="11">
        <v>3</v>
      </c>
      <c r="K77" s="11">
        <v>0</v>
      </c>
      <c r="L77" s="11">
        <v>1.840000000000001</v>
      </c>
      <c r="M77" s="11">
        <v>0</v>
      </c>
      <c r="N77" s="11">
        <v>0</v>
      </c>
      <c r="O77" s="11">
        <v>0.2</v>
      </c>
      <c r="P77" s="11">
        <v>0.51</v>
      </c>
      <c r="Q77" s="11">
        <v>2.550000000000001</v>
      </c>
      <c r="R77" s="11">
        <v>4.020000000000001</v>
      </c>
      <c r="S77" s="11">
        <v>6.570000000000002</v>
      </c>
      <c r="T77" s="11">
        <v>2</v>
      </c>
      <c r="U77" s="11">
        <v>3</v>
      </c>
      <c r="V77" s="11">
        <v>1.570000000000002</v>
      </c>
      <c r="W77" s="13">
        <v>6</v>
      </c>
      <c r="X77" s="13">
        <v>9</v>
      </c>
      <c r="Y77" s="13" t="str">
        <f>MIN(W77,S77)</f>
        <v>0</v>
      </c>
      <c r="Z77" s="13" t="str">
        <f>MIN(X77,(S77-Y77))</f>
        <v>0</v>
      </c>
      <c r="AA77" s="13" t="str">
        <f>S77-SUM(Y77,Z77)</f>
        <v>0</v>
      </c>
      <c r="AB77" s="15"/>
      <c r="AC77" s="15"/>
      <c r="AD77" s="1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  <c r="CZ77" s="5"/>
      <c r="DA77" s="5"/>
      <c r="DB77" s="5"/>
      <c r="DC77" s="5"/>
      <c r="DD77" s="5"/>
      <c r="DE77" s="5"/>
      <c r="DF77" s="5"/>
      <c r="DG77" s="5"/>
      <c r="DH77" s="5"/>
      <c r="DI77" s="5"/>
      <c r="DJ77" s="5"/>
      <c r="DK77" s="5"/>
      <c r="DL77" s="5"/>
      <c r="DM77" s="5"/>
      <c r="DN77" s="5"/>
      <c r="DO77" s="5"/>
      <c r="DP77" s="5"/>
      <c r="DQ77" s="5"/>
      <c r="DR77" s="5"/>
      <c r="DS77" s="5"/>
      <c r="DT77" s="5"/>
      <c r="DU77" s="5"/>
      <c r="DV77" s="5"/>
      <c r="DW77" s="5"/>
      <c r="DX77" s="5"/>
      <c r="DY77" s="5"/>
      <c r="DZ77" s="5"/>
      <c r="EA77" s="5"/>
      <c r="EB77" s="5"/>
      <c r="EC77" s="5"/>
      <c r="ED77" s="5"/>
      <c r="EE77" s="5"/>
      <c r="EF77" s="5"/>
      <c r="EG77" s="5"/>
      <c r="EH77" s="5"/>
      <c r="EI77" s="5"/>
      <c r="EJ77" s="5"/>
      <c r="EK77" s="5"/>
      <c r="EL77" s="5"/>
      <c r="EM77" s="5"/>
      <c r="EN77" s="5"/>
      <c r="EO77" s="5"/>
      <c r="EP77" s="5"/>
      <c r="EQ77" s="5"/>
      <c r="ER77" s="5"/>
      <c r="ES77" s="5"/>
      <c r="ET77" s="5"/>
      <c r="EU77" s="5"/>
      <c r="EV77" s="5"/>
      <c r="EW77" s="5"/>
      <c r="EX77" s="5"/>
      <c r="EY77" s="5"/>
      <c r="EZ77" s="5"/>
      <c r="FA77" s="5"/>
      <c r="FB77" s="5"/>
      <c r="FC77" s="5"/>
      <c r="FD77" s="5"/>
      <c r="FE77" s="5"/>
      <c r="FF77" s="5"/>
      <c r="FG77" s="5"/>
      <c r="FH77" s="5"/>
      <c r="FI77" s="5"/>
      <c r="FJ77" s="5"/>
      <c r="FK77" s="5"/>
      <c r="FL77" s="5"/>
      <c r="FM77" s="5"/>
      <c r="FN77" s="5"/>
      <c r="FO77" s="5"/>
      <c r="FP77" s="5"/>
      <c r="FQ77" s="5"/>
      <c r="FR77" s="5"/>
      <c r="FS77" s="5"/>
      <c r="FT77" s="5"/>
      <c r="FU77" s="5"/>
      <c r="FV77" s="5"/>
      <c r="FW77" s="5"/>
      <c r="FX77" s="5"/>
      <c r="FY77" s="5"/>
      <c r="FZ77" s="5"/>
      <c r="GA77" s="5"/>
      <c r="GB77" s="5"/>
      <c r="GC77" s="5"/>
      <c r="GD77" s="5"/>
      <c r="GE77" s="5"/>
      <c r="GF77" s="5"/>
      <c r="GG77" s="5"/>
      <c r="GH77" s="5"/>
      <c r="GI77" s="5"/>
      <c r="GJ77" s="5"/>
      <c r="GK77" s="5"/>
      <c r="GL77" s="5"/>
      <c r="GM77" s="5"/>
      <c r="GN77" s="5"/>
      <c r="GO77" s="5"/>
      <c r="GP77" s="5"/>
      <c r="GQ77" s="5"/>
      <c r="GR77" s="5"/>
      <c r="GS77" s="5"/>
      <c r="GT77" s="5"/>
      <c r="GU77" s="5"/>
      <c r="GV77" s="5"/>
      <c r="GW77" s="5"/>
      <c r="GX77" s="5"/>
      <c r="GY77" s="5"/>
      <c r="GZ77" s="5"/>
      <c r="HA77" s="5"/>
      <c r="HB77" s="5"/>
      <c r="HC77" s="5"/>
      <c r="HD77" s="5"/>
      <c r="HE77" s="5"/>
      <c r="HF77" s="5"/>
      <c r="HG77" s="5"/>
      <c r="HH77" s="5"/>
      <c r="HI77" s="5"/>
      <c r="HJ77" s="5"/>
      <c r="HK77" s="5"/>
      <c r="HL77" s="5"/>
      <c r="HM77" s="5"/>
      <c r="HN77" s="5"/>
      <c r="HO77" s="5"/>
      <c r="HP77" s="5"/>
      <c r="HQ77" s="5"/>
      <c r="HR77" s="5"/>
      <c r="HS77" s="5"/>
      <c r="HT77" s="5"/>
      <c r="HU77" s="5"/>
      <c r="HV77" s="5"/>
      <c r="HW77" s="5"/>
      <c r="HX77" s="5"/>
      <c r="HY77" s="5"/>
      <c r="HZ77" s="5"/>
      <c r="IA77" s="5"/>
      <c r="IB77" s="5"/>
      <c r="IC77" s="5"/>
      <c r="ID77" s="5"/>
      <c r="IE77" s="5"/>
      <c r="IF77" s="5"/>
      <c r="IG77" s="5"/>
      <c r="IH77" s="5"/>
      <c r="II77" s="5"/>
      <c r="IJ77" s="5"/>
      <c r="IK77" s="5"/>
      <c r="IL77" s="5"/>
      <c r="IM77" s="5"/>
      <c r="IN77" s="5"/>
      <c r="IO77" s="5"/>
      <c r="IP77" s="5"/>
      <c r="IQ77" s="5"/>
      <c r="IR77" s="5"/>
      <c r="IS77" s="5"/>
      <c r="IT77" s="5"/>
      <c r="IU77" s="5"/>
      <c r="IV77" s="5"/>
      <c r="IW77" s="5"/>
      <c r="IX77" s="5"/>
      <c r="IY77" s="5"/>
      <c r="IZ77" s="5"/>
      <c r="JA77" s="5"/>
      <c r="JB77" s="5"/>
      <c r="JC77" s="5"/>
      <c r="JD77" s="5"/>
      <c r="JE77" s="5"/>
      <c r="JF77" s="5"/>
      <c r="JG77" s="5"/>
      <c r="JH77" s="5"/>
      <c r="JI77" s="5"/>
      <c r="JJ77" s="5"/>
      <c r="JK77" s="5"/>
      <c r="JL77" s="5"/>
      <c r="JM77" s="5"/>
      <c r="JN77" s="5"/>
      <c r="JO77" s="5"/>
      <c r="JP77" s="5"/>
      <c r="JQ77" s="5"/>
      <c r="JR77" s="5"/>
      <c r="JS77" s="5"/>
      <c r="JT77" s="5"/>
      <c r="JU77" s="5"/>
      <c r="JV77" s="5"/>
      <c r="JW77" s="5"/>
      <c r="JX77" s="5"/>
      <c r="JY77" s="5"/>
      <c r="JZ77" s="5"/>
      <c r="KA77" s="5"/>
      <c r="KB77" s="5"/>
      <c r="KC77" s="5"/>
      <c r="KD77" s="5"/>
      <c r="KE77" s="5"/>
      <c r="KF77" s="5"/>
      <c r="KG77" s="5"/>
      <c r="KH77" s="5"/>
      <c r="KI77" s="5"/>
      <c r="KJ77" s="5"/>
      <c r="KK77" s="5"/>
      <c r="KL77" s="5"/>
      <c r="KM77" s="5"/>
      <c r="KN77" s="5"/>
      <c r="KO77" s="5"/>
      <c r="KP77" s="5"/>
      <c r="KQ77" s="5"/>
      <c r="KR77" s="5"/>
      <c r="KS77" s="5"/>
      <c r="KT77" s="5"/>
      <c r="KU77" s="5"/>
      <c r="KV77" s="5"/>
      <c r="KW77" s="5"/>
      <c r="KX77" s="5"/>
      <c r="KY77" s="5"/>
      <c r="KZ77" s="5"/>
      <c r="LA77" s="5"/>
      <c r="LB77" s="5"/>
      <c r="LC77" s="5"/>
      <c r="LD77" s="5"/>
      <c r="LE77" s="5"/>
      <c r="LF77" s="5"/>
      <c r="LG77" s="5"/>
      <c r="LH77" s="5"/>
      <c r="LI77" s="5"/>
      <c r="LJ77" s="5"/>
      <c r="LK77" s="5"/>
      <c r="LL77" s="5"/>
      <c r="LM77" s="5"/>
      <c r="LN77" s="5"/>
      <c r="LO77" s="5"/>
      <c r="LP77" s="5"/>
      <c r="LQ77" s="5"/>
      <c r="LR77" s="5"/>
      <c r="LS77" s="5"/>
      <c r="LT77" s="5"/>
      <c r="LU77" s="5"/>
      <c r="LV77" s="5"/>
      <c r="LW77" s="5"/>
      <c r="LX77" s="5"/>
      <c r="LY77" s="5"/>
      <c r="LZ77" s="5"/>
      <c r="MA77" s="5"/>
      <c r="MB77" s="5"/>
      <c r="MC77" s="5"/>
      <c r="MD77" s="5"/>
      <c r="ME77" s="5"/>
      <c r="MF77" s="5"/>
      <c r="MG77" s="5"/>
      <c r="MH77" s="5"/>
      <c r="MI77" s="5"/>
      <c r="MJ77" s="5"/>
      <c r="MK77" s="5"/>
      <c r="ML77" s="5"/>
      <c r="MM77" s="5"/>
      <c r="MN77" s="5"/>
      <c r="MO77" s="5"/>
      <c r="MP77" s="5"/>
      <c r="MQ77" s="5"/>
      <c r="MR77" s="5"/>
      <c r="MS77" s="5"/>
      <c r="MT77" s="5"/>
      <c r="MU77" s="5"/>
      <c r="MV77" s="5"/>
      <c r="MW77" s="5"/>
      <c r="MX77" s="5"/>
      <c r="MY77" s="5"/>
      <c r="MZ77" s="5"/>
      <c r="NA77" s="5"/>
      <c r="NB77" s="5"/>
      <c r="NC77" s="5"/>
      <c r="ND77" s="5"/>
      <c r="NE77" s="5"/>
      <c r="NF77" s="5"/>
      <c r="NG77" s="5"/>
      <c r="NH77" s="5"/>
      <c r="NI77" s="5"/>
      <c r="NJ77" s="5"/>
      <c r="NK77" s="5"/>
      <c r="NL77" s="5"/>
      <c r="NM77" s="5"/>
      <c r="NN77" s="5"/>
      <c r="NO77" s="5"/>
      <c r="NP77" s="5"/>
      <c r="NQ77" s="5"/>
      <c r="NR77" s="5"/>
      <c r="NS77" s="5"/>
      <c r="NT77" s="5"/>
      <c r="NU77" s="5"/>
      <c r="NV77" s="5"/>
      <c r="NW77" s="5"/>
      <c r="NX77" s="5"/>
      <c r="NY77" s="5"/>
      <c r="NZ77" s="5"/>
      <c r="OA77" s="5"/>
      <c r="OB77" s="5"/>
      <c r="OC77" s="5"/>
      <c r="OD77" s="5"/>
      <c r="OE77" s="5"/>
      <c r="OF77" s="5"/>
      <c r="OG77" s="5"/>
      <c r="OH77" s="5"/>
      <c r="OI77" s="5"/>
      <c r="OJ77" s="5"/>
      <c r="OK77" s="5"/>
      <c r="OL77" s="5"/>
      <c r="OM77" s="5"/>
      <c r="ON77" s="5"/>
      <c r="OO77" s="5"/>
      <c r="OP77" s="5"/>
      <c r="OQ77" s="5"/>
      <c r="OR77" s="5"/>
      <c r="OS77" s="5"/>
      <c r="OT77" s="5"/>
      <c r="OU77" s="5"/>
      <c r="OV77" s="5"/>
      <c r="OW77" s="5"/>
      <c r="OX77" s="5"/>
      <c r="OY77" s="5"/>
      <c r="OZ77" s="5"/>
      <c r="PA77" s="5"/>
      <c r="PB77" s="5"/>
      <c r="PC77" s="5"/>
      <c r="PD77" s="5"/>
      <c r="PE77" s="5"/>
      <c r="PF77" s="5"/>
      <c r="PG77" s="5"/>
      <c r="PH77" s="5"/>
      <c r="PI77" s="5"/>
      <c r="PJ77" s="5"/>
      <c r="PK77" s="5"/>
      <c r="PL77" s="5"/>
      <c r="PM77" s="5"/>
      <c r="PN77" s="5"/>
      <c r="PO77" s="5"/>
      <c r="PP77" s="5"/>
      <c r="PQ77" s="5"/>
      <c r="PR77" s="5"/>
      <c r="PS77" s="5"/>
      <c r="PT77" s="5"/>
      <c r="PU77" s="5"/>
      <c r="PV77" s="5"/>
      <c r="PW77" s="5"/>
      <c r="PX77" s="5"/>
      <c r="PY77" s="5"/>
      <c r="PZ77" s="5"/>
      <c r="QA77" s="5"/>
      <c r="QB77" s="5"/>
      <c r="QC77" s="5"/>
      <c r="QD77" s="5"/>
      <c r="QE77" s="5"/>
      <c r="QF77" s="5"/>
      <c r="QG77" s="5"/>
      <c r="QH77" s="5"/>
      <c r="QI77" s="5"/>
      <c r="QJ77" s="5"/>
      <c r="QK77" s="5"/>
      <c r="QL77" s="5"/>
      <c r="QM77" s="5"/>
      <c r="QN77" s="5"/>
      <c r="QO77" s="5"/>
      <c r="QP77" s="5"/>
      <c r="QQ77" s="5"/>
      <c r="QR77" s="5"/>
      <c r="QS77" s="5"/>
      <c r="QT77" s="5"/>
      <c r="QU77" s="5"/>
      <c r="QV77" s="5"/>
      <c r="QW77" s="5"/>
      <c r="QX77" s="5"/>
      <c r="QY77" s="5"/>
      <c r="QZ77" s="5"/>
      <c r="RA77" s="5"/>
      <c r="RB77" s="5"/>
      <c r="RC77" s="5"/>
      <c r="RD77" s="5"/>
      <c r="RE77" s="5"/>
      <c r="RF77" s="5"/>
      <c r="RG77" s="5"/>
      <c r="RH77" s="5"/>
      <c r="RI77" s="5"/>
      <c r="RJ77" s="5"/>
      <c r="RK77" s="5"/>
      <c r="RL77" s="5"/>
      <c r="RM77" s="5"/>
      <c r="RN77" s="5"/>
      <c r="RO77" s="5"/>
      <c r="RP77" s="5"/>
      <c r="RQ77" s="5"/>
      <c r="RR77" s="5"/>
      <c r="RS77" s="5"/>
      <c r="RT77" s="5"/>
      <c r="RU77" s="5"/>
      <c r="RV77" s="5"/>
      <c r="RW77" s="5"/>
      <c r="RX77" s="5"/>
      <c r="RY77" s="5"/>
      <c r="RZ77" s="5"/>
      <c r="SA77" s="5"/>
      <c r="SB77" s="5"/>
      <c r="SC77" s="5"/>
      <c r="SD77" s="5"/>
      <c r="SE77" s="5"/>
      <c r="SF77" s="5"/>
      <c r="SG77" s="5"/>
      <c r="SH77" s="5"/>
      <c r="SI77" s="5"/>
      <c r="SJ77" s="5"/>
      <c r="SK77" s="5"/>
      <c r="SL77" s="5"/>
      <c r="SM77" s="5"/>
      <c r="SN77" s="5"/>
      <c r="SO77" s="5"/>
      <c r="SP77" s="5"/>
      <c r="SQ77" s="5"/>
      <c r="SR77" s="5"/>
      <c r="SS77" s="5"/>
      <c r="ST77" s="5"/>
      <c r="SU77" s="5"/>
      <c r="SV77" s="5"/>
      <c r="SW77" s="5"/>
      <c r="SX77" s="5"/>
      <c r="SY77" s="5"/>
      <c r="SZ77" s="5"/>
      <c r="TA77" s="5"/>
      <c r="TB77" s="5"/>
      <c r="TC77" s="5"/>
      <c r="TD77" s="5"/>
      <c r="TE77" s="5"/>
      <c r="TF77" s="5"/>
      <c r="TG77" s="5"/>
      <c r="TH77" s="5"/>
      <c r="TI77" s="5"/>
      <c r="TJ77" s="5"/>
      <c r="TK77" s="5"/>
      <c r="TL77" s="5"/>
      <c r="TM77" s="5"/>
      <c r="TN77" s="5"/>
      <c r="TO77" s="5"/>
      <c r="TP77" s="5"/>
      <c r="TQ77" s="5"/>
      <c r="TR77" s="5"/>
      <c r="TS77" s="5"/>
      <c r="TT77" s="5"/>
      <c r="TU77" s="5"/>
      <c r="TV77" s="5"/>
      <c r="TW77" s="5"/>
      <c r="TX77" s="5"/>
      <c r="TY77" s="5"/>
      <c r="TZ77" s="5"/>
      <c r="UA77" s="5"/>
      <c r="UB77" s="5"/>
      <c r="UC77" s="5"/>
      <c r="UD77" s="5"/>
      <c r="UE77" s="5"/>
      <c r="UF77" s="5"/>
      <c r="UG77" s="5"/>
      <c r="UH77" s="5"/>
      <c r="UI77" s="5"/>
      <c r="UJ77" s="5"/>
      <c r="UK77" s="5"/>
      <c r="UL77" s="5"/>
      <c r="UM77" s="5"/>
      <c r="UN77" s="5"/>
      <c r="UO77" s="5"/>
      <c r="UP77" s="5"/>
      <c r="UQ77" s="5"/>
      <c r="UR77" s="5"/>
      <c r="US77" s="5"/>
      <c r="UT77" s="5"/>
      <c r="UU77" s="5"/>
      <c r="UV77" s="5"/>
      <c r="UW77" s="5"/>
      <c r="UX77" s="5"/>
      <c r="UY77" s="5"/>
      <c r="UZ77" s="5"/>
      <c r="VA77" s="5"/>
      <c r="VB77" s="5"/>
      <c r="VC77" s="5"/>
      <c r="VD77" s="5"/>
      <c r="VE77" s="5"/>
      <c r="VF77" s="5"/>
      <c r="VG77" s="5"/>
      <c r="VH77" s="5"/>
      <c r="VI77" s="5"/>
      <c r="VJ77" s="5"/>
      <c r="VK77" s="5"/>
      <c r="VL77" s="5"/>
      <c r="VM77" s="5"/>
      <c r="VN77" s="5"/>
      <c r="VO77" s="5"/>
      <c r="VP77" s="5"/>
      <c r="VQ77" s="5"/>
      <c r="VR77" s="5"/>
      <c r="VS77" s="5"/>
      <c r="VT77" s="5"/>
      <c r="VU77" s="5"/>
      <c r="VV77" s="5"/>
      <c r="VW77" s="5"/>
      <c r="VX77" s="5"/>
      <c r="VY77" s="5"/>
      <c r="VZ77" s="5"/>
      <c r="WA77" s="5"/>
      <c r="WB77" s="5"/>
      <c r="WC77" s="5"/>
      <c r="WD77" s="5"/>
      <c r="WE77" s="5"/>
      <c r="WF77" s="5"/>
      <c r="WG77" s="5"/>
      <c r="WH77" s="5"/>
      <c r="WI77" s="5"/>
      <c r="WJ77" s="5"/>
      <c r="WK77" s="5"/>
      <c r="WL77" s="5"/>
      <c r="WM77" s="5"/>
      <c r="WN77" s="5"/>
      <c r="WO77" s="5"/>
      <c r="WP77" s="5"/>
      <c r="WQ77" s="5"/>
      <c r="WR77" s="5"/>
      <c r="WS77" s="5"/>
      <c r="WT77" s="5"/>
      <c r="WU77" s="5"/>
      <c r="WV77" s="5"/>
      <c r="WW77" s="5"/>
      <c r="WX77" s="5"/>
      <c r="WY77" s="5"/>
      <c r="WZ77" s="5"/>
      <c r="XA77" s="5"/>
      <c r="XB77" s="5"/>
      <c r="XC77" s="5"/>
      <c r="XD77" s="5"/>
      <c r="XE77" s="5"/>
      <c r="XF77" s="5"/>
      <c r="XG77" s="5"/>
      <c r="XH77" s="5"/>
      <c r="XI77" s="5"/>
      <c r="XJ77" s="5"/>
      <c r="XK77" s="5"/>
      <c r="XL77" s="5"/>
      <c r="XM77" s="5"/>
      <c r="XN77" s="5"/>
      <c r="XO77" s="5"/>
      <c r="XP77" s="5"/>
      <c r="XQ77" s="5"/>
      <c r="XR77" s="5"/>
      <c r="XS77" s="5"/>
      <c r="XT77" s="5"/>
      <c r="XU77" s="5"/>
      <c r="XV77" s="5"/>
      <c r="XW77" s="5"/>
      <c r="XX77" s="5"/>
      <c r="XY77" s="5"/>
      <c r="XZ77" s="5"/>
      <c r="YA77" s="5"/>
      <c r="YB77" s="5"/>
      <c r="YC77" s="5"/>
      <c r="YD77" s="5"/>
      <c r="YE77" s="5"/>
      <c r="YF77" s="5"/>
      <c r="YG77" s="5"/>
      <c r="YH77" s="5"/>
      <c r="YI77" s="5"/>
      <c r="YJ77" s="5"/>
      <c r="YK77" s="5"/>
      <c r="YL77" s="5"/>
      <c r="YM77" s="5"/>
      <c r="YN77" s="5"/>
      <c r="YO77" s="5"/>
      <c r="YP77" s="5"/>
      <c r="YQ77" s="5"/>
      <c r="YR77" s="5"/>
      <c r="YS77" s="5"/>
      <c r="YT77" s="5"/>
      <c r="YU77" s="5"/>
      <c r="YV77" s="5"/>
      <c r="YW77" s="5"/>
      <c r="YX77" s="5"/>
      <c r="YY77" s="5"/>
      <c r="YZ77" s="5"/>
    </row>
    <row r="78" spans="1:676">
      <c r="A78" s="7">
        <v>68</v>
      </c>
      <c r="B78" s="7" t="s">
        <v>206</v>
      </c>
      <c r="C78" s="10" t="s">
        <v>207</v>
      </c>
      <c r="D78" s="7" t="s">
        <v>40</v>
      </c>
      <c r="E78" s="7" t="s">
        <v>60</v>
      </c>
      <c r="F78" s="7" t="s">
        <v>179</v>
      </c>
      <c r="G78" s="7"/>
      <c r="H78" s="7"/>
      <c r="I78" s="11">
        <v>2</v>
      </c>
      <c r="J78" s="11">
        <v>0</v>
      </c>
      <c r="K78" s="11">
        <v>0</v>
      </c>
      <c r="L78" s="11">
        <v>5.610000000000003</v>
      </c>
      <c r="M78" s="11">
        <v>0</v>
      </c>
      <c r="N78" s="11">
        <v>0</v>
      </c>
      <c r="O78" s="11">
        <v>0.12</v>
      </c>
      <c r="P78" s="11">
        <v>0.51</v>
      </c>
      <c r="Q78" s="11">
        <v>6.240000000000004</v>
      </c>
      <c r="R78" s="11">
        <v>12.12</v>
      </c>
      <c r="S78" s="11">
        <v>18.36000000000001</v>
      </c>
      <c r="T78" s="11">
        <v>2</v>
      </c>
      <c r="U78" s="11">
        <v>0</v>
      </c>
      <c r="V78" s="11">
        <v>16.36000000000001</v>
      </c>
      <c r="W78" s="13">
        <v>6</v>
      </c>
      <c r="X78" s="13">
        <v>0</v>
      </c>
      <c r="Y78" s="13" t="str">
        <f>MIN(W78,S78)</f>
        <v>0</v>
      </c>
      <c r="Z78" s="13" t="str">
        <f>MIN(X78,(S78-Y78))</f>
        <v>0</v>
      </c>
      <c r="AA78" s="13" t="str">
        <f>S78-SUM(Y78,Z78)</f>
        <v>0</v>
      </c>
      <c r="AB78" s="15"/>
      <c r="AC78" s="15"/>
      <c r="AD78" s="1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  <c r="CZ78" s="5"/>
      <c r="DA78" s="5"/>
      <c r="DB78" s="5"/>
      <c r="DC78" s="5"/>
      <c r="DD78" s="5"/>
      <c r="DE78" s="5"/>
      <c r="DF78" s="5"/>
      <c r="DG78" s="5"/>
      <c r="DH78" s="5"/>
      <c r="DI78" s="5"/>
      <c r="DJ78" s="5"/>
      <c r="DK78" s="5"/>
      <c r="DL78" s="5"/>
      <c r="DM78" s="5"/>
      <c r="DN78" s="5"/>
      <c r="DO78" s="5"/>
      <c r="DP78" s="5"/>
      <c r="DQ78" s="5"/>
      <c r="DR78" s="5"/>
      <c r="DS78" s="5"/>
      <c r="DT78" s="5"/>
      <c r="DU78" s="5"/>
      <c r="DV78" s="5"/>
      <c r="DW78" s="5"/>
      <c r="DX78" s="5"/>
      <c r="DY78" s="5"/>
      <c r="DZ78" s="5"/>
      <c r="EA78" s="5"/>
      <c r="EB78" s="5"/>
      <c r="EC78" s="5"/>
      <c r="ED78" s="5"/>
      <c r="EE78" s="5"/>
      <c r="EF78" s="5"/>
      <c r="EG78" s="5"/>
      <c r="EH78" s="5"/>
      <c r="EI78" s="5"/>
      <c r="EJ78" s="5"/>
      <c r="EK78" s="5"/>
      <c r="EL78" s="5"/>
      <c r="EM78" s="5"/>
      <c r="EN78" s="5"/>
      <c r="EO78" s="5"/>
      <c r="EP78" s="5"/>
      <c r="EQ78" s="5"/>
      <c r="ER78" s="5"/>
      <c r="ES78" s="5"/>
      <c r="ET78" s="5"/>
      <c r="EU78" s="5"/>
      <c r="EV78" s="5"/>
      <c r="EW78" s="5"/>
      <c r="EX78" s="5"/>
      <c r="EY78" s="5"/>
      <c r="EZ78" s="5"/>
      <c r="FA78" s="5"/>
      <c r="FB78" s="5"/>
      <c r="FC78" s="5"/>
      <c r="FD78" s="5"/>
      <c r="FE78" s="5"/>
      <c r="FF78" s="5"/>
      <c r="FG78" s="5"/>
      <c r="FH78" s="5"/>
      <c r="FI78" s="5"/>
      <c r="FJ78" s="5"/>
      <c r="FK78" s="5"/>
      <c r="FL78" s="5"/>
      <c r="FM78" s="5"/>
      <c r="FN78" s="5"/>
      <c r="FO78" s="5"/>
      <c r="FP78" s="5"/>
      <c r="FQ78" s="5"/>
      <c r="FR78" s="5"/>
      <c r="FS78" s="5"/>
      <c r="FT78" s="5"/>
      <c r="FU78" s="5"/>
      <c r="FV78" s="5"/>
      <c r="FW78" s="5"/>
      <c r="FX78" s="5"/>
      <c r="FY78" s="5"/>
      <c r="FZ78" s="5"/>
      <c r="GA78" s="5"/>
      <c r="GB78" s="5"/>
      <c r="GC78" s="5"/>
      <c r="GD78" s="5"/>
      <c r="GE78" s="5"/>
      <c r="GF78" s="5"/>
      <c r="GG78" s="5"/>
      <c r="GH78" s="5"/>
      <c r="GI78" s="5"/>
      <c r="GJ78" s="5"/>
      <c r="GK78" s="5"/>
      <c r="GL78" s="5"/>
      <c r="GM78" s="5"/>
      <c r="GN78" s="5"/>
      <c r="GO78" s="5"/>
      <c r="GP78" s="5"/>
      <c r="GQ78" s="5"/>
      <c r="GR78" s="5"/>
      <c r="GS78" s="5"/>
      <c r="GT78" s="5"/>
      <c r="GU78" s="5"/>
      <c r="GV78" s="5"/>
      <c r="GW78" s="5"/>
      <c r="GX78" s="5"/>
      <c r="GY78" s="5"/>
      <c r="GZ78" s="5"/>
      <c r="HA78" s="5"/>
      <c r="HB78" s="5"/>
      <c r="HC78" s="5"/>
      <c r="HD78" s="5"/>
      <c r="HE78" s="5"/>
      <c r="HF78" s="5"/>
      <c r="HG78" s="5"/>
      <c r="HH78" s="5"/>
      <c r="HI78" s="5"/>
      <c r="HJ78" s="5"/>
      <c r="HK78" s="5"/>
      <c r="HL78" s="5"/>
      <c r="HM78" s="5"/>
      <c r="HN78" s="5"/>
      <c r="HO78" s="5"/>
      <c r="HP78" s="5"/>
      <c r="HQ78" s="5"/>
      <c r="HR78" s="5"/>
      <c r="HS78" s="5"/>
      <c r="HT78" s="5"/>
      <c r="HU78" s="5"/>
      <c r="HV78" s="5"/>
      <c r="HW78" s="5"/>
      <c r="HX78" s="5"/>
      <c r="HY78" s="5"/>
      <c r="HZ78" s="5"/>
      <c r="IA78" s="5"/>
      <c r="IB78" s="5"/>
      <c r="IC78" s="5"/>
      <c r="ID78" s="5"/>
      <c r="IE78" s="5"/>
      <c r="IF78" s="5"/>
      <c r="IG78" s="5"/>
      <c r="IH78" s="5"/>
      <c r="II78" s="5"/>
      <c r="IJ78" s="5"/>
      <c r="IK78" s="5"/>
      <c r="IL78" s="5"/>
      <c r="IM78" s="5"/>
      <c r="IN78" s="5"/>
      <c r="IO78" s="5"/>
      <c r="IP78" s="5"/>
      <c r="IQ78" s="5"/>
      <c r="IR78" s="5"/>
      <c r="IS78" s="5"/>
      <c r="IT78" s="5"/>
      <c r="IU78" s="5"/>
      <c r="IV78" s="5"/>
      <c r="IW78" s="5"/>
      <c r="IX78" s="5"/>
      <c r="IY78" s="5"/>
      <c r="IZ78" s="5"/>
      <c r="JA78" s="5"/>
      <c r="JB78" s="5"/>
      <c r="JC78" s="5"/>
      <c r="JD78" s="5"/>
      <c r="JE78" s="5"/>
      <c r="JF78" s="5"/>
      <c r="JG78" s="5"/>
      <c r="JH78" s="5"/>
      <c r="JI78" s="5"/>
      <c r="JJ78" s="5"/>
      <c r="JK78" s="5"/>
      <c r="JL78" s="5"/>
      <c r="JM78" s="5"/>
      <c r="JN78" s="5"/>
      <c r="JO78" s="5"/>
      <c r="JP78" s="5"/>
      <c r="JQ78" s="5"/>
      <c r="JR78" s="5"/>
      <c r="JS78" s="5"/>
      <c r="JT78" s="5"/>
      <c r="JU78" s="5"/>
      <c r="JV78" s="5"/>
      <c r="JW78" s="5"/>
      <c r="JX78" s="5"/>
      <c r="JY78" s="5"/>
      <c r="JZ78" s="5"/>
      <c r="KA78" s="5"/>
      <c r="KB78" s="5"/>
      <c r="KC78" s="5"/>
      <c r="KD78" s="5"/>
      <c r="KE78" s="5"/>
      <c r="KF78" s="5"/>
      <c r="KG78" s="5"/>
      <c r="KH78" s="5"/>
      <c r="KI78" s="5"/>
      <c r="KJ78" s="5"/>
      <c r="KK78" s="5"/>
      <c r="KL78" s="5"/>
      <c r="KM78" s="5"/>
      <c r="KN78" s="5"/>
      <c r="KO78" s="5"/>
      <c r="KP78" s="5"/>
      <c r="KQ78" s="5"/>
      <c r="KR78" s="5"/>
      <c r="KS78" s="5"/>
      <c r="KT78" s="5"/>
      <c r="KU78" s="5"/>
      <c r="KV78" s="5"/>
      <c r="KW78" s="5"/>
      <c r="KX78" s="5"/>
      <c r="KY78" s="5"/>
      <c r="KZ78" s="5"/>
      <c r="LA78" s="5"/>
      <c r="LB78" s="5"/>
      <c r="LC78" s="5"/>
      <c r="LD78" s="5"/>
      <c r="LE78" s="5"/>
      <c r="LF78" s="5"/>
      <c r="LG78" s="5"/>
      <c r="LH78" s="5"/>
      <c r="LI78" s="5"/>
      <c r="LJ78" s="5"/>
      <c r="LK78" s="5"/>
      <c r="LL78" s="5"/>
      <c r="LM78" s="5"/>
      <c r="LN78" s="5"/>
      <c r="LO78" s="5"/>
      <c r="LP78" s="5"/>
      <c r="LQ78" s="5"/>
      <c r="LR78" s="5"/>
      <c r="LS78" s="5"/>
      <c r="LT78" s="5"/>
      <c r="LU78" s="5"/>
      <c r="LV78" s="5"/>
      <c r="LW78" s="5"/>
      <c r="LX78" s="5"/>
      <c r="LY78" s="5"/>
      <c r="LZ78" s="5"/>
      <c r="MA78" s="5"/>
      <c r="MB78" s="5"/>
      <c r="MC78" s="5"/>
      <c r="MD78" s="5"/>
      <c r="ME78" s="5"/>
      <c r="MF78" s="5"/>
      <c r="MG78" s="5"/>
      <c r="MH78" s="5"/>
      <c r="MI78" s="5"/>
      <c r="MJ78" s="5"/>
      <c r="MK78" s="5"/>
      <c r="ML78" s="5"/>
      <c r="MM78" s="5"/>
      <c r="MN78" s="5"/>
      <c r="MO78" s="5"/>
      <c r="MP78" s="5"/>
      <c r="MQ78" s="5"/>
      <c r="MR78" s="5"/>
      <c r="MS78" s="5"/>
      <c r="MT78" s="5"/>
      <c r="MU78" s="5"/>
      <c r="MV78" s="5"/>
      <c r="MW78" s="5"/>
      <c r="MX78" s="5"/>
      <c r="MY78" s="5"/>
      <c r="MZ78" s="5"/>
      <c r="NA78" s="5"/>
      <c r="NB78" s="5"/>
      <c r="NC78" s="5"/>
      <c r="ND78" s="5"/>
      <c r="NE78" s="5"/>
      <c r="NF78" s="5"/>
      <c r="NG78" s="5"/>
      <c r="NH78" s="5"/>
      <c r="NI78" s="5"/>
      <c r="NJ78" s="5"/>
      <c r="NK78" s="5"/>
      <c r="NL78" s="5"/>
      <c r="NM78" s="5"/>
      <c r="NN78" s="5"/>
      <c r="NO78" s="5"/>
      <c r="NP78" s="5"/>
      <c r="NQ78" s="5"/>
      <c r="NR78" s="5"/>
      <c r="NS78" s="5"/>
      <c r="NT78" s="5"/>
      <c r="NU78" s="5"/>
      <c r="NV78" s="5"/>
      <c r="NW78" s="5"/>
      <c r="NX78" s="5"/>
      <c r="NY78" s="5"/>
      <c r="NZ78" s="5"/>
      <c r="OA78" s="5"/>
      <c r="OB78" s="5"/>
      <c r="OC78" s="5"/>
      <c r="OD78" s="5"/>
      <c r="OE78" s="5"/>
      <c r="OF78" s="5"/>
      <c r="OG78" s="5"/>
      <c r="OH78" s="5"/>
      <c r="OI78" s="5"/>
      <c r="OJ78" s="5"/>
      <c r="OK78" s="5"/>
      <c r="OL78" s="5"/>
      <c r="OM78" s="5"/>
      <c r="ON78" s="5"/>
      <c r="OO78" s="5"/>
      <c r="OP78" s="5"/>
      <c r="OQ78" s="5"/>
      <c r="OR78" s="5"/>
      <c r="OS78" s="5"/>
      <c r="OT78" s="5"/>
      <c r="OU78" s="5"/>
      <c r="OV78" s="5"/>
      <c r="OW78" s="5"/>
      <c r="OX78" s="5"/>
      <c r="OY78" s="5"/>
      <c r="OZ78" s="5"/>
      <c r="PA78" s="5"/>
      <c r="PB78" s="5"/>
      <c r="PC78" s="5"/>
      <c r="PD78" s="5"/>
      <c r="PE78" s="5"/>
      <c r="PF78" s="5"/>
      <c r="PG78" s="5"/>
      <c r="PH78" s="5"/>
      <c r="PI78" s="5"/>
      <c r="PJ78" s="5"/>
      <c r="PK78" s="5"/>
      <c r="PL78" s="5"/>
      <c r="PM78" s="5"/>
      <c r="PN78" s="5"/>
      <c r="PO78" s="5"/>
      <c r="PP78" s="5"/>
      <c r="PQ78" s="5"/>
      <c r="PR78" s="5"/>
      <c r="PS78" s="5"/>
      <c r="PT78" s="5"/>
      <c r="PU78" s="5"/>
      <c r="PV78" s="5"/>
      <c r="PW78" s="5"/>
      <c r="PX78" s="5"/>
      <c r="PY78" s="5"/>
      <c r="PZ78" s="5"/>
      <c r="QA78" s="5"/>
      <c r="QB78" s="5"/>
      <c r="QC78" s="5"/>
      <c r="QD78" s="5"/>
      <c r="QE78" s="5"/>
      <c r="QF78" s="5"/>
      <c r="QG78" s="5"/>
      <c r="QH78" s="5"/>
      <c r="QI78" s="5"/>
      <c r="QJ78" s="5"/>
      <c r="QK78" s="5"/>
      <c r="QL78" s="5"/>
      <c r="QM78" s="5"/>
      <c r="QN78" s="5"/>
      <c r="QO78" s="5"/>
      <c r="QP78" s="5"/>
      <c r="QQ78" s="5"/>
      <c r="QR78" s="5"/>
      <c r="QS78" s="5"/>
      <c r="QT78" s="5"/>
      <c r="QU78" s="5"/>
      <c r="QV78" s="5"/>
      <c r="QW78" s="5"/>
      <c r="QX78" s="5"/>
      <c r="QY78" s="5"/>
      <c r="QZ78" s="5"/>
      <c r="RA78" s="5"/>
      <c r="RB78" s="5"/>
      <c r="RC78" s="5"/>
      <c r="RD78" s="5"/>
      <c r="RE78" s="5"/>
      <c r="RF78" s="5"/>
      <c r="RG78" s="5"/>
      <c r="RH78" s="5"/>
      <c r="RI78" s="5"/>
      <c r="RJ78" s="5"/>
      <c r="RK78" s="5"/>
      <c r="RL78" s="5"/>
      <c r="RM78" s="5"/>
      <c r="RN78" s="5"/>
      <c r="RO78" s="5"/>
      <c r="RP78" s="5"/>
      <c r="RQ78" s="5"/>
      <c r="RR78" s="5"/>
      <c r="RS78" s="5"/>
      <c r="RT78" s="5"/>
      <c r="RU78" s="5"/>
      <c r="RV78" s="5"/>
      <c r="RW78" s="5"/>
      <c r="RX78" s="5"/>
      <c r="RY78" s="5"/>
      <c r="RZ78" s="5"/>
      <c r="SA78" s="5"/>
      <c r="SB78" s="5"/>
      <c r="SC78" s="5"/>
      <c r="SD78" s="5"/>
      <c r="SE78" s="5"/>
      <c r="SF78" s="5"/>
      <c r="SG78" s="5"/>
      <c r="SH78" s="5"/>
      <c r="SI78" s="5"/>
      <c r="SJ78" s="5"/>
      <c r="SK78" s="5"/>
      <c r="SL78" s="5"/>
      <c r="SM78" s="5"/>
      <c r="SN78" s="5"/>
      <c r="SO78" s="5"/>
      <c r="SP78" s="5"/>
      <c r="SQ78" s="5"/>
      <c r="SR78" s="5"/>
      <c r="SS78" s="5"/>
      <c r="ST78" s="5"/>
      <c r="SU78" s="5"/>
      <c r="SV78" s="5"/>
      <c r="SW78" s="5"/>
      <c r="SX78" s="5"/>
      <c r="SY78" s="5"/>
      <c r="SZ78" s="5"/>
      <c r="TA78" s="5"/>
      <c r="TB78" s="5"/>
      <c r="TC78" s="5"/>
      <c r="TD78" s="5"/>
      <c r="TE78" s="5"/>
      <c r="TF78" s="5"/>
      <c r="TG78" s="5"/>
      <c r="TH78" s="5"/>
      <c r="TI78" s="5"/>
      <c r="TJ78" s="5"/>
      <c r="TK78" s="5"/>
      <c r="TL78" s="5"/>
      <c r="TM78" s="5"/>
      <c r="TN78" s="5"/>
      <c r="TO78" s="5"/>
      <c r="TP78" s="5"/>
      <c r="TQ78" s="5"/>
      <c r="TR78" s="5"/>
      <c r="TS78" s="5"/>
      <c r="TT78" s="5"/>
      <c r="TU78" s="5"/>
      <c r="TV78" s="5"/>
      <c r="TW78" s="5"/>
      <c r="TX78" s="5"/>
      <c r="TY78" s="5"/>
      <c r="TZ78" s="5"/>
      <c r="UA78" s="5"/>
      <c r="UB78" s="5"/>
      <c r="UC78" s="5"/>
      <c r="UD78" s="5"/>
      <c r="UE78" s="5"/>
      <c r="UF78" s="5"/>
      <c r="UG78" s="5"/>
      <c r="UH78" s="5"/>
      <c r="UI78" s="5"/>
      <c r="UJ78" s="5"/>
      <c r="UK78" s="5"/>
      <c r="UL78" s="5"/>
      <c r="UM78" s="5"/>
      <c r="UN78" s="5"/>
      <c r="UO78" s="5"/>
      <c r="UP78" s="5"/>
      <c r="UQ78" s="5"/>
      <c r="UR78" s="5"/>
      <c r="US78" s="5"/>
      <c r="UT78" s="5"/>
      <c r="UU78" s="5"/>
      <c r="UV78" s="5"/>
      <c r="UW78" s="5"/>
      <c r="UX78" s="5"/>
      <c r="UY78" s="5"/>
      <c r="UZ78" s="5"/>
      <c r="VA78" s="5"/>
      <c r="VB78" s="5"/>
      <c r="VC78" s="5"/>
      <c r="VD78" s="5"/>
      <c r="VE78" s="5"/>
      <c r="VF78" s="5"/>
      <c r="VG78" s="5"/>
      <c r="VH78" s="5"/>
      <c r="VI78" s="5"/>
      <c r="VJ78" s="5"/>
      <c r="VK78" s="5"/>
      <c r="VL78" s="5"/>
      <c r="VM78" s="5"/>
      <c r="VN78" s="5"/>
      <c r="VO78" s="5"/>
      <c r="VP78" s="5"/>
      <c r="VQ78" s="5"/>
      <c r="VR78" s="5"/>
      <c r="VS78" s="5"/>
      <c r="VT78" s="5"/>
      <c r="VU78" s="5"/>
      <c r="VV78" s="5"/>
      <c r="VW78" s="5"/>
      <c r="VX78" s="5"/>
      <c r="VY78" s="5"/>
      <c r="VZ78" s="5"/>
      <c r="WA78" s="5"/>
      <c r="WB78" s="5"/>
      <c r="WC78" s="5"/>
      <c r="WD78" s="5"/>
      <c r="WE78" s="5"/>
      <c r="WF78" s="5"/>
      <c r="WG78" s="5"/>
      <c r="WH78" s="5"/>
      <c r="WI78" s="5"/>
      <c r="WJ78" s="5"/>
      <c r="WK78" s="5"/>
      <c r="WL78" s="5"/>
      <c r="WM78" s="5"/>
      <c r="WN78" s="5"/>
      <c r="WO78" s="5"/>
      <c r="WP78" s="5"/>
      <c r="WQ78" s="5"/>
      <c r="WR78" s="5"/>
      <c r="WS78" s="5"/>
      <c r="WT78" s="5"/>
      <c r="WU78" s="5"/>
      <c r="WV78" s="5"/>
      <c r="WW78" s="5"/>
      <c r="WX78" s="5"/>
      <c r="WY78" s="5"/>
      <c r="WZ78" s="5"/>
      <c r="XA78" s="5"/>
      <c r="XB78" s="5"/>
      <c r="XC78" s="5"/>
      <c r="XD78" s="5"/>
      <c r="XE78" s="5"/>
      <c r="XF78" s="5"/>
      <c r="XG78" s="5"/>
      <c r="XH78" s="5"/>
      <c r="XI78" s="5"/>
      <c r="XJ78" s="5"/>
      <c r="XK78" s="5"/>
      <c r="XL78" s="5"/>
      <c r="XM78" s="5"/>
      <c r="XN78" s="5"/>
      <c r="XO78" s="5"/>
      <c r="XP78" s="5"/>
      <c r="XQ78" s="5"/>
      <c r="XR78" s="5"/>
      <c r="XS78" s="5"/>
      <c r="XT78" s="5"/>
      <c r="XU78" s="5"/>
      <c r="XV78" s="5"/>
      <c r="XW78" s="5"/>
      <c r="XX78" s="5"/>
      <c r="XY78" s="5"/>
      <c r="XZ78" s="5"/>
      <c r="YA78" s="5"/>
      <c r="YB78" s="5"/>
      <c r="YC78" s="5"/>
      <c r="YD78" s="5"/>
      <c r="YE78" s="5"/>
      <c r="YF78" s="5"/>
      <c r="YG78" s="5"/>
      <c r="YH78" s="5"/>
      <c r="YI78" s="5"/>
      <c r="YJ78" s="5"/>
      <c r="YK78" s="5"/>
      <c r="YL78" s="5"/>
      <c r="YM78" s="5"/>
      <c r="YN78" s="5"/>
      <c r="YO78" s="5"/>
      <c r="YP78" s="5"/>
      <c r="YQ78" s="5"/>
      <c r="YR78" s="5"/>
      <c r="YS78" s="5"/>
      <c r="YT78" s="5"/>
      <c r="YU78" s="5"/>
      <c r="YV78" s="5"/>
      <c r="YW78" s="5"/>
      <c r="YX78" s="5"/>
      <c r="YY78" s="5"/>
      <c r="YZ78" s="5"/>
    </row>
    <row r="79" spans="1:676">
      <c r="A79" s="7">
        <v>69</v>
      </c>
      <c r="B79" s="7" t="s">
        <v>208</v>
      </c>
      <c r="C79" s="10" t="s">
        <v>209</v>
      </c>
      <c r="D79" s="7" t="s">
        <v>40</v>
      </c>
      <c r="E79" s="7" t="s">
        <v>78</v>
      </c>
      <c r="F79" s="7" t="s">
        <v>162</v>
      </c>
      <c r="G79" s="7"/>
      <c r="H79" s="7"/>
      <c r="I79" s="11">
        <v>2</v>
      </c>
      <c r="J79" s="11">
        <v>3</v>
      </c>
      <c r="K79" s="11">
        <v>0</v>
      </c>
      <c r="L79" s="11">
        <v>6.690000000000005</v>
      </c>
      <c r="M79" s="11">
        <v>0.32</v>
      </c>
      <c r="N79" s="11">
        <v>0</v>
      </c>
      <c r="O79" s="11">
        <v>0.48</v>
      </c>
      <c r="P79" s="11">
        <v>1.31</v>
      </c>
      <c r="Q79" s="11">
        <v>8.800000000000004</v>
      </c>
      <c r="R79" s="11">
        <v>15.75000000000001</v>
      </c>
      <c r="S79" s="11">
        <v>24.55000000000001</v>
      </c>
      <c r="T79" s="11">
        <v>2</v>
      </c>
      <c r="U79" s="11">
        <v>3</v>
      </c>
      <c r="V79" s="11">
        <v>19.55000000000001</v>
      </c>
      <c r="W79" s="13">
        <v>6</v>
      </c>
      <c r="X79" s="13">
        <v>9</v>
      </c>
      <c r="Y79" s="13" t="str">
        <f>MIN(W79,S79)</f>
        <v>0</v>
      </c>
      <c r="Z79" s="13" t="str">
        <f>MIN(X79,(S79-Y79))</f>
        <v>0</v>
      </c>
      <c r="AA79" s="13" t="str">
        <f>S79-SUM(Y79,Z79)</f>
        <v>0</v>
      </c>
      <c r="AB79" s="15"/>
      <c r="AC79" s="15"/>
      <c r="AD79" s="1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  <c r="CZ79" s="5"/>
      <c r="DA79" s="5"/>
      <c r="DB79" s="5"/>
      <c r="DC79" s="5"/>
      <c r="DD79" s="5"/>
      <c r="DE79" s="5"/>
      <c r="DF79" s="5"/>
      <c r="DG79" s="5"/>
      <c r="DH79" s="5"/>
      <c r="DI79" s="5"/>
      <c r="DJ79" s="5"/>
      <c r="DK79" s="5"/>
      <c r="DL79" s="5"/>
      <c r="DM79" s="5"/>
      <c r="DN79" s="5"/>
      <c r="DO79" s="5"/>
      <c r="DP79" s="5"/>
      <c r="DQ79" s="5"/>
      <c r="DR79" s="5"/>
      <c r="DS79" s="5"/>
      <c r="DT79" s="5"/>
      <c r="DU79" s="5"/>
      <c r="DV79" s="5"/>
      <c r="DW79" s="5"/>
      <c r="DX79" s="5"/>
      <c r="DY79" s="5"/>
      <c r="DZ79" s="5"/>
      <c r="EA79" s="5"/>
      <c r="EB79" s="5"/>
      <c r="EC79" s="5"/>
      <c r="ED79" s="5"/>
      <c r="EE79" s="5"/>
      <c r="EF79" s="5"/>
      <c r="EG79" s="5"/>
      <c r="EH79" s="5"/>
      <c r="EI79" s="5"/>
      <c r="EJ79" s="5"/>
      <c r="EK79" s="5"/>
      <c r="EL79" s="5"/>
      <c r="EM79" s="5"/>
      <c r="EN79" s="5"/>
      <c r="EO79" s="5"/>
      <c r="EP79" s="5"/>
      <c r="EQ79" s="5"/>
      <c r="ER79" s="5"/>
      <c r="ES79" s="5"/>
      <c r="ET79" s="5"/>
      <c r="EU79" s="5"/>
      <c r="EV79" s="5"/>
      <c r="EW79" s="5"/>
      <c r="EX79" s="5"/>
      <c r="EY79" s="5"/>
      <c r="EZ79" s="5"/>
      <c r="FA79" s="5"/>
      <c r="FB79" s="5"/>
      <c r="FC79" s="5"/>
      <c r="FD79" s="5"/>
      <c r="FE79" s="5"/>
      <c r="FF79" s="5"/>
      <c r="FG79" s="5"/>
      <c r="FH79" s="5"/>
      <c r="FI79" s="5"/>
      <c r="FJ79" s="5"/>
      <c r="FK79" s="5"/>
      <c r="FL79" s="5"/>
      <c r="FM79" s="5"/>
      <c r="FN79" s="5"/>
      <c r="FO79" s="5"/>
      <c r="FP79" s="5"/>
      <c r="FQ79" s="5"/>
      <c r="FR79" s="5"/>
      <c r="FS79" s="5"/>
      <c r="FT79" s="5"/>
      <c r="FU79" s="5"/>
      <c r="FV79" s="5"/>
      <c r="FW79" s="5"/>
      <c r="FX79" s="5"/>
      <c r="FY79" s="5"/>
      <c r="FZ79" s="5"/>
      <c r="GA79" s="5"/>
      <c r="GB79" s="5"/>
      <c r="GC79" s="5"/>
      <c r="GD79" s="5"/>
      <c r="GE79" s="5"/>
      <c r="GF79" s="5"/>
      <c r="GG79" s="5"/>
      <c r="GH79" s="5"/>
      <c r="GI79" s="5"/>
      <c r="GJ79" s="5"/>
      <c r="GK79" s="5"/>
      <c r="GL79" s="5"/>
      <c r="GM79" s="5"/>
      <c r="GN79" s="5"/>
      <c r="GO79" s="5"/>
      <c r="GP79" s="5"/>
      <c r="GQ79" s="5"/>
      <c r="GR79" s="5"/>
      <c r="GS79" s="5"/>
      <c r="GT79" s="5"/>
      <c r="GU79" s="5"/>
      <c r="GV79" s="5"/>
      <c r="GW79" s="5"/>
      <c r="GX79" s="5"/>
      <c r="GY79" s="5"/>
      <c r="GZ79" s="5"/>
      <c r="HA79" s="5"/>
      <c r="HB79" s="5"/>
      <c r="HC79" s="5"/>
      <c r="HD79" s="5"/>
      <c r="HE79" s="5"/>
      <c r="HF79" s="5"/>
      <c r="HG79" s="5"/>
      <c r="HH79" s="5"/>
      <c r="HI79" s="5"/>
      <c r="HJ79" s="5"/>
      <c r="HK79" s="5"/>
      <c r="HL79" s="5"/>
      <c r="HM79" s="5"/>
      <c r="HN79" s="5"/>
      <c r="HO79" s="5"/>
      <c r="HP79" s="5"/>
      <c r="HQ79" s="5"/>
      <c r="HR79" s="5"/>
      <c r="HS79" s="5"/>
      <c r="HT79" s="5"/>
      <c r="HU79" s="5"/>
      <c r="HV79" s="5"/>
      <c r="HW79" s="5"/>
      <c r="HX79" s="5"/>
      <c r="HY79" s="5"/>
      <c r="HZ79" s="5"/>
      <c r="IA79" s="5"/>
      <c r="IB79" s="5"/>
      <c r="IC79" s="5"/>
      <c r="ID79" s="5"/>
      <c r="IE79" s="5"/>
      <c r="IF79" s="5"/>
      <c r="IG79" s="5"/>
      <c r="IH79" s="5"/>
      <c r="II79" s="5"/>
      <c r="IJ79" s="5"/>
      <c r="IK79" s="5"/>
      <c r="IL79" s="5"/>
      <c r="IM79" s="5"/>
      <c r="IN79" s="5"/>
      <c r="IO79" s="5"/>
      <c r="IP79" s="5"/>
      <c r="IQ79" s="5"/>
      <c r="IR79" s="5"/>
      <c r="IS79" s="5"/>
      <c r="IT79" s="5"/>
      <c r="IU79" s="5"/>
      <c r="IV79" s="5"/>
      <c r="IW79" s="5"/>
      <c r="IX79" s="5"/>
      <c r="IY79" s="5"/>
      <c r="IZ79" s="5"/>
      <c r="JA79" s="5"/>
      <c r="JB79" s="5"/>
      <c r="JC79" s="5"/>
      <c r="JD79" s="5"/>
      <c r="JE79" s="5"/>
      <c r="JF79" s="5"/>
      <c r="JG79" s="5"/>
      <c r="JH79" s="5"/>
      <c r="JI79" s="5"/>
      <c r="JJ79" s="5"/>
      <c r="JK79" s="5"/>
      <c r="JL79" s="5"/>
      <c r="JM79" s="5"/>
      <c r="JN79" s="5"/>
      <c r="JO79" s="5"/>
      <c r="JP79" s="5"/>
      <c r="JQ79" s="5"/>
      <c r="JR79" s="5"/>
      <c r="JS79" s="5"/>
      <c r="JT79" s="5"/>
      <c r="JU79" s="5"/>
      <c r="JV79" s="5"/>
      <c r="JW79" s="5"/>
      <c r="JX79" s="5"/>
      <c r="JY79" s="5"/>
      <c r="JZ79" s="5"/>
      <c r="KA79" s="5"/>
      <c r="KB79" s="5"/>
      <c r="KC79" s="5"/>
      <c r="KD79" s="5"/>
      <c r="KE79" s="5"/>
      <c r="KF79" s="5"/>
      <c r="KG79" s="5"/>
      <c r="KH79" s="5"/>
      <c r="KI79" s="5"/>
      <c r="KJ79" s="5"/>
      <c r="KK79" s="5"/>
      <c r="KL79" s="5"/>
      <c r="KM79" s="5"/>
      <c r="KN79" s="5"/>
      <c r="KO79" s="5"/>
      <c r="KP79" s="5"/>
      <c r="KQ79" s="5"/>
      <c r="KR79" s="5"/>
      <c r="KS79" s="5"/>
      <c r="KT79" s="5"/>
      <c r="KU79" s="5"/>
      <c r="KV79" s="5"/>
      <c r="KW79" s="5"/>
      <c r="KX79" s="5"/>
      <c r="KY79" s="5"/>
      <c r="KZ79" s="5"/>
      <c r="LA79" s="5"/>
      <c r="LB79" s="5"/>
      <c r="LC79" s="5"/>
      <c r="LD79" s="5"/>
      <c r="LE79" s="5"/>
      <c r="LF79" s="5"/>
      <c r="LG79" s="5"/>
      <c r="LH79" s="5"/>
      <c r="LI79" s="5"/>
      <c r="LJ79" s="5"/>
      <c r="LK79" s="5"/>
      <c r="LL79" s="5"/>
      <c r="LM79" s="5"/>
      <c r="LN79" s="5"/>
      <c r="LO79" s="5"/>
      <c r="LP79" s="5"/>
      <c r="LQ79" s="5"/>
      <c r="LR79" s="5"/>
      <c r="LS79" s="5"/>
      <c r="LT79" s="5"/>
      <c r="LU79" s="5"/>
      <c r="LV79" s="5"/>
      <c r="LW79" s="5"/>
      <c r="LX79" s="5"/>
      <c r="LY79" s="5"/>
      <c r="LZ79" s="5"/>
      <c r="MA79" s="5"/>
      <c r="MB79" s="5"/>
      <c r="MC79" s="5"/>
      <c r="MD79" s="5"/>
      <c r="ME79" s="5"/>
      <c r="MF79" s="5"/>
      <c r="MG79" s="5"/>
      <c r="MH79" s="5"/>
      <c r="MI79" s="5"/>
      <c r="MJ79" s="5"/>
      <c r="MK79" s="5"/>
      <c r="ML79" s="5"/>
      <c r="MM79" s="5"/>
      <c r="MN79" s="5"/>
      <c r="MO79" s="5"/>
      <c r="MP79" s="5"/>
      <c r="MQ79" s="5"/>
      <c r="MR79" s="5"/>
      <c r="MS79" s="5"/>
      <c r="MT79" s="5"/>
      <c r="MU79" s="5"/>
      <c r="MV79" s="5"/>
      <c r="MW79" s="5"/>
      <c r="MX79" s="5"/>
      <c r="MY79" s="5"/>
      <c r="MZ79" s="5"/>
      <c r="NA79" s="5"/>
      <c r="NB79" s="5"/>
      <c r="NC79" s="5"/>
      <c r="ND79" s="5"/>
      <c r="NE79" s="5"/>
      <c r="NF79" s="5"/>
      <c r="NG79" s="5"/>
      <c r="NH79" s="5"/>
      <c r="NI79" s="5"/>
      <c r="NJ79" s="5"/>
      <c r="NK79" s="5"/>
      <c r="NL79" s="5"/>
      <c r="NM79" s="5"/>
      <c r="NN79" s="5"/>
      <c r="NO79" s="5"/>
      <c r="NP79" s="5"/>
      <c r="NQ79" s="5"/>
      <c r="NR79" s="5"/>
      <c r="NS79" s="5"/>
      <c r="NT79" s="5"/>
      <c r="NU79" s="5"/>
      <c r="NV79" s="5"/>
      <c r="NW79" s="5"/>
      <c r="NX79" s="5"/>
      <c r="NY79" s="5"/>
      <c r="NZ79" s="5"/>
      <c r="OA79" s="5"/>
      <c r="OB79" s="5"/>
      <c r="OC79" s="5"/>
      <c r="OD79" s="5"/>
      <c r="OE79" s="5"/>
      <c r="OF79" s="5"/>
      <c r="OG79" s="5"/>
      <c r="OH79" s="5"/>
      <c r="OI79" s="5"/>
      <c r="OJ79" s="5"/>
      <c r="OK79" s="5"/>
      <c r="OL79" s="5"/>
      <c r="OM79" s="5"/>
      <c r="ON79" s="5"/>
      <c r="OO79" s="5"/>
      <c r="OP79" s="5"/>
      <c r="OQ79" s="5"/>
      <c r="OR79" s="5"/>
      <c r="OS79" s="5"/>
      <c r="OT79" s="5"/>
      <c r="OU79" s="5"/>
      <c r="OV79" s="5"/>
      <c r="OW79" s="5"/>
      <c r="OX79" s="5"/>
      <c r="OY79" s="5"/>
      <c r="OZ79" s="5"/>
      <c r="PA79" s="5"/>
      <c r="PB79" s="5"/>
      <c r="PC79" s="5"/>
      <c r="PD79" s="5"/>
      <c r="PE79" s="5"/>
      <c r="PF79" s="5"/>
      <c r="PG79" s="5"/>
      <c r="PH79" s="5"/>
      <c r="PI79" s="5"/>
      <c r="PJ79" s="5"/>
      <c r="PK79" s="5"/>
      <c r="PL79" s="5"/>
      <c r="PM79" s="5"/>
      <c r="PN79" s="5"/>
      <c r="PO79" s="5"/>
      <c r="PP79" s="5"/>
      <c r="PQ79" s="5"/>
      <c r="PR79" s="5"/>
      <c r="PS79" s="5"/>
      <c r="PT79" s="5"/>
      <c r="PU79" s="5"/>
      <c r="PV79" s="5"/>
      <c r="PW79" s="5"/>
      <c r="PX79" s="5"/>
      <c r="PY79" s="5"/>
      <c r="PZ79" s="5"/>
      <c r="QA79" s="5"/>
      <c r="QB79" s="5"/>
      <c r="QC79" s="5"/>
      <c r="QD79" s="5"/>
      <c r="QE79" s="5"/>
      <c r="QF79" s="5"/>
      <c r="QG79" s="5"/>
      <c r="QH79" s="5"/>
      <c r="QI79" s="5"/>
      <c r="QJ79" s="5"/>
      <c r="QK79" s="5"/>
      <c r="QL79" s="5"/>
      <c r="QM79" s="5"/>
      <c r="QN79" s="5"/>
      <c r="QO79" s="5"/>
      <c r="QP79" s="5"/>
      <c r="QQ79" s="5"/>
      <c r="QR79" s="5"/>
      <c r="QS79" s="5"/>
      <c r="QT79" s="5"/>
      <c r="QU79" s="5"/>
      <c r="QV79" s="5"/>
      <c r="QW79" s="5"/>
      <c r="QX79" s="5"/>
      <c r="QY79" s="5"/>
      <c r="QZ79" s="5"/>
      <c r="RA79" s="5"/>
      <c r="RB79" s="5"/>
      <c r="RC79" s="5"/>
      <c r="RD79" s="5"/>
      <c r="RE79" s="5"/>
      <c r="RF79" s="5"/>
      <c r="RG79" s="5"/>
      <c r="RH79" s="5"/>
      <c r="RI79" s="5"/>
      <c r="RJ79" s="5"/>
      <c r="RK79" s="5"/>
      <c r="RL79" s="5"/>
      <c r="RM79" s="5"/>
      <c r="RN79" s="5"/>
      <c r="RO79" s="5"/>
      <c r="RP79" s="5"/>
      <c r="RQ79" s="5"/>
      <c r="RR79" s="5"/>
      <c r="RS79" s="5"/>
      <c r="RT79" s="5"/>
      <c r="RU79" s="5"/>
      <c r="RV79" s="5"/>
      <c r="RW79" s="5"/>
      <c r="RX79" s="5"/>
      <c r="RY79" s="5"/>
      <c r="RZ79" s="5"/>
      <c r="SA79" s="5"/>
      <c r="SB79" s="5"/>
      <c r="SC79" s="5"/>
      <c r="SD79" s="5"/>
      <c r="SE79" s="5"/>
      <c r="SF79" s="5"/>
      <c r="SG79" s="5"/>
      <c r="SH79" s="5"/>
      <c r="SI79" s="5"/>
      <c r="SJ79" s="5"/>
      <c r="SK79" s="5"/>
      <c r="SL79" s="5"/>
      <c r="SM79" s="5"/>
      <c r="SN79" s="5"/>
      <c r="SO79" s="5"/>
      <c r="SP79" s="5"/>
      <c r="SQ79" s="5"/>
      <c r="SR79" s="5"/>
      <c r="SS79" s="5"/>
      <c r="ST79" s="5"/>
      <c r="SU79" s="5"/>
      <c r="SV79" s="5"/>
      <c r="SW79" s="5"/>
      <c r="SX79" s="5"/>
      <c r="SY79" s="5"/>
      <c r="SZ79" s="5"/>
      <c r="TA79" s="5"/>
      <c r="TB79" s="5"/>
      <c r="TC79" s="5"/>
      <c r="TD79" s="5"/>
      <c r="TE79" s="5"/>
      <c r="TF79" s="5"/>
      <c r="TG79" s="5"/>
      <c r="TH79" s="5"/>
      <c r="TI79" s="5"/>
      <c r="TJ79" s="5"/>
      <c r="TK79" s="5"/>
      <c r="TL79" s="5"/>
      <c r="TM79" s="5"/>
      <c r="TN79" s="5"/>
      <c r="TO79" s="5"/>
      <c r="TP79" s="5"/>
      <c r="TQ79" s="5"/>
      <c r="TR79" s="5"/>
      <c r="TS79" s="5"/>
      <c r="TT79" s="5"/>
      <c r="TU79" s="5"/>
      <c r="TV79" s="5"/>
      <c r="TW79" s="5"/>
      <c r="TX79" s="5"/>
      <c r="TY79" s="5"/>
      <c r="TZ79" s="5"/>
      <c r="UA79" s="5"/>
      <c r="UB79" s="5"/>
      <c r="UC79" s="5"/>
      <c r="UD79" s="5"/>
      <c r="UE79" s="5"/>
      <c r="UF79" s="5"/>
      <c r="UG79" s="5"/>
      <c r="UH79" s="5"/>
      <c r="UI79" s="5"/>
      <c r="UJ79" s="5"/>
      <c r="UK79" s="5"/>
      <c r="UL79" s="5"/>
      <c r="UM79" s="5"/>
      <c r="UN79" s="5"/>
      <c r="UO79" s="5"/>
      <c r="UP79" s="5"/>
      <c r="UQ79" s="5"/>
      <c r="UR79" s="5"/>
      <c r="US79" s="5"/>
      <c r="UT79" s="5"/>
      <c r="UU79" s="5"/>
      <c r="UV79" s="5"/>
      <c r="UW79" s="5"/>
      <c r="UX79" s="5"/>
      <c r="UY79" s="5"/>
      <c r="UZ79" s="5"/>
      <c r="VA79" s="5"/>
      <c r="VB79" s="5"/>
      <c r="VC79" s="5"/>
      <c r="VD79" s="5"/>
      <c r="VE79" s="5"/>
      <c r="VF79" s="5"/>
      <c r="VG79" s="5"/>
      <c r="VH79" s="5"/>
      <c r="VI79" s="5"/>
      <c r="VJ79" s="5"/>
      <c r="VK79" s="5"/>
      <c r="VL79" s="5"/>
      <c r="VM79" s="5"/>
      <c r="VN79" s="5"/>
      <c r="VO79" s="5"/>
      <c r="VP79" s="5"/>
      <c r="VQ79" s="5"/>
      <c r="VR79" s="5"/>
      <c r="VS79" s="5"/>
      <c r="VT79" s="5"/>
      <c r="VU79" s="5"/>
      <c r="VV79" s="5"/>
      <c r="VW79" s="5"/>
      <c r="VX79" s="5"/>
      <c r="VY79" s="5"/>
      <c r="VZ79" s="5"/>
      <c r="WA79" s="5"/>
      <c r="WB79" s="5"/>
      <c r="WC79" s="5"/>
      <c r="WD79" s="5"/>
      <c r="WE79" s="5"/>
      <c r="WF79" s="5"/>
      <c r="WG79" s="5"/>
      <c r="WH79" s="5"/>
      <c r="WI79" s="5"/>
      <c r="WJ79" s="5"/>
      <c r="WK79" s="5"/>
      <c r="WL79" s="5"/>
      <c r="WM79" s="5"/>
      <c r="WN79" s="5"/>
      <c r="WO79" s="5"/>
      <c r="WP79" s="5"/>
      <c r="WQ79" s="5"/>
      <c r="WR79" s="5"/>
      <c r="WS79" s="5"/>
      <c r="WT79" s="5"/>
      <c r="WU79" s="5"/>
      <c r="WV79" s="5"/>
      <c r="WW79" s="5"/>
      <c r="WX79" s="5"/>
      <c r="WY79" s="5"/>
      <c r="WZ79" s="5"/>
      <c r="XA79" s="5"/>
      <c r="XB79" s="5"/>
      <c r="XC79" s="5"/>
      <c r="XD79" s="5"/>
      <c r="XE79" s="5"/>
      <c r="XF79" s="5"/>
      <c r="XG79" s="5"/>
      <c r="XH79" s="5"/>
      <c r="XI79" s="5"/>
      <c r="XJ79" s="5"/>
      <c r="XK79" s="5"/>
      <c r="XL79" s="5"/>
      <c r="XM79" s="5"/>
      <c r="XN79" s="5"/>
      <c r="XO79" s="5"/>
      <c r="XP79" s="5"/>
      <c r="XQ79" s="5"/>
      <c r="XR79" s="5"/>
      <c r="XS79" s="5"/>
      <c r="XT79" s="5"/>
      <c r="XU79" s="5"/>
      <c r="XV79" s="5"/>
      <c r="XW79" s="5"/>
      <c r="XX79" s="5"/>
      <c r="XY79" s="5"/>
      <c r="XZ79" s="5"/>
      <c r="YA79" s="5"/>
      <c r="YB79" s="5"/>
      <c r="YC79" s="5"/>
      <c r="YD79" s="5"/>
      <c r="YE79" s="5"/>
      <c r="YF79" s="5"/>
      <c r="YG79" s="5"/>
      <c r="YH79" s="5"/>
      <c r="YI79" s="5"/>
      <c r="YJ79" s="5"/>
      <c r="YK79" s="5"/>
      <c r="YL79" s="5"/>
      <c r="YM79" s="5"/>
      <c r="YN79" s="5"/>
      <c r="YO79" s="5"/>
      <c r="YP79" s="5"/>
      <c r="YQ79" s="5"/>
      <c r="YR79" s="5"/>
      <c r="YS79" s="5"/>
      <c r="YT79" s="5"/>
      <c r="YU79" s="5"/>
      <c r="YV79" s="5"/>
      <c r="YW79" s="5"/>
      <c r="YX79" s="5"/>
      <c r="YY79" s="5"/>
      <c r="YZ79" s="5"/>
    </row>
    <row r="80" spans="1:676">
      <c r="A80" s="7">
        <v>70</v>
      </c>
      <c r="B80" s="7" t="s">
        <v>210</v>
      </c>
      <c r="C80" s="10" t="s">
        <v>211</v>
      </c>
      <c r="D80" s="7" t="s">
        <v>40</v>
      </c>
      <c r="E80" s="7" t="s">
        <v>82</v>
      </c>
      <c r="F80" s="7" t="s">
        <v>162</v>
      </c>
      <c r="G80" s="7"/>
      <c r="H80" s="7" t="s">
        <v>79</v>
      </c>
      <c r="I80" s="11">
        <v>2</v>
      </c>
      <c r="J80" s="11">
        <v>3</v>
      </c>
      <c r="K80" s="11">
        <v>0</v>
      </c>
      <c r="L80" s="11">
        <v>0.51</v>
      </c>
      <c r="M80" s="11">
        <v>0</v>
      </c>
      <c r="N80" s="11">
        <v>0</v>
      </c>
      <c r="O80" s="11">
        <v>0.19</v>
      </c>
      <c r="P80" s="11">
        <v>0.17</v>
      </c>
      <c r="Q80" s="11">
        <v>0.8700000000000001</v>
      </c>
      <c r="R80" s="11">
        <v>1.74</v>
      </c>
      <c r="S80" s="11">
        <v>2.61</v>
      </c>
      <c r="T80" s="11">
        <v>2</v>
      </c>
      <c r="U80" s="11">
        <v>0.6100000000000003</v>
      </c>
      <c r="V80" s="11">
        <v>0</v>
      </c>
      <c r="W80" s="13">
        <v>6</v>
      </c>
      <c r="X80" s="13">
        <v>9</v>
      </c>
      <c r="Y80" s="13" t="str">
        <f>MIN(W80,S80)</f>
        <v>0</v>
      </c>
      <c r="Z80" s="13" t="str">
        <f>MIN(X80,(S80-Y80))</f>
        <v>0</v>
      </c>
      <c r="AA80" s="13" t="str">
        <f>S80-SUM(Y80,Z80)</f>
        <v>0</v>
      </c>
      <c r="AB80" s="15"/>
      <c r="AC80" s="15"/>
      <c r="AD80" s="1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  <c r="CZ80" s="5"/>
      <c r="DA80" s="5"/>
      <c r="DB80" s="5"/>
      <c r="DC80" s="5"/>
      <c r="DD80" s="5"/>
      <c r="DE80" s="5"/>
      <c r="DF80" s="5"/>
      <c r="DG80" s="5"/>
      <c r="DH80" s="5"/>
      <c r="DI80" s="5"/>
      <c r="DJ80" s="5"/>
      <c r="DK80" s="5"/>
      <c r="DL80" s="5"/>
      <c r="DM80" s="5"/>
      <c r="DN80" s="5"/>
      <c r="DO80" s="5"/>
      <c r="DP80" s="5"/>
      <c r="DQ80" s="5"/>
      <c r="DR80" s="5"/>
      <c r="DS80" s="5"/>
      <c r="DT80" s="5"/>
      <c r="DU80" s="5"/>
      <c r="DV80" s="5"/>
      <c r="DW80" s="5"/>
      <c r="DX80" s="5"/>
      <c r="DY80" s="5"/>
      <c r="DZ80" s="5"/>
      <c r="EA80" s="5"/>
      <c r="EB80" s="5"/>
      <c r="EC80" s="5"/>
      <c r="ED80" s="5"/>
      <c r="EE80" s="5"/>
      <c r="EF80" s="5"/>
      <c r="EG80" s="5"/>
      <c r="EH80" s="5"/>
      <c r="EI80" s="5"/>
      <c r="EJ80" s="5"/>
      <c r="EK80" s="5"/>
      <c r="EL80" s="5"/>
      <c r="EM80" s="5"/>
      <c r="EN80" s="5"/>
      <c r="EO80" s="5"/>
      <c r="EP80" s="5"/>
      <c r="EQ80" s="5"/>
      <c r="ER80" s="5"/>
      <c r="ES80" s="5"/>
      <c r="ET80" s="5"/>
      <c r="EU80" s="5"/>
      <c r="EV80" s="5"/>
      <c r="EW80" s="5"/>
      <c r="EX80" s="5"/>
      <c r="EY80" s="5"/>
      <c r="EZ80" s="5"/>
      <c r="FA80" s="5"/>
      <c r="FB80" s="5"/>
      <c r="FC80" s="5"/>
      <c r="FD80" s="5"/>
      <c r="FE80" s="5"/>
      <c r="FF80" s="5"/>
      <c r="FG80" s="5"/>
      <c r="FH80" s="5"/>
      <c r="FI80" s="5"/>
      <c r="FJ80" s="5"/>
      <c r="FK80" s="5"/>
      <c r="FL80" s="5"/>
      <c r="FM80" s="5"/>
      <c r="FN80" s="5"/>
      <c r="FO80" s="5"/>
      <c r="FP80" s="5"/>
      <c r="FQ80" s="5"/>
      <c r="FR80" s="5"/>
      <c r="FS80" s="5"/>
      <c r="FT80" s="5"/>
      <c r="FU80" s="5"/>
      <c r="FV80" s="5"/>
      <c r="FW80" s="5"/>
      <c r="FX80" s="5"/>
      <c r="FY80" s="5"/>
      <c r="FZ80" s="5"/>
      <c r="GA80" s="5"/>
      <c r="GB80" s="5"/>
      <c r="GC80" s="5"/>
      <c r="GD80" s="5"/>
      <c r="GE80" s="5"/>
      <c r="GF80" s="5"/>
      <c r="GG80" s="5"/>
      <c r="GH80" s="5"/>
      <c r="GI80" s="5"/>
      <c r="GJ80" s="5"/>
      <c r="GK80" s="5"/>
      <c r="GL80" s="5"/>
      <c r="GM80" s="5"/>
      <c r="GN80" s="5"/>
      <c r="GO80" s="5"/>
      <c r="GP80" s="5"/>
      <c r="GQ80" s="5"/>
      <c r="GR80" s="5"/>
      <c r="GS80" s="5"/>
      <c r="GT80" s="5"/>
      <c r="GU80" s="5"/>
      <c r="GV80" s="5"/>
      <c r="GW80" s="5"/>
      <c r="GX80" s="5"/>
      <c r="GY80" s="5"/>
      <c r="GZ80" s="5"/>
      <c r="HA80" s="5"/>
      <c r="HB80" s="5"/>
      <c r="HC80" s="5"/>
      <c r="HD80" s="5"/>
      <c r="HE80" s="5"/>
      <c r="HF80" s="5"/>
      <c r="HG80" s="5"/>
      <c r="HH80" s="5"/>
      <c r="HI80" s="5"/>
      <c r="HJ80" s="5"/>
      <c r="HK80" s="5"/>
      <c r="HL80" s="5"/>
      <c r="HM80" s="5"/>
      <c r="HN80" s="5"/>
      <c r="HO80" s="5"/>
      <c r="HP80" s="5"/>
      <c r="HQ80" s="5"/>
      <c r="HR80" s="5"/>
      <c r="HS80" s="5"/>
      <c r="HT80" s="5"/>
      <c r="HU80" s="5"/>
      <c r="HV80" s="5"/>
      <c r="HW80" s="5"/>
      <c r="HX80" s="5"/>
      <c r="HY80" s="5"/>
      <c r="HZ80" s="5"/>
      <c r="IA80" s="5"/>
      <c r="IB80" s="5"/>
      <c r="IC80" s="5"/>
      <c r="ID80" s="5"/>
      <c r="IE80" s="5"/>
      <c r="IF80" s="5"/>
      <c r="IG80" s="5"/>
      <c r="IH80" s="5"/>
      <c r="II80" s="5"/>
      <c r="IJ80" s="5"/>
      <c r="IK80" s="5"/>
      <c r="IL80" s="5"/>
      <c r="IM80" s="5"/>
      <c r="IN80" s="5"/>
      <c r="IO80" s="5"/>
      <c r="IP80" s="5"/>
      <c r="IQ80" s="5"/>
      <c r="IR80" s="5"/>
      <c r="IS80" s="5"/>
      <c r="IT80" s="5"/>
      <c r="IU80" s="5"/>
      <c r="IV80" s="5"/>
      <c r="IW80" s="5"/>
      <c r="IX80" s="5"/>
      <c r="IY80" s="5"/>
      <c r="IZ80" s="5"/>
      <c r="JA80" s="5"/>
      <c r="JB80" s="5"/>
      <c r="JC80" s="5"/>
      <c r="JD80" s="5"/>
      <c r="JE80" s="5"/>
      <c r="JF80" s="5"/>
      <c r="JG80" s="5"/>
      <c r="JH80" s="5"/>
      <c r="JI80" s="5"/>
      <c r="JJ80" s="5"/>
      <c r="JK80" s="5"/>
      <c r="JL80" s="5"/>
      <c r="JM80" s="5"/>
      <c r="JN80" s="5"/>
      <c r="JO80" s="5"/>
      <c r="JP80" s="5"/>
      <c r="JQ80" s="5"/>
      <c r="JR80" s="5"/>
      <c r="JS80" s="5"/>
      <c r="JT80" s="5"/>
      <c r="JU80" s="5"/>
      <c r="JV80" s="5"/>
      <c r="JW80" s="5"/>
      <c r="JX80" s="5"/>
      <c r="JY80" s="5"/>
      <c r="JZ80" s="5"/>
      <c r="KA80" s="5"/>
      <c r="KB80" s="5"/>
      <c r="KC80" s="5"/>
      <c r="KD80" s="5"/>
      <c r="KE80" s="5"/>
      <c r="KF80" s="5"/>
      <c r="KG80" s="5"/>
      <c r="KH80" s="5"/>
      <c r="KI80" s="5"/>
      <c r="KJ80" s="5"/>
      <c r="KK80" s="5"/>
      <c r="KL80" s="5"/>
      <c r="KM80" s="5"/>
      <c r="KN80" s="5"/>
      <c r="KO80" s="5"/>
      <c r="KP80" s="5"/>
      <c r="KQ80" s="5"/>
      <c r="KR80" s="5"/>
      <c r="KS80" s="5"/>
      <c r="KT80" s="5"/>
      <c r="KU80" s="5"/>
      <c r="KV80" s="5"/>
      <c r="KW80" s="5"/>
      <c r="KX80" s="5"/>
      <c r="KY80" s="5"/>
      <c r="KZ80" s="5"/>
      <c r="LA80" s="5"/>
      <c r="LB80" s="5"/>
      <c r="LC80" s="5"/>
      <c r="LD80" s="5"/>
      <c r="LE80" s="5"/>
      <c r="LF80" s="5"/>
      <c r="LG80" s="5"/>
      <c r="LH80" s="5"/>
      <c r="LI80" s="5"/>
      <c r="LJ80" s="5"/>
      <c r="LK80" s="5"/>
      <c r="LL80" s="5"/>
      <c r="LM80" s="5"/>
      <c r="LN80" s="5"/>
      <c r="LO80" s="5"/>
      <c r="LP80" s="5"/>
      <c r="LQ80" s="5"/>
      <c r="LR80" s="5"/>
      <c r="LS80" s="5"/>
      <c r="LT80" s="5"/>
      <c r="LU80" s="5"/>
      <c r="LV80" s="5"/>
      <c r="LW80" s="5"/>
      <c r="LX80" s="5"/>
      <c r="LY80" s="5"/>
      <c r="LZ80" s="5"/>
      <c r="MA80" s="5"/>
      <c r="MB80" s="5"/>
      <c r="MC80" s="5"/>
      <c r="MD80" s="5"/>
      <c r="ME80" s="5"/>
      <c r="MF80" s="5"/>
      <c r="MG80" s="5"/>
      <c r="MH80" s="5"/>
      <c r="MI80" s="5"/>
      <c r="MJ80" s="5"/>
      <c r="MK80" s="5"/>
      <c r="ML80" s="5"/>
      <c r="MM80" s="5"/>
      <c r="MN80" s="5"/>
      <c r="MO80" s="5"/>
      <c r="MP80" s="5"/>
      <c r="MQ80" s="5"/>
      <c r="MR80" s="5"/>
      <c r="MS80" s="5"/>
      <c r="MT80" s="5"/>
      <c r="MU80" s="5"/>
      <c r="MV80" s="5"/>
      <c r="MW80" s="5"/>
      <c r="MX80" s="5"/>
      <c r="MY80" s="5"/>
      <c r="MZ80" s="5"/>
      <c r="NA80" s="5"/>
      <c r="NB80" s="5"/>
      <c r="NC80" s="5"/>
      <c r="ND80" s="5"/>
      <c r="NE80" s="5"/>
      <c r="NF80" s="5"/>
      <c r="NG80" s="5"/>
      <c r="NH80" s="5"/>
      <c r="NI80" s="5"/>
      <c r="NJ80" s="5"/>
      <c r="NK80" s="5"/>
      <c r="NL80" s="5"/>
      <c r="NM80" s="5"/>
      <c r="NN80" s="5"/>
      <c r="NO80" s="5"/>
      <c r="NP80" s="5"/>
      <c r="NQ80" s="5"/>
      <c r="NR80" s="5"/>
      <c r="NS80" s="5"/>
      <c r="NT80" s="5"/>
      <c r="NU80" s="5"/>
      <c r="NV80" s="5"/>
      <c r="NW80" s="5"/>
      <c r="NX80" s="5"/>
      <c r="NY80" s="5"/>
      <c r="NZ80" s="5"/>
      <c r="OA80" s="5"/>
      <c r="OB80" s="5"/>
      <c r="OC80" s="5"/>
      <c r="OD80" s="5"/>
      <c r="OE80" s="5"/>
      <c r="OF80" s="5"/>
      <c r="OG80" s="5"/>
      <c r="OH80" s="5"/>
      <c r="OI80" s="5"/>
      <c r="OJ80" s="5"/>
      <c r="OK80" s="5"/>
      <c r="OL80" s="5"/>
      <c r="OM80" s="5"/>
      <c r="ON80" s="5"/>
      <c r="OO80" s="5"/>
      <c r="OP80" s="5"/>
      <c r="OQ80" s="5"/>
      <c r="OR80" s="5"/>
      <c r="OS80" s="5"/>
      <c r="OT80" s="5"/>
      <c r="OU80" s="5"/>
      <c r="OV80" s="5"/>
      <c r="OW80" s="5"/>
      <c r="OX80" s="5"/>
      <c r="OY80" s="5"/>
      <c r="OZ80" s="5"/>
      <c r="PA80" s="5"/>
      <c r="PB80" s="5"/>
      <c r="PC80" s="5"/>
      <c r="PD80" s="5"/>
      <c r="PE80" s="5"/>
      <c r="PF80" s="5"/>
      <c r="PG80" s="5"/>
      <c r="PH80" s="5"/>
      <c r="PI80" s="5"/>
      <c r="PJ80" s="5"/>
      <c r="PK80" s="5"/>
      <c r="PL80" s="5"/>
      <c r="PM80" s="5"/>
      <c r="PN80" s="5"/>
      <c r="PO80" s="5"/>
      <c r="PP80" s="5"/>
      <c r="PQ80" s="5"/>
      <c r="PR80" s="5"/>
      <c r="PS80" s="5"/>
      <c r="PT80" s="5"/>
      <c r="PU80" s="5"/>
      <c r="PV80" s="5"/>
      <c r="PW80" s="5"/>
      <c r="PX80" s="5"/>
      <c r="PY80" s="5"/>
      <c r="PZ80" s="5"/>
      <c r="QA80" s="5"/>
      <c r="QB80" s="5"/>
      <c r="QC80" s="5"/>
      <c r="QD80" s="5"/>
      <c r="QE80" s="5"/>
      <c r="QF80" s="5"/>
      <c r="QG80" s="5"/>
      <c r="QH80" s="5"/>
      <c r="QI80" s="5"/>
      <c r="QJ80" s="5"/>
      <c r="QK80" s="5"/>
      <c r="QL80" s="5"/>
      <c r="QM80" s="5"/>
      <c r="QN80" s="5"/>
      <c r="QO80" s="5"/>
      <c r="QP80" s="5"/>
      <c r="QQ80" s="5"/>
      <c r="QR80" s="5"/>
      <c r="QS80" s="5"/>
      <c r="QT80" s="5"/>
      <c r="QU80" s="5"/>
      <c r="QV80" s="5"/>
      <c r="QW80" s="5"/>
      <c r="QX80" s="5"/>
      <c r="QY80" s="5"/>
      <c r="QZ80" s="5"/>
      <c r="RA80" s="5"/>
      <c r="RB80" s="5"/>
      <c r="RC80" s="5"/>
      <c r="RD80" s="5"/>
      <c r="RE80" s="5"/>
      <c r="RF80" s="5"/>
      <c r="RG80" s="5"/>
      <c r="RH80" s="5"/>
      <c r="RI80" s="5"/>
      <c r="RJ80" s="5"/>
      <c r="RK80" s="5"/>
      <c r="RL80" s="5"/>
      <c r="RM80" s="5"/>
      <c r="RN80" s="5"/>
      <c r="RO80" s="5"/>
      <c r="RP80" s="5"/>
      <c r="RQ80" s="5"/>
      <c r="RR80" s="5"/>
      <c r="RS80" s="5"/>
      <c r="RT80" s="5"/>
      <c r="RU80" s="5"/>
      <c r="RV80" s="5"/>
      <c r="RW80" s="5"/>
      <c r="RX80" s="5"/>
      <c r="RY80" s="5"/>
      <c r="RZ80" s="5"/>
      <c r="SA80" s="5"/>
      <c r="SB80" s="5"/>
      <c r="SC80" s="5"/>
      <c r="SD80" s="5"/>
      <c r="SE80" s="5"/>
      <c r="SF80" s="5"/>
      <c r="SG80" s="5"/>
      <c r="SH80" s="5"/>
      <c r="SI80" s="5"/>
      <c r="SJ80" s="5"/>
      <c r="SK80" s="5"/>
      <c r="SL80" s="5"/>
      <c r="SM80" s="5"/>
      <c r="SN80" s="5"/>
      <c r="SO80" s="5"/>
      <c r="SP80" s="5"/>
      <c r="SQ80" s="5"/>
      <c r="SR80" s="5"/>
      <c r="SS80" s="5"/>
      <c r="ST80" s="5"/>
      <c r="SU80" s="5"/>
      <c r="SV80" s="5"/>
      <c r="SW80" s="5"/>
      <c r="SX80" s="5"/>
      <c r="SY80" s="5"/>
      <c r="SZ80" s="5"/>
      <c r="TA80" s="5"/>
      <c r="TB80" s="5"/>
      <c r="TC80" s="5"/>
      <c r="TD80" s="5"/>
      <c r="TE80" s="5"/>
      <c r="TF80" s="5"/>
      <c r="TG80" s="5"/>
      <c r="TH80" s="5"/>
      <c r="TI80" s="5"/>
      <c r="TJ80" s="5"/>
      <c r="TK80" s="5"/>
      <c r="TL80" s="5"/>
      <c r="TM80" s="5"/>
      <c r="TN80" s="5"/>
      <c r="TO80" s="5"/>
      <c r="TP80" s="5"/>
      <c r="TQ80" s="5"/>
      <c r="TR80" s="5"/>
      <c r="TS80" s="5"/>
      <c r="TT80" s="5"/>
      <c r="TU80" s="5"/>
      <c r="TV80" s="5"/>
      <c r="TW80" s="5"/>
      <c r="TX80" s="5"/>
      <c r="TY80" s="5"/>
      <c r="TZ80" s="5"/>
      <c r="UA80" s="5"/>
      <c r="UB80" s="5"/>
      <c r="UC80" s="5"/>
      <c r="UD80" s="5"/>
      <c r="UE80" s="5"/>
      <c r="UF80" s="5"/>
      <c r="UG80" s="5"/>
      <c r="UH80" s="5"/>
      <c r="UI80" s="5"/>
      <c r="UJ80" s="5"/>
      <c r="UK80" s="5"/>
      <c r="UL80" s="5"/>
      <c r="UM80" s="5"/>
      <c r="UN80" s="5"/>
      <c r="UO80" s="5"/>
      <c r="UP80" s="5"/>
      <c r="UQ80" s="5"/>
      <c r="UR80" s="5"/>
      <c r="US80" s="5"/>
      <c r="UT80" s="5"/>
      <c r="UU80" s="5"/>
      <c r="UV80" s="5"/>
      <c r="UW80" s="5"/>
      <c r="UX80" s="5"/>
      <c r="UY80" s="5"/>
      <c r="UZ80" s="5"/>
      <c r="VA80" s="5"/>
      <c r="VB80" s="5"/>
      <c r="VC80" s="5"/>
      <c r="VD80" s="5"/>
      <c r="VE80" s="5"/>
      <c r="VF80" s="5"/>
      <c r="VG80" s="5"/>
      <c r="VH80" s="5"/>
      <c r="VI80" s="5"/>
      <c r="VJ80" s="5"/>
      <c r="VK80" s="5"/>
      <c r="VL80" s="5"/>
      <c r="VM80" s="5"/>
      <c r="VN80" s="5"/>
      <c r="VO80" s="5"/>
      <c r="VP80" s="5"/>
      <c r="VQ80" s="5"/>
      <c r="VR80" s="5"/>
      <c r="VS80" s="5"/>
      <c r="VT80" s="5"/>
      <c r="VU80" s="5"/>
      <c r="VV80" s="5"/>
      <c r="VW80" s="5"/>
      <c r="VX80" s="5"/>
      <c r="VY80" s="5"/>
      <c r="VZ80" s="5"/>
      <c r="WA80" s="5"/>
      <c r="WB80" s="5"/>
      <c r="WC80" s="5"/>
      <c r="WD80" s="5"/>
      <c r="WE80" s="5"/>
      <c r="WF80" s="5"/>
      <c r="WG80" s="5"/>
      <c r="WH80" s="5"/>
      <c r="WI80" s="5"/>
      <c r="WJ80" s="5"/>
      <c r="WK80" s="5"/>
      <c r="WL80" s="5"/>
      <c r="WM80" s="5"/>
      <c r="WN80" s="5"/>
      <c r="WO80" s="5"/>
      <c r="WP80" s="5"/>
      <c r="WQ80" s="5"/>
      <c r="WR80" s="5"/>
      <c r="WS80" s="5"/>
      <c r="WT80" s="5"/>
      <c r="WU80" s="5"/>
      <c r="WV80" s="5"/>
      <c r="WW80" s="5"/>
      <c r="WX80" s="5"/>
      <c r="WY80" s="5"/>
      <c r="WZ80" s="5"/>
      <c r="XA80" s="5"/>
      <c r="XB80" s="5"/>
      <c r="XC80" s="5"/>
      <c r="XD80" s="5"/>
      <c r="XE80" s="5"/>
      <c r="XF80" s="5"/>
      <c r="XG80" s="5"/>
      <c r="XH80" s="5"/>
      <c r="XI80" s="5"/>
      <c r="XJ80" s="5"/>
      <c r="XK80" s="5"/>
      <c r="XL80" s="5"/>
      <c r="XM80" s="5"/>
      <c r="XN80" s="5"/>
      <c r="XO80" s="5"/>
      <c r="XP80" s="5"/>
      <c r="XQ80" s="5"/>
      <c r="XR80" s="5"/>
      <c r="XS80" s="5"/>
      <c r="XT80" s="5"/>
      <c r="XU80" s="5"/>
      <c r="XV80" s="5"/>
      <c r="XW80" s="5"/>
      <c r="XX80" s="5"/>
      <c r="XY80" s="5"/>
      <c r="XZ80" s="5"/>
      <c r="YA80" s="5"/>
      <c r="YB80" s="5"/>
      <c r="YC80" s="5"/>
      <c r="YD80" s="5"/>
      <c r="YE80" s="5"/>
      <c r="YF80" s="5"/>
      <c r="YG80" s="5"/>
      <c r="YH80" s="5"/>
      <c r="YI80" s="5"/>
      <c r="YJ80" s="5"/>
      <c r="YK80" s="5"/>
      <c r="YL80" s="5"/>
      <c r="YM80" s="5"/>
      <c r="YN80" s="5"/>
      <c r="YO80" s="5"/>
      <c r="YP80" s="5"/>
      <c r="YQ80" s="5"/>
      <c r="YR80" s="5"/>
      <c r="YS80" s="5"/>
      <c r="YT80" s="5"/>
      <c r="YU80" s="5"/>
      <c r="YV80" s="5"/>
      <c r="YW80" s="5"/>
      <c r="YX80" s="5"/>
      <c r="YY80" s="5"/>
      <c r="YZ80" s="5"/>
    </row>
    <row r="81" spans="1:676">
      <c r="A81" s="7">
        <v>71</v>
      </c>
      <c r="B81" s="7" t="s">
        <v>212</v>
      </c>
      <c r="C81" s="10" t="s">
        <v>213</v>
      </c>
      <c r="D81" s="7" t="s">
        <v>40</v>
      </c>
      <c r="E81" s="7" t="s">
        <v>82</v>
      </c>
      <c r="F81" s="7" t="s">
        <v>179</v>
      </c>
      <c r="G81" s="7"/>
      <c r="H81" s="7" t="s">
        <v>79</v>
      </c>
      <c r="I81" s="11">
        <v>2</v>
      </c>
      <c r="J81" s="11">
        <v>0</v>
      </c>
      <c r="K81" s="11">
        <v>0</v>
      </c>
      <c r="L81" s="11">
        <v>0</v>
      </c>
      <c r="M81" s="11">
        <v>0</v>
      </c>
      <c r="N81" s="11">
        <v>0</v>
      </c>
      <c r="O81" s="11">
        <v>0.14</v>
      </c>
      <c r="P81" s="11">
        <v>0.17</v>
      </c>
      <c r="Q81" s="11">
        <v>0.3100000000000001</v>
      </c>
      <c r="R81" s="11">
        <v>6.780000000000002</v>
      </c>
      <c r="S81" s="11">
        <v>7.090000000000002</v>
      </c>
      <c r="T81" s="11">
        <v>2</v>
      </c>
      <c r="U81" s="11">
        <v>0</v>
      </c>
      <c r="V81" s="11">
        <v>5.090000000000002</v>
      </c>
      <c r="W81" s="13">
        <v>6</v>
      </c>
      <c r="X81" s="13">
        <v>0</v>
      </c>
      <c r="Y81" s="13" t="str">
        <f>MIN(W81,S81)</f>
        <v>0</v>
      </c>
      <c r="Z81" s="13" t="str">
        <f>MIN(X81,(S81-Y81))</f>
        <v>0</v>
      </c>
      <c r="AA81" s="13" t="str">
        <f>S81-SUM(Y81,Z81)</f>
        <v>0</v>
      </c>
      <c r="AB81" s="15"/>
      <c r="AC81" s="15"/>
      <c r="AD81" s="1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  <c r="CZ81" s="5"/>
      <c r="DA81" s="5"/>
      <c r="DB81" s="5"/>
      <c r="DC81" s="5"/>
      <c r="DD81" s="5"/>
      <c r="DE81" s="5"/>
      <c r="DF81" s="5"/>
      <c r="DG81" s="5"/>
      <c r="DH81" s="5"/>
      <c r="DI81" s="5"/>
      <c r="DJ81" s="5"/>
      <c r="DK81" s="5"/>
      <c r="DL81" s="5"/>
      <c r="DM81" s="5"/>
      <c r="DN81" s="5"/>
      <c r="DO81" s="5"/>
      <c r="DP81" s="5"/>
      <c r="DQ81" s="5"/>
      <c r="DR81" s="5"/>
      <c r="DS81" s="5"/>
      <c r="DT81" s="5"/>
      <c r="DU81" s="5"/>
      <c r="DV81" s="5"/>
      <c r="DW81" s="5"/>
      <c r="DX81" s="5"/>
      <c r="DY81" s="5"/>
      <c r="DZ81" s="5"/>
      <c r="EA81" s="5"/>
      <c r="EB81" s="5"/>
      <c r="EC81" s="5"/>
      <c r="ED81" s="5"/>
      <c r="EE81" s="5"/>
      <c r="EF81" s="5"/>
      <c r="EG81" s="5"/>
      <c r="EH81" s="5"/>
      <c r="EI81" s="5"/>
      <c r="EJ81" s="5"/>
      <c r="EK81" s="5"/>
      <c r="EL81" s="5"/>
      <c r="EM81" s="5"/>
      <c r="EN81" s="5"/>
      <c r="EO81" s="5"/>
      <c r="EP81" s="5"/>
      <c r="EQ81" s="5"/>
      <c r="ER81" s="5"/>
      <c r="ES81" s="5"/>
      <c r="ET81" s="5"/>
      <c r="EU81" s="5"/>
      <c r="EV81" s="5"/>
      <c r="EW81" s="5"/>
      <c r="EX81" s="5"/>
      <c r="EY81" s="5"/>
      <c r="EZ81" s="5"/>
      <c r="FA81" s="5"/>
      <c r="FB81" s="5"/>
      <c r="FC81" s="5"/>
      <c r="FD81" s="5"/>
      <c r="FE81" s="5"/>
      <c r="FF81" s="5"/>
      <c r="FG81" s="5"/>
      <c r="FH81" s="5"/>
      <c r="FI81" s="5"/>
      <c r="FJ81" s="5"/>
      <c r="FK81" s="5"/>
      <c r="FL81" s="5"/>
      <c r="FM81" s="5"/>
      <c r="FN81" s="5"/>
      <c r="FO81" s="5"/>
      <c r="FP81" s="5"/>
      <c r="FQ81" s="5"/>
      <c r="FR81" s="5"/>
      <c r="FS81" s="5"/>
      <c r="FT81" s="5"/>
      <c r="FU81" s="5"/>
      <c r="FV81" s="5"/>
      <c r="FW81" s="5"/>
      <c r="FX81" s="5"/>
      <c r="FY81" s="5"/>
      <c r="FZ81" s="5"/>
      <c r="GA81" s="5"/>
      <c r="GB81" s="5"/>
      <c r="GC81" s="5"/>
      <c r="GD81" s="5"/>
      <c r="GE81" s="5"/>
      <c r="GF81" s="5"/>
      <c r="GG81" s="5"/>
      <c r="GH81" s="5"/>
      <c r="GI81" s="5"/>
      <c r="GJ81" s="5"/>
      <c r="GK81" s="5"/>
      <c r="GL81" s="5"/>
      <c r="GM81" s="5"/>
      <c r="GN81" s="5"/>
      <c r="GO81" s="5"/>
      <c r="GP81" s="5"/>
      <c r="GQ81" s="5"/>
      <c r="GR81" s="5"/>
      <c r="GS81" s="5"/>
      <c r="GT81" s="5"/>
      <c r="GU81" s="5"/>
      <c r="GV81" s="5"/>
      <c r="GW81" s="5"/>
      <c r="GX81" s="5"/>
      <c r="GY81" s="5"/>
      <c r="GZ81" s="5"/>
      <c r="HA81" s="5"/>
      <c r="HB81" s="5"/>
      <c r="HC81" s="5"/>
      <c r="HD81" s="5"/>
      <c r="HE81" s="5"/>
      <c r="HF81" s="5"/>
      <c r="HG81" s="5"/>
      <c r="HH81" s="5"/>
      <c r="HI81" s="5"/>
      <c r="HJ81" s="5"/>
      <c r="HK81" s="5"/>
      <c r="HL81" s="5"/>
      <c r="HM81" s="5"/>
      <c r="HN81" s="5"/>
      <c r="HO81" s="5"/>
      <c r="HP81" s="5"/>
      <c r="HQ81" s="5"/>
      <c r="HR81" s="5"/>
      <c r="HS81" s="5"/>
      <c r="HT81" s="5"/>
      <c r="HU81" s="5"/>
      <c r="HV81" s="5"/>
      <c r="HW81" s="5"/>
      <c r="HX81" s="5"/>
      <c r="HY81" s="5"/>
      <c r="HZ81" s="5"/>
      <c r="IA81" s="5"/>
      <c r="IB81" s="5"/>
      <c r="IC81" s="5"/>
      <c r="ID81" s="5"/>
      <c r="IE81" s="5"/>
      <c r="IF81" s="5"/>
      <c r="IG81" s="5"/>
      <c r="IH81" s="5"/>
      <c r="II81" s="5"/>
      <c r="IJ81" s="5"/>
      <c r="IK81" s="5"/>
      <c r="IL81" s="5"/>
      <c r="IM81" s="5"/>
      <c r="IN81" s="5"/>
      <c r="IO81" s="5"/>
      <c r="IP81" s="5"/>
      <c r="IQ81" s="5"/>
      <c r="IR81" s="5"/>
      <c r="IS81" s="5"/>
      <c r="IT81" s="5"/>
      <c r="IU81" s="5"/>
      <c r="IV81" s="5"/>
      <c r="IW81" s="5"/>
      <c r="IX81" s="5"/>
      <c r="IY81" s="5"/>
      <c r="IZ81" s="5"/>
      <c r="JA81" s="5"/>
      <c r="JB81" s="5"/>
      <c r="JC81" s="5"/>
      <c r="JD81" s="5"/>
      <c r="JE81" s="5"/>
      <c r="JF81" s="5"/>
      <c r="JG81" s="5"/>
      <c r="JH81" s="5"/>
      <c r="JI81" s="5"/>
      <c r="JJ81" s="5"/>
      <c r="JK81" s="5"/>
      <c r="JL81" s="5"/>
      <c r="JM81" s="5"/>
      <c r="JN81" s="5"/>
      <c r="JO81" s="5"/>
      <c r="JP81" s="5"/>
      <c r="JQ81" s="5"/>
      <c r="JR81" s="5"/>
      <c r="JS81" s="5"/>
      <c r="JT81" s="5"/>
      <c r="JU81" s="5"/>
      <c r="JV81" s="5"/>
      <c r="JW81" s="5"/>
      <c r="JX81" s="5"/>
      <c r="JY81" s="5"/>
      <c r="JZ81" s="5"/>
      <c r="KA81" s="5"/>
      <c r="KB81" s="5"/>
      <c r="KC81" s="5"/>
      <c r="KD81" s="5"/>
      <c r="KE81" s="5"/>
      <c r="KF81" s="5"/>
      <c r="KG81" s="5"/>
      <c r="KH81" s="5"/>
      <c r="KI81" s="5"/>
      <c r="KJ81" s="5"/>
      <c r="KK81" s="5"/>
      <c r="KL81" s="5"/>
      <c r="KM81" s="5"/>
      <c r="KN81" s="5"/>
      <c r="KO81" s="5"/>
      <c r="KP81" s="5"/>
      <c r="KQ81" s="5"/>
      <c r="KR81" s="5"/>
      <c r="KS81" s="5"/>
      <c r="KT81" s="5"/>
      <c r="KU81" s="5"/>
      <c r="KV81" s="5"/>
      <c r="KW81" s="5"/>
      <c r="KX81" s="5"/>
      <c r="KY81" s="5"/>
      <c r="KZ81" s="5"/>
      <c r="LA81" s="5"/>
      <c r="LB81" s="5"/>
      <c r="LC81" s="5"/>
      <c r="LD81" s="5"/>
      <c r="LE81" s="5"/>
      <c r="LF81" s="5"/>
      <c r="LG81" s="5"/>
      <c r="LH81" s="5"/>
      <c r="LI81" s="5"/>
      <c r="LJ81" s="5"/>
      <c r="LK81" s="5"/>
      <c r="LL81" s="5"/>
      <c r="LM81" s="5"/>
      <c r="LN81" s="5"/>
      <c r="LO81" s="5"/>
      <c r="LP81" s="5"/>
      <c r="LQ81" s="5"/>
      <c r="LR81" s="5"/>
      <c r="LS81" s="5"/>
      <c r="LT81" s="5"/>
      <c r="LU81" s="5"/>
      <c r="LV81" s="5"/>
      <c r="LW81" s="5"/>
      <c r="LX81" s="5"/>
      <c r="LY81" s="5"/>
      <c r="LZ81" s="5"/>
      <c r="MA81" s="5"/>
      <c r="MB81" s="5"/>
      <c r="MC81" s="5"/>
      <c r="MD81" s="5"/>
      <c r="ME81" s="5"/>
      <c r="MF81" s="5"/>
      <c r="MG81" s="5"/>
      <c r="MH81" s="5"/>
      <c r="MI81" s="5"/>
      <c r="MJ81" s="5"/>
      <c r="MK81" s="5"/>
      <c r="ML81" s="5"/>
      <c r="MM81" s="5"/>
      <c r="MN81" s="5"/>
      <c r="MO81" s="5"/>
      <c r="MP81" s="5"/>
      <c r="MQ81" s="5"/>
      <c r="MR81" s="5"/>
      <c r="MS81" s="5"/>
      <c r="MT81" s="5"/>
      <c r="MU81" s="5"/>
      <c r="MV81" s="5"/>
      <c r="MW81" s="5"/>
      <c r="MX81" s="5"/>
      <c r="MY81" s="5"/>
      <c r="MZ81" s="5"/>
      <c r="NA81" s="5"/>
      <c r="NB81" s="5"/>
      <c r="NC81" s="5"/>
      <c r="ND81" s="5"/>
      <c r="NE81" s="5"/>
      <c r="NF81" s="5"/>
      <c r="NG81" s="5"/>
      <c r="NH81" s="5"/>
      <c r="NI81" s="5"/>
      <c r="NJ81" s="5"/>
      <c r="NK81" s="5"/>
      <c r="NL81" s="5"/>
      <c r="NM81" s="5"/>
      <c r="NN81" s="5"/>
      <c r="NO81" s="5"/>
      <c r="NP81" s="5"/>
      <c r="NQ81" s="5"/>
      <c r="NR81" s="5"/>
      <c r="NS81" s="5"/>
      <c r="NT81" s="5"/>
      <c r="NU81" s="5"/>
      <c r="NV81" s="5"/>
      <c r="NW81" s="5"/>
      <c r="NX81" s="5"/>
      <c r="NY81" s="5"/>
      <c r="NZ81" s="5"/>
      <c r="OA81" s="5"/>
      <c r="OB81" s="5"/>
      <c r="OC81" s="5"/>
      <c r="OD81" s="5"/>
      <c r="OE81" s="5"/>
      <c r="OF81" s="5"/>
      <c r="OG81" s="5"/>
      <c r="OH81" s="5"/>
      <c r="OI81" s="5"/>
      <c r="OJ81" s="5"/>
      <c r="OK81" s="5"/>
      <c r="OL81" s="5"/>
      <c r="OM81" s="5"/>
      <c r="ON81" s="5"/>
      <c r="OO81" s="5"/>
      <c r="OP81" s="5"/>
      <c r="OQ81" s="5"/>
      <c r="OR81" s="5"/>
      <c r="OS81" s="5"/>
      <c r="OT81" s="5"/>
      <c r="OU81" s="5"/>
      <c r="OV81" s="5"/>
      <c r="OW81" s="5"/>
      <c r="OX81" s="5"/>
      <c r="OY81" s="5"/>
      <c r="OZ81" s="5"/>
      <c r="PA81" s="5"/>
      <c r="PB81" s="5"/>
      <c r="PC81" s="5"/>
      <c r="PD81" s="5"/>
      <c r="PE81" s="5"/>
      <c r="PF81" s="5"/>
      <c r="PG81" s="5"/>
      <c r="PH81" s="5"/>
      <c r="PI81" s="5"/>
      <c r="PJ81" s="5"/>
      <c r="PK81" s="5"/>
      <c r="PL81" s="5"/>
      <c r="PM81" s="5"/>
      <c r="PN81" s="5"/>
      <c r="PO81" s="5"/>
      <c r="PP81" s="5"/>
      <c r="PQ81" s="5"/>
      <c r="PR81" s="5"/>
      <c r="PS81" s="5"/>
      <c r="PT81" s="5"/>
      <c r="PU81" s="5"/>
      <c r="PV81" s="5"/>
      <c r="PW81" s="5"/>
      <c r="PX81" s="5"/>
      <c r="PY81" s="5"/>
      <c r="PZ81" s="5"/>
      <c r="QA81" s="5"/>
      <c r="QB81" s="5"/>
      <c r="QC81" s="5"/>
      <c r="QD81" s="5"/>
      <c r="QE81" s="5"/>
      <c r="QF81" s="5"/>
      <c r="QG81" s="5"/>
      <c r="QH81" s="5"/>
      <c r="QI81" s="5"/>
      <c r="QJ81" s="5"/>
      <c r="QK81" s="5"/>
      <c r="QL81" s="5"/>
      <c r="QM81" s="5"/>
      <c r="QN81" s="5"/>
      <c r="QO81" s="5"/>
      <c r="QP81" s="5"/>
      <c r="QQ81" s="5"/>
      <c r="QR81" s="5"/>
      <c r="QS81" s="5"/>
      <c r="QT81" s="5"/>
      <c r="QU81" s="5"/>
      <c r="QV81" s="5"/>
      <c r="QW81" s="5"/>
      <c r="QX81" s="5"/>
      <c r="QY81" s="5"/>
      <c r="QZ81" s="5"/>
      <c r="RA81" s="5"/>
      <c r="RB81" s="5"/>
      <c r="RC81" s="5"/>
      <c r="RD81" s="5"/>
      <c r="RE81" s="5"/>
      <c r="RF81" s="5"/>
      <c r="RG81" s="5"/>
      <c r="RH81" s="5"/>
      <c r="RI81" s="5"/>
      <c r="RJ81" s="5"/>
      <c r="RK81" s="5"/>
      <c r="RL81" s="5"/>
      <c r="RM81" s="5"/>
      <c r="RN81" s="5"/>
      <c r="RO81" s="5"/>
      <c r="RP81" s="5"/>
      <c r="RQ81" s="5"/>
      <c r="RR81" s="5"/>
      <c r="RS81" s="5"/>
      <c r="RT81" s="5"/>
      <c r="RU81" s="5"/>
      <c r="RV81" s="5"/>
      <c r="RW81" s="5"/>
      <c r="RX81" s="5"/>
      <c r="RY81" s="5"/>
      <c r="RZ81" s="5"/>
      <c r="SA81" s="5"/>
      <c r="SB81" s="5"/>
      <c r="SC81" s="5"/>
      <c r="SD81" s="5"/>
      <c r="SE81" s="5"/>
      <c r="SF81" s="5"/>
      <c r="SG81" s="5"/>
      <c r="SH81" s="5"/>
      <c r="SI81" s="5"/>
      <c r="SJ81" s="5"/>
      <c r="SK81" s="5"/>
      <c r="SL81" s="5"/>
      <c r="SM81" s="5"/>
      <c r="SN81" s="5"/>
      <c r="SO81" s="5"/>
      <c r="SP81" s="5"/>
      <c r="SQ81" s="5"/>
      <c r="SR81" s="5"/>
      <c r="SS81" s="5"/>
      <c r="ST81" s="5"/>
      <c r="SU81" s="5"/>
      <c r="SV81" s="5"/>
      <c r="SW81" s="5"/>
      <c r="SX81" s="5"/>
      <c r="SY81" s="5"/>
      <c r="SZ81" s="5"/>
      <c r="TA81" s="5"/>
      <c r="TB81" s="5"/>
      <c r="TC81" s="5"/>
      <c r="TD81" s="5"/>
      <c r="TE81" s="5"/>
      <c r="TF81" s="5"/>
      <c r="TG81" s="5"/>
      <c r="TH81" s="5"/>
      <c r="TI81" s="5"/>
      <c r="TJ81" s="5"/>
      <c r="TK81" s="5"/>
      <c r="TL81" s="5"/>
      <c r="TM81" s="5"/>
      <c r="TN81" s="5"/>
      <c r="TO81" s="5"/>
      <c r="TP81" s="5"/>
      <c r="TQ81" s="5"/>
      <c r="TR81" s="5"/>
      <c r="TS81" s="5"/>
      <c r="TT81" s="5"/>
      <c r="TU81" s="5"/>
      <c r="TV81" s="5"/>
      <c r="TW81" s="5"/>
      <c r="TX81" s="5"/>
      <c r="TY81" s="5"/>
      <c r="TZ81" s="5"/>
      <c r="UA81" s="5"/>
      <c r="UB81" s="5"/>
      <c r="UC81" s="5"/>
      <c r="UD81" s="5"/>
      <c r="UE81" s="5"/>
      <c r="UF81" s="5"/>
      <c r="UG81" s="5"/>
      <c r="UH81" s="5"/>
      <c r="UI81" s="5"/>
      <c r="UJ81" s="5"/>
      <c r="UK81" s="5"/>
      <c r="UL81" s="5"/>
      <c r="UM81" s="5"/>
      <c r="UN81" s="5"/>
      <c r="UO81" s="5"/>
      <c r="UP81" s="5"/>
      <c r="UQ81" s="5"/>
      <c r="UR81" s="5"/>
      <c r="US81" s="5"/>
      <c r="UT81" s="5"/>
      <c r="UU81" s="5"/>
      <c r="UV81" s="5"/>
      <c r="UW81" s="5"/>
      <c r="UX81" s="5"/>
      <c r="UY81" s="5"/>
      <c r="UZ81" s="5"/>
      <c r="VA81" s="5"/>
      <c r="VB81" s="5"/>
      <c r="VC81" s="5"/>
      <c r="VD81" s="5"/>
      <c r="VE81" s="5"/>
      <c r="VF81" s="5"/>
      <c r="VG81" s="5"/>
      <c r="VH81" s="5"/>
      <c r="VI81" s="5"/>
      <c r="VJ81" s="5"/>
      <c r="VK81" s="5"/>
      <c r="VL81" s="5"/>
      <c r="VM81" s="5"/>
      <c r="VN81" s="5"/>
      <c r="VO81" s="5"/>
      <c r="VP81" s="5"/>
      <c r="VQ81" s="5"/>
      <c r="VR81" s="5"/>
      <c r="VS81" s="5"/>
      <c r="VT81" s="5"/>
      <c r="VU81" s="5"/>
      <c r="VV81" s="5"/>
      <c r="VW81" s="5"/>
      <c r="VX81" s="5"/>
      <c r="VY81" s="5"/>
      <c r="VZ81" s="5"/>
      <c r="WA81" s="5"/>
      <c r="WB81" s="5"/>
      <c r="WC81" s="5"/>
      <c r="WD81" s="5"/>
      <c r="WE81" s="5"/>
      <c r="WF81" s="5"/>
      <c r="WG81" s="5"/>
      <c r="WH81" s="5"/>
      <c r="WI81" s="5"/>
      <c r="WJ81" s="5"/>
      <c r="WK81" s="5"/>
      <c r="WL81" s="5"/>
      <c r="WM81" s="5"/>
      <c r="WN81" s="5"/>
      <c r="WO81" s="5"/>
      <c r="WP81" s="5"/>
      <c r="WQ81" s="5"/>
      <c r="WR81" s="5"/>
      <c r="WS81" s="5"/>
      <c r="WT81" s="5"/>
      <c r="WU81" s="5"/>
      <c r="WV81" s="5"/>
      <c r="WW81" s="5"/>
      <c r="WX81" s="5"/>
      <c r="WY81" s="5"/>
      <c r="WZ81" s="5"/>
      <c r="XA81" s="5"/>
      <c r="XB81" s="5"/>
      <c r="XC81" s="5"/>
      <c r="XD81" s="5"/>
      <c r="XE81" s="5"/>
      <c r="XF81" s="5"/>
      <c r="XG81" s="5"/>
      <c r="XH81" s="5"/>
      <c r="XI81" s="5"/>
      <c r="XJ81" s="5"/>
      <c r="XK81" s="5"/>
      <c r="XL81" s="5"/>
      <c r="XM81" s="5"/>
      <c r="XN81" s="5"/>
      <c r="XO81" s="5"/>
      <c r="XP81" s="5"/>
      <c r="XQ81" s="5"/>
      <c r="XR81" s="5"/>
      <c r="XS81" s="5"/>
      <c r="XT81" s="5"/>
      <c r="XU81" s="5"/>
      <c r="XV81" s="5"/>
      <c r="XW81" s="5"/>
      <c r="XX81" s="5"/>
      <c r="XY81" s="5"/>
      <c r="XZ81" s="5"/>
      <c r="YA81" s="5"/>
      <c r="YB81" s="5"/>
      <c r="YC81" s="5"/>
      <c r="YD81" s="5"/>
      <c r="YE81" s="5"/>
      <c r="YF81" s="5"/>
      <c r="YG81" s="5"/>
      <c r="YH81" s="5"/>
      <c r="YI81" s="5"/>
      <c r="YJ81" s="5"/>
      <c r="YK81" s="5"/>
      <c r="YL81" s="5"/>
      <c r="YM81" s="5"/>
      <c r="YN81" s="5"/>
      <c r="YO81" s="5"/>
      <c r="YP81" s="5"/>
      <c r="YQ81" s="5"/>
      <c r="YR81" s="5"/>
      <c r="YS81" s="5"/>
      <c r="YT81" s="5"/>
      <c r="YU81" s="5"/>
      <c r="YV81" s="5"/>
      <c r="YW81" s="5"/>
      <c r="YX81" s="5"/>
      <c r="YY81" s="5"/>
      <c r="YZ81" s="5"/>
    </row>
    <row r="82" spans="1:676">
      <c r="A82" s="7">
        <v>72</v>
      </c>
      <c r="B82" s="7" t="s">
        <v>214</v>
      </c>
      <c r="C82" s="10" t="s">
        <v>215</v>
      </c>
      <c r="D82" s="7" t="s">
        <v>40</v>
      </c>
      <c r="E82" s="7" t="s">
        <v>78</v>
      </c>
      <c r="F82" s="7" t="s">
        <v>162</v>
      </c>
      <c r="G82" s="7"/>
      <c r="H82" s="7" t="s">
        <v>79</v>
      </c>
      <c r="I82" s="11">
        <v>2</v>
      </c>
      <c r="J82" s="11">
        <v>3</v>
      </c>
      <c r="K82" s="11">
        <v>0</v>
      </c>
      <c r="L82" s="11">
        <v>3.440000000000002</v>
      </c>
      <c r="M82" s="11">
        <v>0.08</v>
      </c>
      <c r="N82" s="11">
        <v>0</v>
      </c>
      <c r="O82" s="11">
        <v>0.2</v>
      </c>
      <c r="P82" s="11">
        <v>0.9700000000000001</v>
      </c>
      <c r="Q82" s="11">
        <v>4.690000000000003</v>
      </c>
      <c r="R82" s="11">
        <v>8.260000000000005</v>
      </c>
      <c r="S82" s="11">
        <v>12.95000000000001</v>
      </c>
      <c r="T82" s="11">
        <v>2</v>
      </c>
      <c r="U82" s="11">
        <v>3</v>
      </c>
      <c r="V82" s="11">
        <v>7.950000000000008</v>
      </c>
      <c r="W82" s="13">
        <v>6</v>
      </c>
      <c r="X82" s="13">
        <v>9</v>
      </c>
      <c r="Y82" s="13" t="str">
        <f>MIN(W82,S82)</f>
        <v>0</v>
      </c>
      <c r="Z82" s="13" t="str">
        <f>MIN(X82,(S82-Y82))</f>
        <v>0</v>
      </c>
      <c r="AA82" s="13" t="str">
        <f>S82-SUM(Y82,Z82)</f>
        <v>0</v>
      </c>
      <c r="AB82" s="15"/>
      <c r="AC82" s="15"/>
      <c r="AD82" s="1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  <c r="CZ82" s="5"/>
      <c r="DA82" s="5"/>
      <c r="DB82" s="5"/>
      <c r="DC82" s="5"/>
      <c r="DD82" s="5"/>
      <c r="DE82" s="5"/>
      <c r="DF82" s="5"/>
      <c r="DG82" s="5"/>
      <c r="DH82" s="5"/>
      <c r="DI82" s="5"/>
      <c r="DJ82" s="5"/>
      <c r="DK82" s="5"/>
      <c r="DL82" s="5"/>
      <c r="DM82" s="5"/>
      <c r="DN82" s="5"/>
      <c r="DO82" s="5"/>
      <c r="DP82" s="5"/>
      <c r="DQ82" s="5"/>
      <c r="DR82" s="5"/>
      <c r="DS82" s="5"/>
      <c r="DT82" s="5"/>
      <c r="DU82" s="5"/>
      <c r="DV82" s="5"/>
      <c r="DW82" s="5"/>
      <c r="DX82" s="5"/>
      <c r="DY82" s="5"/>
      <c r="DZ82" s="5"/>
      <c r="EA82" s="5"/>
      <c r="EB82" s="5"/>
      <c r="EC82" s="5"/>
      <c r="ED82" s="5"/>
      <c r="EE82" s="5"/>
      <c r="EF82" s="5"/>
      <c r="EG82" s="5"/>
      <c r="EH82" s="5"/>
      <c r="EI82" s="5"/>
      <c r="EJ82" s="5"/>
      <c r="EK82" s="5"/>
      <c r="EL82" s="5"/>
      <c r="EM82" s="5"/>
      <c r="EN82" s="5"/>
      <c r="EO82" s="5"/>
      <c r="EP82" s="5"/>
      <c r="EQ82" s="5"/>
      <c r="ER82" s="5"/>
      <c r="ES82" s="5"/>
      <c r="ET82" s="5"/>
      <c r="EU82" s="5"/>
      <c r="EV82" s="5"/>
      <c r="EW82" s="5"/>
      <c r="EX82" s="5"/>
      <c r="EY82" s="5"/>
      <c r="EZ82" s="5"/>
      <c r="FA82" s="5"/>
      <c r="FB82" s="5"/>
      <c r="FC82" s="5"/>
      <c r="FD82" s="5"/>
      <c r="FE82" s="5"/>
      <c r="FF82" s="5"/>
      <c r="FG82" s="5"/>
      <c r="FH82" s="5"/>
      <c r="FI82" s="5"/>
      <c r="FJ82" s="5"/>
      <c r="FK82" s="5"/>
      <c r="FL82" s="5"/>
      <c r="FM82" s="5"/>
      <c r="FN82" s="5"/>
      <c r="FO82" s="5"/>
      <c r="FP82" s="5"/>
      <c r="FQ82" s="5"/>
      <c r="FR82" s="5"/>
      <c r="FS82" s="5"/>
      <c r="FT82" s="5"/>
      <c r="FU82" s="5"/>
      <c r="FV82" s="5"/>
      <c r="FW82" s="5"/>
      <c r="FX82" s="5"/>
      <c r="FY82" s="5"/>
      <c r="FZ82" s="5"/>
      <c r="GA82" s="5"/>
      <c r="GB82" s="5"/>
      <c r="GC82" s="5"/>
      <c r="GD82" s="5"/>
      <c r="GE82" s="5"/>
      <c r="GF82" s="5"/>
      <c r="GG82" s="5"/>
      <c r="GH82" s="5"/>
      <c r="GI82" s="5"/>
      <c r="GJ82" s="5"/>
      <c r="GK82" s="5"/>
      <c r="GL82" s="5"/>
      <c r="GM82" s="5"/>
      <c r="GN82" s="5"/>
      <c r="GO82" s="5"/>
      <c r="GP82" s="5"/>
      <c r="GQ82" s="5"/>
      <c r="GR82" s="5"/>
      <c r="GS82" s="5"/>
      <c r="GT82" s="5"/>
      <c r="GU82" s="5"/>
      <c r="GV82" s="5"/>
      <c r="GW82" s="5"/>
      <c r="GX82" s="5"/>
      <c r="GY82" s="5"/>
      <c r="GZ82" s="5"/>
      <c r="HA82" s="5"/>
      <c r="HB82" s="5"/>
      <c r="HC82" s="5"/>
      <c r="HD82" s="5"/>
      <c r="HE82" s="5"/>
      <c r="HF82" s="5"/>
      <c r="HG82" s="5"/>
      <c r="HH82" s="5"/>
      <c r="HI82" s="5"/>
      <c r="HJ82" s="5"/>
      <c r="HK82" s="5"/>
      <c r="HL82" s="5"/>
      <c r="HM82" s="5"/>
      <c r="HN82" s="5"/>
      <c r="HO82" s="5"/>
      <c r="HP82" s="5"/>
      <c r="HQ82" s="5"/>
      <c r="HR82" s="5"/>
      <c r="HS82" s="5"/>
      <c r="HT82" s="5"/>
      <c r="HU82" s="5"/>
      <c r="HV82" s="5"/>
      <c r="HW82" s="5"/>
      <c r="HX82" s="5"/>
      <c r="HY82" s="5"/>
      <c r="HZ82" s="5"/>
      <c r="IA82" s="5"/>
      <c r="IB82" s="5"/>
      <c r="IC82" s="5"/>
      <c r="ID82" s="5"/>
      <c r="IE82" s="5"/>
      <c r="IF82" s="5"/>
      <c r="IG82" s="5"/>
      <c r="IH82" s="5"/>
      <c r="II82" s="5"/>
      <c r="IJ82" s="5"/>
      <c r="IK82" s="5"/>
      <c r="IL82" s="5"/>
      <c r="IM82" s="5"/>
      <c r="IN82" s="5"/>
      <c r="IO82" s="5"/>
      <c r="IP82" s="5"/>
      <c r="IQ82" s="5"/>
      <c r="IR82" s="5"/>
      <c r="IS82" s="5"/>
      <c r="IT82" s="5"/>
      <c r="IU82" s="5"/>
      <c r="IV82" s="5"/>
      <c r="IW82" s="5"/>
      <c r="IX82" s="5"/>
      <c r="IY82" s="5"/>
      <c r="IZ82" s="5"/>
      <c r="JA82" s="5"/>
      <c r="JB82" s="5"/>
      <c r="JC82" s="5"/>
      <c r="JD82" s="5"/>
      <c r="JE82" s="5"/>
      <c r="JF82" s="5"/>
      <c r="JG82" s="5"/>
      <c r="JH82" s="5"/>
      <c r="JI82" s="5"/>
      <c r="JJ82" s="5"/>
      <c r="JK82" s="5"/>
      <c r="JL82" s="5"/>
      <c r="JM82" s="5"/>
      <c r="JN82" s="5"/>
      <c r="JO82" s="5"/>
      <c r="JP82" s="5"/>
      <c r="JQ82" s="5"/>
      <c r="JR82" s="5"/>
      <c r="JS82" s="5"/>
      <c r="JT82" s="5"/>
      <c r="JU82" s="5"/>
      <c r="JV82" s="5"/>
      <c r="JW82" s="5"/>
      <c r="JX82" s="5"/>
      <c r="JY82" s="5"/>
      <c r="JZ82" s="5"/>
      <c r="KA82" s="5"/>
      <c r="KB82" s="5"/>
      <c r="KC82" s="5"/>
      <c r="KD82" s="5"/>
      <c r="KE82" s="5"/>
      <c r="KF82" s="5"/>
      <c r="KG82" s="5"/>
      <c r="KH82" s="5"/>
      <c r="KI82" s="5"/>
      <c r="KJ82" s="5"/>
      <c r="KK82" s="5"/>
      <c r="KL82" s="5"/>
      <c r="KM82" s="5"/>
      <c r="KN82" s="5"/>
      <c r="KO82" s="5"/>
      <c r="KP82" s="5"/>
      <c r="KQ82" s="5"/>
      <c r="KR82" s="5"/>
      <c r="KS82" s="5"/>
      <c r="KT82" s="5"/>
      <c r="KU82" s="5"/>
      <c r="KV82" s="5"/>
      <c r="KW82" s="5"/>
      <c r="KX82" s="5"/>
      <c r="KY82" s="5"/>
      <c r="KZ82" s="5"/>
      <c r="LA82" s="5"/>
      <c r="LB82" s="5"/>
      <c r="LC82" s="5"/>
      <c r="LD82" s="5"/>
      <c r="LE82" s="5"/>
      <c r="LF82" s="5"/>
      <c r="LG82" s="5"/>
      <c r="LH82" s="5"/>
      <c r="LI82" s="5"/>
      <c r="LJ82" s="5"/>
      <c r="LK82" s="5"/>
      <c r="LL82" s="5"/>
      <c r="LM82" s="5"/>
      <c r="LN82" s="5"/>
      <c r="LO82" s="5"/>
      <c r="LP82" s="5"/>
      <c r="LQ82" s="5"/>
      <c r="LR82" s="5"/>
      <c r="LS82" s="5"/>
      <c r="LT82" s="5"/>
      <c r="LU82" s="5"/>
      <c r="LV82" s="5"/>
      <c r="LW82" s="5"/>
      <c r="LX82" s="5"/>
      <c r="LY82" s="5"/>
      <c r="LZ82" s="5"/>
      <c r="MA82" s="5"/>
      <c r="MB82" s="5"/>
      <c r="MC82" s="5"/>
      <c r="MD82" s="5"/>
      <c r="ME82" s="5"/>
      <c r="MF82" s="5"/>
      <c r="MG82" s="5"/>
      <c r="MH82" s="5"/>
      <c r="MI82" s="5"/>
      <c r="MJ82" s="5"/>
      <c r="MK82" s="5"/>
      <c r="ML82" s="5"/>
      <c r="MM82" s="5"/>
      <c r="MN82" s="5"/>
      <c r="MO82" s="5"/>
      <c r="MP82" s="5"/>
      <c r="MQ82" s="5"/>
      <c r="MR82" s="5"/>
      <c r="MS82" s="5"/>
      <c r="MT82" s="5"/>
      <c r="MU82" s="5"/>
      <c r="MV82" s="5"/>
      <c r="MW82" s="5"/>
      <c r="MX82" s="5"/>
      <c r="MY82" s="5"/>
      <c r="MZ82" s="5"/>
      <c r="NA82" s="5"/>
      <c r="NB82" s="5"/>
      <c r="NC82" s="5"/>
      <c r="ND82" s="5"/>
      <c r="NE82" s="5"/>
      <c r="NF82" s="5"/>
      <c r="NG82" s="5"/>
      <c r="NH82" s="5"/>
      <c r="NI82" s="5"/>
      <c r="NJ82" s="5"/>
      <c r="NK82" s="5"/>
      <c r="NL82" s="5"/>
      <c r="NM82" s="5"/>
      <c r="NN82" s="5"/>
      <c r="NO82" s="5"/>
      <c r="NP82" s="5"/>
      <c r="NQ82" s="5"/>
      <c r="NR82" s="5"/>
      <c r="NS82" s="5"/>
      <c r="NT82" s="5"/>
      <c r="NU82" s="5"/>
      <c r="NV82" s="5"/>
      <c r="NW82" s="5"/>
      <c r="NX82" s="5"/>
      <c r="NY82" s="5"/>
      <c r="NZ82" s="5"/>
      <c r="OA82" s="5"/>
      <c r="OB82" s="5"/>
      <c r="OC82" s="5"/>
      <c r="OD82" s="5"/>
      <c r="OE82" s="5"/>
      <c r="OF82" s="5"/>
      <c r="OG82" s="5"/>
      <c r="OH82" s="5"/>
      <c r="OI82" s="5"/>
      <c r="OJ82" s="5"/>
      <c r="OK82" s="5"/>
      <c r="OL82" s="5"/>
      <c r="OM82" s="5"/>
      <c r="ON82" s="5"/>
      <c r="OO82" s="5"/>
      <c r="OP82" s="5"/>
      <c r="OQ82" s="5"/>
      <c r="OR82" s="5"/>
      <c r="OS82" s="5"/>
      <c r="OT82" s="5"/>
      <c r="OU82" s="5"/>
      <c r="OV82" s="5"/>
      <c r="OW82" s="5"/>
      <c r="OX82" s="5"/>
      <c r="OY82" s="5"/>
      <c r="OZ82" s="5"/>
      <c r="PA82" s="5"/>
      <c r="PB82" s="5"/>
      <c r="PC82" s="5"/>
      <c r="PD82" s="5"/>
      <c r="PE82" s="5"/>
      <c r="PF82" s="5"/>
      <c r="PG82" s="5"/>
      <c r="PH82" s="5"/>
      <c r="PI82" s="5"/>
      <c r="PJ82" s="5"/>
      <c r="PK82" s="5"/>
      <c r="PL82" s="5"/>
      <c r="PM82" s="5"/>
      <c r="PN82" s="5"/>
      <c r="PO82" s="5"/>
      <c r="PP82" s="5"/>
      <c r="PQ82" s="5"/>
      <c r="PR82" s="5"/>
      <c r="PS82" s="5"/>
      <c r="PT82" s="5"/>
      <c r="PU82" s="5"/>
      <c r="PV82" s="5"/>
      <c r="PW82" s="5"/>
      <c r="PX82" s="5"/>
      <c r="PY82" s="5"/>
      <c r="PZ82" s="5"/>
      <c r="QA82" s="5"/>
      <c r="QB82" s="5"/>
      <c r="QC82" s="5"/>
      <c r="QD82" s="5"/>
      <c r="QE82" s="5"/>
      <c r="QF82" s="5"/>
      <c r="QG82" s="5"/>
      <c r="QH82" s="5"/>
      <c r="QI82" s="5"/>
      <c r="QJ82" s="5"/>
      <c r="QK82" s="5"/>
      <c r="QL82" s="5"/>
      <c r="QM82" s="5"/>
      <c r="QN82" s="5"/>
      <c r="QO82" s="5"/>
      <c r="QP82" s="5"/>
      <c r="QQ82" s="5"/>
      <c r="QR82" s="5"/>
      <c r="QS82" s="5"/>
      <c r="QT82" s="5"/>
      <c r="QU82" s="5"/>
      <c r="QV82" s="5"/>
      <c r="QW82" s="5"/>
      <c r="QX82" s="5"/>
      <c r="QY82" s="5"/>
      <c r="QZ82" s="5"/>
      <c r="RA82" s="5"/>
      <c r="RB82" s="5"/>
      <c r="RC82" s="5"/>
      <c r="RD82" s="5"/>
      <c r="RE82" s="5"/>
      <c r="RF82" s="5"/>
      <c r="RG82" s="5"/>
      <c r="RH82" s="5"/>
      <c r="RI82" s="5"/>
      <c r="RJ82" s="5"/>
      <c r="RK82" s="5"/>
      <c r="RL82" s="5"/>
      <c r="RM82" s="5"/>
      <c r="RN82" s="5"/>
      <c r="RO82" s="5"/>
      <c r="RP82" s="5"/>
      <c r="RQ82" s="5"/>
      <c r="RR82" s="5"/>
      <c r="RS82" s="5"/>
      <c r="RT82" s="5"/>
      <c r="RU82" s="5"/>
      <c r="RV82" s="5"/>
      <c r="RW82" s="5"/>
      <c r="RX82" s="5"/>
      <c r="RY82" s="5"/>
      <c r="RZ82" s="5"/>
      <c r="SA82" s="5"/>
      <c r="SB82" s="5"/>
      <c r="SC82" s="5"/>
      <c r="SD82" s="5"/>
      <c r="SE82" s="5"/>
      <c r="SF82" s="5"/>
      <c r="SG82" s="5"/>
      <c r="SH82" s="5"/>
      <c r="SI82" s="5"/>
      <c r="SJ82" s="5"/>
      <c r="SK82" s="5"/>
      <c r="SL82" s="5"/>
      <c r="SM82" s="5"/>
      <c r="SN82" s="5"/>
      <c r="SO82" s="5"/>
      <c r="SP82" s="5"/>
      <c r="SQ82" s="5"/>
      <c r="SR82" s="5"/>
      <c r="SS82" s="5"/>
      <c r="ST82" s="5"/>
      <c r="SU82" s="5"/>
      <c r="SV82" s="5"/>
      <c r="SW82" s="5"/>
      <c r="SX82" s="5"/>
      <c r="SY82" s="5"/>
      <c r="SZ82" s="5"/>
      <c r="TA82" s="5"/>
      <c r="TB82" s="5"/>
      <c r="TC82" s="5"/>
      <c r="TD82" s="5"/>
      <c r="TE82" s="5"/>
      <c r="TF82" s="5"/>
      <c r="TG82" s="5"/>
      <c r="TH82" s="5"/>
      <c r="TI82" s="5"/>
      <c r="TJ82" s="5"/>
      <c r="TK82" s="5"/>
      <c r="TL82" s="5"/>
      <c r="TM82" s="5"/>
      <c r="TN82" s="5"/>
      <c r="TO82" s="5"/>
      <c r="TP82" s="5"/>
      <c r="TQ82" s="5"/>
      <c r="TR82" s="5"/>
      <c r="TS82" s="5"/>
      <c r="TT82" s="5"/>
      <c r="TU82" s="5"/>
      <c r="TV82" s="5"/>
      <c r="TW82" s="5"/>
      <c r="TX82" s="5"/>
      <c r="TY82" s="5"/>
      <c r="TZ82" s="5"/>
      <c r="UA82" s="5"/>
      <c r="UB82" s="5"/>
      <c r="UC82" s="5"/>
      <c r="UD82" s="5"/>
      <c r="UE82" s="5"/>
      <c r="UF82" s="5"/>
      <c r="UG82" s="5"/>
      <c r="UH82" s="5"/>
      <c r="UI82" s="5"/>
      <c r="UJ82" s="5"/>
      <c r="UK82" s="5"/>
      <c r="UL82" s="5"/>
      <c r="UM82" s="5"/>
      <c r="UN82" s="5"/>
      <c r="UO82" s="5"/>
      <c r="UP82" s="5"/>
      <c r="UQ82" s="5"/>
      <c r="UR82" s="5"/>
      <c r="US82" s="5"/>
      <c r="UT82" s="5"/>
      <c r="UU82" s="5"/>
      <c r="UV82" s="5"/>
      <c r="UW82" s="5"/>
      <c r="UX82" s="5"/>
      <c r="UY82" s="5"/>
      <c r="UZ82" s="5"/>
      <c r="VA82" s="5"/>
      <c r="VB82" s="5"/>
      <c r="VC82" s="5"/>
      <c r="VD82" s="5"/>
      <c r="VE82" s="5"/>
      <c r="VF82" s="5"/>
      <c r="VG82" s="5"/>
      <c r="VH82" s="5"/>
      <c r="VI82" s="5"/>
      <c r="VJ82" s="5"/>
      <c r="VK82" s="5"/>
      <c r="VL82" s="5"/>
      <c r="VM82" s="5"/>
      <c r="VN82" s="5"/>
      <c r="VO82" s="5"/>
      <c r="VP82" s="5"/>
      <c r="VQ82" s="5"/>
      <c r="VR82" s="5"/>
      <c r="VS82" s="5"/>
      <c r="VT82" s="5"/>
      <c r="VU82" s="5"/>
      <c r="VV82" s="5"/>
      <c r="VW82" s="5"/>
      <c r="VX82" s="5"/>
      <c r="VY82" s="5"/>
      <c r="VZ82" s="5"/>
      <c r="WA82" s="5"/>
      <c r="WB82" s="5"/>
      <c r="WC82" s="5"/>
      <c r="WD82" s="5"/>
      <c r="WE82" s="5"/>
      <c r="WF82" s="5"/>
      <c r="WG82" s="5"/>
      <c r="WH82" s="5"/>
      <c r="WI82" s="5"/>
      <c r="WJ82" s="5"/>
      <c r="WK82" s="5"/>
      <c r="WL82" s="5"/>
      <c r="WM82" s="5"/>
      <c r="WN82" s="5"/>
      <c r="WO82" s="5"/>
      <c r="WP82" s="5"/>
      <c r="WQ82" s="5"/>
      <c r="WR82" s="5"/>
      <c r="WS82" s="5"/>
      <c r="WT82" s="5"/>
      <c r="WU82" s="5"/>
      <c r="WV82" s="5"/>
      <c r="WW82" s="5"/>
      <c r="WX82" s="5"/>
      <c r="WY82" s="5"/>
      <c r="WZ82" s="5"/>
      <c r="XA82" s="5"/>
      <c r="XB82" s="5"/>
      <c r="XC82" s="5"/>
      <c r="XD82" s="5"/>
      <c r="XE82" s="5"/>
      <c r="XF82" s="5"/>
      <c r="XG82" s="5"/>
      <c r="XH82" s="5"/>
      <c r="XI82" s="5"/>
      <c r="XJ82" s="5"/>
      <c r="XK82" s="5"/>
      <c r="XL82" s="5"/>
      <c r="XM82" s="5"/>
      <c r="XN82" s="5"/>
      <c r="XO82" s="5"/>
      <c r="XP82" s="5"/>
      <c r="XQ82" s="5"/>
      <c r="XR82" s="5"/>
      <c r="XS82" s="5"/>
      <c r="XT82" s="5"/>
      <c r="XU82" s="5"/>
      <c r="XV82" s="5"/>
      <c r="XW82" s="5"/>
      <c r="XX82" s="5"/>
      <c r="XY82" s="5"/>
      <c r="XZ82" s="5"/>
      <c r="YA82" s="5"/>
      <c r="YB82" s="5"/>
      <c r="YC82" s="5"/>
      <c r="YD82" s="5"/>
      <c r="YE82" s="5"/>
      <c r="YF82" s="5"/>
      <c r="YG82" s="5"/>
      <c r="YH82" s="5"/>
      <c r="YI82" s="5"/>
      <c r="YJ82" s="5"/>
      <c r="YK82" s="5"/>
      <c r="YL82" s="5"/>
      <c r="YM82" s="5"/>
      <c r="YN82" s="5"/>
      <c r="YO82" s="5"/>
      <c r="YP82" s="5"/>
      <c r="YQ82" s="5"/>
      <c r="YR82" s="5"/>
      <c r="YS82" s="5"/>
      <c r="YT82" s="5"/>
      <c r="YU82" s="5"/>
      <c r="YV82" s="5"/>
      <c r="YW82" s="5"/>
      <c r="YX82" s="5"/>
      <c r="YY82" s="5"/>
      <c r="YZ82" s="5"/>
    </row>
    <row r="83" spans="1:676">
      <c r="A83" s="7">
        <v>73</v>
      </c>
      <c r="B83" s="7" t="s">
        <v>216</v>
      </c>
      <c r="C83" s="10" t="s">
        <v>217</v>
      </c>
      <c r="D83" s="7" t="s">
        <v>46</v>
      </c>
      <c r="E83" s="7" t="s">
        <v>78</v>
      </c>
      <c r="F83" s="7" t="s">
        <v>172</v>
      </c>
      <c r="G83" s="7"/>
      <c r="H83" s="7"/>
      <c r="I83" s="11">
        <v>2</v>
      </c>
      <c r="J83" s="11">
        <v>3</v>
      </c>
      <c r="K83" s="11">
        <v>0</v>
      </c>
      <c r="L83" s="11">
        <v>1.53</v>
      </c>
      <c r="M83" s="11">
        <v>0.24</v>
      </c>
      <c r="N83" s="11">
        <v>0</v>
      </c>
      <c r="O83" s="11">
        <v>0.62</v>
      </c>
      <c r="P83" s="11">
        <v>1.82</v>
      </c>
      <c r="Q83" s="11">
        <v>4.21</v>
      </c>
      <c r="R83" s="11">
        <v>6.699999999999998</v>
      </c>
      <c r="S83" s="11">
        <v>10.91</v>
      </c>
      <c r="T83" s="11">
        <v>2</v>
      </c>
      <c r="U83" s="11">
        <v>3</v>
      </c>
      <c r="V83" s="11">
        <v>5.909999999999998</v>
      </c>
      <c r="W83" s="13">
        <v>6</v>
      </c>
      <c r="X83" s="13">
        <v>9</v>
      </c>
      <c r="Y83" s="13" t="str">
        <f>MIN(W83,S83)</f>
        <v>0</v>
      </c>
      <c r="Z83" s="13" t="str">
        <f>MIN(X83,(S83-Y83))</f>
        <v>0</v>
      </c>
      <c r="AA83" s="13" t="str">
        <f>S83-SUM(Y83,Z83)</f>
        <v>0</v>
      </c>
      <c r="AB83" s="15"/>
      <c r="AC83" s="15"/>
      <c r="AD83" s="1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  <c r="CZ83" s="5"/>
      <c r="DA83" s="5"/>
      <c r="DB83" s="5"/>
      <c r="DC83" s="5"/>
      <c r="DD83" s="5"/>
      <c r="DE83" s="5"/>
      <c r="DF83" s="5"/>
      <c r="DG83" s="5"/>
      <c r="DH83" s="5"/>
      <c r="DI83" s="5"/>
      <c r="DJ83" s="5"/>
      <c r="DK83" s="5"/>
      <c r="DL83" s="5"/>
      <c r="DM83" s="5"/>
      <c r="DN83" s="5"/>
      <c r="DO83" s="5"/>
      <c r="DP83" s="5"/>
      <c r="DQ83" s="5"/>
      <c r="DR83" s="5"/>
      <c r="DS83" s="5"/>
      <c r="DT83" s="5"/>
      <c r="DU83" s="5"/>
      <c r="DV83" s="5"/>
      <c r="DW83" s="5"/>
      <c r="DX83" s="5"/>
      <c r="DY83" s="5"/>
      <c r="DZ83" s="5"/>
      <c r="EA83" s="5"/>
      <c r="EB83" s="5"/>
      <c r="EC83" s="5"/>
      <c r="ED83" s="5"/>
      <c r="EE83" s="5"/>
      <c r="EF83" s="5"/>
      <c r="EG83" s="5"/>
      <c r="EH83" s="5"/>
      <c r="EI83" s="5"/>
      <c r="EJ83" s="5"/>
      <c r="EK83" s="5"/>
      <c r="EL83" s="5"/>
      <c r="EM83" s="5"/>
      <c r="EN83" s="5"/>
      <c r="EO83" s="5"/>
      <c r="EP83" s="5"/>
      <c r="EQ83" s="5"/>
      <c r="ER83" s="5"/>
      <c r="ES83" s="5"/>
      <c r="ET83" s="5"/>
      <c r="EU83" s="5"/>
      <c r="EV83" s="5"/>
      <c r="EW83" s="5"/>
      <c r="EX83" s="5"/>
      <c r="EY83" s="5"/>
      <c r="EZ83" s="5"/>
      <c r="FA83" s="5"/>
      <c r="FB83" s="5"/>
      <c r="FC83" s="5"/>
      <c r="FD83" s="5"/>
      <c r="FE83" s="5"/>
      <c r="FF83" s="5"/>
      <c r="FG83" s="5"/>
      <c r="FH83" s="5"/>
      <c r="FI83" s="5"/>
      <c r="FJ83" s="5"/>
      <c r="FK83" s="5"/>
      <c r="FL83" s="5"/>
      <c r="FM83" s="5"/>
      <c r="FN83" s="5"/>
      <c r="FO83" s="5"/>
      <c r="FP83" s="5"/>
      <c r="FQ83" s="5"/>
      <c r="FR83" s="5"/>
      <c r="FS83" s="5"/>
      <c r="FT83" s="5"/>
      <c r="FU83" s="5"/>
      <c r="FV83" s="5"/>
      <c r="FW83" s="5"/>
      <c r="FX83" s="5"/>
      <c r="FY83" s="5"/>
      <c r="FZ83" s="5"/>
      <c r="GA83" s="5"/>
      <c r="GB83" s="5"/>
      <c r="GC83" s="5"/>
      <c r="GD83" s="5"/>
      <c r="GE83" s="5"/>
      <c r="GF83" s="5"/>
      <c r="GG83" s="5"/>
      <c r="GH83" s="5"/>
      <c r="GI83" s="5"/>
      <c r="GJ83" s="5"/>
      <c r="GK83" s="5"/>
      <c r="GL83" s="5"/>
      <c r="GM83" s="5"/>
      <c r="GN83" s="5"/>
      <c r="GO83" s="5"/>
      <c r="GP83" s="5"/>
      <c r="GQ83" s="5"/>
      <c r="GR83" s="5"/>
      <c r="GS83" s="5"/>
      <c r="GT83" s="5"/>
      <c r="GU83" s="5"/>
      <c r="GV83" s="5"/>
      <c r="GW83" s="5"/>
      <c r="GX83" s="5"/>
      <c r="GY83" s="5"/>
      <c r="GZ83" s="5"/>
      <c r="HA83" s="5"/>
      <c r="HB83" s="5"/>
      <c r="HC83" s="5"/>
      <c r="HD83" s="5"/>
      <c r="HE83" s="5"/>
      <c r="HF83" s="5"/>
      <c r="HG83" s="5"/>
      <c r="HH83" s="5"/>
      <c r="HI83" s="5"/>
      <c r="HJ83" s="5"/>
      <c r="HK83" s="5"/>
      <c r="HL83" s="5"/>
      <c r="HM83" s="5"/>
      <c r="HN83" s="5"/>
      <c r="HO83" s="5"/>
      <c r="HP83" s="5"/>
      <c r="HQ83" s="5"/>
      <c r="HR83" s="5"/>
      <c r="HS83" s="5"/>
      <c r="HT83" s="5"/>
      <c r="HU83" s="5"/>
      <c r="HV83" s="5"/>
      <c r="HW83" s="5"/>
      <c r="HX83" s="5"/>
      <c r="HY83" s="5"/>
      <c r="HZ83" s="5"/>
      <c r="IA83" s="5"/>
      <c r="IB83" s="5"/>
      <c r="IC83" s="5"/>
      <c r="ID83" s="5"/>
      <c r="IE83" s="5"/>
      <c r="IF83" s="5"/>
      <c r="IG83" s="5"/>
      <c r="IH83" s="5"/>
      <c r="II83" s="5"/>
      <c r="IJ83" s="5"/>
      <c r="IK83" s="5"/>
      <c r="IL83" s="5"/>
      <c r="IM83" s="5"/>
      <c r="IN83" s="5"/>
      <c r="IO83" s="5"/>
      <c r="IP83" s="5"/>
      <c r="IQ83" s="5"/>
      <c r="IR83" s="5"/>
      <c r="IS83" s="5"/>
      <c r="IT83" s="5"/>
      <c r="IU83" s="5"/>
      <c r="IV83" s="5"/>
      <c r="IW83" s="5"/>
      <c r="IX83" s="5"/>
      <c r="IY83" s="5"/>
      <c r="IZ83" s="5"/>
      <c r="JA83" s="5"/>
      <c r="JB83" s="5"/>
      <c r="JC83" s="5"/>
      <c r="JD83" s="5"/>
      <c r="JE83" s="5"/>
      <c r="JF83" s="5"/>
      <c r="JG83" s="5"/>
      <c r="JH83" s="5"/>
      <c r="JI83" s="5"/>
      <c r="JJ83" s="5"/>
      <c r="JK83" s="5"/>
      <c r="JL83" s="5"/>
      <c r="JM83" s="5"/>
      <c r="JN83" s="5"/>
      <c r="JO83" s="5"/>
      <c r="JP83" s="5"/>
      <c r="JQ83" s="5"/>
      <c r="JR83" s="5"/>
      <c r="JS83" s="5"/>
      <c r="JT83" s="5"/>
      <c r="JU83" s="5"/>
      <c r="JV83" s="5"/>
      <c r="JW83" s="5"/>
      <c r="JX83" s="5"/>
      <c r="JY83" s="5"/>
      <c r="JZ83" s="5"/>
      <c r="KA83" s="5"/>
      <c r="KB83" s="5"/>
      <c r="KC83" s="5"/>
      <c r="KD83" s="5"/>
      <c r="KE83" s="5"/>
      <c r="KF83" s="5"/>
      <c r="KG83" s="5"/>
      <c r="KH83" s="5"/>
      <c r="KI83" s="5"/>
      <c r="KJ83" s="5"/>
      <c r="KK83" s="5"/>
      <c r="KL83" s="5"/>
      <c r="KM83" s="5"/>
      <c r="KN83" s="5"/>
      <c r="KO83" s="5"/>
      <c r="KP83" s="5"/>
      <c r="KQ83" s="5"/>
      <c r="KR83" s="5"/>
      <c r="KS83" s="5"/>
      <c r="KT83" s="5"/>
      <c r="KU83" s="5"/>
      <c r="KV83" s="5"/>
      <c r="KW83" s="5"/>
      <c r="KX83" s="5"/>
      <c r="KY83" s="5"/>
      <c r="KZ83" s="5"/>
      <c r="LA83" s="5"/>
      <c r="LB83" s="5"/>
      <c r="LC83" s="5"/>
      <c r="LD83" s="5"/>
      <c r="LE83" s="5"/>
      <c r="LF83" s="5"/>
      <c r="LG83" s="5"/>
      <c r="LH83" s="5"/>
      <c r="LI83" s="5"/>
      <c r="LJ83" s="5"/>
      <c r="LK83" s="5"/>
      <c r="LL83" s="5"/>
      <c r="LM83" s="5"/>
      <c r="LN83" s="5"/>
      <c r="LO83" s="5"/>
      <c r="LP83" s="5"/>
      <c r="LQ83" s="5"/>
      <c r="LR83" s="5"/>
      <c r="LS83" s="5"/>
      <c r="LT83" s="5"/>
      <c r="LU83" s="5"/>
      <c r="LV83" s="5"/>
      <c r="LW83" s="5"/>
      <c r="LX83" s="5"/>
      <c r="LY83" s="5"/>
      <c r="LZ83" s="5"/>
      <c r="MA83" s="5"/>
      <c r="MB83" s="5"/>
      <c r="MC83" s="5"/>
      <c r="MD83" s="5"/>
      <c r="ME83" s="5"/>
      <c r="MF83" s="5"/>
      <c r="MG83" s="5"/>
      <c r="MH83" s="5"/>
      <c r="MI83" s="5"/>
      <c r="MJ83" s="5"/>
      <c r="MK83" s="5"/>
      <c r="ML83" s="5"/>
      <c r="MM83" s="5"/>
      <c r="MN83" s="5"/>
      <c r="MO83" s="5"/>
      <c r="MP83" s="5"/>
      <c r="MQ83" s="5"/>
      <c r="MR83" s="5"/>
      <c r="MS83" s="5"/>
      <c r="MT83" s="5"/>
      <c r="MU83" s="5"/>
      <c r="MV83" s="5"/>
      <c r="MW83" s="5"/>
      <c r="MX83" s="5"/>
      <c r="MY83" s="5"/>
      <c r="MZ83" s="5"/>
      <c r="NA83" s="5"/>
      <c r="NB83" s="5"/>
      <c r="NC83" s="5"/>
      <c r="ND83" s="5"/>
      <c r="NE83" s="5"/>
      <c r="NF83" s="5"/>
      <c r="NG83" s="5"/>
      <c r="NH83" s="5"/>
      <c r="NI83" s="5"/>
      <c r="NJ83" s="5"/>
      <c r="NK83" s="5"/>
      <c r="NL83" s="5"/>
      <c r="NM83" s="5"/>
      <c r="NN83" s="5"/>
      <c r="NO83" s="5"/>
      <c r="NP83" s="5"/>
      <c r="NQ83" s="5"/>
      <c r="NR83" s="5"/>
      <c r="NS83" s="5"/>
      <c r="NT83" s="5"/>
      <c r="NU83" s="5"/>
      <c r="NV83" s="5"/>
      <c r="NW83" s="5"/>
      <c r="NX83" s="5"/>
      <c r="NY83" s="5"/>
      <c r="NZ83" s="5"/>
      <c r="OA83" s="5"/>
      <c r="OB83" s="5"/>
      <c r="OC83" s="5"/>
      <c r="OD83" s="5"/>
      <c r="OE83" s="5"/>
      <c r="OF83" s="5"/>
      <c r="OG83" s="5"/>
      <c r="OH83" s="5"/>
      <c r="OI83" s="5"/>
      <c r="OJ83" s="5"/>
      <c r="OK83" s="5"/>
      <c r="OL83" s="5"/>
      <c r="OM83" s="5"/>
      <c r="ON83" s="5"/>
      <c r="OO83" s="5"/>
      <c r="OP83" s="5"/>
      <c r="OQ83" s="5"/>
      <c r="OR83" s="5"/>
      <c r="OS83" s="5"/>
      <c r="OT83" s="5"/>
      <c r="OU83" s="5"/>
      <c r="OV83" s="5"/>
      <c r="OW83" s="5"/>
      <c r="OX83" s="5"/>
      <c r="OY83" s="5"/>
      <c r="OZ83" s="5"/>
      <c r="PA83" s="5"/>
      <c r="PB83" s="5"/>
      <c r="PC83" s="5"/>
      <c r="PD83" s="5"/>
      <c r="PE83" s="5"/>
      <c r="PF83" s="5"/>
      <c r="PG83" s="5"/>
      <c r="PH83" s="5"/>
      <c r="PI83" s="5"/>
      <c r="PJ83" s="5"/>
      <c r="PK83" s="5"/>
      <c r="PL83" s="5"/>
      <c r="PM83" s="5"/>
      <c r="PN83" s="5"/>
      <c r="PO83" s="5"/>
      <c r="PP83" s="5"/>
      <c r="PQ83" s="5"/>
      <c r="PR83" s="5"/>
      <c r="PS83" s="5"/>
      <c r="PT83" s="5"/>
      <c r="PU83" s="5"/>
      <c r="PV83" s="5"/>
      <c r="PW83" s="5"/>
      <c r="PX83" s="5"/>
      <c r="PY83" s="5"/>
      <c r="PZ83" s="5"/>
      <c r="QA83" s="5"/>
      <c r="QB83" s="5"/>
      <c r="QC83" s="5"/>
      <c r="QD83" s="5"/>
      <c r="QE83" s="5"/>
      <c r="QF83" s="5"/>
      <c r="QG83" s="5"/>
      <c r="QH83" s="5"/>
      <c r="QI83" s="5"/>
      <c r="QJ83" s="5"/>
      <c r="QK83" s="5"/>
      <c r="QL83" s="5"/>
      <c r="QM83" s="5"/>
      <c r="QN83" s="5"/>
      <c r="QO83" s="5"/>
      <c r="QP83" s="5"/>
      <c r="QQ83" s="5"/>
      <c r="QR83" s="5"/>
      <c r="QS83" s="5"/>
      <c r="QT83" s="5"/>
      <c r="QU83" s="5"/>
      <c r="QV83" s="5"/>
      <c r="QW83" s="5"/>
      <c r="QX83" s="5"/>
      <c r="QY83" s="5"/>
      <c r="QZ83" s="5"/>
      <c r="RA83" s="5"/>
      <c r="RB83" s="5"/>
      <c r="RC83" s="5"/>
      <c r="RD83" s="5"/>
      <c r="RE83" s="5"/>
      <c r="RF83" s="5"/>
      <c r="RG83" s="5"/>
      <c r="RH83" s="5"/>
      <c r="RI83" s="5"/>
      <c r="RJ83" s="5"/>
      <c r="RK83" s="5"/>
      <c r="RL83" s="5"/>
      <c r="RM83" s="5"/>
      <c r="RN83" s="5"/>
      <c r="RO83" s="5"/>
      <c r="RP83" s="5"/>
      <c r="RQ83" s="5"/>
      <c r="RR83" s="5"/>
      <c r="RS83" s="5"/>
      <c r="RT83" s="5"/>
      <c r="RU83" s="5"/>
      <c r="RV83" s="5"/>
      <c r="RW83" s="5"/>
      <c r="RX83" s="5"/>
      <c r="RY83" s="5"/>
      <c r="RZ83" s="5"/>
      <c r="SA83" s="5"/>
      <c r="SB83" s="5"/>
      <c r="SC83" s="5"/>
      <c r="SD83" s="5"/>
      <c r="SE83" s="5"/>
      <c r="SF83" s="5"/>
      <c r="SG83" s="5"/>
      <c r="SH83" s="5"/>
      <c r="SI83" s="5"/>
      <c r="SJ83" s="5"/>
      <c r="SK83" s="5"/>
      <c r="SL83" s="5"/>
      <c r="SM83" s="5"/>
      <c r="SN83" s="5"/>
      <c r="SO83" s="5"/>
      <c r="SP83" s="5"/>
      <c r="SQ83" s="5"/>
      <c r="SR83" s="5"/>
      <c r="SS83" s="5"/>
      <c r="ST83" s="5"/>
      <c r="SU83" s="5"/>
      <c r="SV83" s="5"/>
      <c r="SW83" s="5"/>
      <c r="SX83" s="5"/>
      <c r="SY83" s="5"/>
      <c r="SZ83" s="5"/>
      <c r="TA83" s="5"/>
      <c r="TB83" s="5"/>
      <c r="TC83" s="5"/>
      <c r="TD83" s="5"/>
      <c r="TE83" s="5"/>
      <c r="TF83" s="5"/>
      <c r="TG83" s="5"/>
      <c r="TH83" s="5"/>
      <c r="TI83" s="5"/>
      <c r="TJ83" s="5"/>
      <c r="TK83" s="5"/>
      <c r="TL83" s="5"/>
      <c r="TM83" s="5"/>
      <c r="TN83" s="5"/>
      <c r="TO83" s="5"/>
      <c r="TP83" s="5"/>
      <c r="TQ83" s="5"/>
      <c r="TR83" s="5"/>
      <c r="TS83" s="5"/>
      <c r="TT83" s="5"/>
      <c r="TU83" s="5"/>
      <c r="TV83" s="5"/>
      <c r="TW83" s="5"/>
      <c r="TX83" s="5"/>
      <c r="TY83" s="5"/>
      <c r="TZ83" s="5"/>
      <c r="UA83" s="5"/>
      <c r="UB83" s="5"/>
      <c r="UC83" s="5"/>
      <c r="UD83" s="5"/>
      <c r="UE83" s="5"/>
      <c r="UF83" s="5"/>
      <c r="UG83" s="5"/>
      <c r="UH83" s="5"/>
      <c r="UI83" s="5"/>
      <c r="UJ83" s="5"/>
      <c r="UK83" s="5"/>
      <c r="UL83" s="5"/>
      <c r="UM83" s="5"/>
      <c r="UN83" s="5"/>
      <c r="UO83" s="5"/>
      <c r="UP83" s="5"/>
      <c r="UQ83" s="5"/>
      <c r="UR83" s="5"/>
      <c r="US83" s="5"/>
      <c r="UT83" s="5"/>
      <c r="UU83" s="5"/>
      <c r="UV83" s="5"/>
      <c r="UW83" s="5"/>
      <c r="UX83" s="5"/>
      <c r="UY83" s="5"/>
      <c r="UZ83" s="5"/>
      <c r="VA83" s="5"/>
      <c r="VB83" s="5"/>
      <c r="VC83" s="5"/>
      <c r="VD83" s="5"/>
      <c r="VE83" s="5"/>
      <c r="VF83" s="5"/>
      <c r="VG83" s="5"/>
      <c r="VH83" s="5"/>
      <c r="VI83" s="5"/>
      <c r="VJ83" s="5"/>
      <c r="VK83" s="5"/>
      <c r="VL83" s="5"/>
      <c r="VM83" s="5"/>
      <c r="VN83" s="5"/>
      <c r="VO83" s="5"/>
      <c r="VP83" s="5"/>
      <c r="VQ83" s="5"/>
      <c r="VR83" s="5"/>
      <c r="VS83" s="5"/>
      <c r="VT83" s="5"/>
      <c r="VU83" s="5"/>
      <c r="VV83" s="5"/>
      <c r="VW83" s="5"/>
      <c r="VX83" s="5"/>
      <c r="VY83" s="5"/>
      <c r="VZ83" s="5"/>
      <c r="WA83" s="5"/>
      <c r="WB83" s="5"/>
      <c r="WC83" s="5"/>
      <c r="WD83" s="5"/>
      <c r="WE83" s="5"/>
      <c r="WF83" s="5"/>
      <c r="WG83" s="5"/>
      <c r="WH83" s="5"/>
      <c r="WI83" s="5"/>
      <c r="WJ83" s="5"/>
      <c r="WK83" s="5"/>
      <c r="WL83" s="5"/>
      <c r="WM83" s="5"/>
      <c r="WN83" s="5"/>
      <c r="WO83" s="5"/>
      <c r="WP83" s="5"/>
      <c r="WQ83" s="5"/>
      <c r="WR83" s="5"/>
      <c r="WS83" s="5"/>
      <c r="WT83" s="5"/>
      <c r="WU83" s="5"/>
      <c r="WV83" s="5"/>
      <c r="WW83" s="5"/>
      <c r="WX83" s="5"/>
      <c r="WY83" s="5"/>
      <c r="WZ83" s="5"/>
      <c r="XA83" s="5"/>
      <c r="XB83" s="5"/>
      <c r="XC83" s="5"/>
      <c r="XD83" s="5"/>
      <c r="XE83" s="5"/>
      <c r="XF83" s="5"/>
      <c r="XG83" s="5"/>
      <c r="XH83" s="5"/>
      <c r="XI83" s="5"/>
      <c r="XJ83" s="5"/>
      <c r="XK83" s="5"/>
      <c r="XL83" s="5"/>
      <c r="XM83" s="5"/>
      <c r="XN83" s="5"/>
      <c r="XO83" s="5"/>
      <c r="XP83" s="5"/>
      <c r="XQ83" s="5"/>
      <c r="XR83" s="5"/>
      <c r="XS83" s="5"/>
      <c r="XT83" s="5"/>
      <c r="XU83" s="5"/>
      <c r="XV83" s="5"/>
      <c r="XW83" s="5"/>
      <c r="XX83" s="5"/>
      <c r="XY83" s="5"/>
      <c r="XZ83" s="5"/>
      <c r="YA83" s="5"/>
      <c r="YB83" s="5"/>
      <c r="YC83" s="5"/>
      <c r="YD83" s="5"/>
      <c r="YE83" s="5"/>
      <c r="YF83" s="5"/>
      <c r="YG83" s="5"/>
      <c r="YH83" s="5"/>
      <c r="YI83" s="5"/>
      <c r="YJ83" s="5"/>
      <c r="YK83" s="5"/>
      <c r="YL83" s="5"/>
      <c r="YM83" s="5"/>
      <c r="YN83" s="5"/>
      <c r="YO83" s="5"/>
      <c r="YP83" s="5"/>
      <c r="YQ83" s="5"/>
      <c r="YR83" s="5"/>
      <c r="YS83" s="5"/>
      <c r="YT83" s="5"/>
      <c r="YU83" s="5"/>
      <c r="YV83" s="5"/>
      <c r="YW83" s="5"/>
      <c r="YX83" s="5"/>
      <c r="YY83" s="5"/>
      <c r="YZ83" s="5"/>
    </row>
    <row r="84" spans="1:676">
      <c r="A84" s="7">
        <v>74</v>
      </c>
      <c r="B84" s="7" t="s">
        <v>218</v>
      </c>
      <c r="C84" s="10" t="s">
        <v>219</v>
      </c>
      <c r="D84" s="7" t="s">
        <v>46</v>
      </c>
      <c r="E84" s="7" t="s">
        <v>78</v>
      </c>
      <c r="F84" s="7" t="s">
        <v>162</v>
      </c>
      <c r="G84" s="7"/>
      <c r="H84" s="7" t="s">
        <v>79</v>
      </c>
      <c r="I84" s="11">
        <v>2</v>
      </c>
      <c r="J84" s="11">
        <v>3</v>
      </c>
      <c r="K84" s="11">
        <v>0</v>
      </c>
      <c r="L84" s="11">
        <v>2.820000000000001</v>
      </c>
      <c r="M84" s="11">
        <v>0.48</v>
      </c>
      <c r="N84" s="11">
        <v>0</v>
      </c>
      <c r="O84" s="11">
        <v>0.38</v>
      </c>
      <c r="P84" s="11">
        <v>1.31</v>
      </c>
      <c r="Q84" s="11">
        <v>4.990000000000002</v>
      </c>
      <c r="R84" s="11">
        <v>7.080000000000002</v>
      </c>
      <c r="S84" s="11">
        <v>12.07</v>
      </c>
      <c r="T84" s="11">
        <v>2</v>
      </c>
      <c r="U84" s="11">
        <v>3</v>
      </c>
      <c r="V84" s="11">
        <v>7.070000000000004</v>
      </c>
      <c r="W84" s="13">
        <v>6</v>
      </c>
      <c r="X84" s="13">
        <v>9</v>
      </c>
      <c r="Y84" s="13" t="str">
        <f>MIN(W84,S84)</f>
        <v>0</v>
      </c>
      <c r="Z84" s="13" t="str">
        <f>MIN(X84,(S84-Y84))</f>
        <v>0</v>
      </c>
      <c r="AA84" s="13" t="str">
        <f>S84-SUM(Y84,Z84)</f>
        <v>0</v>
      </c>
      <c r="AB84" s="15"/>
      <c r="AC84" s="15"/>
      <c r="AD84" s="1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  <c r="CZ84" s="5"/>
      <c r="DA84" s="5"/>
      <c r="DB84" s="5"/>
      <c r="DC84" s="5"/>
      <c r="DD84" s="5"/>
      <c r="DE84" s="5"/>
      <c r="DF84" s="5"/>
      <c r="DG84" s="5"/>
      <c r="DH84" s="5"/>
      <c r="DI84" s="5"/>
      <c r="DJ84" s="5"/>
      <c r="DK84" s="5"/>
      <c r="DL84" s="5"/>
      <c r="DM84" s="5"/>
      <c r="DN84" s="5"/>
      <c r="DO84" s="5"/>
      <c r="DP84" s="5"/>
      <c r="DQ84" s="5"/>
      <c r="DR84" s="5"/>
      <c r="DS84" s="5"/>
      <c r="DT84" s="5"/>
      <c r="DU84" s="5"/>
      <c r="DV84" s="5"/>
      <c r="DW84" s="5"/>
      <c r="DX84" s="5"/>
      <c r="DY84" s="5"/>
      <c r="DZ84" s="5"/>
      <c r="EA84" s="5"/>
      <c r="EB84" s="5"/>
      <c r="EC84" s="5"/>
      <c r="ED84" s="5"/>
      <c r="EE84" s="5"/>
      <c r="EF84" s="5"/>
      <c r="EG84" s="5"/>
      <c r="EH84" s="5"/>
      <c r="EI84" s="5"/>
      <c r="EJ84" s="5"/>
      <c r="EK84" s="5"/>
      <c r="EL84" s="5"/>
      <c r="EM84" s="5"/>
      <c r="EN84" s="5"/>
      <c r="EO84" s="5"/>
      <c r="EP84" s="5"/>
      <c r="EQ84" s="5"/>
      <c r="ER84" s="5"/>
      <c r="ES84" s="5"/>
      <c r="ET84" s="5"/>
      <c r="EU84" s="5"/>
      <c r="EV84" s="5"/>
      <c r="EW84" s="5"/>
      <c r="EX84" s="5"/>
      <c r="EY84" s="5"/>
      <c r="EZ84" s="5"/>
      <c r="FA84" s="5"/>
      <c r="FB84" s="5"/>
      <c r="FC84" s="5"/>
      <c r="FD84" s="5"/>
      <c r="FE84" s="5"/>
      <c r="FF84" s="5"/>
      <c r="FG84" s="5"/>
      <c r="FH84" s="5"/>
      <c r="FI84" s="5"/>
      <c r="FJ84" s="5"/>
      <c r="FK84" s="5"/>
      <c r="FL84" s="5"/>
      <c r="FM84" s="5"/>
      <c r="FN84" s="5"/>
      <c r="FO84" s="5"/>
      <c r="FP84" s="5"/>
      <c r="FQ84" s="5"/>
      <c r="FR84" s="5"/>
      <c r="FS84" s="5"/>
      <c r="FT84" s="5"/>
      <c r="FU84" s="5"/>
      <c r="FV84" s="5"/>
      <c r="FW84" s="5"/>
      <c r="FX84" s="5"/>
      <c r="FY84" s="5"/>
      <c r="FZ84" s="5"/>
      <c r="GA84" s="5"/>
      <c r="GB84" s="5"/>
      <c r="GC84" s="5"/>
      <c r="GD84" s="5"/>
      <c r="GE84" s="5"/>
      <c r="GF84" s="5"/>
      <c r="GG84" s="5"/>
      <c r="GH84" s="5"/>
      <c r="GI84" s="5"/>
      <c r="GJ84" s="5"/>
      <c r="GK84" s="5"/>
      <c r="GL84" s="5"/>
      <c r="GM84" s="5"/>
      <c r="GN84" s="5"/>
      <c r="GO84" s="5"/>
      <c r="GP84" s="5"/>
      <c r="GQ84" s="5"/>
      <c r="GR84" s="5"/>
      <c r="GS84" s="5"/>
      <c r="GT84" s="5"/>
      <c r="GU84" s="5"/>
      <c r="GV84" s="5"/>
      <c r="GW84" s="5"/>
      <c r="GX84" s="5"/>
      <c r="GY84" s="5"/>
      <c r="GZ84" s="5"/>
      <c r="HA84" s="5"/>
      <c r="HB84" s="5"/>
      <c r="HC84" s="5"/>
      <c r="HD84" s="5"/>
      <c r="HE84" s="5"/>
      <c r="HF84" s="5"/>
      <c r="HG84" s="5"/>
      <c r="HH84" s="5"/>
      <c r="HI84" s="5"/>
      <c r="HJ84" s="5"/>
      <c r="HK84" s="5"/>
      <c r="HL84" s="5"/>
      <c r="HM84" s="5"/>
      <c r="HN84" s="5"/>
      <c r="HO84" s="5"/>
      <c r="HP84" s="5"/>
      <c r="HQ84" s="5"/>
      <c r="HR84" s="5"/>
      <c r="HS84" s="5"/>
      <c r="HT84" s="5"/>
      <c r="HU84" s="5"/>
      <c r="HV84" s="5"/>
      <c r="HW84" s="5"/>
      <c r="HX84" s="5"/>
      <c r="HY84" s="5"/>
      <c r="HZ84" s="5"/>
      <c r="IA84" s="5"/>
      <c r="IB84" s="5"/>
      <c r="IC84" s="5"/>
      <c r="ID84" s="5"/>
      <c r="IE84" s="5"/>
      <c r="IF84" s="5"/>
      <c r="IG84" s="5"/>
      <c r="IH84" s="5"/>
      <c r="II84" s="5"/>
      <c r="IJ84" s="5"/>
      <c r="IK84" s="5"/>
      <c r="IL84" s="5"/>
      <c r="IM84" s="5"/>
      <c r="IN84" s="5"/>
      <c r="IO84" s="5"/>
      <c r="IP84" s="5"/>
      <c r="IQ84" s="5"/>
      <c r="IR84" s="5"/>
      <c r="IS84" s="5"/>
      <c r="IT84" s="5"/>
      <c r="IU84" s="5"/>
      <c r="IV84" s="5"/>
      <c r="IW84" s="5"/>
      <c r="IX84" s="5"/>
      <c r="IY84" s="5"/>
      <c r="IZ84" s="5"/>
      <c r="JA84" s="5"/>
      <c r="JB84" s="5"/>
      <c r="JC84" s="5"/>
      <c r="JD84" s="5"/>
      <c r="JE84" s="5"/>
      <c r="JF84" s="5"/>
      <c r="JG84" s="5"/>
      <c r="JH84" s="5"/>
      <c r="JI84" s="5"/>
      <c r="JJ84" s="5"/>
      <c r="JK84" s="5"/>
      <c r="JL84" s="5"/>
      <c r="JM84" s="5"/>
      <c r="JN84" s="5"/>
      <c r="JO84" s="5"/>
      <c r="JP84" s="5"/>
      <c r="JQ84" s="5"/>
      <c r="JR84" s="5"/>
      <c r="JS84" s="5"/>
      <c r="JT84" s="5"/>
      <c r="JU84" s="5"/>
      <c r="JV84" s="5"/>
      <c r="JW84" s="5"/>
      <c r="JX84" s="5"/>
      <c r="JY84" s="5"/>
      <c r="JZ84" s="5"/>
      <c r="KA84" s="5"/>
      <c r="KB84" s="5"/>
      <c r="KC84" s="5"/>
      <c r="KD84" s="5"/>
      <c r="KE84" s="5"/>
      <c r="KF84" s="5"/>
      <c r="KG84" s="5"/>
      <c r="KH84" s="5"/>
      <c r="KI84" s="5"/>
      <c r="KJ84" s="5"/>
      <c r="KK84" s="5"/>
      <c r="KL84" s="5"/>
      <c r="KM84" s="5"/>
      <c r="KN84" s="5"/>
      <c r="KO84" s="5"/>
      <c r="KP84" s="5"/>
      <c r="KQ84" s="5"/>
      <c r="KR84" s="5"/>
      <c r="KS84" s="5"/>
      <c r="KT84" s="5"/>
      <c r="KU84" s="5"/>
      <c r="KV84" s="5"/>
      <c r="KW84" s="5"/>
      <c r="KX84" s="5"/>
      <c r="KY84" s="5"/>
      <c r="KZ84" s="5"/>
      <c r="LA84" s="5"/>
      <c r="LB84" s="5"/>
      <c r="LC84" s="5"/>
      <c r="LD84" s="5"/>
      <c r="LE84" s="5"/>
      <c r="LF84" s="5"/>
      <c r="LG84" s="5"/>
      <c r="LH84" s="5"/>
      <c r="LI84" s="5"/>
      <c r="LJ84" s="5"/>
      <c r="LK84" s="5"/>
      <c r="LL84" s="5"/>
      <c r="LM84" s="5"/>
      <c r="LN84" s="5"/>
      <c r="LO84" s="5"/>
      <c r="LP84" s="5"/>
      <c r="LQ84" s="5"/>
      <c r="LR84" s="5"/>
      <c r="LS84" s="5"/>
      <c r="LT84" s="5"/>
      <c r="LU84" s="5"/>
      <c r="LV84" s="5"/>
      <c r="LW84" s="5"/>
      <c r="LX84" s="5"/>
      <c r="LY84" s="5"/>
      <c r="LZ84" s="5"/>
      <c r="MA84" s="5"/>
      <c r="MB84" s="5"/>
      <c r="MC84" s="5"/>
      <c r="MD84" s="5"/>
      <c r="ME84" s="5"/>
      <c r="MF84" s="5"/>
      <c r="MG84" s="5"/>
      <c r="MH84" s="5"/>
      <c r="MI84" s="5"/>
      <c r="MJ84" s="5"/>
      <c r="MK84" s="5"/>
      <c r="ML84" s="5"/>
      <c r="MM84" s="5"/>
      <c r="MN84" s="5"/>
      <c r="MO84" s="5"/>
      <c r="MP84" s="5"/>
      <c r="MQ84" s="5"/>
      <c r="MR84" s="5"/>
      <c r="MS84" s="5"/>
      <c r="MT84" s="5"/>
      <c r="MU84" s="5"/>
      <c r="MV84" s="5"/>
      <c r="MW84" s="5"/>
      <c r="MX84" s="5"/>
      <c r="MY84" s="5"/>
      <c r="MZ84" s="5"/>
      <c r="NA84" s="5"/>
      <c r="NB84" s="5"/>
      <c r="NC84" s="5"/>
      <c r="ND84" s="5"/>
      <c r="NE84" s="5"/>
      <c r="NF84" s="5"/>
      <c r="NG84" s="5"/>
      <c r="NH84" s="5"/>
      <c r="NI84" s="5"/>
      <c r="NJ84" s="5"/>
      <c r="NK84" s="5"/>
      <c r="NL84" s="5"/>
      <c r="NM84" s="5"/>
      <c r="NN84" s="5"/>
      <c r="NO84" s="5"/>
      <c r="NP84" s="5"/>
      <c r="NQ84" s="5"/>
      <c r="NR84" s="5"/>
      <c r="NS84" s="5"/>
      <c r="NT84" s="5"/>
      <c r="NU84" s="5"/>
      <c r="NV84" s="5"/>
      <c r="NW84" s="5"/>
      <c r="NX84" s="5"/>
      <c r="NY84" s="5"/>
      <c r="NZ84" s="5"/>
      <c r="OA84" s="5"/>
      <c r="OB84" s="5"/>
      <c r="OC84" s="5"/>
      <c r="OD84" s="5"/>
      <c r="OE84" s="5"/>
      <c r="OF84" s="5"/>
      <c r="OG84" s="5"/>
      <c r="OH84" s="5"/>
      <c r="OI84" s="5"/>
      <c r="OJ84" s="5"/>
      <c r="OK84" s="5"/>
      <c r="OL84" s="5"/>
      <c r="OM84" s="5"/>
      <c r="ON84" s="5"/>
      <c r="OO84" s="5"/>
      <c r="OP84" s="5"/>
      <c r="OQ84" s="5"/>
      <c r="OR84" s="5"/>
      <c r="OS84" s="5"/>
      <c r="OT84" s="5"/>
      <c r="OU84" s="5"/>
      <c r="OV84" s="5"/>
      <c r="OW84" s="5"/>
      <c r="OX84" s="5"/>
      <c r="OY84" s="5"/>
      <c r="OZ84" s="5"/>
      <c r="PA84" s="5"/>
      <c r="PB84" s="5"/>
      <c r="PC84" s="5"/>
      <c r="PD84" s="5"/>
      <c r="PE84" s="5"/>
      <c r="PF84" s="5"/>
      <c r="PG84" s="5"/>
      <c r="PH84" s="5"/>
      <c r="PI84" s="5"/>
      <c r="PJ84" s="5"/>
      <c r="PK84" s="5"/>
      <c r="PL84" s="5"/>
      <c r="PM84" s="5"/>
      <c r="PN84" s="5"/>
      <c r="PO84" s="5"/>
      <c r="PP84" s="5"/>
      <c r="PQ84" s="5"/>
      <c r="PR84" s="5"/>
      <c r="PS84" s="5"/>
      <c r="PT84" s="5"/>
      <c r="PU84" s="5"/>
      <c r="PV84" s="5"/>
      <c r="PW84" s="5"/>
      <c r="PX84" s="5"/>
      <c r="PY84" s="5"/>
      <c r="PZ84" s="5"/>
      <c r="QA84" s="5"/>
      <c r="QB84" s="5"/>
      <c r="QC84" s="5"/>
      <c r="QD84" s="5"/>
      <c r="QE84" s="5"/>
      <c r="QF84" s="5"/>
      <c r="QG84" s="5"/>
      <c r="QH84" s="5"/>
      <c r="QI84" s="5"/>
      <c r="QJ84" s="5"/>
      <c r="QK84" s="5"/>
      <c r="QL84" s="5"/>
      <c r="QM84" s="5"/>
      <c r="QN84" s="5"/>
      <c r="QO84" s="5"/>
      <c r="QP84" s="5"/>
      <c r="QQ84" s="5"/>
      <c r="QR84" s="5"/>
      <c r="QS84" s="5"/>
      <c r="QT84" s="5"/>
      <c r="QU84" s="5"/>
      <c r="QV84" s="5"/>
      <c r="QW84" s="5"/>
      <c r="QX84" s="5"/>
      <c r="QY84" s="5"/>
      <c r="QZ84" s="5"/>
      <c r="RA84" s="5"/>
      <c r="RB84" s="5"/>
      <c r="RC84" s="5"/>
      <c r="RD84" s="5"/>
      <c r="RE84" s="5"/>
      <c r="RF84" s="5"/>
      <c r="RG84" s="5"/>
      <c r="RH84" s="5"/>
      <c r="RI84" s="5"/>
      <c r="RJ84" s="5"/>
      <c r="RK84" s="5"/>
      <c r="RL84" s="5"/>
      <c r="RM84" s="5"/>
      <c r="RN84" s="5"/>
      <c r="RO84" s="5"/>
      <c r="RP84" s="5"/>
      <c r="RQ84" s="5"/>
      <c r="RR84" s="5"/>
      <c r="RS84" s="5"/>
      <c r="RT84" s="5"/>
      <c r="RU84" s="5"/>
      <c r="RV84" s="5"/>
      <c r="RW84" s="5"/>
      <c r="RX84" s="5"/>
      <c r="RY84" s="5"/>
      <c r="RZ84" s="5"/>
      <c r="SA84" s="5"/>
      <c r="SB84" s="5"/>
      <c r="SC84" s="5"/>
      <c r="SD84" s="5"/>
      <c r="SE84" s="5"/>
      <c r="SF84" s="5"/>
      <c r="SG84" s="5"/>
      <c r="SH84" s="5"/>
      <c r="SI84" s="5"/>
      <c r="SJ84" s="5"/>
      <c r="SK84" s="5"/>
      <c r="SL84" s="5"/>
      <c r="SM84" s="5"/>
      <c r="SN84" s="5"/>
      <c r="SO84" s="5"/>
      <c r="SP84" s="5"/>
      <c r="SQ84" s="5"/>
      <c r="SR84" s="5"/>
      <c r="SS84" s="5"/>
      <c r="ST84" s="5"/>
      <c r="SU84" s="5"/>
      <c r="SV84" s="5"/>
      <c r="SW84" s="5"/>
      <c r="SX84" s="5"/>
      <c r="SY84" s="5"/>
      <c r="SZ84" s="5"/>
      <c r="TA84" s="5"/>
      <c r="TB84" s="5"/>
      <c r="TC84" s="5"/>
      <c r="TD84" s="5"/>
      <c r="TE84" s="5"/>
      <c r="TF84" s="5"/>
      <c r="TG84" s="5"/>
      <c r="TH84" s="5"/>
      <c r="TI84" s="5"/>
      <c r="TJ84" s="5"/>
      <c r="TK84" s="5"/>
      <c r="TL84" s="5"/>
      <c r="TM84" s="5"/>
      <c r="TN84" s="5"/>
      <c r="TO84" s="5"/>
      <c r="TP84" s="5"/>
      <c r="TQ84" s="5"/>
      <c r="TR84" s="5"/>
      <c r="TS84" s="5"/>
      <c r="TT84" s="5"/>
      <c r="TU84" s="5"/>
      <c r="TV84" s="5"/>
      <c r="TW84" s="5"/>
      <c r="TX84" s="5"/>
      <c r="TY84" s="5"/>
      <c r="TZ84" s="5"/>
      <c r="UA84" s="5"/>
      <c r="UB84" s="5"/>
      <c r="UC84" s="5"/>
      <c r="UD84" s="5"/>
      <c r="UE84" s="5"/>
      <c r="UF84" s="5"/>
      <c r="UG84" s="5"/>
      <c r="UH84" s="5"/>
      <c r="UI84" s="5"/>
      <c r="UJ84" s="5"/>
      <c r="UK84" s="5"/>
      <c r="UL84" s="5"/>
      <c r="UM84" s="5"/>
      <c r="UN84" s="5"/>
      <c r="UO84" s="5"/>
      <c r="UP84" s="5"/>
      <c r="UQ84" s="5"/>
      <c r="UR84" s="5"/>
      <c r="US84" s="5"/>
      <c r="UT84" s="5"/>
      <c r="UU84" s="5"/>
      <c r="UV84" s="5"/>
      <c r="UW84" s="5"/>
      <c r="UX84" s="5"/>
      <c r="UY84" s="5"/>
      <c r="UZ84" s="5"/>
      <c r="VA84" s="5"/>
      <c r="VB84" s="5"/>
      <c r="VC84" s="5"/>
      <c r="VD84" s="5"/>
      <c r="VE84" s="5"/>
      <c r="VF84" s="5"/>
      <c r="VG84" s="5"/>
      <c r="VH84" s="5"/>
      <c r="VI84" s="5"/>
      <c r="VJ84" s="5"/>
      <c r="VK84" s="5"/>
      <c r="VL84" s="5"/>
      <c r="VM84" s="5"/>
      <c r="VN84" s="5"/>
      <c r="VO84" s="5"/>
      <c r="VP84" s="5"/>
      <c r="VQ84" s="5"/>
      <c r="VR84" s="5"/>
      <c r="VS84" s="5"/>
      <c r="VT84" s="5"/>
      <c r="VU84" s="5"/>
      <c r="VV84" s="5"/>
      <c r="VW84" s="5"/>
      <c r="VX84" s="5"/>
      <c r="VY84" s="5"/>
      <c r="VZ84" s="5"/>
      <c r="WA84" s="5"/>
      <c r="WB84" s="5"/>
      <c r="WC84" s="5"/>
      <c r="WD84" s="5"/>
      <c r="WE84" s="5"/>
      <c r="WF84" s="5"/>
      <c r="WG84" s="5"/>
      <c r="WH84" s="5"/>
      <c r="WI84" s="5"/>
      <c r="WJ84" s="5"/>
      <c r="WK84" s="5"/>
      <c r="WL84" s="5"/>
      <c r="WM84" s="5"/>
      <c r="WN84" s="5"/>
      <c r="WO84" s="5"/>
      <c r="WP84" s="5"/>
      <c r="WQ84" s="5"/>
      <c r="WR84" s="5"/>
      <c r="WS84" s="5"/>
      <c r="WT84" s="5"/>
      <c r="WU84" s="5"/>
      <c r="WV84" s="5"/>
      <c r="WW84" s="5"/>
      <c r="WX84" s="5"/>
      <c r="WY84" s="5"/>
      <c r="WZ84" s="5"/>
      <c r="XA84" s="5"/>
      <c r="XB84" s="5"/>
      <c r="XC84" s="5"/>
      <c r="XD84" s="5"/>
      <c r="XE84" s="5"/>
      <c r="XF84" s="5"/>
      <c r="XG84" s="5"/>
      <c r="XH84" s="5"/>
      <c r="XI84" s="5"/>
      <c r="XJ84" s="5"/>
      <c r="XK84" s="5"/>
      <c r="XL84" s="5"/>
      <c r="XM84" s="5"/>
      <c r="XN84" s="5"/>
      <c r="XO84" s="5"/>
      <c r="XP84" s="5"/>
      <c r="XQ84" s="5"/>
      <c r="XR84" s="5"/>
      <c r="XS84" s="5"/>
      <c r="XT84" s="5"/>
      <c r="XU84" s="5"/>
      <c r="XV84" s="5"/>
      <c r="XW84" s="5"/>
      <c r="XX84" s="5"/>
      <c r="XY84" s="5"/>
      <c r="XZ84" s="5"/>
      <c r="YA84" s="5"/>
      <c r="YB84" s="5"/>
      <c r="YC84" s="5"/>
      <c r="YD84" s="5"/>
      <c r="YE84" s="5"/>
      <c r="YF84" s="5"/>
      <c r="YG84" s="5"/>
      <c r="YH84" s="5"/>
      <c r="YI84" s="5"/>
      <c r="YJ84" s="5"/>
      <c r="YK84" s="5"/>
      <c r="YL84" s="5"/>
      <c r="YM84" s="5"/>
      <c r="YN84" s="5"/>
      <c r="YO84" s="5"/>
      <c r="YP84" s="5"/>
      <c r="YQ84" s="5"/>
      <c r="YR84" s="5"/>
      <c r="YS84" s="5"/>
      <c r="YT84" s="5"/>
      <c r="YU84" s="5"/>
      <c r="YV84" s="5"/>
      <c r="YW84" s="5"/>
      <c r="YX84" s="5"/>
      <c r="YY84" s="5"/>
      <c r="YZ84" s="5"/>
    </row>
    <row r="85" spans="1:676">
      <c r="A85" s="7">
        <v>75</v>
      </c>
      <c r="B85" s="7" t="s">
        <v>220</v>
      </c>
      <c r="C85" s="10" t="s">
        <v>221</v>
      </c>
      <c r="D85" s="7" t="s">
        <v>40</v>
      </c>
      <c r="E85" s="7" t="s">
        <v>57</v>
      </c>
      <c r="F85" s="7" t="s">
        <v>165</v>
      </c>
      <c r="G85" s="7"/>
      <c r="H85" s="7" t="s">
        <v>222</v>
      </c>
      <c r="I85" s="11">
        <v>2</v>
      </c>
      <c r="J85" s="11">
        <v>3</v>
      </c>
      <c r="K85" s="11">
        <v>0.95</v>
      </c>
      <c r="L85" s="11">
        <v>1.28</v>
      </c>
      <c r="M85" s="11">
        <v>0</v>
      </c>
      <c r="N85" s="11">
        <v>0</v>
      </c>
      <c r="O85" s="11">
        <v>0.2</v>
      </c>
      <c r="P85" s="11">
        <v>0.17</v>
      </c>
      <c r="Q85" s="11">
        <v>2.600000000000001</v>
      </c>
      <c r="R85" s="11">
        <v>3.92</v>
      </c>
      <c r="S85" s="11">
        <v>6.52</v>
      </c>
      <c r="T85" s="11">
        <v>2</v>
      </c>
      <c r="U85" s="11">
        <v>3</v>
      </c>
      <c r="V85" s="11">
        <v>1.52</v>
      </c>
      <c r="W85" s="13">
        <v>6</v>
      </c>
      <c r="X85" s="13">
        <v>9</v>
      </c>
      <c r="Y85" s="13" t="str">
        <f>MIN(W85,S85)</f>
        <v>0</v>
      </c>
      <c r="Z85" s="13" t="str">
        <f>MIN(X85,(S85-Y85))</f>
        <v>0</v>
      </c>
      <c r="AA85" s="13" t="str">
        <f>S85-SUM(Y85,Z85)</f>
        <v>0</v>
      </c>
      <c r="AB85" s="15"/>
      <c r="AC85" s="15"/>
      <c r="AD85" s="1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  <c r="CZ85" s="5"/>
      <c r="DA85" s="5"/>
      <c r="DB85" s="5"/>
      <c r="DC85" s="5"/>
      <c r="DD85" s="5"/>
      <c r="DE85" s="5"/>
      <c r="DF85" s="5"/>
      <c r="DG85" s="5"/>
      <c r="DH85" s="5"/>
      <c r="DI85" s="5"/>
      <c r="DJ85" s="5"/>
      <c r="DK85" s="5"/>
      <c r="DL85" s="5"/>
      <c r="DM85" s="5"/>
      <c r="DN85" s="5"/>
      <c r="DO85" s="5"/>
      <c r="DP85" s="5"/>
      <c r="DQ85" s="5"/>
      <c r="DR85" s="5"/>
      <c r="DS85" s="5"/>
      <c r="DT85" s="5"/>
      <c r="DU85" s="5"/>
      <c r="DV85" s="5"/>
      <c r="DW85" s="5"/>
      <c r="DX85" s="5"/>
      <c r="DY85" s="5"/>
      <c r="DZ85" s="5"/>
      <c r="EA85" s="5"/>
      <c r="EB85" s="5"/>
      <c r="EC85" s="5"/>
      <c r="ED85" s="5"/>
      <c r="EE85" s="5"/>
      <c r="EF85" s="5"/>
      <c r="EG85" s="5"/>
      <c r="EH85" s="5"/>
      <c r="EI85" s="5"/>
      <c r="EJ85" s="5"/>
      <c r="EK85" s="5"/>
      <c r="EL85" s="5"/>
      <c r="EM85" s="5"/>
      <c r="EN85" s="5"/>
      <c r="EO85" s="5"/>
      <c r="EP85" s="5"/>
      <c r="EQ85" s="5"/>
      <c r="ER85" s="5"/>
      <c r="ES85" s="5"/>
      <c r="ET85" s="5"/>
      <c r="EU85" s="5"/>
      <c r="EV85" s="5"/>
      <c r="EW85" s="5"/>
      <c r="EX85" s="5"/>
      <c r="EY85" s="5"/>
      <c r="EZ85" s="5"/>
      <c r="FA85" s="5"/>
      <c r="FB85" s="5"/>
      <c r="FC85" s="5"/>
      <c r="FD85" s="5"/>
      <c r="FE85" s="5"/>
      <c r="FF85" s="5"/>
      <c r="FG85" s="5"/>
      <c r="FH85" s="5"/>
      <c r="FI85" s="5"/>
      <c r="FJ85" s="5"/>
      <c r="FK85" s="5"/>
      <c r="FL85" s="5"/>
      <c r="FM85" s="5"/>
      <c r="FN85" s="5"/>
      <c r="FO85" s="5"/>
      <c r="FP85" s="5"/>
      <c r="FQ85" s="5"/>
      <c r="FR85" s="5"/>
      <c r="FS85" s="5"/>
      <c r="FT85" s="5"/>
      <c r="FU85" s="5"/>
      <c r="FV85" s="5"/>
      <c r="FW85" s="5"/>
      <c r="FX85" s="5"/>
      <c r="FY85" s="5"/>
      <c r="FZ85" s="5"/>
      <c r="GA85" s="5"/>
      <c r="GB85" s="5"/>
      <c r="GC85" s="5"/>
      <c r="GD85" s="5"/>
      <c r="GE85" s="5"/>
      <c r="GF85" s="5"/>
      <c r="GG85" s="5"/>
      <c r="GH85" s="5"/>
      <c r="GI85" s="5"/>
      <c r="GJ85" s="5"/>
      <c r="GK85" s="5"/>
      <c r="GL85" s="5"/>
      <c r="GM85" s="5"/>
      <c r="GN85" s="5"/>
      <c r="GO85" s="5"/>
      <c r="GP85" s="5"/>
      <c r="GQ85" s="5"/>
      <c r="GR85" s="5"/>
      <c r="GS85" s="5"/>
      <c r="GT85" s="5"/>
      <c r="GU85" s="5"/>
      <c r="GV85" s="5"/>
      <c r="GW85" s="5"/>
      <c r="GX85" s="5"/>
      <c r="GY85" s="5"/>
      <c r="GZ85" s="5"/>
      <c r="HA85" s="5"/>
      <c r="HB85" s="5"/>
      <c r="HC85" s="5"/>
      <c r="HD85" s="5"/>
      <c r="HE85" s="5"/>
      <c r="HF85" s="5"/>
      <c r="HG85" s="5"/>
      <c r="HH85" s="5"/>
      <c r="HI85" s="5"/>
      <c r="HJ85" s="5"/>
      <c r="HK85" s="5"/>
      <c r="HL85" s="5"/>
      <c r="HM85" s="5"/>
      <c r="HN85" s="5"/>
      <c r="HO85" s="5"/>
      <c r="HP85" s="5"/>
      <c r="HQ85" s="5"/>
      <c r="HR85" s="5"/>
      <c r="HS85" s="5"/>
      <c r="HT85" s="5"/>
      <c r="HU85" s="5"/>
      <c r="HV85" s="5"/>
      <c r="HW85" s="5"/>
      <c r="HX85" s="5"/>
      <c r="HY85" s="5"/>
      <c r="HZ85" s="5"/>
      <c r="IA85" s="5"/>
      <c r="IB85" s="5"/>
      <c r="IC85" s="5"/>
      <c r="ID85" s="5"/>
      <c r="IE85" s="5"/>
      <c r="IF85" s="5"/>
      <c r="IG85" s="5"/>
      <c r="IH85" s="5"/>
      <c r="II85" s="5"/>
      <c r="IJ85" s="5"/>
      <c r="IK85" s="5"/>
      <c r="IL85" s="5"/>
      <c r="IM85" s="5"/>
      <c r="IN85" s="5"/>
      <c r="IO85" s="5"/>
      <c r="IP85" s="5"/>
      <c r="IQ85" s="5"/>
      <c r="IR85" s="5"/>
      <c r="IS85" s="5"/>
      <c r="IT85" s="5"/>
      <c r="IU85" s="5"/>
      <c r="IV85" s="5"/>
      <c r="IW85" s="5"/>
      <c r="IX85" s="5"/>
      <c r="IY85" s="5"/>
      <c r="IZ85" s="5"/>
      <c r="JA85" s="5"/>
      <c r="JB85" s="5"/>
      <c r="JC85" s="5"/>
      <c r="JD85" s="5"/>
      <c r="JE85" s="5"/>
      <c r="JF85" s="5"/>
      <c r="JG85" s="5"/>
      <c r="JH85" s="5"/>
      <c r="JI85" s="5"/>
      <c r="JJ85" s="5"/>
      <c r="JK85" s="5"/>
      <c r="JL85" s="5"/>
      <c r="JM85" s="5"/>
      <c r="JN85" s="5"/>
      <c r="JO85" s="5"/>
      <c r="JP85" s="5"/>
      <c r="JQ85" s="5"/>
      <c r="JR85" s="5"/>
      <c r="JS85" s="5"/>
      <c r="JT85" s="5"/>
      <c r="JU85" s="5"/>
      <c r="JV85" s="5"/>
      <c r="JW85" s="5"/>
      <c r="JX85" s="5"/>
      <c r="JY85" s="5"/>
      <c r="JZ85" s="5"/>
      <c r="KA85" s="5"/>
      <c r="KB85" s="5"/>
      <c r="KC85" s="5"/>
      <c r="KD85" s="5"/>
      <c r="KE85" s="5"/>
      <c r="KF85" s="5"/>
      <c r="KG85" s="5"/>
      <c r="KH85" s="5"/>
      <c r="KI85" s="5"/>
      <c r="KJ85" s="5"/>
      <c r="KK85" s="5"/>
      <c r="KL85" s="5"/>
      <c r="KM85" s="5"/>
      <c r="KN85" s="5"/>
      <c r="KO85" s="5"/>
      <c r="KP85" s="5"/>
      <c r="KQ85" s="5"/>
      <c r="KR85" s="5"/>
      <c r="KS85" s="5"/>
      <c r="KT85" s="5"/>
      <c r="KU85" s="5"/>
      <c r="KV85" s="5"/>
      <c r="KW85" s="5"/>
      <c r="KX85" s="5"/>
      <c r="KY85" s="5"/>
      <c r="KZ85" s="5"/>
      <c r="LA85" s="5"/>
      <c r="LB85" s="5"/>
      <c r="LC85" s="5"/>
      <c r="LD85" s="5"/>
      <c r="LE85" s="5"/>
      <c r="LF85" s="5"/>
      <c r="LG85" s="5"/>
      <c r="LH85" s="5"/>
      <c r="LI85" s="5"/>
      <c r="LJ85" s="5"/>
      <c r="LK85" s="5"/>
      <c r="LL85" s="5"/>
      <c r="LM85" s="5"/>
      <c r="LN85" s="5"/>
      <c r="LO85" s="5"/>
      <c r="LP85" s="5"/>
      <c r="LQ85" s="5"/>
      <c r="LR85" s="5"/>
      <c r="LS85" s="5"/>
      <c r="LT85" s="5"/>
      <c r="LU85" s="5"/>
      <c r="LV85" s="5"/>
      <c r="LW85" s="5"/>
      <c r="LX85" s="5"/>
      <c r="LY85" s="5"/>
      <c r="LZ85" s="5"/>
      <c r="MA85" s="5"/>
      <c r="MB85" s="5"/>
      <c r="MC85" s="5"/>
      <c r="MD85" s="5"/>
      <c r="ME85" s="5"/>
      <c r="MF85" s="5"/>
      <c r="MG85" s="5"/>
      <c r="MH85" s="5"/>
      <c r="MI85" s="5"/>
      <c r="MJ85" s="5"/>
      <c r="MK85" s="5"/>
      <c r="ML85" s="5"/>
      <c r="MM85" s="5"/>
      <c r="MN85" s="5"/>
      <c r="MO85" s="5"/>
      <c r="MP85" s="5"/>
      <c r="MQ85" s="5"/>
      <c r="MR85" s="5"/>
      <c r="MS85" s="5"/>
      <c r="MT85" s="5"/>
      <c r="MU85" s="5"/>
      <c r="MV85" s="5"/>
      <c r="MW85" s="5"/>
      <c r="MX85" s="5"/>
      <c r="MY85" s="5"/>
      <c r="MZ85" s="5"/>
      <c r="NA85" s="5"/>
      <c r="NB85" s="5"/>
      <c r="NC85" s="5"/>
      <c r="ND85" s="5"/>
      <c r="NE85" s="5"/>
      <c r="NF85" s="5"/>
      <c r="NG85" s="5"/>
      <c r="NH85" s="5"/>
      <c r="NI85" s="5"/>
      <c r="NJ85" s="5"/>
      <c r="NK85" s="5"/>
      <c r="NL85" s="5"/>
      <c r="NM85" s="5"/>
      <c r="NN85" s="5"/>
      <c r="NO85" s="5"/>
      <c r="NP85" s="5"/>
      <c r="NQ85" s="5"/>
      <c r="NR85" s="5"/>
      <c r="NS85" s="5"/>
      <c r="NT85" s="5"/>
      <c r="NU85" s="5"/>
      <c r="NV85" s="5"/>
      <c r="NW85" s="5"/>
      <c r="NX85" s="5"/>
      <c r="NY85" s="5"/>
      <c r="NZ85" s="5"/>
      <c r="OA85" s="5"/>
      <c r="OB85" s="5"/>
      <c r="OC85" s="5"/>
      <c r="OD85" s="5"/>
      <c r="OE85" s="5"/>
      <c r="OF85" s="5"/>
      <c r="OG85" s="5"/>
      <c r="OH85" s="5"/>
      <c r="OI85" s="5"/>
      <c r="OJ85" s="5"/>
      <c r="OK85" s="5"/>
      <c r="OL85" s="5"/>
      <c r="OM85" s="5"/>
      <c r="ON85" s="5"/>
      <c r="OO85" s="5"/>
      <c r="OP85" s="5"/>
      <c r="OQ85" s="5"/>
      <c r="OR85" s="5"/>
      <c r="OS85" s="5"/>
      <c r="OT85" s="5"/>
      <c r="OU85" s="5"/>
      <c r="OV85" s="5"/>
      <c r="OW85" s="5"/>
      <c r="OX85" s="5"/>
      <c r="OY85" s="5"/>
      <c r="OZ85" s="5"/>
      <c r="PA85" s="5"/>
      <c r="PB85" s="5"/>
      <c r="PC85" s="5"/>
      <c r="PD85" s="5"/>
      <c r="PE85" s="5"/>
      <c r="PF85" s="5"/>
      <c r="PG85" s="5"/>
      <c r="PH85" s="5"/>
      <c r="PI85" s="5"/>
      <c r="PJ85" s="5"/>
      <c r="PK85" s="5"/>
      <c r="PL85" s="5"/>
      <c r="PM85" s="5"/>
      <c r="PN85" s="5"/>
      <c r="PO85" s="5"/>
      <c r="PP85" s="5"/>
      <c r="PQ85" s="5"/>
      <c r="PR85" s="5"/>
      <c r="PS85" s="5"/>
      <c r="PT85" s="5"/>
      <c r="PU85" s="5"/>
      <c r="PV85" s="5"/>
      <c r="PW85" s="5"/>
      <c r="PX85" s="5"/>
      <c r="PY85" s="5"/>
      <c r="PZ85" s="5"/>
      <c r="QA85" s="5"/>
      <c r="QB85" s="5"/>
      <c r="QC85" s="5"/>
      <c r="QD85" s="5"/>
      <c r="QE85" s="5"/>
      <c r="QF85" s="5"/>
      <c r="QG85" s="5"/>
      <c r="QH85" s="5"/>
      <c r="QI85" s="5"/>
      <c r="QJ85" s="5"/>
      <c r="QK85" s="5"/>
      <c r="QL85" s="5"/>
      <c r="QM85" s="5"/>
      <c r="QN85" s="5"/>
      <c r="QO85" s="5"/>
      <c r="QP85" s="5"/>
      <c r="QQ85" s="5"/>
      <c r="QR85" s="5"/>
      <c r="QS85" s="5"/>
      <c r="QT85" s="5"/>
      <c r="QU85" s="5"/>
      <c r="QV85" s="5"/>
      <c r="QW85" s="5"/>
      <c r="QX85" s="5"/>
      <c r="QY85" s="5"/>
      <c r="QZ85" s="5"/>
      <c r="RA85" s="5"/>
      <c r="RB85" s="5"/>
      <c r="RC85" s="5"/>
      <c r="RD85" s="5"/>
      <c r="RE85" s="5"/>
      <c r="RF85" s="5"/>
      <c r="RG85" s="5"/>
      <c r="RH85" s="5"/>
      <c r="RI85" s="5"/>
      <c r="RJ85" s="5"/>
      <c r="RK85" s="5"/>
      <c r="RL85" s="5"/>
      <c r="RM85" s="5"/>
      <c r="RN85" s="5"/>
      <c r="RO85" s="5"/>
      <c r="RP85" s="5"/>
      <c r="RQ85" s="5"/>
      <c r="RR85" s="5"/>
      <c r="RS85" s="5"/>
      <c r="RT85" s="5"/>
      <c r="RU85" s="5"/>
      <c r="RV85" s="5"/>
      <c r="RW85" s="5"/>
      <c r="RX85" s="5"/>
      <c r="RY85" s="5"/>
      <c r="RZ85" s="5"/>
      <c r="SA85" s="5"/>
      <c r="SB85" s="5"/>
      <c r="SC85" s="5"/>
      <c r="SD85" s="5"/>
      <c r="SE85" s="5"/>
      <c r="SF85" s="5"/>
      <c r="SG85" s="5"/>
      <c r="SH85" s="5"/>
      <c r="SI85" s="5"/>
      <c r="SJ85" s="5"/>
      <c r="SK85" s="5"/>
      <c r="SL85" s="5"/>
      <c r="SM85" s="5"/>
      <c r="SN85" s="5"/>
      <c r="SO85" s="5"/>
      <c r="SP85" s="5"/>
      <c r="SQ85" s="5"/>
      <c r="SR85" s="5"/>
      <c r="SS85" s="5"/>
      <c r="ST85" s="5"/>
      <c r="SU85" s="5"/>
      <c r="SV85" s="5"/>
      <c r="SW85" s="5"/>
      <c r="SX85" s="5"/>
      <c r="SY85" s="5"/>
      <c r="SZ85" s="5"/>
      <c r="TA85" s="5"/>
      <c r="TB85" s="5"/>
      <c r="TC85" s="5"/>
      <c r="TD85" s="5"/>
      <c r="TE85" s="5"/>
      <c r="TF85" s="5"/>
      <c r="TG85" s="5"/>
      <c r="TH85" s="5"/>
      <c r="TI85" s="5"/>
      <c r="TJ85" s="5"/>
      <c r="TK85" s="5"/>
      <c r="TL85" s="5"/>
      <c r="TM85" s="5"/>
      <c r="TN85" s="5"/>
      <c r="TO85" s="5"/>
      <c r="TP85" s="5"/>
      <c r="TQ85" s="5"/>
      <c r="TR85" s="5"/>
      <c r="TS85" s="5"/>
      <c r="TT85" s="5"/>
      <c r="TU85" s="5"/>
      <c r="TV85" s="5"/>
      <c r="TW85" s="5"/>
      <c r="TX85" s="5"/>
      <c r="TY85" s="5"/>
      <c r="TZ85" s="5"/>
      <c r="UA85" s="5"/>
      <c r="UB85" s="5"/>
      <c r="UC85" s="5"/>
      <c r="UD85" s="5"/>
      <c r="UE85" s="5"/>
      <c r="UF85" s="5"/>
      <c r="UG85" s="5"/>
      <c r="UH85" s="5"/>
      <c r="UI85" s="5"/>
      <c r="UJ85" s="5"/>
      <c r="UK85" s="5"/>
      <c r="UL85" s="5"/>
      <c r="UM85" s="5"/>
      <c r="UN85" s="5"/>
      <c r="UO85" s="5"/>
      <c r="UP85" s="5"/>
      <c r="UQ85" s="5"/>
      <c r="UR85" s="5"/>
      <c r="US85" s="5"/>
      <c r="UT85" s="5"/>
      <c r="UU85" s="5"/>
      <c r="UV85" s="5"/>
      <c r="UW85" s="5"/>
      <c r="UX85" s="5"/>
      <c r="UY85" s="5"/>
      <c r="UZ85" s="5"/>
      <c r="VA85" s="5"/>
      <c r="VB85" s="5"/>
      <c r="VC85" s="5"/>
      <c r="VD85" s="5"/>
      <c r="VE85" s="5"/>
      <c r="VF85" s="5"/>
      <c r="VG85" s="5"/>
      <c r="VH85" s="5"/>
      <c r="VI85" s="5"/>
      <c r="VJ85" s="5"/>
      <c r="VK85" s="5"/>
      <c r="VL85" s="5"/>
      <c r="VM85" s="5"/>
      <c r="VN85" s="5"/>
      <c r="VO85" s="5"/>
      <c r="VP85" s="5"/>
      <c r="VQ85" s="5"/>
      <c r="VR85" s="5"/>
      <c r="VS85" s="5"/>
      <c r="VT85" s="5"/>
      <c r="VU85" s="5"/>
      <c r="VV85" s="5"/>
      <c r="VW85" s="5"/>
      <c r="VX85" s="5"/>
      <c r="VY85" s="5"/>
      <c r="VZ85" s="5"/>
      <c r="WA85" s="5"/>
      <c r="WB85" s="5"/>
      <c r="WC85" s="5"/>
      <c r="WD85" s="5"/>
      <c r="WE85" s="5"/>
      <c r="WF85" s="5"/>
      <c r="WG85" s="5"/>
      <c r="WH85" s="5"/>
      <c r="WI85" s="5"/>
      <c r="WJ85" s="5"/>
      <c r="WK85" s="5"/>
      <c r="WL85" s="5"/>
      <c r="WM85" s="5"/>
      <c r="WN85" s="5"/>
      <c r="WO85" s="5"/>
      <c r="WP85" s="5"/>
      <c r="WQ85" s="5"/>
      <c r="WR85" s="5"/>
      <c r="WS85" s="5"/>
      <c r="WT85" s="5"/>
      <c r="WU85" s="5"/>
      <c r="WV85" s="5"/>
      <c r="WW85" s="5"/>
      <c r="WX85" s="5"/>
      <c r="WY85" s="5"/>
      <c r="WZ85" s="5"/>
      <c r="XA85" s="5"/>
      <c r="XB85" s="5"/>
      <c r="XC85" s="5"/>
      <c r="XD85" s="5"/>
      <c r="XE85" s="5"/>
      <c r="XF85" s="5"/>
      <c r="XG85" s="5"/>
      <c r="XH85" s="5"/>
      <c r="XI85" s="5"/>
      <c r="XJ85" s="5"/>
      <c r="XK85" s="5"/>
      <c r="XL85" s="5"/>
      <c r="XM85" s="5"/>
      <c r="XN85" s="5"/>
      <c r="XO85" s="5"/>
      <c r="XP85" s="5"/>
      <c r="XQ85" s="5"/>
      <c r="XR85" s="5"/>
      <c r="XS85" s="5"/>
      <c r="XT85" s="5"/>
      <c r="XU85" s="5"/>
      <c r="XV85" s="5"/>
      <c r="XW85" s="5"/>
      <c r="XX85" s="5"/>
      <c r="XY85" s="5"/>
      <c r="XZ85" s="5"/>
      <c r="YA85" s="5"/>
      <c r="YB85" s="5"/>
      <c r="YC85" s="5"/>
      <c r="YD85" s="5"/>
      <c r="YE85" s="5"/>
      <c r="YF85" s="5"/>
      <c r="YG85" s="5"/>
      <c r="YH85" s="5"/>
      <c r="YI85" s="5"/>
      <c r="YJ85" s="5"/>
      <c r="YK85" s="5"/>
      <c r="YL85" s="5"/>
      <c r="YM85" s="5"/>
      <c r="YN85" s="5"/>
      <c r="YO85" s="5"/>
      <c r="YP85" s="5"/>
      <c r="YQ85" s="5"/>
      <c r="YR85" s="5"/>
      <c r="YS85" s="5"/>
      <c r="YT85" s="5"/>
      <c r="YU85" s="5"/>
      <c r="YV85" s="5"/>
      <c r="YW85" s="5"/>
      <c r="YX85" s="5"/>
      <c r="YY85" s="5"/>
      <c r="YZ85" s="5"/>
    </row>
    <row r="86" spans="1:676">
      <c r="A86" s="7">
        <v>76</v>
      </c>
      <c r="B86" s="7" t="s">
        <v>223</v>
      </c>
      <c r="C86" s="10" t="s">
        <v>224</v>
      </c>
      <c r="D86" s="7" t="s">
        <v>40</v>
      </c>
      <c r="E86" s="7" t="s">
        <v>78</v>
      </c>
      <c r="F86" s="7" t="s">
        <v>162</v>
      </c>
      <c r="G86" s="7"/>
      <c r="H86" s="7" t="s">
        <v>79</v>
      </c>
      <c r="I86" s="11">
        <v>2</v>
      </c>
      <c r="J86" s="11">
        <v>3</v>
      </c>
      <c r="K86" s="11">
        <v>0</v>
      </c>
      <c r="L86" s="11">
        <v>0.28</v>
      </c>
      <c r="M86" s="11">
        <v>0</v>
      </c>
      <c r="N86" s="11">
        <v>0</v>
      </c>
      <c r="O86" s="11">
        <v>0</v>
      </c>
      <c r="P86" s="11">
        <v>1.48</v>
      </c>
      <c r="Q86" s="11">
        <v>1.76</v>
      </c>
      <c r="R86" s="11">
        <v>3.56</v>
      </c>
      <c r="S86" s="11">
        <v>5.32</v>
      </c>
      <c r="T86" s="11">
        <v>2</v>
      </c>
      <c r="U86" s="11">
        <v>3</v>
      </c>
      <c r="V86" s="11">
        <v>0.3200000000000003</v>
      </c>
      <c r="W86" s="13">
        <v>6</v>
      </c>
      <c r="X86" s="13">
        <v>9</v>
      </c>
      <c r="Y86" s="13" t="str">
        <f>MIN(W86,S86)</f>
        <v>0</v>
      </c>
      <c r="Z86" s="13" t="str">
        <f>MIN(X86,(S86-Y86))</f>
        <v>0</v>
      </c>
      <c r="AA86" s="13" t="str">
        <f>S86-SUM(Y86,Z86)</f>
        <v>0</v>
      </c>
      <c r="AB86" s="15"/>
      <c r="AC86" s="15"/>
      <c r="AD86" s="1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  <c r="CZ86" s="5"/>
      <c r="DA86" s="5"/>
      <c r="DB86" s="5"/>
      <c r="DC86" s="5"/>
      <c r="DD86" s="5"/>
      <c r="DE86" s="5"/>
      <c r="DF86" s="5"/>
      <c r="DG86" s="5"/>
      <c r="DH86" s="5"/>
      <c r="DI86" s="5"/>
      <c r="DJ86" s="5"/>
      <c r="DK86" s="5"/>
      <c r="DL86" s="5"/>
      <c r="DM86" s="5"/>
      <c r="DN86" s="5"/>
      <c r="DO86" s="5"/>
      <c r="DP86" s="5"/>
      <c r="DQ86" s="5"/>
      <c r="DR86" s="5"/>
      <c r="DS86" s="5"/>
      <c r="DT86" s="5"/>
      <c r="DU86" s="5"/>
      <c r="DV86" s="5"/>
      <c r="DW86" s="5"/>
      <c r="DX86" s="5"/>
      <c r="DY86" s="5"/>
      <c r="DZ86" s="5"/>
      <c r="EA86" s="5"/>
      <c r="EB86" s="5"/>
      <c r="EC86" s="5"/>
      <c r="ED86" s="5"/>
      <c r="EE86" s="5"/>
      <c r="EF86" s="5"/>
      <c r="EG86" s="5"/>
      <c r="EH86" s="5"/>
      <c r="EI86" s="5"/>
      <c r="EJ86" s="5"/>
      <c r="EK86" s="5"/>
      <c r="EL86" s="5"/>
      <c r="EM86" s="5"/>
      <c r="EN86" s="5"/>
      <c r="EO86" s="5"/>
      <c r="EP86" s="5"/>
      <c r="EQ86" s="5"/>
      <c r="ER86" s="5"/>
      <c r="ES86" s="5"/>
      <c r="ET86" s="5"/>
      <c r="EU86" s="5"/>
      <c r="EV86" s="5"/>
      <c r="EW86" s="5"/>
      <c r="EX86" s="5"/>
      <c r="EY86" s="5"/>
      <c r="EZ86" s="5"/>
      <c r="FA86" s="5"/>
      <c r="FB86" s="5"/>
      <c r="FC86" s="5"/>
      <c r="FD86" s="5"/>
      <c r="FE86" s="5"/>
      <c r="FF86" s="5"/>
      <c r="FG86" s="5"/>
      <c r="FH86" s="5"/>
      <c r="FI86" s="5"/>
      <c r="FJ86" s="5"/>
      <c r="FK86" s="5"/>
      <c r="FL86" s="5"/>
      <c r="FM86" s="5"/>
      <c r="FN86" s="5"/>
      <c r="FO86" s="5"/>
      <c r="FP86" s="5"/>
      <c r="FQ86" s="5"/>
      <c r="FR86" s="5"/>
      <c r="FS86" s="5"/>
      <c r="FT86" s="5"/>
      <c r="FU86" s="5"/>
      <c r="FV86" s="5"/>
      <c r="FW86" s="5"/>
      <c r="FX86" s="5"/>
      <c r="FY86" s="5"/>
      <c r="FZ86" s="5"/>
      <c r="GA86" s="5"/>
      <c r="GB86" s="5"/>
      <c r="GC86" s="5"/>
      <c r="GD86" s="5"/>
      <c r="GE86" s="5"/>
      <c r="GF86" s="5"/>
      <c r="GG86" s="5"/>
      <c r="GH86" s="5"/>
      <c r="GI86" s="5"/>
      <c r="GJ86" s="5"/>
      <c r="GK86" s="5"/>
      <c r="GL86" s="5"/>
      <c r="GM86" s="5"/>
      <c r="GN86" s="5"/>
      <c r="GO86" s="5"/>
      <c r="GP86" s="5"/>
      <c r="GQ86" s="5"/>
      <c r="GR86" s="5"/>
      <c r="GS86" s="5"/>
      <c r="GT86" s="5"/>
      <c r="GU86" s="5"/>
      <c r="GV86" s="5"/>
      <c r="GW86" s="5"/>
      <c r="GX86" s="5"/>
      <c r="GY86" s="5"/>
      <c r="GZ86" s="5"/>
      <c r="HA86" s="5"/>
      <c r="HB86" s="5"/>
      <c r="HC86" s="5"/>
      <c r="HD86" s="5"/>
      <c r="HE86" s="5"/>
      <c r="HF86" s="5"/>
      <c r="HG86" s="5"/>
      <c r="HH86" s="5"/>
      <c r="HI86" s="5"/>
      <c r="HJ86" s="5"/>
      <c r="HK86" s="5"/>
      <c r="HL86" s="5"/>
      <c r="HM86" s="5"/>
      <c r="HN86" s="5"/>
      <c r="HO86" s="5"/>
      <c r="HP86" s="5"/>
      <c r="HQ86" s="5"/>
      <c r="HR86" s="5"/>
      <c r="HS86" s="5"/>
      <c r="HT86" s="5"/>
      <c r="HU86" s="5"/>
      <c r="HV86" s="5"/>
      <c r="HW86" s="5"/>
      <c r="HX86" s="5"/>
      <c r="HY86" s="5"/>
      <c r="HZ86" s="5"/>
      <c r="IA86" s="5"/>
      <c r="IB86" s="5"/>
      <c r="IC86" s="5"/>
      <c r="ID86" s="5"/>
      <c r="IE86" s="5"/>
      <c r="IF86" s="5"/>
      <c r="IG86" s="5"/>
      <c r="IH86" s="5"/>
      <c r="II86" s="5"/>
      <c r="IJ86" s="5"/>
      <c r="IK86" s="5"/>
      <c r="IL86" s="5"/>
      <c r="IM86" s="5"/>
      <c r="IN86" s="5"/>
      <c r="IO86" s="5"/>
      <c r="IP86" s="5"/>
      <c r="IQ86" s="5"/>
      <c r="IR86" s="5"/>
      <c r="IS86" s="5"/>
      <c r="IT86" s="5"/>
      <c r="IU86" s="5"/>
      <c r="IV86" s="5"/>
      <c r="IW86" s="5"/>
      <c r="IX86" s="5"/>
      <c r="IY86" s="5"/>
      <c r="IZ86" s="5"/>
      <c r="JA86" s="5"/>
      <c r="JB86" s="5"/>
      <c r="JC86" s="5"/>
      <c r="JD86" s="5"/>
      <c r="JE86" s="5"/>
      <c r="JF86" s="5"/>
      <c r="JG86" s="5"/>
      <c r="JH86" s="5"/>
      <c r="JI86" s="5"/>
      <c r="JJ86" s="5"/>
      <c r="JK86" s="5"/>
      <c r="JL86" s="5"/>
      <c r="JM86" s="5"/>
      <c r="JN86" s="5"/>
      <c r="JO86" s="5"/>
      <c r="JP86" s="5"/>
      <c r="JQ86" s="5"/>
      <c r="JR86" s="5"/>
      <c r="JS86" s="5"/>
      <c r="JT86" s="5"/>
      <c r="JU86" s="5"/>
      <c r="JV86" s="5"/>
      <c r="JW86" s="5"/>
      <c r="JX86" s="5"/>
      <c r="JY86" s="5"/>
      <c r="JZ86" s="5"/>
      <c r="KA86" s="5"/>
      <c r="KB86" s="5"/>
      <c r="KC86" s="5"/>
      <c r="KD86" s="5"/>
      <c r="KE86" s="5"/>
      <c r="KF86" s="5"/>
      <c r="KG86" s="5"/>
      <c r="KH86" s="5"/>
      <c r="KI86" s="5"/>
      <c r="KJ86" s="5"/>
      <c r="KK86" s="5"/>
      <c r="KL86" s="5"/>
      <c r="KM86" s="5"/>
      <c r="KN86" s="5"/>
      <c r="KO86" s="5"/>
      <c r="KP86" s="5"/>
      <c r="KQ86" s="5"/>
      <c r="KR86" s="5"/>
      <c r="KS86" s="5"/>
      <c r="KT86" s="5"/>
      <c r="KU86" s="5"/>
      <c r="KV86" s="5"/>
      <c r="KW86" s="5"/>
      <c r="KX86" s="5"/>
      <c r="KY86" s="5"/>
      <c r="KZ86" s="5"/>
      <c r="LA86" s="5"/>
      <c r="LB86" s="5"/>
      <c r="LC86" s="5"/>
      <c r="LD86" s="5"/>
      <c r="LE86" s="5"/>
      <c r="LF86" s="5"/>
      <c r="LG86" s="5"/>
      <c r="LH86" s="5"/>
      <c r="LI86" s="5"/>
      <c r="LJ86" s="5"/>
      <c r="LK86" s="5"/>
      <c r="LL86" s="5"/>
      <c r="LM86" s="5"/>
      <c r="LN86" s="5"/>
      <c r="LO86" s="5"/>
      <c r="LP86" s="5"/>
      <c r="LQ86" s="5"/>
      <c r="LR86" s="5"/>
      <c r="LS86" s="5"/>
      <c r="LT86" s="5"/>
      <c r="LU86" s="5"/>
      <c r="LV86" s="5"/>
      <c r="LW86" s="5"/>
      <c r="LX86" s="5"/>
      <c r="LY86" s="5"/>
      <c r="LZ86" s="5"/>
      <c r="MA86" s="5"/>
      <c r="MB86" s="5"/>
      <c r="MC86" s="5"/>
      <c r="MD86" s="5"/>
      <c r="ME86" s="5"/>
      <c r="MF86" s="5"/>
      <c r="MG86" s="5"/>
      <c r="MH86" s="5"/>
      <c r="MI86" s="5"/>
      <c r="MJ86" s="5"/>
      <c r="MK86" s="5"/>
      <c r="ML86" s="5"/>
      <c r="MM86" s="5"/>
      <c r="MN86" s="5"/>
      <c r="MO86" s="5"/>
      <c r="MP86" s="5"/>
      <c r="MQ86" s="5"/>
      <c r="MR86" s="5"/>
      <c r="MS86" s="5"/>
      <c r="MT86" s="5"/>
      <c r="MU86" s="5"/>
      <c r="MV86" s="5"/>
      <c r="MW86" s="5"/>
      <c r="MX86" s="5"/>
      <c r="MY86" s="5"/>
      <c r="MZ86" s="5"/>
      <c r="NA86" s="5"/>
      <c r="NB86" s="5"/>
      <c r="NC86" s="5"/>
      <c r="ND86" s="5"/>
      <c r="NE86" s="5"/>
      <c r="NF86" s="5"/>
      <c r="NG86" s="5"/>
      <c r="NH86" s="5"/>
      <c r="NI86" s="5"/>
      <c r="NJ86" s="5"/>
      <c r="NK86" s="5"/>
      <c r="NL86" s="5"/>
      <c r="NM86" s="5"/>
      <c r="NN86" s="5"/>
      <c r="NO86" s="5"/>
      <c r="NP86" s="5"/>
      <c r="NQ86" s="5"/>
      <c r="NR86" s="5"/>
      <c r="NS86" s="5"/>
      <c r="NT86" s="5"/>
      <c r="NU86" s="5"/>
      <c r="NV86" s="5"/>
      <c r="NW86" s="5"/>
      <c r="NX86" s="5"/>
      <c r="NY86" s="5"/>
      <c r="NZ86" s="5"/>
      <c r="OA86" s="5"/>
      <c r="OB86" s="5"/>
      <c r="OC86" s="5"/>
      <c r="OD86" s="5"/>
      <c r="OE86" s="5"/>
      <c r="OF86" s="5"/>
      <c r="OG86" s="5"/>
      <c r="OH86" s="5"/>
      <c r="OI86" s="5"/>
      <c r="OJ86" s="5"/>
      <c r="OK86" s="5"/>
      <c r="OL86" s="5"/>
      <c r="OM86" s="5"/>
      <c r="ON86" s="5"/>
      <c r="OO86" s="5"/>
      <c r="OP86" s="5"/>
      <c r="OQ86" s="5"/>
      <c r="OR86" s="5"/>
      <c r="OS86" s="5"/>
      <c r="OT86" s="5"/>
      <c r="OU86" s="5"/>
      <c r="OV86" s="5"/>
      <c r="OW86" s="5"/>
      <c r="OX86" s="5"/>
      <c r="OY86" s="5"/>
      <c r="OZ86" s="5"/>
      <c r="PA86" s="5"/>
      <c r="PB86" s="5"/>
      <c r="PC86" s="5"/>
      <c r="PD86" s="5"/>
      <c r="PE86" s="5"/>
      <c r="PF86" s="5"/>
      <c r="PG86" s="5"/>
      <c r="PH86" s="5"/>
      <c r="PI86" s="5"/>
      <c r="PJ86" s="5"/>
      <c r="PK86" s="5"/>
      <c r="PL86" s="5"/>
      <c r="PM86" s="5"/>
      <c r="PN86" s="5"/>
      <c r="PO86" s="5"/>
      <c r="PP86" s="5"/>
      <c r="PQ86" s="5"/>
      <c r="PR86" s="5"/>
      <c r="PS86" s="5"/>
      <c r="PT86" s="5"/>
      <c r="PU86" s="5"/>
      <c r="PV86" s="5"/>
      <c r="PW86" s="5"/>
      <c r="PX86" s="5"/>
      <c r="PY86" s="5"/>
      <c r="PZ86" s="5"/>
      <c r="QA86" s="5"/>
      <c r="QB86" s="5"/>
      <c r="QC86" s="5"/>
      <c r="QD86" s="5"/>
      <c r="QE86" s="5"/>
      <c r="QF86" s="5"/>
      <c r="QG86" s="5"/>
      <c r="QH86" s="5"/>
      <c r="QI86" s="5"/>
      <c r="QJ86" s="5"/>
      <c r="QK86" s="5"/>
      <c r="QL86" s="5"/>
      <c r="QM86" s="5"/>
      <c r="QN86" s="5"/>
      <c r="QO86" s="5"/>
      <c r="QP86" s="5"/>
      <c r="QQ86" s="5"/>
      <c r="QR86" s="5"/>
      <c r="QS86" s="5"/>
      <c r="QT86" s="5"/>
      <c r="QU86" s="5"/>
      <c r="QV86" s="5"/>
      <c r="QW86" s="5"/>
      <c r="QX86" s="5"/>
      <c r="QY86" s="5"/>
      <c r="QZ86" s="5"/>
      <c r="RA86" s="5"/>
      <c r="RB86" s="5"/>
      <c r="RC86" s="5"/>
      <c r="RD86" s="5"/>
      <c r="RE86" s="5"/>
      <c r="RF86" s="5"/>
      <c r="RG86" s="5"/>
      <c r="RH86" s="5"/>
      <c r="RI86" s="5"/>
      <c r="RJ86" s="5"/>
      <c r="RK86" s="5"/>
      <c r="RL86" s="5"/>
      <c r="RM86" s="5"/>
      <c r="RN86" s="5"/>
      <c r="RO86" s="5"/>
      <c r="RP86" s="5"/>
      <c r="RQ86" s="5"/>
      <c r="RR86" s="5"/>
      <c r="RS86" s="5"/>
      <c r="RT86" s="5"/>
      <c r="RU86" s="5"/>
      <c r="RV86" s="5"/>
      <c r="RW86" s="5"/>
      <c r="RX86" s="5"/>
      <c r="RY86" s="5"/>
      <c r="RZ86" s="5"/>
      <c r="SA86" s="5"/>
      <c r="SB86" s="5"/>
      <c r="SC86" s="5"/>
      <c r="SD86" s="5"/>
      <c r="SE86" s="5"/>
      <c r="SF86" s="5"/>
      <c r="SG86" s="5"/>
      <c r="SH86" s="5"/>
      <c r="SI86" s="5"/>
      <c r="SJ86" s="5"/>
      <c r="SK86" s="5"/>
      <c r="SL86" s="5"/>
      <c r="SM86" s="5"/>
      <c r="SN86" s="5"/>
      <c r="SO86" s="5"/>
      <c r="SP86" s="5"/>
      <c r="SQ86" s="5"/>
      <c r="SR86" s="5"/>
      <c r="SS86" s="5"/>
      <c r="ST86" s="5"/>
      <c r="SU86" s="5"/>
      <c r="SV86" s="5"/>
      <c r="SW86" s="5"/>
      <c r="SX86" s="5"/>
      <c r="SY86" s="5"/>
      <c r="SZ86" s="5"/>
      <c r="TA86" s="5"/>
      <c r="TB86" s="5"/>
      <c r="TC86" s="5"/>
      <c r="TD86" s="5"/>
      <c r="TE86" s="5"/>
      <c r="TF86" s="5"/>
      <c r="TG86" s="5"/>
      <c r="TH86" s="5"/>
      <c r="TI86" s="5"/>
      <c r="TJ86" s="5"/>
      <c r="TK86" s="5"/>
      <c r="TL86" s="5"/>
      <c r="TM86" s="5"/>
      <c r="TN86" s="5"/>
      <c r="TO86" s="5"/>
      <c r="TP86" s="5"/>
      <c r="TQ86" s="5"/>
      <c r="TR86" s="5"/>
      <c r="TS86" s="5"/>
      <c r="TT86" s="5"/>
      <c r="TU86" s="5"/>
      <c r="TV86" s="5"/>
      <c r="TW86" s="5"/>
      <c r="TX86" s="5"/>
      <c r="TY86" s="5"/>
      <c r="TZ86" s="5"/>
      <c r="UA86" s="5"/>
      <c r="UB86" s="5"/>
      <c r="UC86" s="5"/>
      <c r="UD86" s="5"/>
      <c r="UE86" s="5"/>
      <c r="UF86" s="5"/>
      <c r="UG86" s="5"/>
      <c r="UH86" s="5"/>
      <c r="UI86" s="5"/>
      <c r="UJ86" s="5"/>
      <c r="UK86" s="5"/>
      <c r="UL86" s="5"/>
      <c r="UM86" s="5"/>
      <c r="UN86" s="5"/>
      <c r="UO86" s="5"/>
      <c r="UP86" s="5"/>
      <c r="UQ86" s="5"/>
      <c r="UR86" s="5"/>
      <c r="US86" s="5"/>
      <c r="UT86" s="5"/>
      <c r="UU86" s="5"/>
      <c r="UV86" s="5"/>
      <c r="UW86" s="5"/>
      <c r="UX86" s="5"/>
      <c r="UY86" s="5"/>
      <c r="UZ86" s="5"/>
      <c r="VA86" s="5"/>
      <c r="VB86" s="5"/>
      <c r="VC86" s="5"/>
      <c r="VD86" s="5"/>
      <c r="VE86" s="5"/>
      <c r="VF86" s="5"/>
      <c r="VG86" s="5"/>
      <c r="VH86" s="5"/>
      <c r="VI86" s="5"/>
      <c r="VJ86" s="5"/>
      <c r="VK86" s="5"/>
      <c r="VL86" s="5"/>
      <c r="VM86" s="5"/>
      <c r="VN86" s="5"/>
      <c r="VO86" s="5"/>
      <c r="VP86" s="5"/>
      <c r="VQ86" s="5"/>
      <c r="VR86" s="5"/>
      <c r="VS86" s="5"/>
      <c r="VT86" s="5"/>
      <c r="VU86" s="5"/>
      <c r="VV86" s="5"/>
      <c r="VW86" s="5"/>
      <c r="VX86" s="5"/>
      <c r="VY86" s="5"/>
      <c r="VZ86" s="5"/>
      <c r="WA86" s="5"/>
      <c r="WB86" s="5"/>
      <c r="WC86" s="5"/>
      <c r="WD86" s="5"/>
      <c r="WE86" s="5"/>
      <c r="WF86" s="5"/>
      <c r="WG86" s="5"/>
      <c r="WH86" s="5"/>
      <c r="WI86" s="5"/>
      <c r="WJ86" s="5"/>
      <c r="WK86" s="5"/>
      <c r="WL86" s="5"/>
      <c r="WM86" s="5"/>
      <c r="WN86" s="5"/>
      <c r="WO86" s="5"/>
      <c r="WP86" s="5"/>
      <c r="WQ86" s="5"/>
      <c r="WR86" s="5"/>
      <c r="WS86" s="5"/>
      <c r="WT86" s="5"/>
      <c r="WU86" s="5"/>
      <c r="WV86" s="5"/>
      <c r="WW86" s="5"/>
      <c r="WX86" s="5"/>
      <c r="WY86" s="5"/>
      <c r="WZ86" s="5"/>
      <c r="XA86" s="5"/>
      <c r="XB86" s="5"/>
      <c r="XC86" s="5"/>
      <c r="XD86" s="5"/>
      <c r="XE86" s="5"/>
      <c r="XF86" s="5"/>
      <c r="XG86" s="5"/>
      <c r="XH86" s="5"/>
      <c r="XI86" s="5"/>
      <c r="XJ86" s="5"/>
      <c r="XK86" s="5"/>
      <c r="XL86" s="5"/>
      <c r="XM86" s="5"/>
      <c r="XN86" s="5"/>
      <c r="XO86" s="5"/>
      <c r="XP86" s="5"/>
      <c r="XQ86" s="5"/>
      <c r="XR86" s="5"/>
      <c r="XS86" s="5"/>
      <c r="XT86" s="5"/>
      <c r="XU86" s="5"/>
      <c r="XV86" s="5"/>
      <c r="XW86" s="5"/>
      <c r="XX86" s="5"/>
      <c r="XY86" s="5"/>
      <c r="XZ86" s="5"/>
      <c r="YA86" s="5"/>
      <c r="YB86" s="5"/>
      <c r="YC86" s="5"/>
      <c r="YD86" s="5"/>
      <c r="YE86" s="5"/>
      <c r="YF86" s="5"/>
      <c r="YG86" s="5"/>
      <c r="YH86" s="5"/>
      <c r="YI86" s="5"/>
      <c r="YJ86" s="5"/>
      <c r="YK86" s="5"/>
      <c r="YL86" s="5"/>
      <c r="YM86" s="5"/>
      <c r="YN86" s="5"/>
      <c r="YO86" s="5"/>
      <c r="YP86" s="5"/>
      <c r="YQ86" s="5"/>
      <c r="YR86" s="5"/>
      <c r="YS86" s="5"/>
      <c r="YT86" s="5"/>
      <c r="YU86" s="5"/>
      <c r="YV86" s="5"/>
      <c r="YW86" s="5"/>
      <c r="YX86" s="5"/>
      <c r="YY86" s="5"/>
      <c r="YZ86" s="5"/>
    </row>
    <row r="87" spans="1:676">
      <c r="A87" s="7">
        <v>77</v>
      </c>
      <c r="B87" s="7" t="s">
        <v>225</v>
      </c>
      <c r="C87" s="10" t="s">
        <v>226</v>
      </c>
      <c r="D87" s="7" t="s">
        <v>46</v>
      </c>
      <c r="E87" s="7" t="s">
        <v>78</v>
      </c>
      <c r="F87" s="7" t="s">
        <v>162</v>
      </c>
      <c r="G87" s="7"/>
      <c r="H87" s="7"/>
      <c r="I87" s="11">
        <v>2</v>
      </c>
      <c r="J87" s="11">
        <v>3</v>
      </c>
      <c r="K87" s="11">
        <v>0</v>
      </c>
      <c r="L87" s="11">
        <v>2.820000000000001</v>
      </c>
      <c r="M87" s="11">
        <v>0.64</v>
      </c>
      <c r="N87" s="11">
        <v>0</v>
      </c>
      <c r="O87" s="11">
        <v>0.37</v>
      </c>
      <c r="P87" s="11">
        <v>0.8500000000000001</v>
      </c>
      <c r="Q87" s="11">
        <v>4.680000000000002</v>
      </c>
      <c r="R87" s="11">
        <v>6.290000000000001</v>
      </c>
      <c r="S87" s="11">
        <v>10.97</v>
      </c>
      <c r="T87" s="11">
        <v>2</v>
      </c>
      <c r="U87" s="11">
        <v>3</v>
      </c>
      <c r="V87" s="11">
        <v>5.970000000000002</v>
      </c>
      <c r="W87" s="13">
        <v>6</v>
      </c>
      <c r="X87" s="13">
        <v>9</v>
      </c>
      <c r="Y87" s="13" t="str">
        <f>MIN(W87,S87)</f>
        <v>0</v>
      </c>
      <c r="Z87" s="13" t="str">
        <f>MIN(X87,(S87-Y87))</f>
        <v>0</v>
      </c>
      <c r="AA87" s="13" t="str">
        <f>S87-SUM(Y87,Z87)</f>
        <v>0</v>
      </c>
      <c r="AB87" s="15"/>
      <c r="AC87" s="15"/>
      <c r="AD87" s="1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  <c r="CZ87" s="5"/>
      <c r="DA87" s="5"/>
      <c r="DB87" s="5"/>
      <c r="DC87" s="5"/>
      <c r="DD87" s="5"/>
      <c r="DE87" s="5"/>
      <c r="DF87" s="5"/>
      <c r="DG87" s="5"/>
      <c r="DH87" s="5"/>
      <c r="DI87" s="5"/>
      <c r="DJ87" s="5"/>
      <c r="DK87" s="5"/>
      <c r="DL87" s="5"/>
      <c r="DM87" s="5"/>
      <c r="DN87" s="5"/>
      <c r="DO87" s="5"/>
      <c r="DP87" s="5"/>
      <c r="DQ87" s="5"/>
      <c r="DR87" s="5"/>
      <c r="DS87" s="5"/>
      <c r="DT87" s="5"/>
      <c r="DU87" s="5"/>
      <c r="DV87" s="5"/>
      <c r="DW87" s="5"/>
      <c r="DX87" s="5"/>
      <c r="DY87" s="5"/>
      <c r="DZ87" s="5"/>
      <c r="EA87" s="5"/>
      <c r="EB87" s="5"/>
      <c r="EC87" s="5"/>
      <c r="ED87" s="5"/>
      <c r="EE87" s="5"/>
      <c r="EF87" s="5"/>
      <c r="EG87" s="5"/>
      <c r="EH87" s="5"/>
      <c r="EI87" s="5"/>
      <c r="EJ87" s="5"/>
      <c r="EK87" s="5"/>
      <c r="EL87" s="5"/>
      <c r="EM87" s="5"/>
      <c r="EN87" s="5"/>
      <c r="EO87" s="5"/>
      <c r="EP87" s="5"/>
      <c r="EQ87" s="5"/>
      <c r="ER87" s="5"/>
      <c r="ES87" s="5"/>
      <c r="ET87" s="5"/>
      <c r="EU87" s="5"/>
      <c r="EV87" s="5"/>
      <c r="EW87" s="5"/>
      <c r="EX87" s="5"/>
      <c r="EY87" s="5"/>
      <c r="EZ87" s="5"/>
      <c r="FA87" s="5"/>
      <c r="FB87" s="5"/>
      <c r="FC87" s="5"/>
      <c r="FD87" s="5"/>
      <c r="FE87" s="5"/>
      <c r="FF87" s="5"/>
      <c r="FG87" s="5"/>
      <c r="FH87" s="5"/>
      <c r="FI87" s="5"/>
      <c r="FJ87" s="5"/>
      <c r="FK87" s="5"/>
      <c r="FL87" s="5"/>
      <c r="FM87" s="5"/>
      <c r="FN87" s="5"/>
      <c r="FO87" s="5"/>
      <c r="FP87" s="5"/>
      <c r="FQ87" s="5"/>
      <c r="FR87" s="5"/>
      <c r="FS87" s="5"/>
      <c r="FT87" s="5"/>
      <c r="FU87" s="5"/>
      <c r="FV87" s="5"/>
      <c r="FW87" s="5"/>
      <c r="FX87" s="5"/>
      <c r="FY87" s="5"/>
      <c r="FZ87" s="5"/>
      <c r="GA87" s="5"/>
      <c r="GB87" s="5"/>
      <c r="GC87" s="5"/>
      <c r="GD87" s="5"/>
      <c r="GE87" s="5"/>
      <c r="GF87" s="5"/>
      <c r="GG87" s="5"/>
      <c r="GH87" s="5"/>
      <c r="GI87" s="5"/>
      <c r="GJ87" s="5"/>
      <c r="GK87" s="5"/>
      <c r="GL87" s="5"/>
      <c r="GM87" s="5"/>
      <c r="GN87" s="5"/>
      <c r="GO87" s="5"/>
      <c r="GP87" s="5"/>
      <c r="GQ87" s="5"/>
      <c r="GR87" s="5"/>
      <c r="GS87" s="5"/>
      <c r="GT87" s="5"/>
      <c r="GU87" s="5"/>
      <c r="GV87" s="5"/>
      <c r="GW87" s="5"/>
      <c r="GX87" s="5"/>
      <c r="GY87" s="5"/>
      <c r="GZ87" s="5"/>
      <c r="HA87" s="5"/>
      <c r="HB87" s="5"/>
      <c r="HC87" s="5"/>
      <c r="HD87" s="5"/>
      <c r="HE87" s="5"/>
      <c r="HF87" s="5"/>
      <c r="HG87" s="5"/>
      <c r="HH87" s="5"/>
      <c r="HI87" s="5"/>
      <c r="HJ87" s="5"/>
      <c r="HK87" s="5"/>
      <c r="HL87" s="5"/>
      <c r="HM87" s="5"/>
      <c r="HN87" s="5"/>
      <c r="HO87" s="5"/>
      <c r="HP87" s="5"/>
      <c r="HQ87" s="5"/>
      <c r="HR87" s="5"/>
      <c r="HS87" s="5"/>
      <c r="HT87" s="5"/>
      <c r="HU87" s="5"/>
      <c r="HV87" s="5"/>
      <c r="HW87" s="5"/>
      <c r="HX87" s="5"/>
      <c r="HY87" s="5"/>
      <c r="HZ87" s="5"/>
      <c r="IA87" s="5"/>
      <c r="IB87" s="5"/>
      <c r="IC87" s="5"/>
      <c r="ID87" s="5"/>
      <c r="IE87" s="5"/>
      <c r="IF87" s="5"/>
      <c r="IG87" s="5"/>
      <c r="IH87" s="5"/>
      <c r="II87" s="5"/>
      <c r="IJ87" s="5"/>
      <c r="IK87" s="5"/>
      <c r="IL87" s="5"/>
      <c r="IM87" s="5"/>
      <c r="IN87" s="5"/>
      <c r="IO87" s="5"/>
      <c r="IP87" s="5"/>
      <c r="IQ87" s="5"/>
      <c r="IR87" s="5"/>
      <c r="IS87" s="5"/>
      <c r="IT87" s="5"/>
      <c r="IU87" s="5"/>
      <c r="IV87" s="5"/>
      <c r="IW87" s="5"/>
      <c r="IX87" s="5"/>
      <c r="IY87" s="5"/>
      <c r="IZ87" s="5"/>
      <c r="JA87" s="5"/>
      <c r="JB87" s="5"/>
      <c r="JC87" s="5"/>
      <c r="JD87" s="5"/>
      <c r="JE87" s="5"/>
      <c r="JF87" s="5"/>
      <c r="JG87" s="5"/>
      <c r="JH87" s="5"/>
      <c r="JI87" s="5"/>
      <c r="JJ87" s="5"/>
      <c r="JK87" s="5"/>
      <c r="JL87" s="5"/>
      <c r="JM87" s="5"/>
      <c r="JN87" s="5"/>
      <c r="JO87" s="5"/>
      <c r="JP87" s="5"/>
      <c r="JQ87" s="5"/>
      <c r="JR87" s="5"/>
      <c r="JS87" s="5"/>
      <c r="JT87" s="5"/>
      <c r="JU87" s="5"/>
      <c r="JV87" s="5"/>
      <c r="JW87" s="5"/>
      <c r="JX87" s="5"/>
      <c r="JY87" s="5"/>
      <c r="JZ87" s="5"/>
      <c r="KA87" s="5"/>
      <c r="KB87" s="5"/>
      <c r="KC87" s="5"/>
      <c r="KD87" s="5"/>
      <c r="KE87" s="5"/>
      <c r="KF87" s="5"/>
      <c r="KG87" s="5"/>
      <c r="KH87" s="5"/>
      <c r="KI87" s="5"/>
      <c r="KJ87" s="5"/>
      <c r="KK87" s="5"/>
      <c r="KL87" s="5"/>
      <c r="KM87" s="5"/>
      <c r="KN87" s="5"/>
      <c r="KO87" s="5"/>
      <c r="KP87" s="5"/>
      <c r="KQ87" s="5"/>
      <c r="KR87" s="5"/>
      <c r="KS87" s="5"/>
      <c r="KT87" s="5"/>
      <c r="KU87" s="5"/>
      <c r="KV87" s="5"/>
      <c r="KW87" s="5"/>
      <c r="KX87" s="5"/>
      <c r="KY87" s="5"/>
      <c r="KZ87" s="5"/>
      <c r="LA87" s="5"/>
      <c r="LB87" s="5"/>
      <c r="LC87" s="5"/>
      <c r="LD87" s="5"/>
      <c r="LE87" s="5"/>
      <c r="LF87" s="5"/>
      <c r="LG87" s="5"/>
      <c r="LH87" s="5"/>
      <c r="LI87" s="5"/>
      <c r="LJ87" s="5"/>
      <c r="LK87" s="5"/>
      <c r="LL87" s="5"/>
      <c r="LM87" s="5"/>
      <c r="LN87" s="5"/>
      <c r="LO87" s="5"/>
      <c r="LP87" s="5"/>
      <c r="LQ87" s="5"/>
      <c r="LR87" s="5"/>
      <c r="LS87" s="5"/>
      <c r="LT87" s="5"/>
      <c r="LU87" s="5"/>
      <c r="LV87" s="5"/>
      <c r="LW87" s="5"/>
      <c r="LX87" s="5"/>
      <c r="LY87" s="5"/>
      <c r="LZ87" s="5"/>
      <c r="MA87" s="5"/>
      <c r="MB87" s="5"/>
      <c r="MC87" s="5"/>
      <c r="MD87" s="5"/>
      <c r="ME87" s="5"/>
      <c r="MF87" s="5"/>
      <c r="MG87" s="5"/>
      <c r="MH87" s="5"/>
      <c r="MI87" s="5"/>
      <c r="MJ87" s="5"/>
      <c r="MK87" s="5"/>
      <c r="ML87" s="5"/>
      <c r="MM87" s="5"/>
      <c r="MN87" s="5"/>
      <c r="MO87" s="5"/>
      <c r="MP87" s="5"/>
      <c r="MQ87" s="5"/>
      <c r="MR87" s="5"/>
      <c r="MS87" s="5"/>
      <c r="MT87" s="5"/>
      <c r="MU87" s="5"/>
      <c r="MV87" s="5"/>
      <c r="MW87" s="5"/>
      <c r="MX87" s="5"/>
      <c r="MY87" s="5"/>
      <c r="MZ87" s="5"/>
      <c r="NA87" s="5"/>
      <c r="NB87" s="5"/>
      <c r="NC87" s="5"/>
      <c r="ND87" s="5"/>
      <c r="NE87" s="5"/>
      <c r="NF87" s="5"/>
      <c r="NG87" s="5"/>
      <c r="NH87" s="5"/>
      <c r="NI87" s="5"/>
      <c r="NJ87" s="5"/>
      <c r="NK87" s="5"/>
      <c r="NL87" s="5"/>
      <c r="NM87" s="5"/>
      <c r="NN87" s="5"/>
      <c r="NO87" s="5"/>
      <c r="NP87" s="5"/>
      <c r="NQ87" s="5"/>
      <c r="NR87" s="5"/>
      <c r="NS87" s="5"/>
      <c r="NT87" s="5"/>
      <c r="NU87" s="5"/>
      <c r="NV87" s="5"/>
      <c r="NW87" s="5"/>
      <c r="NX87" s="5"/>
      <c r="NY87" s="5"/>
      <c r="NZ87" s="5"/>
      <c r="OA87" s="5"/>
      <c r="OB87" s="5"/>
      <c r="OC87" s="5"/>
      <c r="OD87" s="5"/>
      <c r="OE87" s="5"/>
      <c r="OF87" s="5"/>
      <c r="OG87" s="5"/>
      <c r="OH87" s="5"/>
      <c r="OI87" s="5"/>
      <c r="OJ87" s="5"/>
      <c r="OK87" s="5"/>
      <c r="OL87" s="5"/>
      <c r="OM87" s="5"/>
      <c r="ON87" s="5"/>
      <c r="OO87" s="5"/>
      <c r="OP87" s="5"/>
      <c r="OQ87" s="5"/>
      <c r="OR87" s="5"/>
      <c r="OS87" s="5"/>
      <c r="OT87" s="5"/>
      <c r="OU87" s="5"/>
      <c r="OV87" s="5"/>
      <c r="OW87" s="5"/>
      <c r="OX87" s="5"/>
      <c r="OY87" s="5"/>
      <c r="OZ87" s="5"/>
      <c r="PA87" s="5"/>
      <c r="PB87" s="5"/>
      <c r="PC87" s="5"/>
      <c r="PD87" s="5"/>
      <c r="PE87" s="5"/>
      <c r="PF87" s="5"/>
      <c r="PG87" s="5"/>
      <c r="PH87" s="5"/>
      <c r="PI87" s="5"/>
      <c r="PJ87" s="5"/>
      <c r="PK87" s="5"/>
      <c r="PL87" s="5"/>
      <c r="PM87" s="5"/>
      <c r="PN87" s="5"/>
      <c r="PO87" s="5"/>
      <c r="PP87" s="5"/>
      <c r="PQ87" s="5"/>
      <c r="PR87" s="5"/>
      <c r="PS87" s="5"/>
      <c r="PT87" s="5"/>
      <c r="PU87" s="5"/>
      <c r="PV87" s="5"/>
      <c r="PW87" s="5"/>
      <c r="PX87" s="5"/>
      <c r="PY87" s="5"/>
      <c r="PZ87" s="5"/>
      <c r="QA87" s="5"/>
      <c r="QB87" s="5"/>
      <c r="QC87" s="5"/>
      <c r="QD87" s="5"/>
      <c r="QE87" s="5"/>
      <c r="QF87" s="5"/>
      <c r="QG87" s="5"/>
      <c r="QH87" s="5"/>
      <c r="QI87" s="5"/>
      <c r="QJ87" s="5"/>
      <c r="QK87" s="5"/>
      <c r="QL87" s="5"/>
      <c r="QM87" s="5"/>
      <c r="QN87" s="5"/>
      <c r="QO87" s="5"/>
      <c r="QP87" s="5"/>
      <c r="QQ87" s="5"/>
      <c r="QR87" s="5"/>
      <c r="QS87" s="5"/>
      <c r="QT87" s="5"/>
      <c r="QU87" s="5"/>
      <c r="QV87" s="5"/>
      <c r="QW87" s="5"/>
      <c r="QX87" s="5"/>
      <c r="QY87" s="5"/>
      <c r="QZ87" s="5"/>
      <c r="RA87" s="5"/>
      <c r="RB87" s="5"/>
      <c r="RC87" s="5"/>
      <c r="RD87" s="5"/>
      <c r="RE87" s="5"/>
      <c r="RF87" s="5"/>
      <c r="RG87" s="5"/>
      <c r="RH87" s="5"/>
      <c r="RI87" s="5"/>
      <c r="RJ87" s="5"/>
      <c r="RK87" s="5"/>
      <c r="RL87" s="5"/>
      <c r="RM87" s="5"/>
      <c r="RN87" s="5"/>
      <c r="RO87" s="5"/>
      <c r="RP87" s="5"/>
      <c r="RQ87" s="5"/>
      <c r="RR87" s="5"/>
      <c r="RS87" s="5"/>
      <c r="RT87" s="5"/>
      <c r="RU87" s="5"/>
      <c r="RV87" s="5"/>
      <c r="RW87" s="5"/>
      <c r="RX87" s="5"/>
      <c r="RY87" s="5"/>
      <c r="RZ87" s="5"/>
      <c r="SA87" s="5"/>
      <c r="SB87" s="5"/>
      <c r="SC87" s="5"/>
      <c r="SD87" s="5"/>
      <c r="SE87" s="5"/>
      <c r="SF87" s="5"/>
      <c r="SG87" s="5"/>
      <c r="SH87" s="5"/>
      <c r="SI87" s="5"/>
      <c r="SJ87" s="5"/>
      <c r="SK87" s="5"/>
      <c r="SL87" s="5"/>
      <c r="SM87" s="5"/>
      <c r="SN87" s="5"/>
      <c r="SO87" s="5"/>
      <c r="SP87" s="5"/>
      <c r="SQ87" s="5"/>
      <c r="SR87" s="5"/>
      <c r="SS87" s="5"/>
      <c r="ST87" s="5"/>
      <c r="SU87" s="5"/>
      <c r="SV87" s="5"/>
      <c r="SW87" s="5"/>
      <c r="SX87" s="5"/>
      <c r="SY87" s="5"/>
      <c r="SZ87" s="5"/>
      <c r="TA87" s="5"/>
      <c r="TB87" s="5"/>
      <c r="TC87" s="5"/>
      <c r="TD87" s="5"/>
      <c r="TE87" s="5"/>
      <c r="TF87" s="5"/>
      <c r="TG87" s="5"/>
      <c r="TH87" s="5"/>
      <c r="TI87" s="5"/>
      <c r="TJ87" s="5"/>
      <c r="TK87" s="5"/>
      <c r="TL87" s="5"/>
      <c r="TM87" s="5"/>
      <c r="TN87" s="5"/>
      <c r="TO87" s="5"/>
      <c r="TP87" s="5"/>
      <c r="TQ87" s="5"/>
      <c r="TR87" s="5"/>
      <c r="TS87" s="5"/>
      <c r="TT87" s="5"/>
      <c r="TU87" s="5"/>
      <c r="TV87" s="5"/>
      <c r="TW87" s="5"/>
      <c r="TX87" s="5"/>
      <c r="TY87" s="5"/>
      <c r="TZ87" s="5"/>
      <c r="UA87" s="5"/>
      <c r="UB87" s="5"/>
      <c r="UC87" s="5"/>
      <c r="UD87" s="5"/>
      <c r="UE87" s="5"/>
      <c r="UF87" s="5"/>
      <c r="UG87" s="5"/>
      <c r="UH87" s="5"/>
      <c r="UI87" s="5"/>
      <c r="UJ87" s="5"/>
      <c r="UK87" s="5"/>
      <c r="UL87" s="5"/>
      <c r="UM87" s="5"/>
      <c r="UN87" s="5"/>
      <c r="UO87" s="5"/>
      <c r="UP87" s="5"/>
      <c r="UQ87" s="5"/>
      <c r="UR87" s="5"/>
      <c r="US87" s="5"/>
      <c r="UT87" s="5"/>
      <c r="UU87" s="5"/>
      <c r="UV87" s="5"/>
      <c r="UW87" s="5"/>
      <c r="UX87" s="5"/>
      <c r="UY87" s="5"/>
      <c r="UZ87" s="5"/>
      <c r="VA87" s="5"/>
      <c r="VB87" s="5"/>
      <c r="VC87" s="5"/>
      <c r="VD87" s="5"/>
      <c r="VE87" s="5"/>
      <c r="VF87" s="5"/>
      <c r="VG87" s="5"/>
      <c r="VH87" s="5"/>
      <c r="VI87" s="5"/>
      <c r="VJ87" s="5"/>
      <c r="VK87" s="5"/>
      <c r="VL87" s="5"/>
      <c r="VM87" s="5"/>
      <c r="VN87" s="5"/>
      <c r="VO87" s="5"/>
      <c r="VP87" s="5"/>
      <c r="VQ87" s="5"/>
      <c r="VR87" s="5"/>
      <c r="VS87" s="5"/>
      <c r="VT87" s="5"/>
      <c r="VU87" s="5"/>
      <c r="VV87" s="5"/>
      <c r="VW87" s="5"/>
      <c r="VX87" s="5"/>
      <c r="VY87" s="5"/>
      <c r="VZ87" s="5"/>
      <c r="WA87" s="5"/>
      <c r="WB87" s="5"/>
      <c r="WC87" s="5"/>
      <c r="WD87" s="5"/>
      <c r="WE87" s="5"/>
      <c r="WF87" s="5"/>
      <c r="WG87" s="5"/>
      <c r="WH87" s="5"/>
      <c r="WI87" s="5"/>
      <c r="WJ87" s="5"/>
      <c r="WK87" s="5"/>
      <c r="WL87" s="5"/>
      <c r="WM87" s="5"/>
      <c r="WN87" s="5"/>
      <c r="WO87" s="5"/>
      <c r="WP87" s="5"/>
      <c r="WQ87" s="5"/>
      <c r="WR87" s="5"/>
      <c r="WS87" s="5"/>
      <c r="WT87" s="5"/>
      <c r="WU87" s="5"/>
      <c r="WV87" s="5"/>
      <c r="WW87" s="5"/>
      <c r="WX87" s="5"/>
      <c r="WY87" s="5"/>
      <c r="WZ87" s="5"/>
      <c r="XA87" s="5"/>
      <c r="XB87" s="5"/>
      <c r="XC87" s="5"/>
      <c r="XD87" s="5"/>
      <c r="XE87" s="5"/>
      <c r="XF87" s="5"/>
      <c r="XG87" s="5"/>
      <c r="XH87" s="5"/>
      <c r="XI87" s="5"/>
      <c r="XJ87" s="5"/>
      <c r="XK87" s="5"/>
      <c r="XL87" s="5"/>
      <c r="XM87" s="5"/>
      <c r="XN87" s="5"/>
      <c r="XO87" s="5"/>
      <c r="XP87" s="5"/>
      <c r="XQ87" s="5"/>
      <c r="XR87" s="5"/>
      <c r="XS87" s="5"/>
      <c r="XT87" s="5"/>
      <c r="XU87" s="5"/>
      <c r="XV87" s="5"/>
      <c r="XW87" s="5"/>
      <c r="XX87" s="5"/>
      <c r="XY87" s="5"/>
      <c r="XZ87" s="5"/>
      <c r="YA87" s="5"/>
      <c r="YB87" s="5"/>
      <c r="YC87" s="5"/>
      <c r="YD87" s="5"/>
      <c r="YE87" s="5"/>
      <c r="YF87" s="5"/>
      <c r="YG87" s="5"/>
      <c r="YH87" s="5"/>
      <c r="YI87" s="5"/>
      <c r="YJ87" s="5"/>
      <c r="YK87" s="5"/>
      <c r="YL87" s="5"/>
      <c r="YM87" s="5"/>
      <c r="YN87" s="5"/>
      <c r="YO87" s="5"/>
      <c r="YP87" s="5"/>
      <c r="YQ87" s="5"/>
      <c r="YR87" s="5"/>
      <c r="YS87" s="5"/>
      <c r="YT87" s="5"/>
      <c r="YU87" s="5"/>
      <c r="YV87" s="5"/>
      <c r="YW87" s="5"/>
      <c r="YX87" s="5"/>
      <c r="YY87" s="5"/>
      <c r="YZ87" s="5"/>
    </row>
    <row r="88" spans="1:676">
      <c r="A88" s="7">
        <v>78</v>
      </c>
      <c r="B88" s="7" t="s">
        <v>227</v>
      </c>
      <c r="C88" s="10" t="s">
        <v>228</v>
      </c>
      <c r="D88" s="7" t="s">
        <v>40</v>
      </c>
      <c r="E88" s="7" t="s">
        <v>78</v>
      </c>
      <c r="F88" s="7" t="s">
        <v>172</v>
      </c>
      <c r="G88" s="7"/>
      <c r="H88" s="7"/>
      <c r="I88" s="11">
        <v>2</v>
      </c>
      <c r="J88" s="11">
        <v>3</v>
      </c>
      <c r="K88" s="11">
        <v>0</v>
      </c>
      <c r="L88" s="11">
        <v>6.240000000000004</v>
      </c>
      <c r="M88" s="11">
        <v>0</v>
      </c>
      <c r="N88" s="11">
        <v>0</v>
      </c>
      <c r="O88" s="11">
        <v>0.54</v>
      </c>
      <c r="P88" s="11">
        <v>0.68</v>
      </c>
      <c r="Q88" s="11">
        <v>7.460000000000004</v>
      </c>
      <c r="R88" s="11">
        <v>15.17000000000001</v>
      </c>
      <c r="S88" s="11">
        <v>22.63000000000001</v>
      </c>
      <c r="T88" s="11">
        <v>2</v>
      </c>
      <c r="U88" s="11">
        <v>3</v>
      </c>
      <c r="V88" s="11">
        <v>17.63000000000001</v>
      </c>
      <c r="W88" s="13">
        <v>6</v>
      </c>
      <c r="X88" s="13">
        <v>9</v>
      </c>
      <c r="Y88" s="13" t="str">
        <f>MIN(W88,S88)</f>
        <v>0</v>
      </c>
      <c r="Z88" s="13" t="str">
        <f>MIN(X88,(S88-Y88))</f>
        <v>0</v>
      </c>
      <c r="AA88" s="13" t="str">
        <f>S88-SUM(Y88,Z88)</f>
        <v>0</v>
      </c>
      <c r="AB88" s="15"/>
      <c r="AC88" s="15"/>
      <c r="AD88" s="1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  <c r="CZ88" s="5"/>
      <c r="DA88" s="5"/>
      <c r="DB88" s="5"/>
      <c r="DC88" s="5"/>
      <c r="DD88" s="5"/>
      <c r="DE88" s="5"/>
      <c r="DF88" s="5"/>
      <c r="DG88" s="5"/>
      <c r="DH88" s="5"/>
      <c r="DI88" s="5"/>
      <c r="DJ88" s="5"/>
      <c r="DK88" s="5"/>
      <c r="DL88" s="5"/>
      <c r="DM88" s="5"/>
      <c r="DN88" s="5"/>
      <c r="DO88" s="5"/>
      <c r="DP88" s="5"/>
      <c r="DQ88" s="5"/>
      <c r="DR88" s="5"/>
      <c r="DS88" s="5"/>
      <c r="DT88" s="5"/>
      <c r="DU88" s="5"/>
      <c r="DV88" s="5"/>
      <c r="DW88" s="5"/>
      <c r="DX88" s="5"/>
      <c r="DY88" s="5"/>
      <c r="DZ88" s="5"/>
      <c r="EA88" s="5"/>
      <c r="EB88" s="5"/>
      <c r="EC88" s="5"/>
      <c r="ED88" s="5"/>
      <c r="EE88" s="5"/>
      <c r="EF88" s="5"/>
      <c r="EG88" s="5"/>
      <c r="EH88" s="5"/>
      <c r="EI88" s="5"/>
      <c r="EJ88" s="5"/>
      <c r="EK88" s="5"/>
      <c r="EL88" s="5"/>
      <c r="EM88" s="5"/>
      <c r="EN88" s="5"/>
      <c r="EO88" s="5"/>
      <c r="EP88" s="5"/>
      <c r="EQ88" s="5"/>
      <c r="ER88" s="5"/>
      <c r="ES88" s="5"/>
      <c r="ET88" s="5"/>
      <c r="EU88" s="5"/>
      <c r="EV88" s="5"/>
      <c r="EW88" s="5"/>
      <c r="EX88" s="5"/>
      <c r="EY88" s="5"/>
      <c r="EZ88" s="5"/>
      <c r="FA88" s="5"/>
      <c r="FB88" s="5"/>
      <c r="FC88" s="5"/>
      <c r="FD88" s="5"/>
      <c r="FE88" s="5"/>
      <c r="FF88" s="5"/>
      <c r="FG88" s="5"/>
      <c r="FH88" s="5"/>
      <c r="FI88" s="5"/>
      <c r="FJ88" s="5"/>
      <c r="FK88" s="5"/>
      <c r="FL88" s="5"/>
      <c r="FM88" s="5"/>
      <c r="FN88" s="5"/>
      <c r="FO88" s="5"/>
      <c r="FP88" s="5"/>
      <c r="FQ88" s="5"/>
      <c r="FR88" s="5"/>
      <c r="FS88" s="5"/>
      <c r="FT88" s="5"/>
      <c r="FU88" s="5"/>
      <c r="FV88" s="5"/>
      <c r="FW88" s="5"/>
      <c r="FX88" s="5"/>
      <c r="FY88" s="5"/>
      <c r="FZ88" s="5"/>
      <c r="GA88" s="5"/>
      <c r="GB88" s="5"/>
      <c r="GC88" s="5"/>
      <c r="GD88" s="5"/>
      <c r="GE88" s="5"/>
      <c r="GF88" s="5"/>
      <c r="GG88" s="5"/>
      <c r="GH88" s="5"/>
      <c r="GI88" s="5"/>
      <c r="GJ88" s="5"/>
      <c r="GK88" s="5"/>
      <c r="GL88" s="5"/>
      <c r="GM88" s="5"/>
      <c r="GN88" s="5"/>
      <c r="GO88" s="5"/>
      <c r="GP88" s="5"/>
      <c r="GQ88" s="5"/>
      <c r="GR88" s="5"/>
      <c r="GS88" s="5"/>
      <c r="GT88" s="5"/>
      <c r="GU88" s="5"/>
      <c r="GV88" s="5"/>
      <c r="GW88" s="5"/>
      <c r="GX88" s="5"/>
      <c r="GY88" s="5"/>
      <c r="GZ88" s="5"/>
      <c r="HA88" s="5"/>
      <c r="HB88" s="5"/>
      <c r="HC88" s="5"/>
      <c r="HD88" s="5"/>
      <c r="HE88" s="5"/>
      <c r="HF88" s="5"/>
      <c r="HG88" s="5"/>
      <c r="HH88" s="5"/>
      <c r="HI88" s="5"/>
      <c r="HJ88" s="5"/>
      <c r="HK88" s="5"/>
      <c r="HL88" s="5"/>
      <c r="HM88" s="5"/>
      <c r="HN88" s="5"/>
      <c r="HO88" s="5"/>
      <c r="HP88" s="5"/>
      <c r="HQ88" s="5"/>
      <c r="HR88" s="5"/>
      <c r="HS88" s="5"/>
      <c r="HT88" s="5"/>
      <c r="HU88" s="5"/>
      <c r="HV88" s="5"/>
      <c r="HW88" s="5"/>
      <c r="HX88" s="5"/>
      <c r="HY88" s="5"/>
      <c r="HZ88" s="5"/>
      <c r="IA88" s="5"/>
      <c r="IB88" s="5"/>
      <c r="IC88" s="5"/>
      <c r="ID88" s="5"/>
      <c r="IE88" s="5"/>
      <c r="IF88" s="5"/>
      <c r="IG88" s="5"/>
      <c r="IH88" s="5"/>
      <c r="II88" s="5"/>
      <c r="IJ88" s="5"/>
      <c r="IK88" s="5"/>
      <c r="IL88" s="5"/>
      <c r="IM88" s="5"/>
      <c r="IN88" s="5"/>
      <c r="IO88" s="5"/>
      <c r="IP88" s="5"/>
      <c r="IQ88" s="5"/>
      <c r="IR88" s="5"/>
      <c r="IS88" s="5"/>
      <c r="IT88" s="5"/>
      <c r="IU88" s="5"/>
      <c r="IV88" s="5"/>
      <c r="IW88" s="5"/>
      <c r="IX88" s="5"/>
      <c r="IY88" s="5"/>
      <c r="IZ88" s="5"/>
      <c r="JA88" s="5"/>
      <c r="JB88" s="5"/>
      <c r="JC88" s="5"/>
      <c r="JD88" s="5"/>
      <c r="JE88" s="5"/>
      <c r="JF88" s="5"/>
      <c r="JG88" s="5"/>
      <c r="JH88" s="5"/>
      <c r="JI88" s="5"/>
      <c r="JJ88" s="5"/>
      <c r="JK88" s="5"/>
      <c r="JL88" s="5"/>
      <c r="JM88" s="5"/>
      <c r="JN88" s="5"/>
      <c r="JO88" s="5"/>
      <c r="JP88" s="5"/>
      <c r="JQ88" s="5"/>
      <c r="JR88" s="5"/>
      <c r="JS88" s="5"/>
      <c r="JT88" s="5"/>
      <c r="JU88" s="5"/>
      <c r="JV88" s="5"/>
      <c r="JW88" s="5"/>
      <c r="JX88" s="5"/>
      <c r="JY88" s="5"/>
      <c r="JZ88" s="5"/>
      <c r="KA88" s="5"/>
      <c r="KB88" s="5"/>
      <c r="KC88" s="5"/>
      <c r="KD88" s="5"/>
      <c r="KE88" s="5"/>
      <c r="KF88" s="5"/>
      <c r="KG88" s="5"/>
      <c r="KH88" s="5"/>
      <c r="KI88" s="5"/>
      <c r="KJ88" s="5"/>
      <c r="KK88" s="5"/>
      <c r="KL88" s="5"/>
      <c r="KM88" s="5"/>
      <c r="KN88" s="5"/>
      <c r="KO88" s="5"/>
      <c r="KP88" s="5"/>
      <c r="KQ88" s="5"/>
      <c r="KR88" s="5"/>
      <c r="KS88" s="5"/>
      <c r="KT88" s="5"/>
      <c r="KU88" s="5"/>
      <c r="KV88" s="5"/>
      <c r="KW88" s="5"/>
      <c r="KX88" s="5"/>
      <c r="KY88" s="5"/>
      <c r="KZ88" s="5"/>
      <c r="LA88" s="5"/>
      <c r="LB88" s="5"/>
      <c r="LC88" s="5"/>
      <c r="LD88" s="5"/>
      <c r="LE88" s="5"/>
      <c r="LF88" s="5"/>
      <c r="LG88" s="5"/>
      <c r="LH88" s="5"/>
      <c r="LI88" s="5"/>
      <c r="LJ88" s="5"/>
      <c r="LK88" s="5"/>
      <c r="LL88" s="5"/>
      <c r="LM88" s="5"/>
      <c r="LN88" s="5"/>
      <c r="LO88" s="5"/>
      <c r="LP88" s="5"/>
      <c r="LQ88" s="5"/>
      <c r="LR88" s="5"/>
      <c r="LS88" s="5"/>
      <c r="LT88" s="5"/>
      <c r="LU88" s="5"/>
      <c r="LV88" s="5"/>
      <c r="LW88" s="5"/>
      <c r="LX88" s="5"/>
      <c r="LY88" s="5"/>
      <c r="LZ88" s="5"/>
      <c r="MA88" s="5"/>
      <c r="MB88" s="5"/>
      <c r="MC88" s="5"/>
      <c r="MD88" s="5"/>
      <c r="ME88" s="5"/>
      <c r="MF88" s="5"/>
      <c r="MG88" s="5"/>
      <c r="MH88" s="5"/>
      <c r="MI88" s="5"/>
      <c r="MJ88" s="5"/>
      <c r="MK88" s="5"/>
      <c r="ML88" s="5"/>
      <c r="MM88" s="5"/>
      <c r="MN88" s="5"/>
      <c r="MO88" s="5"/>
      <c r="MP88" s="5"/>
      <c r="MQ88" s="5"/>
      <c r="MR88" s="5"/>
      <c r="MS88" s="5"/>
      <c r="MT88" s="5"/>
      <c r="MU88" s="5"/>
      <c r="MV88" s="5"/>
      <c r="MW88" s="5"/>
      <c r="MX88" s="5"/>
      <c r="MY88" s="5"/>
      <c r="MZ88" s="5"/>
      <c r="NA88" s="5"/>
      <c r="NB88" s="5"/>
      <c r="NC88" s="5"/>
      <c r="ND88" s="5"/>
      <c r="NE88" s="5"/>
      <c r="NF88" s="5"/>
      <c r="NG88" s="5"/>
      <c r="NH88" s="5"/>
      <c r="NI88" s="5"/>
      <c r="NJ88" s="5"/>
      <c r="NK88" s="5"/>
      <c r="NL88" s="5"/>
      <c r="NM88" s="5"/>
      <c r="NN88" s="5"/>
      <c r="NO88" s="5"/>
      <c r="NP88" s="5"/>
      <c r="NQ88" s="5"/>
      <c r="NR88" s="5"/>
      <c r="NS88" s="5"/>
      <c r="NT88" s="5"/>
      <c r="NU88" s="5"/>
      <c r="NV88" s="5"/>
      <c r="NW88" s="5"/>
      <c r="NX88" s="5"/>
      <c r="NY88" s="5"/>
      <c r="NZ88" s="5"/>
      <c r="OA88" s="5"/>
      <c r="OB88" s="5"/>
      <c r="OC88" s="5"/>
      <c r="OD88" s="5"/>
      <c r="OE88" s="5"/>
      <c r="OF88" s="5"/>
      <c r="OG88" s="5"/>
      <c r="OH88" s="5"/>
      <c r="OI88" s="5"/>
      <c r="OJ88" s="5"/>
      <c r="OK88" s="5"/>
      <c r="OL88" s="5"/>
      <c r="OM88" s="5"/>
      <c r="ON88" s="5"/>
      <c r="OO88" s="5"/>
      <c r="OP88" s="5"/>
      <c r="OQ88" s="5"/>
      <c r="OR88" s="5"/>
      <c r="OS88" s="5"/>
      <c r="OT88" s="5"/>
      <c r="OU88" s="5"/>
      <c r="OV88" s="5"/>
      <c r="OW88" s="5"/>
      <c r="OX88" s="5"/>
      <c r="OY88" s="5"/>
      <c r="OZ88" s="5"/>
      <c r="PA88" s="5"/>
      <c r="PB88" s="5"/>
      <c r="PC88" s="5"/>
      <c r="PD88" s="5"/>
      <c r="PE88" s="5"/>
      <c r="PF88" s="5"/>
      <c r="PG88" s="5"/>
      <c r="PH88" s="5"/>
      <c r="PI88" s="5"/>
      <c r="PJ88" s="5"/>
      <c r="PK88" s="5"/>
      <c r="PL88" s="5"/>
      <c r="PM88" s="5"/>
      <c r="PN88" s="5"/>
      <c r="PO88" s="5"/>
      <c r="PP88" s="5"/>
      <c r="PQ88" s="5"/>
      <c r="PR88" s="5"/>
      <c r="PS88" s="5"/>
      <c r="PT88" s="5"/>
      <c r="PU88" s="5"/>
      <c r="PV88" s="5"/>
      <c r="PW88" s="5"/>
      <c r="PX88" s="5"/>
      <c r="PY88" s="5"/>
      <c r="PZ88" s="5"/>
      <c r="QA88" s="5"/>
      <c r="QB88" s="5"/>
      <c r="QC88" s="5"/>
      <c r="QD88" s="5"/>
      <c r="QE88" s="5"/>
      <c r="QF88" s="5"/>
      <c r="QG88" s="5"/>
      <c r="QH88" s="5"/>
      <c r="QI88" s="5"/>
      <c r="QJ88" s="5"/>
      <c r="QK88" s="5"/>
      <c r="QL88" s="5"/>
      <c r="QM88" s="5"/>
      <c r="QN88" s="5"/>
      <c r="QO88" s="5"/>
      <c r="QP88" s="5"/>
      <c r="QQ88" s="5"/>
      <c r="QR88" s="5"/>
      <c r="QS88" s="5"/>
      <c r="QT88" s="5"/>
      <c r="QU88" s="5"/>
      <c r="QV88" s="5"/>
      <c r="QW88" s="5"/>
      <c r="QX88" s="5"/>
      <c r="QY88" s="5"/>
      <c r="QZ88" s="5"/>
      <c r="RA88" s="5"/>
      <c r="RB88" s="5"/>
      <c r="RC88" s="5"/>
      <c r="RD88" s="5"/>
      <c r="RE88" s="5"/>
      <c r="RF88" s="5"/>
      <c r="RG88" s="5"/>
      <c r="RH88" s="5"/>
      <c r="RI88" s="5"/>
      <c r="RJ88" s="5"/>
      <c r="RK88" s="5"/>
      <c r="RL88" s="5"/>
      <c r="RM88" s="5"/>
      <c r="RN88" s="5"/>
      <c r="RO88" s="5"/>
      <c r="RP88" s="5"/>
      <c r="RQ88" s="5"/>
      <c r="RR88" s="5"/>
      <c r="RS88" s="5"/>
      <c r="RT88" s="5"/>
      <c r="RU88" s="5"/>
      <c r="RV88" s="5"/>
      <c r="RW88" s="5"/>
      <c r="RX88" s="5"/>
      <c r="RY88" s="5"/>
      <c r="RZ88" s="5"/>
      <c r="SA88" s="5"/>
      <c r="SB88" s="5"/>
      <c r="SC88" s="5"/>
      <c r="SD88" s="5"/>
      <c r="SE88" s="5"/>
      <c r="SF88" s="5"/>
      <c r="SG88" s="5"/>
      <c r="SH88" s="5"/>
      <c r="SI88" s="5"/>
      <c r="SJ88" s="5"/>
      <c r="SK88" s="5"/>
      <c r="SL88" s="5"/>
      <c r="SM88" s="5"/>
      <c r="SN88" s="5"/>
      <c r="SO88" s="5"/>
      <c r="SP88" s="5"/>
      <c r="SQ88" s="5"/>
      <c r="SR88" s="5"/>
      <c r="SS88" s="5"/>
      <c r="ST88" s="5"/>
      <c r="SU88" s="5"/>
      <c r="SV88" s="5"/>
      <c r="SW88" s="5"/>
      <c r="SX88" s="5"/>
      <c r="SY88" s="5"/>
      <c r="SZ88" s="5"/>
      <c r="TA88" s="5"/>
      <c r="TB88" s="5"/>
      <c r="TC88" s="5"/>
      <c r="TD88" s="5"/>
      <c r="TE88" s="5"/>
      <c r="TF88" s="5"/>
      <c r="TG88" s="5"/>
      <c r="TH88" s="5"/>
      <c r="TI88" s="5"/>
      <c r="TJ88" s="5"/>
      <c r="TK88" s="5"/>
      <c r="TL88" s="5"/>
      <c r="TM88" s="5"/>
      <c r="TN88" s="5"/>
      <c r="TO88" s="5"/>
      <c r="TP88" s="5"/>
      <c r="TQ88" s="5"/>
      <c r="TR88" s="5"/>
      <c r="TS88" s="5"/>
      <c r="TT88" s="5"/>
      <c r="TU88" s="5"/>
      <c r="TV88" s="5"/>
      <c r="TW88" s="5"/>
      <c r="TX88" s="5"/>
      <c r="TY88" s="5"/>
      <c r="TZ88" s="5"/>
      <c r="UA88" s="5"/>
      <c r="UB88" s="5"/>
      <c r="UC88" s="5"/>
      <c r="UD88" s="5"/>
      <c r="UE88" s="5"/>
      <c r="UF88" s="5"/>
      <c r="UG88" s="5"/>
      <c r="UH88" s="5"/>
      <c r="UI88" s="5"/>
      <c r="UJ88" s="5"/>
      <c r="UK88" s="5"/>
      <c r="UL88" s="5"/>
      <c r="UM88" s="5"/>
      <c r="UN88" s="5"/>
      <c r="UO88" s="5"/>
      <c r="UP88" s="5"/>
      <c r="UQ88" s="5"/>
      <c r="UR88" s="5"/>
      <c r="US88" s="5"/>
      <c r="UT88" s="5"/>
      <c r="UU88" s="5"/>
      <c r="UV88" s="5"/>
      <c r="UW88" s="5"/>
      <c r="UX88" s="5"/>
      <c r="UY88" s="5"/>
      <c r="UZ88" s="5"/>
      <c r="VA88" s="5"/>
      <c r="VB88" s="5"/>
      <c r="VC88" s="5"/>
      <c r="VD88" s="5"/>
      <c r="VE88" s="5"/>
      <c r="VF88" s="5"/>
      <c r="VG88" s="5"/>
      <c r="VH88" s="5"/>
      <c r="VI88" s="5"/>
      <c r="VJ88" s="5"/>
      <c r="VK88" s="5"/>
      <c r="VL88" s="5"/>
      <c r="VM88" s="5"/>
      <c r="VN88" s="5"/>
      <c r="VO88" s="5"/>
      <c r="VP88" s="5"/>
      <c r="VQ88" s="5"/>
      <c r="VR88" s="5"/>
      <c r="VS88" s="5"/>
      <c r="VT88" s="5"/>
      <c r="VU88" s="5"/>
      <c r="VV88" s="5"/>
      <c r="VW88" s="5"/>
      <c r="VX88" s="5"/>
      <c r="VY88" s="5"/>
      <c r="VZ88" s="5"/>
      <c r="WA88" s="5"/>
      <c r="WB88" s="5"/>
      <c r="WC88" s="5"/>
      <c r="WD88" s="5"/>
      <c r="WE88" s="5"/>
      <c r="WF88" s="5"/>
      <c r="WG88" s="5"/>
      <c r="WH88" s="5"/>
      <c r="WI88" s="5"/>
      <c r="WJ88" s="5"/>
      <c r="WK88" s="5"/>
      <c r="WL88" s="5"/>
      <c r="WM88" s="5"/>
      <c r="WN88" s="5"/>
      <c r="WO88" s="5"/>
      <c r="WP88" s="5"/>
      <c r="WQ88" s="5"/>
      <c r="WR88" s="5"/>
      <c r="WS88" s="5"/>
      <c r="WT88" s="5"/>
      <c r="WU88" s="5"/>
      <c r="WV88" s="5"/>
      <c r="WW88" s="5"/>
      <c r="WX88" s="5"/>
      <c r="WY88" s="5"/>
      <c r="WZ88" s="5"/>
      <c r="XA88" s="5"/>
      <c r="XB88" s="5"/>
      <c r="XC88" s="5"/>
      <c r="XD88" s="5"/>
      <c r="XE88" s="5"/>
      <c r="XF88" s="5"/>
      <c r="XG88" s="5"/>
      <c r="XH88" s="5"/>
      <c r="XI88" s="5"/>
      <c r="XJ88" s="5"/>
      <c r="XK88" s="5"/>
      <c r="XL88" s="5"/>
      <c r="XM88" s="5"/>
      <c r="XN88" s="5"/>
      <c r="XO88" s="5"/>
      <c r="XP88" s="5"/>
      <c r="XQ88" s="5"/>
      <c r="XR88" s="5"/>
      <c r="XS88" s="5"/>
      <c r="XT88" s="5"/>
      <c r="XU88" s="5"/>
      <c r="XV88" s="5"/>
      <c r="XW88" s="5"/>
      <c r="XX88" s="5"/>
      <c r="XY88" s="5"/>
      <c r="XZ88" s="5"/>
      <c r="YA88" s="5"/>
      <c r="YB88" s="5"/>
      <c r="YC88" s="5"/>
      <c r="YD88" s="5"/>
      <c r="YE88" s="5"/>
      <c r="YF88" s="5"/>
      <c r="YG88" s="5"/>
      <c r="YH88" s="5"/>
      <c r="YI88" s="5"/>
      <c r="YJ88" s="5"/>
      <c r="YK88" s="5"/>
      <c r="YL88" s="5"/>
      <c r="YM88" s="5"/>
      <c r="YN88" s="5"/>
      <c r="YO88" s="5"/>
      <c r="YP88" s="5"/>
      <c r="YQ88" s="5"/>
      <c r="YR88" s="5"/>
      <c r="YS88" s="5"/>
      <c r="YT88" s="5"/>
      <c r="YU88" s="5"/>
      <c r="YV88" s="5"/>
      <c r="YW88" s="5"/>
      <c r="YX88" s="5"/>
      <c r="YY88" s="5"/>
      <c r="YZ88" s="5"/>
    </row>
    <row r="89" spans="1:676">
      <c r="A89" s="7">
        <v>79</v>
      </c>
      <c r="B89" s="7" t="s">
        <v>229</v>
      </c>
      <c r="C89" s="10" t="s">
        <v>230</v>
      </c>
      <c r="D89" s="7" t="s">
        <v>46</v>
      </c>
      <c r="E89" s="7" t="s">
        <v>60</v>
      </c>
      <c r="F89" s="7" t="s">
        <v>179</v>
      </c>
      <c r="G89" s="7"/>
      <c r="H89" s="7" t="s">
        <v>79</v>
      </c>
      <c r="I89" s="11">
        <v>2</v>
      </c>
      <c r="J89" s="11">
        <v>0</v>
      </c>
      <c r="K89" s="11">
        <v>0</v>
      </c>
      <c r="L89" s="11">
        <v>0</v>
      </c>
      <c r="M89" s="11">
        <v>0</v>
      </c>
      <c r="N89" s="11">
        <v>0</v>
      </c>
      <c r="O89" s="11">
        <v>0</v>
      </c>
      <c r="P89" s="11">
        <v>0.34</v>
      </c>
      <c r="Q89" s="11">
        <v>0.34</v>
      </c>
      <c r="R89" s="11">
        <v>0.51</v>
      </c>
      <c r="S89" s="11">
        <v>0.8500000000000001</v>
      </c>
      <c r="T89" s="11">
        <v>0.8500000000000001</v>
      </c>
      <c r="U89" s="11">
        <v>0</v>
      </c>
      <c r="V89" s="11">
        <v>0</v>
      </c>
      <c r="W89" s="13">
        <v>6</v>
      </c>
      <c r="X89" s="13">
        <v>0</v>
      </c>
      <c r="Y89" s="13" t="str">
        <f>MIN(W89,S89)</f>
        <v>0</v>
      </c>
      <c r="Z89" s="13" t="str">
        <f>MIN(X89,(S89-Y89))</f>
        <v>0</v>
      </c>
      <c r="AA89" s="13" t="str">
        <f>S89-SUM(Y89,Z89)</f>
        <v>0</v>
      </c>
      <c r="AB89" s="15"/>
      <c r="AC89" s="15"/>
      <c r="AD89" s="1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  <c r="CZ89" s="5"/>
      <c r="DA89" s="5"/>
      <c r="DB89" s="5"/>
      <c r="DC89" s="5"/>
      <c r="DD89" s="5"/>
      <c r="DE89" s="5"/>
      <c r="DF89" s="5"/>
      <c r="DG89" s="5"/>
      <c r="DH89" s="5"/>
      <c r="DI89" s="5"/>
      <c r="DJ89" s="5"/>
      <c r="DK89" s="5"/>
      <c r="DL89" s="5"/>
      <c r="DM89" s="5"/>
      <c r="DN89" s="5"/>
      <c r="DO89" s="5"/>
      <c r="DP89" s="5"/>
      <c r="DQ89" s="5"/>
      <c r="DR89" s="5"/>
      <c r="DS89" s="5"/>
      <c r="DT89" s="5"/>
      <c r="DU89" s="5"/>
      <c r="DV89" s="5"/>
      <c r="DW89" s="5"/>
      <c r="DX89" s="5"/>
      <c r="DY89" s="5"/>
      <c r="DZ89" s="5"/>
      <c r="EA89" s="5"/>
      <c r="EB89" s="5"/>
      <c r="EC89" s="5"/>
      <c r="ED89" s="5"/>
      <c r="EE89" s="5"/>
      <c r="EF89" s="5"/>
      <c r="EG89" s="5"/>
      <c r="EH89" s="5"/>
      <c r="EI89" s="5"/>
      <c r="EJ89" s="5"/>
      <c r="EK89" s="5"/>
      <c r="EL89" s="5"/>
      <c r="EM89" s="5"/>
      <c r="EN89" s="5"/>
      <c r="EO89" s="5"/>
      <c r="EP89" s="5"/>
      <c r="EQ89" s="5"/>
      <c r="ER89" s="5"/>
      <c r="ES89" s="5"/>
      <c r="ET89" s="5"/>
      <c r="EU89" s="5"/>
      <c r="EV89" s="5"/>
      <c r="EW89" s="5"/>
      <c r="EX89" s="5"/>
      <c r="EY89" s="5"/>
      <c r="EZ89" s="5"/>
      <c r="FA89" s="5"/>
      <c r="FB89" s="5"/>
      <c r="FC89" s="5"/>
      <c r="FD89" s="5"/>
      <c r="FE89" s="5"/>
      <c r="FF89" s="5"/>
      <c r="FG89" s="5"/>
      <c r="FH89" s="5"/>
      <c r="FI89" s="5"/>
      <c r="FJ89" s="5"/>
      <c r="FK89" s="5"/>
      <c r="FL89" s="5"/>
      <c r="FM89" s="5"/>
      <c r="FN89" s="5"/>
      <c r="FO89" s="5"/>
      <c r="FP89" s="5"/>
      <c r="FQ89" s="5"/>
      <c r="FR89" s="5"/>
      <c r="FS89" s="5"/>
      <c r="FT89" s="5"/>
      <c r="FU89" s="5"/>
      <c r="FV89" s="5"/>
      <c r="FW89" s="5"/>
      <c r="FX89" s="5"/>
      <c r="FY89" s="5"/>
      <c r="FZ89" s="5"/>
      <c r="GA89" s="5"/>
      <c r="GB89" s="5"/>
      <c r="GC89" s="5"/>
      <c r="GD89" s="5"/>
      <c r="GE89" s="5"/>
      <c r="GF89" s="5"/>
      <c r="GG89" s="5"/>
      <c r="GH89" s="5"/>
      <c r="GI89" s="5"/>
      <c r="GJ89" s="5"/>
      <c r="GK89" s="5"/>
      <c r="GL89" s="5"/>
      <c r="GM89" s="5"/>
      <c r="GN89" s="5"/>
      <c r="GO89" s="5"/>
      <c r="GP89" s="5"/>
      <c r="GQ89" s="5"/>
      <c r="GR89" s="5"/>
      <c r="GS89" s="5"/>
      <c r="GT89" s="5"/>
      <c r="GU89" s="5"/>
      <c r="GV89" s="5"/>
      <c r="GW89" s="5"/>
      <c r="GX89" s="5"/>
      <c r="GY89" s="5"/>
      <c r="GZ89" s="5"/>
      <c r="HA89" s="5"/>
      <c r="HB89" s="5"/>
      <c r="HC89" s="5"/>
      <c r="HD89" s="5"/>
      <c r="HE89" s="5"/>
      <c r="HF89" s="5"/>
      <c r="HG89" s="5"/>
      <c r="HH89" s="5"/>
      <c r="HI89" s="5"/>
      <c r="HJ89" s="5"/>
      <c r="HK89" s="5"/>
      <c r="HL89" s="5"/>
      <c r="HM89" s="5"/>
      <c r="HN89" s="5"/>
      <c r="HO89" s="5"/>
      <c r="HP89" s="5"/>
      <c r="HQ89" s="5"/>
      <c r="HR89" s="5"/>
      <c r="HS89" s="5"/>
      <c r="HT89" s="5"/>
      <c r="HU89" s="5"/>
      <c r="HV89" s="5"/>
      <c r="HW89" s="5"/>
      <c r="HX89" s="5"/>
      <c r="HY89" s="5"/>
      <c r="HZ89" s="5"/>
      <c r="IA89" s="5"/>
      <c r="IB89" s="5"/>
      <c r="IC89" s="5"/>
      <c r="ID89" s="5"/>
      <c r="IE89" s="5"/>
      <c r="IF89" s="5"/>
      <c r="IG89" s="5"/>
      <c r="IH89" s="5"/>
      <c r="II89" s="5"/>
      <c r="IJ89" s="5"/>
      <c r="IK89" s="5"/>
      <c r="IL89" s="5"/>
      <c r="IM89" s="5"/>
      <c r="IN89" s="5"/>
      <c r="IO89" s="5"/>
      <c r="IP89" s="5"/>
      <c r="IQ89" s="5"/>
      <c r="IR89" s="5"/>
      <c r="IS89" s="5"/>
      <c r="IT89" s="5"/>
      <c r="IU89" s="5"/>
      <c r="IV89" s="5"/>
      <c r="IW89" s="5"/>
      <c r="IX89" s="5"/>
      <c r="IY89" s="5"/>
      <c r="IZ89" s="5"/>
      <c r="JA89" s="5"/>
      <c r="JB89" s="5"/>
      <c r="JC89" s="5"/>
      <c r="JD89" s="5"/>
      <c r="JE89" s="5"/>
      <c r="JF89" s="5"/>
      <c r="JG89" s="5"/>
      <c r="JH89" s="5"/>
      <c r="JI89" s="5"/>
      <c r="JJ89" s="5"/>
      <c r="JK89" s="5"/>
      <c r="JL89" s="5"/>
      <c r="JM89" s="5"/>
      <c r="JN89" s="5"/>
      <c r="JO89" s="5"/>
      <c r="JP89" s="5"/>
      <c r="JQ89" s="5"/>
      <c r="JR89" s="5"/>
      <c r="JS89" s="5"/>
      <c r="JT89" s="5"/>
      <c r="JU89" s="5"/>
      <c r="JV89" s="5"/>
      <c r="JW89" s="5"/>
      <c r="JX89" s="5"/>
      <c r="JY89" s="5"/>
      <c r="JZ89" s="5"/>
      <c r="KA89" s="5"/>
      <c r="KB89" s="5"/>
      <c r="KC89" s="5"/>
      <c r="KD89" s="5"/>
      <c r="KE89" s="5"/>
      <c r="KF89" s="5"/>
      <c r="KG89" s="5"/>
      <c r="KH89" s="5"/>
      <c r="KI89" s="5"/>
      <c r="KJ89" s="5"/>
      <c r="KK89" s="5"/>
      <c r="KL89" s="5"/>
      <c r="KM89" s="5"/>
      <c r="KN89" s="5"/>
      <c r="KO89" s="5"/>
      <c r="KP89" s="5"/>
      <c r="KQ89" s="5"/>
      <c r="KR89" s="5"/>
      <c r="KS89" s="5"/>
      <c r="KT89" s="5"/>
      <c r="KU89" s="5"/>
      <c r="KV89" s="5"/>
      <c r="KW89" s="5"/>
      <c r="KX89" s="5"/>
      <c r="KY89" s="5"/>
      <c r="KZ89" s="5"/>
      <c r="LA89" s="5"/>
      <c r="LB89" s="5"/>
      <c r="LC89" s="5"/>
      <c r="LD89" s="5"/>
      <c r="LE89" s="5"/>
      <c r="LF89" s="5"/>
      <c r="LG89" s="5"/>
      <c r="LH89" s="5"/>
      <c r="LI89" s="5"/>
      <c r="LJ89" s="5"/>
      <c r="LK89" s="5"/>
      <c r="LL89" s="5"/>
      <c r="LM89" s="5"/>
      <c r="LN89" s="5"/>
      <c r="LO89" s="5"/>
      <c r="LP89" s="5"/>
      <c r="LQ89" s="5"/>
      <c r="LR89" s="5"/>
      <c r="LS89" s="5"/>
      <c r="LT89" s="5"/>
      <c r="LU89" s="5"/>
      <c r="LV89" s="5"/>
      <c r="LW89" s="5"/>
      <c r="LX89" s="5"/>
      <c r="LY89" s="5"/>
      <c r="LZ89" s="5"/>
      <c r="MA89" s="5"/>
      <c r="MB89" s="5"/>
      <c r="MC89" s="5"/>
      <c r="MD89" s="5"/>
      <c r="ME89" s="5"/>
      <c r="MF89" s="5"/>
      <c r="MG89" s="5"/>
      <c r="MH89" s="5"/>
      <c r="MI89" s="5"/>
      <c r="MJ89" s="5"/>
      <c r="MK89" s="5"/>
      <c r="ML89" s="5"/>
      <c r="MM89" s="5"/>
      <c r="MN89" s="5"/>
      <c r="MO89" s="5"/>
      <c r="MP89" s="5"/>
      <c r="MQ89" s="5"/>
      <c r="MR89" s="5"/>
      <c r="MS89" s="5"/>
      <c r="MT89" s="5"/>
      <c r="MU89" s="5"/>
      <c r="MV89" s="5"/>
      <c r="MW89" s="5"/>
      <c r="MX89" s="5"/>
      <c r="MY89" s="5"/>
      <c r="MZ89" s="5"/>
      <c r="NA89" s="5"/>
      <c r="NB89" s="5"/>
      <c r="NC89" s="5"/>
      <c r="ND89" s="5"/>
      <c r="NE89" s="5"/>
      <c r="NF89" s="5"/>
      <c r="NG89" s="5"/>
      <c r="NH89" s="5"/>
      <c r="NI89" s="5"/>
      <c r="NJ89" s="5"/>
      <c r="NK89" s="5"/>
      <c r="NL89" s="5"/>
      <c r="NM89" s="5"/>
      <c r="NN89" s="5"/>
      <c r="NO89" s="5"/>
      <c r="NP89" s="5"/>
      <c r="NQ89" s="5"/>
      <c r="NR89" s="5"/>
      <c r="NS89" s="5"/>
      <c r="NT89" s="5"/>
      <c r="NU89" s="5"/>
      <c r="NV89" s="5"/>
      <c r="NW89" s="5"/>
      <c r="NX89" s="5"/>
      <c r="NY89" s="5"/>
      <c r="NZ89" s="5"/>
      <c r="OA89" s="5"/>
      <c r="OB89" s="5"/>
      <c r="OC89" s="5"/>
      <c r="OD89" s="5"/>
      <c r="OE89" s="5"/>
      <c r="OF89" s="5"/>
      <c r="OG89" s="5"/>
      <c r="OH89" s="5"/>
      <c r="OI89" s="5"/>
      <c r="OJ89" s="5"/>
      <c r="OK89" s="5"/>
      <c r="OL89" s="5"/>
      <c r="OM89" s="5"/>
      <c r="ON89" s="5"/>
      <c r="OO89" s="5"/>
      <c r="OP89" s="5"/>
      <c r="OQ89" s="5"/>
      <c r="OR89" s="5"/>
      <c r="OS89" s="5"/>
      <c r="OT89" s="5"/>
      <c r="OU89" s="5"/>
      <c r="OV89" s="5"/>
      <c r="OW89" s="5"/>
      <c r="OX89" s="5"/>
      <c r="OY89" s="5"/>
      <c r="OZ89" s="5"/>
      <c r="PA89" s="5"/>
      <c r="PB89" s="5"/>
      <c r="PC89" s="5"/>
      <c r="PD89" s="5"/>
      <c r="PE89" s="5"/>
      <c r="PF89" s="5"/>
      <c r="PG89" s="5"/>
      <c r="PH89" s="5"/>
      <c r="PI89" s="5"/>
      <c r="PJ89" s="5"/>
      <c r="PK89" s="5"/>
      <c r="PL89" s="5"/>
      <c r="PM89" s="5"/>
      <c r="PN89" s="5"/>
      <c r="PO89" s="5"/>
      <c r="PP89" s="5"/>
      <c r="PQ89" s="5"/>
      <c r="PR89" s="5"/>
      <c r="PS89" s="5"/>
      <c r="PT89" s="5"/>
      <c r="PU89" s="5"/>
      <c r="PV89" s="5"/>
      <c r="PW89" s="5"/>
      <c r="PX89" s="5"/>
      <c r="PY89" s="5"/>
      <c r="PZ89" s="5"/>
      <c r="QA89" s="5"/>
      <c r="QB89" s="5"/>
      <c r="QC89" s="5"/>
      <c r="QD89" s="5"/>
      <c r="QE89" s="5"/>
      <c r="QF89" s="5"/>
      <c r="QG89" s="5"/>
      <c r="QH89" s="5"/>
      <c r="QI89" s="5"/>
      <c r="QJ89" s="5"/>
      <c r="QK89" s="5"/>
      <c r="QL89" s="5"/>
      <c r="QM89" s="5"/>
      <c r="QN89" s="5"/>
      <c r="QO89" s="5"/>
      <c r="QP89" s="5"/>
      <c r="QQ89" s="5"/>
      <c r="QR89" s="5"/>
      <c r="QS89" s="5"/>
      <c r="QT89" s="5"/>
      <c r="QU89" s="5"/>
      <c r="QV89" s="5"/>
      <c r="QW89" s="5"/>
      <c r="QX89" s="5"/>
      <c r="QY89" s="5"/>
      <c r="QZ89" s="5"/>
      <c r="RA89" s="5"/>
      <c r="RB89" s="5"/>
      <c r="RC89" s="5"/>
      <c r="RD89" s="5"/>
      <c r="RE89" s="5"/>
      <c r="RF89" s="5"/>
      <c r="RG89" s="5"/>
      <c r="RH89" s="5"/>
      <c r="RI89" s="5"/>
      <c r="RJ89" s="5"/>
      <c r="RK89" s="5"/>
      <c r="RL89" s="5"/>
      <c r="RM89" s="5"/>
      <c r="RN89" s="5"/>
      <c r="RO89" s="5"/>
      <c r="RP89" s="5"/>
      <c r="RQ89" s="5"/>
      <c r="RR89" s="5"/>
      <c r="RS89" s="5"/>
      <c r="RT89" s="5"/>
      <c r="RU89" s="5"/>
      <c r="RV89" s="5"/>
      <c r="RW89" s="5"/>
      <c r="RX89" s="5"/>
      <c r="RY89" s="5"/>
      <c r="RZ89" s="5"/>
      <c r="SA89" s="5"/>
      <c r="SB89" s="5"/>
      <c r="SC89" s="5"/>
      <c r="SD89" s="5"/>
      <c r="SE89" s="5"/>
      <c r="SF89" s="5"/>
      <c r="SG89" s="5"/>
      <c r="SH89" s="5"/>
      <c r="SI89" s="5"/>
      <c r="SJ89" s="5"/>
      <c r="SK89" s="5"/>
      <c r="SL89" s="5"/>
      <c r="SM89" s="5"/>
      <c r="SN89" s="5"/>
      <c r="SO89" s="5"/>
      <c r="SP89" s="5"/>
      <c r="SQ89" s="5"/>
      <c r="SR89" s="5"/>
      <c r="SS89" s="5"/>
      <c r="ST89" s="5"/>
      <c r="SU89" s="5"/>
      <c r="SV89" s="5"/>
      <c r="SW89" s="5"/>
      <c r="SX89" s="5"/>
      <c r="SY89" s="5"/>
      <c r="SZ89" s="5"/>
      <c r="TA89" s="5"/>
      <c r="TB89" s="5"/>
      <c r="TC89" s="5"/>
      <c r="TD89" s="5"/>
      <c r="TE89" s="5"/>
      <c r="TF89" s="5"/>
      <c r="TG89" s="5"/>
      <c r="TH89" s="5"/>
      <c r="TI89" s="5"/>
      <c r="TJ89" s="5"/>
      <c r="TK89" s="5"/>
      <c r="TL89" s="5"/>
      <c r="TM89" s="5"/>
      <c r="TN89" s="5"/>
      <c r="TO89" s="5"/>
      <c r="TP89" s="5"/>
      <c r="TQ89" s="5"/>
      <c r="TR89" s="5"/>
      <c r="TS89" s="5"/>
      <c r="TT89" s="5"/>
      <c r="TU89" s="5"/>
      <c r="TV89" s="5"/>
      <c r="TW89" s="5"/>
      <c r="TX89" s="5"/>
      <c r="TY89" s="5"/>
      <c r="TZ89" s="5"/>
      <c r="UA89" s="5"/>
      <c r="UB89" s="5"/>
      <c r="UC89" s="5"/>
      <c r="UD89" s="5"/>
      <c r="UE89" s="5"/>
      <c r="UF89" s="5"/>
      <c r="UG89" s="5"/>
      <c r="UH89" s="5"/>
      <c r="UI89" s="5"/>
      <c r="UJ89" s="5"/>
      <c r="UK89" s="5"/>
      <c r="UL89" s="5"/>
      <c r="UM89" s="5"/>
      <c r="UN89" s="5"/>
      <c r="UO89" s="5"/>
      <c r="UP89" s="5"/>
      <c r="UQ89" s="5"/>
      <c r="UR89" s="5"/>
      <c r="US89" s="5"/>
      <c r="UT89" s="5"/>
      <c r="UU89" s="5"/>
      <c r="UV89" s="5"/>
      <c r="UW89" s="5"/>
      <c r="UX89" s="5"/>
      <c r="UY89" s="5"/>
      <c r="UZ89" s="5"/>
      <c r="VA89" s="5"/>
      <c r="VB89" s="5"/>
      <c r="VC89" s="5"/>
      <c r="VD89" s="5"/>
      <c r="VE89" s="5"/>
      <c r="VF89" s="5"/>
      <c r="VG89" s="5"/>
      <c r="VH89" s="5"/>
      <c r="VI89" s="5"/>
      <c r="VJ89" s="5"/>
      <c r="VK89" s="5"/>
      <c r="VL89" s="5"/>
      <c r="VM89" s="5"/>
      <c r="VN89" s="5"/>
      <c r="VO89" s="5"/>
      <c r="VP89" s="5"/>
      <c r="VQ89" s="5"/>
      <c r="VR89" s="5"/>
      <c r="VS89" s="5"/>
      <c r="VT89" s="5"/>
      <c r="VU89" s="5"/>
      <c r="VV89" s="5"/>
      <c r="VW89" s="5"/>
      <c r="VX89" s="5"/>
      <c r="VY89" s="5"/>
      <c r="VZ89" s="5"/>
      <c r="WA89" s="5"/>
      <c r="WB89" s="5"/>
      <c r="WC89" s="5"/>
      <c r="WD89" s="5"/>
      <c r="WE89" s="5"/>
      <c r="WF89" s="5"/>
      <c r="WG89" s="5"/>
      <c r="WH89" s="5"/>
      <c r="WI89" s="5"/>
      <c r="WJ89" s="5"/>
      <c r="WK89" s="5"/>
      <c r="WL89" s="5"/>
      <c r="WM89" s="5"/>
      <c r="WN89" s="5"/>
      <c r="WO89" s="5"/>
      <c r="WP89" s="5"/>
      <c r="WQ89" s="5"/>
      <c r="WR89" s="5"/>
      <c r="WS89" s="5"/>
      <c r="WT89" s="5"/>
      <c r="WU89" s="5"/>
      <c r="WV89" s="5"/>
      <c r="WW89" s="5"/>
      <c r="WX89" s="5"/>
      <c r="WY89" s="5"/>
      <c r="WZ89" s="5"/>
      <c r="XA89" s="5"/>
      <c r="XB89" s="5"/>
      <c r="XC89" s="5"/>
      <c r="XD89" s="5"/>
      <c r="XE89" s="5"/>
      <c r="XF89" s="5"/>
      <c r="XG89" s="5"/>
      <c r="XH89" s="5"/>
      <c r="XI89" s="5"/>
      <c r="XJ89" s="5"/>
      <c r="XK89" s="5"/>
      <c r="XL89" s="5"/>
      <c r="XM89" s="5"/>
      <c r="XN89" s="5"/>
      <c r="XO89" s="5"/>
      <c r="XP89" s="5"/>
      <c r="XQ89" s="5"/>
      <c r="XR89" s="5"/>
      <c r="XS89" s="5"/>
      <c r="XT89" s="5"/>
      <c r="XU89" s="5"/>
      <c r="XV89" s="5"/>
      <c r="XW89" s="5"/>
      <c r="XX89" s="5"/>
      <c r="XY89" s="5"/>
      <c r="XZ89" s="5"/>
      <c r="YA89" s="5"/>
      <c r="YB89" s="5"/>
      <c r="YC89" s="5"/>
      <c r="YD89" s="5"/>
      <c r="YE89" s="5"/>
      <c r="YF89" s="5"/>
      <c r="YG89" s="5"/>
      <c r="YH89" s="5"/>
      <c r="YI89" s="5"/>
      <c r="YJ89" s="5"/>
      <c r="YK89" s="5"/>
      <c r="YL89" s="5"/>
      <c r="YM89" s="5"/>
      <c r="YN89" s="5"/>
      <c r="YO89" s="5"/>
      <c r="YP89" s="5"/>
      <c r="YQ89" s="5"/>
      <c r="YR89" s="5"/>
      <c r="YS89" s="5"/>
      <c r="YT89" s="5"/>
      <c r="YU89" s="5"/>
      <c r="YV89" s="5"/>
      <c r="YW89" s="5"/>
      <c r="YX89" s="5"/>
      <c r="YY89" s="5"/>
      <c r="YZ89" s="5"/>
    </row>
    <row r="90" spans="1:676">
      <c r="A90" s="7">
        <v>80</v>
      </c>
      <c r="B90" s="7" t="s">
        <v>231</v>
      </c>
      <c r="C90" s="10" t="s">
        <v>232</v>
      </c>
      <c r="D90" s="7" t="s">
        <v>40</v>
      </c>
      <c r="E90" s="7" t="s">
        <v>82</v>
      </c>
      <c r="F90" s="7" t="s">
        <v>179</v>
      </c>
      <c r="G90" s="7"/>
      <c r="H90" s="7" t="s">
        <v>79</v>
      </c>
      <c r="I90" s="11">
        <v>2</v>
      </c>
      <c r="J90" s="11">
        <v>0</v>
      </c>
      <c r="K90" s="11">
        <v>0</v>
      </c>
      <c r="L90" s="11">
        <v>0</v>
      </c>
      <c r="M90" s="11">
        <v>0</v>
      </c>
      <c r="N90" s="11">
        <v>0</v>
      </c>
      <c r="O90" s="11">
        <v>0</v>
      </c>
      <c r="P90" s="11">
        <v>0.17</v>
      </c>
      <c r="Q90" s="11">
        <v>0.17</v>
      </c>
      <c r="R90" s="11">
        <v>0.34</v>
      </c>
      <c r="S90" s="11">
        <v>0.51</v>
      </c>
      <c r="T90" s="11">
        <v>0.51</v>
      </c>
      <c r="U90" s="11">
        <v>0</v>
      </c>
      <c r="V90" s="11">
        <v>0</v>
      </c>
      <c r="W90" s="13">
        <v>6</v>
      </c>
      <c r="X90" s="13">
        <v>0</v>
      </c>
      <c r="Y90" s="13" t="str">
        <f>MIN(W90,S90)</f>
        <v>0</v>
      </c>
      <c r="Z90" s="13" t="str">
        <f>MIN(X90,(S90-Y90))</f>
        <v>0</v>
      </c>
      <c r="AA90" s="13" t="str">
        <f>S90-SUM(Y90,Z90)</f>
        <v>0</v>
      </c>
      <c r="AB90" s="15"/>
      <c r="AC90" s="15"/>
      <c r="AD90" s="1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  <c r="CZ90" s="5"/>
      <c r="DA90" s="5"/>
      <c r="DB90" s="5"/>
      <c r="DC90" s="5"/>
      <c r="DD90" s="5"/>
      <c r="DE90" s="5"/>
      <c r="DF90" s="5"/>
      <c r="DG90" s="5"/>
      <c r="DH90" s="5"/>
      <c r="DI90" s="5"/>
      <c r="DJ90" s="5"/>
      <c r="DK90" s="5"/>
      <c r="DL90" s="5"/>
      <c r="DM90" s="5"/>
      <c r="DN90" s="5"/>
      <c r="DO90" s="5"/>
      <c r="DP90" s="5"/>
      <c r="DQ90" s="5"/>
      <c r="DR90" s="5"/>
      <c r="DS90" s="5"/>
      <c r="DT90" s="5"/>
      <c r="DU90" s="5"/>
      <c r="DV90" s="5"/>
      <c r="DW90" s="5"/>
      <c r="DX90" s="5"/>
      <c r="DY90" s="5"/>
      <c r="DZ90" s="5"/>
      <c r="EA90" s="5"/>
      <c r="EB90" s="5"/>
      <c r="EC90" s="5"/>
      <c r="ED90" s="5"/>
      <c r="EE90" s="5"/>
      <c r="EF90" s="5"/>
      <c r="EG90" s="5"/>
      <c r="EH90" s="5"/>
      <c r="EI90" s="5"/>
      <c r="EJ90" s="5"/>
      <c r="EK90" s="5"/>
      <c r="EL90" s="5"/>
      <c r="EM90" s="5"/>
      <c r="EN90" s="5"/>
      <c r="EO90" s="5"/>
      <c r="EP90" s="5"/>
      <c r="EQ90" s="5"/>
      <c r="ER90" s="5"/>
      <c r="ES90" s="5"/>
      <c r="ET90" s="5"/>
      <c r="EU90" s="5"/>
      <c r="EV90" s="5"/>
      <c r="EW90" s="5"/>
      <c r="EX90" s="5"/>
      <c r="EY90" s="5"/>
      <c r="EZ90" s="5"/>
      <c r="FA90" s="5"/>
      <c r="FB90" s="5"/>
      <c r="FC90" s="5"/>
      <c r="FD90" s="5"/>
      <c r="FE90" s="5"/>
      <c r="FF90" s="5"/>
      <c r="FG90" s="5"/>
      <c r="FH90" s="5"/>
      <c r="FI90" s="5"/>
      <c r="FJ90" s="5"/>
      <c r="FK90" s="5"/>
      <c r="FL90" s="5"/>
      <c r="FM90" s="5"/>
      <c r="FN90" s="5"/>
      <c r="FO90" s="5"/>
      <c r="FP90" s="5"/>
      <c r="FQ90" s="5"/>
      <c r="FR90" s="5"/>
      <c r="FS90" s="5"/>
      <c r="FT90" s="5"/>
      <c r="FU90" s="5"/>
      <c r="FV90" s="5"/>
      <c r="FW90" s="5"/>
      <c r="FX90" s="5"/>
      <c r="FY90" s="5"/>
      <c r="FZ90" s="5"/>
      <c r="GA90" s="5"/>
      <c r="GB90" s="5"/>
      <c r="GC90" s="5"/>
      <c r="GD90" s="5"/>
      <c r="GE90" s="5"/>
      <c r="GF90" s="5"/>
      <c r="GG90" s="5"/>
      <c r="GH90" s="5"/>
      <c r="GI90" s="5"/>
      <c r="GJ90" s="5"/>
      <c r="GK90" s="5"/>
      <c r="GL90" s="5"/>
      <c r="GM90" s="5"/>
      <c r="GN90" s="5"/>
      <c r="GO90" s="5"/>
      <c r="GP90" s="5"/>
      <c r="GQ90" s="5"/>
      <c r="GR90" s="5"/>
      <c r="GS90" s="5"/>
      <c r="GT90" s="5"/>
      <c r="GU90" s="5"/>
      <c r="GV90" s="5"/>
      <c r="GW90" s="5"/>
      <c r="GX90" s="5"/>
      <c r="GY90" s="5"/>
      <c r="GZ90" s="5"/>
      <c r="HA90" s="5"/>
      <c r="HB90" s="5"/>
      <c r="HC90" s="5"/>
      <c r="HD90" s="5"/>
      <c r="HE90" s="5"/>
      <c r="HF90" s="5"/>
      <c r="HG90" s="5"/>
      <c r="HH90" s="5"/>
      <c r="HI90" s="5"/>
      <c r="HJ90" s="5"/>
      <c r="HK90" s="5"/>
      <c r="HL90" s="5"/>
      <c r="HM90" s="5"/>
      <c r="HN90" s="5"/>
      <c r="HO90" s="5"/>
      <c r="HP90" s="5"/>
      <c r="HQ90" s="5"/>
      <c r="HR90" s="5"/>
      <c r="HS90" s="5"/>
      <c r="HT90" s="5"/>
      <c r="HU90" s="5"/>
      <c r="HV90" s="5"/>
      <c r="HW90" s="5"/>
      <c r="HX90" s="5"/>
      <c r="HY90" s="5"/>
      <c r="HZ90" s="5"/>
      <c r="IA90" s="5"/>
      <c r="IB90" s="5"/>
      <c r="IC90" s="5"/>
      <c r="ID90" s="5"/>
      <c r="IE90" s="5"/>
      <c r="IF90" s="5"/>
      <c r="IG90" s="5"/>
      <c r="IH90" s="5"/>
      <c r="II90" s="5"/>
      <c r="IJ90" s="5"/>
      <c r="IK90" s="5"/>
      <c r="IL90" s="5"/>
      <c r="IM90" s="5"/>
      <c r="IN90" s="5"/>
      <c r="IO90" s="5"/>
      <c r="IP90" s="5"/>
      <c r="IQ90" s="5"/>
      <c r="IR90" s="5"/>
      <c r="IS90" s="5"/>
      <c r="IT90" s="5"/>
      <c r="IU90" s="5"/>
      <c r="IV90" s="5"/>
      <c r="IW90" s="5"/>
      <c r="IX90" s="5"/>
      <c r="IY90" s="5"/>
      <c r="IZ90" s="5"/>
      <c r="JA90" s="5"/>
      <c r="JB90" s="5"/>
      <c r="JC90" s="5"/>
      <c r="JD90" s="5"/>
      <c r="JE90" s="5"/>
      <c r="JF90" s="5"/>
      <c r="JG90" s="5"/>
      <c r="JH90" s="5"/>
      <c r="JI90" s="5"/>
      <c r="JJ90" s="5"/>
      <c r="JK90" s="5"/>
      <c r="JL90" s="5"/>
      <c r="JM90" s="5"/>
      <c r="JN90" s="5"/>
      <c r="JO90" s="5"/>
      <c r="JP90" s="5"/>
      <c r="JQ90" s="5"/>
      <c r="JR90" s="5"/>
      <c r="JS90" s="5"/>
      <c r="JT90" s="5"/>
      <c r="JU90" s="5"/>
      <c r="JV90" s="5"/>
      <c r="JW90" s="5"/>
      <c r="JX90" s="5"/>
      <c r="JY90" s="5"/>
      <c r="JZ90" s="5"/>
      <c r="KA90" s="5"/>
      <c r="KB90" s="5"/>
      <c r="KC90" s="5"/>
      <c r="KD90" s="5"/>
      <c r="KE90" s="5"/>
      <c r="KF90" s="5"/>
      <c r="KG90" s="5"/>
      <c r="KH90" s="5"/>
      <c r="KI90" s="5"/>
      <c r="KJ90" s="5"/>
      <c r="KK90" s="5"/>
      <c r="KL90" s="5"/>
      <c r="KM90" s="5"/>
      <c r="KN90" s="5"/>
      <c r="KO90" s="5"/>
      <c r="KP90" s="5"/>
      <c r="KQ90" s="5"/>
      <c r="KR90" s="5"/>
      <c r="KS90" s="5"/>
      <c r="KT90" s="5"/>
      <c r="KU90" s="5"/>
      <c r="KV90" s="5"/>
      <c r="KW90" s="5"/>
      <c r="KX90" s="5"/>
      <c r="KY90" s="5"/>
      <c r="KZ90" s="5"/>
      <c r="LA90" s="5"/>
      <c r="LB90" s="5"/>
      <c r="LC90" s="5"/>
      <c r="LD90" s="5"/>
      <c r="LE90" s="5"/>
      <c r="LF90" s="5"/>
      <c r="LG90" s="5"/>
      <c r="LH90" s="5"/>
      <c r="LI90" s="5"/>
      <c r="LJ90" s="5"/>
      <c r="LK90" s="5"/>
      <c r="LL90" s="5"/>
      <c r="LM90" s="5"/>
      <c r="LN90" s="5"/>
      <c r="LO90" s="5"/>
      <c r="LP90" s="5"/>
      <c r="LQ90" s="5"/>
      <c r="LR90" s="5"/>
      <c r="LS90" s="5"/>
      <c r="LT90" s="5"/>
      <c r="LU90" s="5"/>
      <c r="LV90" s="5"/>
      <c r="LW90" s="5"/>
      <c r="LX90" s="5"/>
      <c r="LY90" s="5"/>
      <c r="LZ90" s="5"/>
      <c r="MA90" s="5"/>
      <c r="MB90" s="5"/>
      <c r="MC90" s="5"/>
      <c r="MD90" s="5"/>
      <c r="ME90" s="5"/>
      <c r="MF90" s="5"/>
      <c r="MG90" s="5"/>
      <c r="MH90" s="5"/>
      <c r="MI90" s="5"/>
      <c r="MJ90" s="5"/>
      <c r="MK90" s="5"/>
      <c r="ML90" s="5"/>
      <c r="MM90" s="5"/>
      <c r="MN90" s="5"/>
      <c r="MO90" s="5"/>
      <c r="MP90" s="5"/>
      <c r="MQ90" s="5"/>
      <c r="MR90" s="5"/>
      <c r="MS90" s="5"/>
      <c r="MT90" s="5"/>
      <c r="MU90" s="5"/>
      <c r="MV90" s="5"/>
      <c r="MW90" s="5"/>
      <c r="MX90" s="5"/>
      <c r="MY90" s="5"/>
      <c r="MZ90" s="5"/>
      <c r="NA90" s="5"/>
      <c r="NB90" s="5"/>
      <c r="NC90" s="5"/>
      <c r="ND90" s="5"/>
      <c r="NE90" s="5"/>
      <c r="NF90" s="5"/>
      <c r="NG90" s="5"/>
      <c r="NH90" s="5"/>
      <c r="NI90" s="5"/>
      <c r="NJ90" s="5"/>
      <c r="NK90" s="5"/>
      <c r="NL90" s="5"/>
      <c r="NM90" s="5"/>
      <c r="NN90" s="5"/>
      <c r="NO90" s="5"/>
      <c r="NP90" s="5"/>
      <c r="NQ90" s="5"/>
      <c r="NR90" s="5"/>
      <c r="NS90" s="5"/>
      <c r="NT90" s="5"/>
      <c r="NU90" s="5"/>
      <c r="NV90" s="5"/>
      <c r="NW90" s="5"/>
      <c r="NX90" s="5"/>
      <c r="NY90" s="5"/>
      <c r="NZ90" s="5"/>
      <c r="OA90" s="5"/>
      <c r="OB90" s="5"/>
      <c r="OC90" s="5"/>
      <c r="OD90" s="5"/>
      <c r="OE90" s="5"/>
      <c r="OF90" s="5"/>
      <c r="OG90" s="5"/>
      <c r="OH90" s="5"/>
      <c r="OI90" s="5"/>
      <c r="OJ90" s="5"/>
      <c r="OK90" s="5"/>
      <c r="OL90" s="5"/>
      <c r="OM90" s="5"/>
      <c r="ON90" s="5"/>
      <c r="OO90" s="5"/>
      <c r="OP90" s="5"/>
      <c r="OQ90" s="5"/>
      <c r="OR90" s="5"/>
      <c r="OS90" s="5"/>
      <c r="OT90" s="5"/>
      <c r="OU90" s="5"/>
      <c r="OV90" s="5"/>
      <c r="OW90" s="5"/>
      <c r="OX90" s="5"/>
      <c r="OY90" s="5"/>
      <c r="OZ90" s="5"/>
      <c r="PA90" s="5"/>
      <c r="PB90" s="5"/>
      <c r="PC90" s="5"/>
      <c r="PD90" s="5"/>
      <c r="PE90" s="5"/>
      <c r="PF90" s="5"/>
      <c r="PG90" s="5"/>
      <c r="PH90" s="5"/>
      <c r="PI90" s="5"/>
      <c r="PJ90" s="5"/>
      <c r="PK90" s="5"/>
      <c r="PL90" s="5"/>
      <c r="PM90" s="5"/>
      <c r="PN90" s="5"/>
      <c r="PO90" s="5"/>
      <c r="PP90" s="5"/>
      <c r="PQ90" s="5"/>
      <c r="PR90" s="5"/>
      <c r="PS90" s="5"/>
      <c r="PT90" s="5"/>
      <c r="PU90" s="5"/>
      <c r="PV90" s="5"/>
      <c r="PW90" s="5"/>
      <c r="PX90" s="5"/>
      <c r="PY90" s="5"/>
      <c r="PZ90" s="5"/>
      <c r="QA90" s="5"/>
      <c r="QB90" s="5"/>
      <c r="QC90" s="5"/>
      <c r="QD90" s="5"/>
      <c r="QE90" s="5"/>
      <c r="QF90" s="5"/>
      <c r="QG90" s="5"/>
      <c r="QH90" s="5"/>
      <c r="QI90" s="5"/>
      <c r="QJ90" s="5"/>
      <c r="QK90" s="5"/>
      <c r="QL90" s="5"/>
      <c r="QM90" s="5"/>
      <c r="QN90" s="5"/>
      <c r="QO90" s="5"/>
      <c r="QP90" s="5"/>
      <c r="QQ90" s="5"/>
      <c r="QR90" s="5"/>
      <c r="QS90" s="5"/>
      <c r="QT90" s="5"/>
      <c r="QU90" s="5"/>
      <c r="QV90" s="5"/>
      <c r="QW90" s="5"/>
      <c r="QX90" s="5"/>
      <c r="QY90" s="5"/>
      <c r="QZ90" s="5"/>
      <c r="RA90" s="5"/>
      <c r="RB90" s="5"/>
      <c r="RC90" s="5"/>
      <c r="RD90" s="5"/>
      <c r="RE90" s="5"/>
      <c r="RF90" s="5"/>
      <c r="RG90" s="5"/>
      <c r="RH90" s="5"/>
      <c r="RI90" s="5"/>
      <c r="RJ90" s="5"/>
      <c r="RK90" s="5"/>
      <c r="RL90" s="5"/>
      <c r="RM90" s="5"/>
      <c r="RN90" s="5"/>
      <c r="RO90" s="5"/>
      <c r="RP90" s="5"/>
      <c r="RQ90" s="5"/>
      <c r="RR90" s="5"/>
      <c r="RS90" s="5"/>
      <c r="RT90" s="5"/>
      <c r="RU90" s="5"/>
      <c r="RV90" s="5"/>
      <c r="RW90" s="5"/>
      <c r="RX90" s="5"/>
      <c r="RY90" s="5"/>
      <c r="RZ90" s="5"/>
      <c r="SA90" s="5"/>
      <c r="SB90" s="5"/>
      <c r="SC90" s="5"/>
      <c r="SD90" s="5"/>
      <c r="SE90" s="5"/>
      <c r="SF90" s="5"/>
      <c r="SG90" s="5"/>
      <c r="SH90" s="5"/>
      <c r="SI90" s="5"/>
      <c r="SJ90" s="5"/>
      <c r="SK90" s="5"/>
      <c r="SL90" s="5"/>
      <c r="SM90" s="5"/>
      <c r="SN90" s="5"/>
      <c r="SO90" s="5"/>
      <c r="SP90" s="5"/>
      <c r="SQ90" s="5"/>
      <c r="SR90" s="5"/>
      <c r="SS90" s="5"/>
      <c r="ST90" s="5"/>
      <c r="SU90" s="5"/>
      <c r="SV90" s="5"/>
      <c r="SW90" s="5"/>
      <c r="SX90" s="5"/>
      <c r="SY90" s="5"/>
      <c r="SZ90" s="5"/>
      <c r="TA90" s="5"/>
      <c r="TB90" s="5"/>
      <c r="TC90" s="5"/>
      <c r="TD90" s="5"/>
      <c r="TE90" s="5"/>
      <c r="TF90" s="5"/>
      <c r="TG90" s="5"/>
      <c r="TH90" s="5"/>
      <c r="TI90" s="5"/>
      <c r="TJ90" s="5"/>
      <c r="TK90" s="5"/>
      <c r="TL90" s="5"/>
      <c r="TM90" s="5"/>
      <c r="TN90" s="5"/>
      <c r="TO90" s="5"/>
      <c r="TP90" s="5"/>
      <c r="TQ90" s="5"/>
      <c r="TR90" s="5"/>
      <c r="TS90" s="5"/>
      <c r="TT90" s="5"/>
      <c r="TU90" s="5"/>
      <c r="TV90" s="5"/>
      <c r="TW90" s="5"/>
      <c r="TX90" s="5"/>
      <c r="TY90" s="5"/>
      <c r="TZ90" s="5"/>
      <c r="UA90" s="5"/>
      <c r="UB90" s="5"/>
      <c r="UC90" s="5"/>
      <c r="UD90" s="5"/>
      <c r="UE90" s="5"/>
      <c r="UF90" s="5"/>
      <c r="UG90" s="5"/>
      <c r="UH90" s="5"/>
      <c r="UI90" s="5"/>
      <c r="UJ90" s="5"/>
      <c r="UK90" s="5"/>
      <c r="UL90" s="5"/>
      <c r="UM90" s="5"/>
      <c r="UN90" s="5"/>
      <c r="UO90" s="5"/>
      <c r="UP90" s="5"/>
      <c r="UQ90" s="5"/>
      <c r="UR90" s="5"/>
      <c r="US90" s="5"/>
      <c r="UT90" s="5"/>
      <c r="UU90" s="5"/>
      <c r="UV90" s="5"/>
      <c r="UW90" s="5"/>
      <c r="UX90" s="5"/>
      <c r="UY90" s="5"/>
      <c r="UZ90" s="5"/>
      <c r="VA90" s="5"/>
      <c r="VB90" s="5"/>
      <c r="VC90" s="5"/>
      <c r="VD90" s="5"/>
      <c r="VE90" s="5"/>
      <c r="VF90" s="5"/>
      <c r="VG90" s="5"/>
      <c r="VH90" s="5"/>
      <c r="VI90" s="5"/>
      <c r="VJ90" s="5"/>
      <c r="VK90" s="5"/>
      <c r="VL90" s="5"/>
      <c r="VM90" s="5"/>
      <c r="VN90" s="5"/>
      <c r="VO90" s="5"/>
      <c r="VP90" s="5"/>
      <c r="VQ90" s="5"/>
      <c r="VR90" s="5"/>
      <c r="VS90" s="5"/>
      <c r="VT90" s="5"/>
      <c r="VU90" s="5"/>
      <c r="VV90" s="5"/>
      <c r="VW90" s="5"/>
      <c r="VX90" s="5"/>
      <c r="VY90" s="5"/>
      <c r="VZ90" s="5"/>
      <c r="WA90" s="5"/>
      <c r="WB90" s="5"/>
      <c r="WC90" s="5"/>
      <c r="WD90" s="5"/>
      <c r="WE90" s="5"/>
      <c r="WF90" s="5"/>
      <c r="WG90" s="5"/>
      <c r="WH90" s="5"/>
      <c r="WI90" s="5"/>
      <c r="WJ90" s="5"/>
      <c r="WK90" s="5"/>
      <c r="WL90" s="5"/>
      <c r="WM90" s="5"/>
      <c r="WN90" s="5"/>
      <c r="WO90" s="5"/>
      <c r="WP90" s="5"/>
      <c r="WQ90" s="5"/>
      <c r="WR90" s="5"/>
      <c r="WS90" s="5"/>
      <c r="WT90" s="5"/>
      <c r="WU90" s="5"/>
      <c r="WV90" s="5"/>
      <c r="WW90" s="5"/>
      <c r="WX90" s="5"/>
      <c r="WY90" s="5"/>
      <c r="WZ90" s="5"/>
      <c r="XA90" s="5"/>
      <c r="XB90" s="5"/>
      <c r="XC90" s="5"/>
      <c r="XD90" s="5"/>
      <c r="XE90" s="5"/>
      <c r="XF90" s="5"/>
      <c r="XG90" s="5"/>
      <c r="XH90" s="5"/>
      <c r="XI90" s="5"/>
      <c r="XJ90" s="5"/>
      <c r="XK90" s="5"/>
      <c r="XL90" s="5"/>
      <c r="XM90" s="5"/>
      <c r="XN90" s="5"/>
      <c r="XO90" s="5"/>
      <c r="XP90" s="5"/>
      <c r="XQ90" s="5"/>
      <c r="XR90" s="5"/>
      <c r="XS90" s="5"/>
      <c r="XT90" s="5"/>
      <c r="XU90" s="5"/>
      <c r="XV90" s="5"/>
      <c r="XW90" s="5"/>
      <c r="XX90" s="5"/>
      <c r="XY90" s="5"/>
      <c r="XZ90" s="5"/>
      <c r="YA90" s="5"/>
      <c r="YB90" s="5"/>
      <c r="YC90" s="5"/>
      <c r="YD90" s="5"/>
      <c r="YE90" s="5"/>
      <c r="YF90" s="5"/>
      <c r="YG90" s="5"/>
      <c r="YH90" s="5"/>
      <c r="YI90" s="5"/>
      <c r="YJ90" s="5"/>
      <c r="YK90" s="5"/>
      <c r="YL90" s="5"/>
      <c r="YM90" s="5"/>
      <c r="YN90" s="5"/>
      <c r="YO90" s="5"/>
      <c r="YP90" s="5"/>
      <c r="YQ90" s="5"/>
      <c r="YR90" s="5"/>
      <c r="YS90" s="5"/>
      <c r="YT90" s="5"/>
      <c r="YU90" s="5"/>
      <c r="YV90" s="5"/>
      <c r="YW90" s="5"/>
      <c r="YX90" s="5"/>
      <c r="YY90" s="5"/>
      <c r="YZ90" s="5"/>
    </row>
    <row r="91" spans="1:676">
      <c r="A91" s="7">
        <v>81</v>
      </c>
      <c r="B91" s="7" t="s">
        <v>233</v>
      </c>
      <c r="C91" s="10" t="s">
        <v>234</v>
      </c>
      <c r="D91" s="7" t="s">
        <v>46</v>
      </c>
      <c r="E91" s="7" t="s">
        <v>47</v>
      </c>
      <c r="F91" s="7" t="s">
        <v>165</v>
      </c>
      <c r="G91" s="7"/>
      <c r="H91" s="7"/>
      <c r="I91" s="11">
        <v>2</v>
      </c>
      <c r="J91" s="11">
        <v>3</v>
      </c>
      <c r="K91" s="11">
        <v>0</v>
      </c>
      <c r="L91" s="11">
        <v>1.98</v>
      </c>
      <c r="M91" s="11">
        <v>0.32</v>
      </c>
      <c r="N91" s="11">
        <v>0</v>
      </c>
      <c r="O91" s="11">
        <v>0.5800000000000001</v>
      </c>
      <c r="P91" s="11">
        <v>1.48</v>
      </c>
      <c r="Q91" s="11">
        <v>4.360000000000001</v>
      </c>
      <c r="R91" s="11">
        <v>6.380000000000001</v>
      </c>
      <c r="S91" s="11">
        <v>10.74</v>
      </c>
      <c r="T91" s="11">
        <v>2</v>
      </c>
      <c r="U91" s="11">
        <v>3</v>
      </c>
      <c r="V91" s="11">
        <v>5.740000000000002</v>
      </c>
      <c r="W91" s="13">
        <v>6</v>
      </c>
      <c r="X91" s="13">
        <v>9</v>
      </c>
      <c r="Y91" s="13" t="str">
        <f>MIN(W91,S91)</f>
        <v>0</v>
      </c>
      <c r="Z91" s="13" t="str">
        <f>MIN(X91,(S91-Y91))</f>
        <v>0</v>
      </c>
      <c r="AA91" s="13" t="str">
        <f>S91-SUM(Y91,Z91)</f>
        <v>0</v>
      </c>
      <c r="AB91" s="15"/>
      <c r="AC91" s="15"/>
      <c r="AD91" s="1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  <c r="CZ91" s="5"/>
      <c r="DA91" s="5"/>
      <c r="DB91" s="5"/>
      <c r="DC91" s="5"/>
      <c r="DD91" s="5"/>
      <c r="DE91" s="5"/>
      <c r="DF91" s="5"/>
      <c r="DG91" s="5"/>
      <c r="DH91" s="5"/>
      <c r="DI91" s="5"/>
      <c r="DJ91" s="5"/>
      <c r="DK91" s="5"/>
      <c r="DL91" s="5"/>
      <c r="DM91" s="5"/>
      <c r="DN91" s="5"/>
      <c r="DO91" s="5"/>
      <c r="DP91" s="5"/>
      <c r="DQ91" s="5"/>
      <c r="DR91" s="5"/>
      <c r="DS91" s="5"/>
      <c r="DT91" s="5"/>
      <c r="DU91" s="5"/>
      <c r="DV91" s="5"/>
      <c r="DW91" s="5"/>
      <c r="DX91" s="5"/>
      <c r="DY91" s="5"/>
      <c r="DZ91" s="5"/>
      <c r="EA91" s="5"/>
      <c r="EB91" s="5"/>
      <c r="EC91" s="5"/>
      <c r="ED91" s="5"/>
      <c r="EE91" s="5"/>
      <c r="EF91" s="5"/>
      <c r="EG91" s="5"/>
      <c r="EH91" s="5"/>
      <c r="EI91" s="5"/>
      <c r="EJ91" s="5"/>
      <c r="EK91" s="5"/>
      <c r="EL91" s="5"/>
      <c r="EM91" s="5"/>
      <c r="EN91" s="5"/>
      <c r="EO91" s="5"/>
      <c r="EP91" s="5"/>
      <c r="EQ91" s="5"/>
      <c r="ER91" s="5"/>
      <c r="ES91" s="5"/>
      <c r="ET91" s="5"/>
      <c r="EU91" s="5"/>
      <c r="EV91" s="5"/>
      <c r="EW91" s="5"/>
      <c r="EX91" s="5"/>
      <c r="EY91" s="5"/>
      <c r="EZ91" s="5"/>
      <c r="FA91" s="5"/>
      <c r="FB91" s="5"/>
      <c r="FC91" s="5"/>
      <c r="FD91" s="5"/>
      <c r="FE91" s="5"/>
      <c r="FF91" s="5"/>
      <c r="FG91" s="5"/>
      <c r="FH91" s="5"/>
      <c r="FI91" s="5"/>
      <c r="FJ91" s="5"/>
      <c r="FK91" s="5"/>
      <c r="FL91" s="5"/>
      <c r="FM91" s="5"/>
      <c r="FN91" s="5"/>
      <c r="FO91" s="5"/>
      <c r="FP91" s="5"/>
      <c r="FQ91" s="5"/>
      <c r="FR91" s="5"/>
      <c r="FS91" s="5"/>
      <c r="FT91" s="5"/>
      <c r="FU91" s="5"/>
      <c r="FV91" s="5"/>
      <c r="FW91" s="5"/>
      <c r="FX91" s="5"/>
      <c r="FY91" s="5"/>
      <c r="FZ91" s="5"/>
      <c r="GA91" s="5"/>
      <c r="GB91" s="5"/>
      <c r="GC91" s="5"/>
      <c r="GD91" s="5"/>
      <c r="GE91" s="5"/>
      <c r="GF91" s="5"/>
      <c r="GG91" s="5"/>
      <c r="GH91" s="5"/>
      <c r="GI91" s="5"/>
      <c r="GJ91" s="5"/>
      <c r="GK91" s="5"/>
      <c r="GL91" s="5"/>
      <c r="GM91" s="5"/>
      <c r="GN91" s="5"/>
      <c r="GO91" s="5"/>
      <c r="GP91" s="5"/>
      <c r="GQ91" s="5"/>
      <c r="GR91" s="5"/>
      <c r="GS91" s="5"/>
      <c r="GT91" s="5"/>
      <c r="GU91" s="5"/>
      <c r="GV91" s="5"/>
      <c r="GW91" s="5"/>
      <c r="GX91" s="5"/>
      <c r="GY91" s="5"/>
      <c r="GZ91" s="5"/>
      <c r="HA91" s="5"/>
      <c r="HB91" s="5"/>
      <c r="HC91" s="5"/>
      <c r="HD91" s="5"/>
      <c r="HE91" s="5"/>
      <c r="HF91" s="5"/>
      <c r="HG91" s="5"/>
      <c r="HH91" s="5"/>
      <c r="HI91" s="5"/>
      <c r="HJ91" s="5"/>
      <c r="HK91" s="5"/>
      <c r="HL91" s="5"/>
      <c r="HM91" s="5"/>
      <c r="HN91" s="5"/>
      <c r="HO91" s="5"/>
      <c r="HP91" s="5"/>
      <c r="HQ91" s="5"/>
      <c r="HR91" s="5"/>
      <c r="HS91" s="5"/>
      <c r="HT91" s="5"/>
      <c r="HU91" s="5"/>
      <c r="HV91" s="5"/>
      <c r="HW91" s="5"/>
      <c r="HX91" s="5"/>
      <c r="HY91" s="5"/>
      <c r="HZ91" s="5"/>
      <c r="IA91" s="5"/>
      <c r="IB91" s="5"/>
      <c r="IC91" s="5"/>
      <c r="ID91" s="5"/>
      <c r="IE91" s="5"/>
      <c r="IF91" s="5"/>
      <c r="IG91" s="5"/>
      <c r="IH91" s="5"/>
      <c r="II91" s="5"/>
      <c r="IJ91" s="5"/>
      <c r="IK91" s="5"/>
      <c r="IL91" s="5"/>
      <c r="IM91" s="5"/>
      <c r="IN91" s="5"/>
      <c r="IO91" s="5"/>
      <c r="IP91" s="5"/>
      <c r="IQ91" s="5"/>
      <c r="IR91" s="5"/>
      <c r="IS91" s="5"/>
      <c r="IT91" s="5"/>
      <c r="IU91" s="5"/>
      <c r="IV91" s="5"/>
      <c r="IW91" s="5"/>
      <c r="IX91" s="5"/>
      <c r="IY91" s="5"/>
      <c r="IZ91" s="5"/>
      <c r="JA91" s="5"/>
      <c r="JB91" s="5"/>
      <c r="JC91" s="5"/>
      <c r="JD91" s="5"/>
      <c r="JE91" s="5"/>
      <c r="JF91" s="5"/>
      <c r="JG91" s="5"/>
      <c r="JH91" s="5"/>
      <c r="JI91" s="5"/>
      <c r="JJ91" s="5"/>
      <c r="JK91" s="5"/>
      <c r="JL91" s="5"/>
      <c r="JM91" s="5"/>
      <c r="JN91" s="5"/>
      <c r="JO91" s="5"/>
      <c r="JP91" s="5"/>
      <c r="JQ91" s="5"/>
      <c r="JR91" s="5"/>
      <c r="JS91" s="5"/>
      <c r="JT91" s="5"/>
      <c r="JU91" s="5"/>
      <c r="JV91" s="5"/>
      <c r="JW91" s="5"/>
      <c r="JX91" s="5"/>
      <c r="JY91" s="5"/>
      <c r="JZ91" s="5"/>
      <c r="KA91" s="5"/>
      <c r="KB91" s="5"/>
      <c r="KC91" s="5"/>
      <c r="KD91" s="5"/>
      <c r="KE91" s="5"/>
      <c r="KF91" s="5"/>
      <c r="KG91" s="5"/>
      <c r="KH91" s="5"/>
      <c r="KI91" s="5"/>
      <c r="KJ91" s="5"/>
      <c r="KK91" s="5"/>
      <c r="KL91" s="5"/>
      <c r="KM91" s="5"/>
      <c r="KN91" s="5"/>
      <c r="KO91" s="5"/>
      <c r="KP91" s="5"/>
      <c r="KQ91" s="5"/>
      <c r="KR91" s="5"/>
      <c r="KS91" s="5"/>
      <c r="KT91" s="5"/>
      <c r="KU91" s="5"/>
      <c r="KV91" s="5"/>
      <c r="KW91" s="5"/>
      <c r="KX91" s="5"/>
      <c r="KY91" s="5"/>
      <c r="KZ91" s="5"/>
      <c r="LA91" s="5"/>
      <c r="LB91" s="5"/>
      <c r="LC91" s="5"/>
      <c r="LD91" s="5"/>
      <c r="LE91" s="5"/>
      <c r="LF91" s="5"/>
      <c r="LG91" s="5"/>
      <c r="LH91" s="5"/>
      <c r="LI91" s="5"/>
      <c r="LJ91" s="5"/>
      <c r="LK91" s="5"/>
      <c r="LL91" s="5"/>
      <c r="LM91" s="5"/>
      <c r="LN91" s="5"/>
      <c r="LO91" s="5"/>
      <c r="LP91" s="5"/>
      <c r="LQ91" s="5"/>
      <c r="LR91" s="5"/>
      <c r="LS91" s="5"/>
      <c r="LT91" s="5"/>
      <c r="LU91" s="5"/>
      <c r="LV91" s="5"/>
      <c r="LW91" s="5"/>
      <c r="LX91" s="5"/>
      <c r="LY91" s="5"/>
      <c r="LZ91" s="5"/>
      <c r="MA91" s="5"/>
      <c r="MB91" s="5"/>
      <c r="MC91" s="5"/>
      <c r="MD91" s="5"/>
      <c r="ME91" s="5"/>
      <c r="MF91" s="5"/>
      <c r="MG91" s="5"/>
      <c r="MH91" s="5"/>
      <c r="MI91" s="5"/>
      <c r="MJ91" s="5"/>
      <c r="MK91" s="5"/>
      <c r="ML91" s="5"/>
      <c r="MM91" s="5"/>
      <c r="MN91" s="5"/>
      <c r="MO91" s="5"/>
      <c r="MP91" s="5"/>
      <c r="MQ91" s="5"/>
      <c r="MR91" s="5"/>
      <c r="MS91" s="5"/>
      <c r="MT91" s="5"/>
      <c r="MU91" s="5"/>
      <c r="MV91" s="5"/>
      <c r="MW91" s="5"/>
      <c r="MX91" s="5"/>
      <c r="MY91" s="5"/>
      <c r="MZ91" s="5"/>
      <c r="NA91" s="5"/>
      <c r="NB91" s="5"/>
      <c r="NC91" s="5"/>
      <c r="ND91" s="5"/>
      <c r="NE91" s="5"/>
      <c r="NF91" s="5"/>
      <c r="NG91" s="5"/>
      <c r="NH91" s="5"/>
      <c r="NI91" s="5"/>
      <c r="NJ91" s="5"/>
      <c r="NK91" s="5"/>
      <c r="NL91" s="5"/>
      <c r="NM91" s="5"/>
      <c r="NN91" s="5"/>
      <c r="NO91" s="5"/>
      <c r="NP91" s="5"/>
      <c r="NQ91" s="5"/>
      <c r="NR91" s="5"/>
      <c r="NS91" s="5"/>
      <c r="NT91" s="5"/>
      <c r="NU91" s="5"/>
      <c r="NV91" s="5"/>
      <c r="NW91" s="5"/>
      <c r="NX91" s="5"/>
      <c r="NY91" s="5"/>
      <c r="NZ91" s="5"/>
      <c r="OA91" s="5"/>
      <c r="OB91" s="5"/>
      <c r="OC91" s="5"/>
      <c r="OD91" s="5"/>
      <c r="OE91" s="5"/>
      <c r="OF91" s="5"/>
      <c r="OG91" s="5"/>
      <c r="OH91" s="5"/>
      <c r="OI91" s="5"/>
      <c r="OJ91" s="5"/>
      <c r="OK91" s="5"/>
      <c r="OL91" s="5"/>
      <c r="OM91" s="5"/>
      <c r="ON91" s="5"/>
      <c r="OO91" s="5"/>
      <c r="OP91" s="5"/>
      <c r="OQ91" s="5"/>
      <c r="OR91" s="5"/>
      <c r="OS91" s="5"/>
      <c r="OT91" s="5"/>
      <c r="OU91" s="5"/>
      <c r="OV91" s="5"/>
      <c r="OW91" s="5"/>
      <c r="OX91" s="5"/>
      <c r="OY91" s="5"/>
      <c r="OZ91" s="5"/>
      <c r="PA91" s="5"/>
      <c r="PB91" s="5"/>
      <c r="PC91" s="5"/>
      <c r="PD91" s="5"/>
      <c r="PE91" s="5"/>
      <c r="PF91" s="5"/>
      <c r="PG91" s="5"/>
      <c r="PH91" s="5"/>
      <c r="PI91" s="5"/>
      <c r="PJ91" s="5"/>
      <c r="PK91" s="5"/>
      <c r="PL91" s="5"/>
      <c r="PM91" s="5"/>
      <c r="PN91" s="5"/>
      <c r="PO91" s="5"/>
      <c r="PP91" s="5"/>
      <c r="PQ91" s="5"/>
      <c r="PR91" s="5"/>
      <c r="PS91" s="5"/>
      <c r="PT91" s="5"/>
      <c r="PU91" s="5"/>
      <c r="PV91" s="5"/>
      <c r="PW91" s="5"/>
      <c r="PX91" s="5"/>
      <c r="PY91" s="5"/>
      <c r="PZ91" s="5"/>
      <c r="QA91" s="5"/>
      <c r="QB91" s="5"/>
      <c r="QC91" s="5"/>
      <c r="QD91" s="5"/>
      <c r="QE91" s="5"/>
      <c r="QF91" s="5"/>
      <c r="QG91" s="5"/>
      <c r="QH91" s="5"/>
      <c r="QI91" s="5"/>
      <c r="QJ91" s="5"/>
      <c r="QK91" s="5"/>
      <c r="QL91" s="5"/>
      <c r="QM91" s="5"/>
      <c r="QN91" s="5"/>
      <c r="QO91" s="5"/>
      <c r="QP91" s="5"/>
      <c r="QQ91" s="5"/>
      <c r="QR91" s="5"/>
      <c r="QS91" s="5"/>
      <c r="QT91" s="5"/>
      <c r="QU91" s="5"/>
      <c r="QV91" s="5"/>
      <c r="QW91" s="5"/>
      <c r="QX91" s="5"/>
      <c r="QY91" s="5"/>
      <c r="QZ91" s="5"/>
      <c r="RA91" s="5"/>
      <c r="RB91" s="5"/>
      <c r="RC91" s="5"/>
      <c r="RD91" s="5"/>
      <c r="RE91" s="5"/>
      <c r="RF91" s="5"/>
      <c r="RG91" s="5"/>
      <c r="RH91" s="5"/>
      <c r="RI91" s="5"/>
      <c r="RJ91" s="5"/>
      <c r="RK91" s="5"/>
      <c r="RL91" s="5"/>
      <c r="RM91" s="5"/>
      <c r="RN91" s="5"/>
      <c r="RO91" s="5"/>
      <c r="RP91" s="5"/>
      <c r="RQ91" s="5"/>
      <c r="RR91" s="5"/>
      <c r="RS91" s="5"/>
      <c r="RT91" s="5"/>
      <c r="RU91" s="5"/>
      <c r="RV91" s="5"/>
      <c r="RW91" s="5"/>
      <c r="RX91" s="5"/>
      <c r="RY91" s="5"/>
      <c r="RZ91" s="5"/>
      <c r="SA91" s="5"/>
      <c r="SB91" s="5"/>
      <c r="SC91" s="5"/>
      <c r="SD91" s="5"/>
      <c r="SE91" s="5"/>
      <c r="SF91" s="5"/>
      <c r="SG91" s="5"/>
      <c r="SH91" s="5"/>
      <c r="SI91" s="5"/>
      <c r="SJ91" s="5"/>
      <c r="SK91" s="5"/>
      <c r="SL91" s="5"/>
      <c r="SM91" s="5"/>
      <c r="SN91" s="5"/>
      <c r="SO91" s="5"/>
      <c r="SP91" s="5"/>
      <c r="SQ91" s="5"/>
      <c r="SR91" s="5"/>
      <c r="SS91" s="5"/>
      <c r="ST91" s="5"/>
      <c r="SU91" s="5"/>
      <c r="SV91" s="5"/>
      <c r="SW91" s="5"/>
      <c r="SX91" s="5"/>
      <c r="SY91" s="5"/>
      <c r="SZ91" s="5"/>
      <c r="TA91" s="5"/>
      <c r="TB91" s="5"/>
      <c r="TC91" s="5"/>
      <c r="TD91" s="5"/>
      <c r="TE91" s="5"/>
      <c r="TF91" s="5"/>
      <c r="TG91" s="5"/>
      <c r="TH91" s="5"/>
      <c r="TI91" s="5"/>
      <c r="TJ91" s="5"/>
      <c r="TK91" s="5"/>
      <c r="TL91" s="5"/>
      <c r="TM91" s="5"/>
      <c r="TN91" s="5"/>
      <c r="TO91" s="5"/>
      <c r="TP91" s="5"/>
      <c r="TQ91" s="5"/>
      <c r="TR91" s="5"/>
      <c r="TS91" s="5"/>
      <c r="TT91" s="5"/>
      <c r="TU91" s="5"/>
      <c r="TV91" s="5"/>
      <c r="TW91" s="5"/>
      <c r="TX91" s="5"/>
      <c r="TY91" s="5"/>
      <c r="TZ91" s="5"/>
      <c r="UA91" s="5"/>
      <c r="UB91" s="5"/>
      <c r="UC91" s="5"/>
      <c r="UD91" s="5"/>
      <c r="UE91" s="5"/>
      <c r="UF91" s="5"/>
      <c r="UG91" s="5"/>
      <c r="UH91" s="5"/>
      <c r="UI91" s="5"/>
      <c r="UJ91" s="5"/>
      <c r="UK91" s="5"/>
      <c r="UL91" s="5"/>
      <c r="UM91" s="5"/>
      <c r="UN91" s="5"/>
      <c r="UO91" s="5"/>
      <c r="UP91" s="5"/>
      <c r="UQ91" s="5"/>
      <c r="UR91" s="5"/>
      <c r="US91" s="5"/>
      <c r="UT91" s="5"/>
      <c r="UU91" s="5"/>
      <c r="UV91" s="5"/>
      <c r="UW91" s="5"/>
      <c r="UX91" s="5"/>
      <c r="UY91" s="5"/>
      <c r="UZ91" s="5"/>
      <c r="VA91" s="5"/>
      <c r="VB91" s="5"/>
      <c r="VC91" s="5"/>
      <c r="VD91" s="5"/>
      <c r="VE91" s="5"/>
      <c r="VF91" s="5"/>
      <c r="VG91" s="5"/>
      <c r="VH91" s="5"/>
      <c r="VI91" s="5"/>
      <c r="VJ91" s="5"/>
      <c r="VK91" s="5"/>
      <c r="VL91" s="5"/>
      <c r="VM91" s="5"/>
      <c r="VN91" s="5"/>
      <c r="VO91" s="5"/>
      <c r="VP91" s="5"/>
      <c r="VQ91" s="5"/>
      <c r="VR91" s="5"/>
      <c r="VS91" s="5"/>
      <c r="VT91" s="5"/>
      <c r="VU91" s="5"/>
      <c r="VV91" s="5"/>
      <c r="VW91" s="5"/>
      <c r="VX91" s="5"/>
      <c r="VY91" s="5"/>
      <c r="VZ91" s="5"/>
      <c r="WA91" s="5"/>
      <c r="WB91" s="5"/>
      <c r="WC91" s="5"/>
      <c r="WD91" s="5"/>
      <c r="WE91" s="5"/>
      <c r="WF91" s="5"/>
      <c r="WG91" s="5"/>
      <c r="WH91" s="5"/>
      <c r="WI91" s="5"/>
      <c r="WJ91" s="5"/>
      <c r="WK91" s="5"/>
      <c r="WL91" s="5"/>
      <c r="WM91" s="5"/>
      <c r="WN91" s="5"/>
      <c r="WO91" s="5"/>
      <c r="WP91" s="5"/>
      <c r="WQ91" s="5"/>
      <c r="WR91" s="5"/>
      <c r="WS91" s="5"/>
      <c r="WT91" s="5"/>
      <c r="WU91" s="5"/>
      <c r="WV91" s="5"/>
      <c r="WW91" s="5"/>
      <c r="WX91" s="5"/>
      <c r="WY91" s="5"/>
      <c r="WZ91" s="5"/>
      <c r="XA91" s="5"/>
      <c r="XB91" s="5"/>
      <c r="XC91" s="5"/>
      <c r="XD91" s="5"/>
      <c r="XE91" s="5"/>
      <c r="XF91" s="5"/>
      <c r="XG91" s="5"/>
      <c r="XH91" s="5"/>
      <c r="XI91" s="5"/>
      <c r="XJ91" s="5"/>
      <c r="XK91" s="5"/>
      <c r="XL91" s="5"/>
      <c r="XM91" s="5"/>
      <c r="XN91" s="5"/>
      <c r="XO91" s="5"/>
      <c r="XP91" s="5"/>
      <c r="XQ91" s="5"/>
      <c r="XR91" s="5"/>
      <c r="XS91" s="5"/>
      <c r="XT91" s="5"/>
      <c r="XU91" s="5"/>
      <c r="XV91" s="5"/>
      <c r="XW91" s="5"/>
      <c r="XX91" s="5"/>
      <c r="XY91" s="5"/>
      <c r="XZ91" s="5"/>
      <c r="YA91" s="5"/>
      <c r="YB91" s="5"/>
      <c r="YC91" s="5"/>
      <c r="YD91" s="5"/>
      <c r="YE91" s="5"/>
      <c r="YF91" s="5"/>
      <c r="YG91" s="5"/>
      <c r="YH91" s="5"/>
      <c r="YI91" s="5"/>
      <c r="YJ91" s="5"/>
      <c r="YK91" s="5"/>
      <c r="YL91" s="5"/>
      <c r="YM91" s="5"/>
      <c r="YN91" s="5"/>
      <c r="YO91" s="5"/>
      <c r="YP91" s="5"/>
      <c r="YQ91" s="5"/>
      <c r="YR91" s="5"/>
      <c r="YS91" s="5"/>
      <c r="YT91" s="5"/>
      <c r="YU91" s="5"/>
      <c r="YV91" s="5"/>
      <c r="YW91" s="5"/>
      <c r="YX91" s="5"/>
      <c r="YY91" s="5"/>
      <c r="YZ91" s="5"/>
    </row>
    <row r="95" spans="1:676">
      <c r="A95" s="16"/>
      <c r="B95" s="16" t="s">
        <v>235</v>
      </c>
      <c r="C95" s="16"/>
      <c r="D95" s="16"/>
      <c r="E95" s="16"/>
      <c r="F95" s="16"/>
      <c r="G95" s="16"/>
      <c r="H95" s="16"/>
      <c r="I95" s="16" t="s">
        <v>236</v>
      </c>
      <c r="J95" s="16"/>
      <c r="K95" s="16"/>
      <c r="L95" s="16"/>
      <c r="M95" s="16"/>
      <c r="N95" s="16"/>
      <c r="O95" s="16"/>
      <c r="P95" s="16"/>
      <c r="Q95" s="16"/>
    </row>
    <row r="96" spans="1:676">
      <c r="A96" s="16"/>
      <c r="B96" s="16" t="s">
        <v>237</v>
      </c>
      <c r="C96" s="16"/>
      <c r="D96" s="16"/>
      <c r="E96" s="16"/>
      <c r="F96" s="16"/>
      <c r="G96" s="16"/>
      <c r="H96" s="16"/>
      <c r="I96" s="16" t="s">
        <v>238</v>
      </c>
      <c r="J96" s="16"/>
      <c r="K96" s="16"/>
      <c r="L96" s="16"/>
      <c r="M96" s="16"/>
      <c r="N96" s="16"/>
      <c r="O96" s="16"/>
      <c r="P96" s="16"/>
      <c r="Q96" s="16"/>
    </row>
    <row r="97" spans="1:676">
      <c r="A97" s="16"/>
      <c r="B97" s="16"/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</row>
    <row r="98" spans="1:676">
      <c r="A98" s="16"/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</row>
    <row r="99" spans="1:676">
      <c r="A99" s="16"/>
      <c r="B99" s="16"/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</row>
    <row r="100" spans="1:676">
      <c r="A100" s="16"/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</row>
    <row r="101" spans="1:676">
      <c r="A101" s="16"/>
      <c r="B101" s="16" t="s">
        <v>239</v>
      </c>
      <c r="C101" s="16"/>
      <c r="D101" s="16"/>
      <c r="E101" s="16"/>
      <c r="F101" s="16"/>
      <c r="G101" s="16"/>
      <c r="H101" s="16"/>
      <c r="I101" s="16" t="s">
        <v>240</v>
      </c>
      <c r="J101" s="16"/>
      <c r="K101" s="16"/>
      <c r="L101" s="16"/>
      <c r="M101" s="16"/>
      <c r="N101" s="16"/>
      <c r="O101" s="16"/>
      <c r="P101" s="16"/>
      <c r="Q101" s="16"/>
    </row>
    <row r="102" spans="1:676">
      <c r="A102" s="16"/>
      <c r="B102" s="16" t="s">
        <v>241</v>
      </c>
      <c r="C102" s="16"/>
      <c r="D102" s="16"/>
      <c r="E102" s="16"/>
      <c r="F102" s="16"/>
      <c r="G102" s="16"/>
      <c r="H102" s="16"/>
      <c r="I102" s="16" t="s">
        <v>241</v>
      </c>
      <c r="J102" s="16"/>
      <c r="K102" s="16"/>
      <c r="L102" s="16"/>
      <c r="M102" s="16"/>
      <c r="N102" s="16"/>
      <c r="O102" s="16"/>
      <c r="P102" s="16"/>
      <c r="Q102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2024-06-08T18:40:17+07:00</dcterms:created>
  <dcterms:modified xsi:type="dcterms:W3CDTF">2024-06-08T18:40:17+07:00</dcterms:modified>
  <dc:title>Untitled Spreadsheet</dc:title>
  <dc:description/>
  <dc:subject/>
  <cp:keywords/>
  <cp:category/>
</cp:coreProperties>
</file>