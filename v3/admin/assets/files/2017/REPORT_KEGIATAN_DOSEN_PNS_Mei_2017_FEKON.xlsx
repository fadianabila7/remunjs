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<sst xmlns="http://schemas.openxmlformats.org/spreadsheetml/2006/main" uniqueCount="340">
  <si>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</si>
  <si>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</si>
  <si>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</si>
  <si>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</si>
  <si>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</si>
  <si>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</si>
  <si>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</si>
  <si>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</si>
  <si>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</si>
  <si>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</si>
  <si>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</si>
  <si>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</si>
  <si>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</si>
  <si>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</si>
  <si>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</si>
  <si>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</si>
  <si>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</si>
  <si>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</si>
  <si>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</si>
  <si>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</si>
  <si>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</si>
  <si>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</si>
  <si>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</si>
  <si>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</si>
  <si>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</si>
  <si>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</si>
  <si>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</si>
  <si>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</si>
  <si>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</si>
  <si>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</si>
  <si>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</si>
  <si>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</si>
  <si>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HAJI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</si>
  <si>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</si>
  <si>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</si>
  <si>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</si>
  <si>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</si>
  <si>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</si>
  <si>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195003151976021001</t>
  </si>
  <si>
    <t>PROF. DR. AMRIES RUSLI TANJUNG, MM, AK</t>
  </si>
  <si>
    <t>Akuntansi</t>
  </si>
  <si>
    <t>IV/e</t>
  </si>
  <si>
    <t>Profesor</t>
  </si>
  <si>
    <t>S3</t>
  </si>
  <si>
    <t>196211081989032002</t>
  </si>
  <si>
    <t>PROF. DR. RIA NELLY SARI, MBA, AK</t>
  </si>
  <si>
    <t>IV/c</t>
  </si>
  <si>
    <t>196703311993032003</t>
  </si>
  <si>
    <t>PROF. DR.HJ.JUMIATI SASMITA, SE, M.SI</t>
  </si>
  <si>
    <t>Manajemen</t>
  </si>
  <si>
    <t>IV/b</t>
  </si>
  <si>
    <t>195011291973031003</t>
  </si>
  <si>
    <t>PROF.DR. H. AMIR HASAN,SE,MM, MS,AK, CPA</t>
  </si>
  <si>
    <t>IV/d</t>
  </si>
  <si>
    <t>195709151986031006</t>
  </si>
  <si>
    <t>PROF.DR. H. B. ISYANDI, MS</t>
  </si>
  <si>
    <t>Ekonomi Pembangunan</t>
  </si>
  <si>
    <t>S2</t>
  </si>
  <si>
    <t>Ketua Jurusan A Gol. IV</t>
  </si>
  <si>
    <t>197008271994032002</t>
  </si>
  <si>
    <t>PROF.DR. SUSI HENDRIANI, SE, M.SI</t>
  </si>
  <si>
    <t>196311021989111001</t>
  </si>
  <si>
    <t>PROF.DR. ZULFADIL, SE, MBA</t>
  </si>
  <si>
    <t>Koordinator Program Studi A</t>
  </si>
  <si>
    <t>196007181987021001</t>
  </si>
  <si>
    <t>PROF.DR. ZULKARNAIN, MM</t>
  </si>
  <si>
    <t>Direktur Pascasarjana Gol. IV</t>
  </si>
  <si>
    <t>195412101982111001</t>
  </si>
  <si>
    <t>Prof. DR. HARLEN, MM</t>
  </si>
  <si>
    <t>195811201986012001</t>
  </si>
  <si>
    <t>Prof. Dr. Hj .MARNIS, SE.,M.S</t>
  </si>
  <si>
    <t>Kepala UPT, Direktur RS Pendidikan, Ketua SPI dan BPU</t>
  </si>
  <si>
    <t>196206121990021002</t>
  </si>
  <si>
    <t>Prof.DR. KIRMIZI RITONGA, MBA, AK</t>
  </si>
  <si>
    <t>197010121998022001</t>
  </si>
  <si>
    <t>ALVI FURWANTI ALWIE, SE, MM</t>
  </si>
  <si>
    <t>Lektor Kepala Gol. IV</t>
  </si>
  <si>
    <t>197112151997022001</t>
  </si>
  <si>
    <t>DESMIYAWATI, SE, MSI, AK</t>
  </si>
  <si>
    <t>IV/a</t>
  </si>
  <si>
    <t>Sekretaris Jurusan A</t>
  </si>
  <si>
    <t>195207081979031002</t>
  </si>
  <si>
    <t>DR.  TRI SUKIRNO PUTRO, MSI</t>
  </si>
  <si>
    <t>196104061994031001</t>
  </si>
  <si>
    <t>DR. ANDREAS, MM. AK</t>
  </si>
  <si>
    <t>197405252000121001</t>
  </si>
  <si>
    <t>DR. EMRINALDI NUR DP, SE, MSI</t>
  </si>
  <si>
    <t>196211211989031001</t>
  </si>
  <si>
    <t>DR. JAHRIZAL, SE,MT</t>
  </si>
  <si>
    <t>196108271989032001</t>
  </si>
  <si>
    <t>DR. KAMALIAH, MM, AK</t>
  </si>
  <si>
    <t>Wakil Dekan I A Gol. IV</t>
  </si>
  <si>
    <t>196309031990091001</t>
  </si>
  <si>
    <t>DR. SAMSIR, SE, M.SI</t>
  </si>
  <si>
    <t>196406091989032001</t>
  </si>
  <si>
    <t>DR. SRI INDARTI, M.SI</t>
  </si>
  <si>
    <t>Dekan A Gol. IV</t>
  </si>
  <si>
    <t>195701151986011001</t>
  </si>
  <si>
    <t>DR. SYAPSAN, SE., ME</t>
  </si>
  <si>
    <t>Wakil Rektor 3 Gol. IV</t>
  </si>
  <si>
    <t>196307011991032002</t>
  </si>
  <si>
    <t>DR. TAUFENI TAUFIK, SE, MSI, AK</t>
  </si>
  <si>
    <t>196103271989032001</t>
  </si>
  <si>
    <t>DR.RITA ANUGERAH, MAFIS, AK</t>
  </si>
  <si>
    <t>196510221990032002</t>
  </si>
  <si>
    <t>DRA. ERIYATI, MSI</t>
  </si>
  <si>
    <t>III/d</t>
  </si>
  <si>
    <t>195809211987022001</t>
  </si>
  <si>
    <t>DRA. HARYETTI, M.SI</t>
  </si>
  <si>
    <t>III/c</t>
  </si>
  <si>
    <t>Lektor Kepala Gol. III</t>
  </si>
  <si>
    <t>195505061981032001</t>
  </si>
  <si>
    <t>DRA. LILIS SULISTIOWATI, MM</t>
  </si>
  <si>
    <t>196002121987032001</t>
  </si>
  <si>
    <t>DRA. RITA YANI IYAN, MS</t>
  </si>
  <si>
    <t>196307281992032001</t>
  </si>
  <si>
    <t>DRA. VINCE RATNAWATI, M.SI,AK</t>
  </si>
  <si>
    <t>196008011988102001</t>
  </si>
  <si>
    <t>DRA. YUSRA LAINI. Y, AK</t>
  </si>
  <si>
    <t>196405051990031004</t>
  </si>
  <si>
    <t>DRS. ANTHONI MAYES, MSI</t>
  </si>
  <si>
    <t>195602021984031002</t>
  </si>
  <si>
    <t>DRS. AZWAR HARAHAP, MSI</t>
  </si>
  <si>
    <t>196008191989031002</t>
  </si>
  <si>
    <t>DRS. H.AZWIR NASIR, MM, AK</t>
  </si>
  <si>
    <t>196207081988031003</t>
  </si>
  <si>
    <t>DRS. HARDI, SH, MM, MH ,AK</t>
  </si>
  <si>
    <t>196112281989031002</t>
  </si>
  <si>
    <t>DRS. KENNEDY, MM, AK</t>
  </si>
  <si>
    <t>196206281989031002</t>
  </si>
  <si>
    <t>DRS. MACHASIN, MSI</t>
  </si>
  <si>
    <t>196508161993031003</t>
  </si>
  <si>
    <t>DRS. RESTU AGUSTI, M.SI, AK</t>
  </si>
  <si>
    <t>195801291991031001</t>
  </si>
  <si>
    <t>DRS. SYAFRIL BASRI, MSI</t>
  </si>
  <si>
    <t>196010091988031004</t>
  </si>
  <si>
    <t>DRS. WAHYU HAMIDY, M.SI</t>
  </si>
  <si>
    <t>Wakil Dekan III A Gol. IV</t>
  </si>
  <si>
    <t>195412231986011001</t>
  </si>
  <si>
    <t>DRS. YUSBAR YUSUF, M.SI</t>
  </si>
  <si>
    <t>196111191990021001</t>
  </si>
  <si>
    <t>DRS. ZIRMAN, MM,AK</t>
  </si>
  <si>
    <t>195611071987021001</t>
  </si>
  <si>
    <t>DRS. ZULBAHRIDAR, M.SI, AK</t>
  </si>
  <si>
    <t>196206141988102001</t>
  </si>
  <si>
    <t>Dr. YULIA EFNI, SE , ME</t>
  </si>
  <si>
    <t>197101212000031002</t>
  </si>
  <si>
    <t>EDFAN DARLIS, SE, MSI, AK</t>
  </si>
  <si>
    <t>196301181988031003</t>
  </si>
  <si>
    <t>EDYANUS HERMAN HALIM, SE, MS</t>
  </si>
  <si>
    <t>Wakil Dekan II A Gol. IV</t>
  </si>
  <si>
    <t>196304031989032003</t>
  </si>
  <si>
    <t>LAPETI SARI, SE, MSI</t>
  </si>
  <si>
    <t>197504192008012011</t>
  </si>
  <si>
    <t>MARDIANA, SE, M.Si</t>
  </si>
  <si>
    <t>196603131990022001</t>
  </si>
  <si>
    <t>MARZOLINA, SE., MM</t>
  </si>
  <si>
    <t>196609201996011001</t>
  </si>
  <si>
    <t>NASRIZAL, SE, AK</t>
  </si>
  <si>
    <t>197504082000122001</t>
  </si>
  <si>
    <t>NUR AZLINA, SE, M.SI, A</t>
  </si>
  <si>
    <t>196409291989032003</t>
  </si>
  <si>
    <t>RAHMITA B. NINGSIH, SE, M.HUM</t>
  </si>
  <si>
    <t>197208261997021001</t>
  </si>
  <si>
    <t>RAJA ADRI SATRIAWAN, SE, MA, AK</t>
  </si>
  <si>
    <t>196911181995122001</t>
  </si>
  <si>
    <t>SRI ENDANG KORNITA, SE, M.SI</t>
  </si>
  <si>
    <t>196412111988032001</t>
  </si>
  <si>
    <t>SRI RESTUTI, SE,MM</t>
  </si>
  <si>
    <t>196101261989032001</t>
  </si>
  <si>
    <t>TOTI INDRAWATI, SE, M.SI</t>
  </si>
  <si>
    <t>197207202006042001</t>
  </si>
  <si>
    <t>YESI MUTIA BASRI, SE, MSI., Phd</t>
  </si>
  <si>
    <t>196706161995022001</t>
  </si>
  <si>
    <t>Yuneita Anisma, SE. M.Si. Ak</t>
  </si>
  <si>
    <t>198311182010121003</t>
  </si>
  <si>
    <t>AHMAD FAUZHAN FATHONI,S.E,M.Sc</t>
  </si>
  <si>
    <t>III/b</t>
  </si>
  <si>
    <t>Lektor Gol. III</t>
  </si>
  <si>
    <t>197403061998022001</t>
  </si>
  <si>
    <t>ALFIATI SILFI, SE, MSI, AK</t>
  </si>
  <si>
    <t>Koordinator Program Studi B</t>
  </si>
  <si>
    <t>197308112000122001</t>
  </si>
  <si>
    <t>ANDEWI ROKHMAWATI, SE., MM., PhD</t>
  </si>
  <si>
    <t>196811231993032004</t>
  </si>
  <si>
    <t>ANY WIDAYATSARI, SE,ME</t>
  </si>
  <si>
    <t>196808201993032002</t>
  </si>
  <si>
    <t>ARWINENCE PRAMADEWI, SE</t>
  </si>
  <si>
    <t>197512172008012010</t>
  </si>
  <si>
    <t>DENY DANAR RAHAYU, SE, M.Si</t>
  </si>
  <si>
    <t>197709212008121001</t>
  </si>
  <si>
    <t>DENY SETIAWAN,SE,M.Ec</t>
  </si>
  <si>
    <t>Belum ada jabatan struktural</t>
  </si>
  <si>
    <t>198412122010122008</t>
  </si>
  <si>
    <t>DEVI SAVITRI, S.E.,M.Ak.</t>
  </si>
  <si>
    <t>196802041994032002</t>
  </si>
  <si>
    <t>DEWITA SURYATI NINGSIH,SE, MBA</t>
  </si>
  <si>
    <t>197305122006041002</t>
  </si>
  <si>
    <t>DR. DAHLAN TAMPUBOLON, SE, MSI</t>
  </si>
  <si>
    <t>198203162008121001</t>
  </si>
  <si>
    <t>DR. EKA ARMAS PAILIS,SE., MM</t>
  </si>
  <si>
    <t>III/a</t>
  </si>
  <si>
    <t>197411012000122001</t>
  </si>
  <si>
    <t>DR. NOVITA INDRAWATI, SE, M.SI, AK</t>
  </si>
  <si>
    <t>196706251993032001</t>
  </si>
  <si>
    <t>DR. YUSNI MAULIDA, SE, M.SI</t>
  </si>
  <si>
    <t>Koordinator Program Studi C</t>
  </si>
  <si>
    <t>196312021988102001</t>
  </si>
  <si>
    <t>DR.HJ. ROSYETTI, SE, MSI</t>
  </si>
  <si>
    <t>196209051988032002</t>
  </si>
  <si>
    <t>DRA. AIDA NURSYANTI, MM</t>
  </si>
  <si>
    <t>195910191991032001</t>
  </si>
  <si>
    <t>DRA. SUSILATRI, AK</t>
  </si>
  <si>
    <t>195910091986032001</t>
  </si>
  <si>
    <t>DRA.NURYANTI, M.SI</t>
  </si>
  <si>
    <t>196204271990021001</t>
  </si>
  <si>
    <t>DRS. AL AZHAR ALi,MM,AK</t>
  </si>
  <si>
    <t>196211171994031003</t>
  </si>
  <si>
    <t>DRS. AL AZHAR LUKMAN, AK</t>
  </si>
  <si>
    <t>195906041989031002</t>
  </si>
  <si>
    <t>DRS. AZHARI S, MA, AK</t>
  </si>
  <si>
    <t>Sekretaris SPI, BPU, Bagian FK dan Bagian FH</t>
  </si>
  <si>
    <t>196106171991031001</t>
  </si>
  <si>
    <t>DRS. ELFI ILHAM, AK</t>
  </si>
  <si>
    <t>196102091987031002</t>
  </si>
  <si>
    <t>DRS. HENDRO EKWARSO, MSI</t>
  </si>
  <si>
    <t>195802231986011002</t>
  </si>
  <si>
    <t>DRS. RESTU, MSI</t>
  </si>
  <si>
    <t>195207221981031002</t>
  </si>
  <si>
    <t>DRS. SYAHRUDDIN, MA</t>
  </si>
  <si>
    <t>197310152008122003</t>
  </si>
  <si>
    <t>Dr. ENNI SAVITRI, SE .MM ,AK</t>
  </si>
  <si>
    <t>196303251991031004</t>
  </si>
  <si>
    <t>Dr.H. M.RASULI,M.Si.,AK</t>
  </si>
  <si>
    <t>196302241990032003</t>
  </si>
  <si>
    <t>Drs.Hariadi,MBA.Ak</t>
  </si>
  <si>
    <t>198509122008122005</t>
  </si>
  <si>
    <t>EKA HARIYANI,SE., M.Ak</t>
  </si>
  <si>
    <t>197611192006042001</t>
  </si>
  <si>
    <t>HJ. HENNI NOVIASARI, SE, MM</t>
  </si>
  <si>
    <t>197412252006041001</t>
  </si>
  <si>
    <t>IWAN NAULI DAULAY, ST, MM</t>
  </si>
  <si>
    <t>197506132000122001</t>
  </si>
  <si>
    <t>JULITA, SE, MSI, AK</t>
  </si>
  <si>
    <t>196208191989032001</t>
  </si>
  <si>
    <t>JUSHERMI, SE, MBA</t>
  </si>
  <si>
    <t>197410102008122002</t>
  </si>
  <si>
    <t>KURNIAWATY FITRI,SE., MM</t>
  </si>
  <si>
    <t>198303102009121006</t>
  </si>
  <si>
    <t>MARHADI,SE.,M.Sc</t>
  </si>
  <si>
    <t>198205202010122002</t>
  </si>
  <si>
    <t>MEILDA WIGUNA, S.E.,M.Sc.</t>
  </si>
  <si>
    <t>197704282005011001</t>
  </si>
  <si>
    <t>MUDRIKA ALAMSYAH HASAN, SE, AK., MM</t>
  </si>
  <si>
    <t>198002022006041003</t>
  </si>
  <si>
    <t>NOBEL AQUALDO, SE, MEC</t>
  </si>
  <si>
    <t>198211272008122002</t>
  </si>
  <si>
    <t>PIPIN KURNIA,SE,M.Ak</t>
  </si>
  <si>
    <t>196609241993031005</t>
  </si>
  <si>
    <t>RAHMAT RICHARD, SE,MSI</t>
  </si>
  <si>
    <t>197807072008121001</t>
  </si>
  <si>
    <t>RENDRA WASNURY,SE,MM</t>
  </si>
  <si>
    <t>198004192009122002</t>
  </si>
  <si>
    <t>RHENY AFRIANA HANIF,SE.,M.SA</t>
  </si>
  <si>
    <t>197903292008121001</t>
  </si>
  <si>
    <t>RIO JONNES MARTAHAN MARPAUNG,MM</t>
  </si>
  <si>
    <t>197907042005012001</t>
  </si>
  <si>
    <t>RISKA NATARIASARI, SE, MM,AK</t>
  </si>
  <si>
    <t>197409132000122001</t>
  </si>
  <si>
    <t>ROFIKA, SE, MSI, AK</t>
  </si>
  <si>
    <t>196902161994032002</t>
  </si>
  <si>
    <t>ROVANITA RAMA, SE., MH</t>
  </si>
  <si>
    <t>197907142008011015</t>
  </si>
  <si>
    <t>SEM PAULUS SILALAHI, SE, M.Ak</t>
  </si>
  <si>
    <t>198203242008121002</t>
  </si>
  <si>
    <t>TARYONO,SE</t>
  </si>
  <si>
    <t>197009271998021001</t>
  </si>
  <si>
    <t>TAUFIQURRAHMAN, SE, MSC</t>
  </si>
  <si>
    <t>198905272014041001</t>
  </si>
  <si>
    <t>ADHITYA AGRI PUTRA, SE, M.Acc</t>
  </si>
  <si>
    <t>Asisten Ahli Gol. III</t>
  </si>
  <si>
    <t>196910162008121001</t>
  </si>
  <si>
    <t>AHMAD RIFQI,SE., Msi</t>
  </si>
  <si>
    <t>197711062008011011</t>
  </si>
  <si>
    <t>ANDO FAHDA AULIA, SE,ME,MBA (IB)</t>
  </si>
  <si>
    <t>Dosen Tugas Belajar Gol. III</t>
  </si>
  <si>
    <t>198801232014042001</t>
  </si>
  <si>
    <t>ANGGIA PARAMITHA, SE, M.Sc</t>
  </si>
  <si>
    <t>Dosen belum punya Jabatan Gol. III</t>
  </si>
  <si>
    <t>198703092014042002</t>
  </si>
  <si>
    <t>ARUMEGA ZAREFAR, SE, M.Ak</t>
  </si>
  <si>
    <t>198204202008121003</t>
  </si>
  <si>
    <t>DARMAYUDA,SE,M.Si</t>
  </si>
  <si>
    <t>196104121994031002</t>
  </si>
  <si>
    <t>DRS. RUSLI, AK</t>
  </si>
  <si>
    <t>199004232015041003</t>
  </si>
  <si>
    <t>FAJAR ODIATMA, S.E., M.Ak</t>
  </si>
  <si>
    <t>197211202014092002</t>
  </si>
  <si>
    <t>FITRI, S.E, MM</t>
  </si>
  <si>
    <t>196505221990091001</t>
  </si>
  <si>
    <t>GATOT WIJAYANTO, SE, MSI</t>
  </si>
  <si>
    <t xml:space="preserve">Dosen Tugas Belajar Gol. IV </t>
  </si>
  <si>
    <t>198101052008012010</t>
  </si>
  <si>
    <t>INDRI YOVITA, SE., MSI</t>
  </si>
  <si>
    <t>196212181988031004</t>
  </si>
  <si>
    <t>IVA DESMAN, SE</t>
  </si>
  <si>
    <t>Ilmu Ekonomi</t>
  </si>
  <si>
    <t>198107072009122001</t>
  </si>
  <si>
    <t>LILA ANGRAINI,SE.,AK.,M.Si</t>
  </si>
  <si>
    <t>198503012014041001</t>
  </si>
  <si>
    <t>NANDA FITO MELA, SE, MBA</t>
  </si>
  <si>
    <t>197906272014092001</t>
  </si>
  <si>
    <t>NITA WAHYUNI, S.ST., Pa</t>
  </si>
  <si>
    <t>197510112000122001</t>
  </si>
  <si>
    <t>POPPY NURMAYANTI M, SE, MSI, AK</t>
  </si>
  <si>
    <t>198708072014041001</t>
  </si>
  <si>
    <t>PRIMA ANDREAS S SE , M.Si</t>
  </si>
  <si>
    <t>196806131994032002</t>
  </si>
  <si>
    <t>RADEN LESTARI GANARSI, SE</t>
  </si>
  <si>
    <t>198408162015042001</t>
  </si>
  <si>
    <t>RIKA PROMALESSY, S.E., M.Si</t>
  </si>
  <si>
    <t>196701201993031002</t>
  </si>
  <si>
    <t>RUHUL FITRIOS, SE, MSI, AK</t>
  </si>
  <si>
    <t>197806112009121006</t>
  </si>
  <si>
    <t>SUPRIONO,SE.,MAK., AK</t>
  </si>
  <si>
    <t>197810142008121003</t>
  </si>
  <si>
    <t>TENGKU FIRLI MUSFAR,MM</t>
  </si>
  <si>
    <t>198312272008122003</t>
  </si>
  <si>
    <t>UFIRA ISBAH, SE., Mec</t>
  </si>
  <si>
    <t>198410312015042002</t>
  </si>
  <si>
    <t>VERA OKTARI, S.E., M.Ak</t>
  </si>
  <si>
    <t>197809272009121001</t>
  </si>
  <si>
    <t>VOLTA DIYANTO,SE.,M.Si</t>
  </si>
  <si>
    <t>Menyetujui,</t>
  </si>
  <si>
    <t>Palembang, 2 Agustus 2017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</si>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</sst>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e98d0cc76d4b71ab076bb7f019278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0"/>
  <sheetViews>
    <sheetView tabSelected="1" workbookViewId="0" showGridLines="true" showRowColHeaders="1">
      <selection activeCell="A143" sqref="A14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 t="s">
        <v>43</v>
      </c>
      <c r="H11" s="7"/>
      <c r="I11" s="11">
        <v>2.67</v>
      </c>
      <c r="J11" s="11">
        <v>3</v>
      </c>
      <c r="K11" s="11">
        <v>0</v>
      </c>
      <c r="L11" s="11">
        <v>0.08</v>
      </c>
      <c r="M11" s="11">
        <v>0.17</v>
      </c>
      <c r="N11" s="11">
        <v>0</v>
      </c>
      <c r="O11" s="11">
        <v>0</v>
      </c>
      <c r="P11" s="11">
        <v>0</v>
      </c>
      <c r="Q11" s="11">
        <v>0.25</v>
      </c>
      <c r="R11" s="11">
        <v>1.28</v>
      </c>
      <c r="S11" s="11">
        <v>1.53</v>
      </c>
      <c r="T11" s="11">
        <v>1.53</v>
      </c>
      <c r="U11" s="11">
        <v>0</v>
      </c>
      <c r="V11" s="11">
        <v>0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 t="str">
        <f>(Y11/2.67)*1914600</f>
        <v>0</v>
      </c>
      <c r="AC11" s="15" t="str">
        <f>(Z11/3)*4467500</f>
        <v>0</v>
      </c>
      <c r="AD11" s="15" t="str">
        <f>AB11+AC11</f>
        <v>0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 t="s">
        <v>43</v>
      </c>
      <c r="H12" s="7"/>
      <c r="I12" s="11">
        <v>2.67</v>
      </c>
      <c r="J12" s="11">
        <v>3</v>
      </c>
      <c r="K12" s="11">
        <v>0</v>
      </c>
      <c r="L12" s="11">
        <v>0</v>
      </c>
      <c r="M12" s="11">
        <v>0.33</v>
      </c>
      <c r="N12" s="11">
        <v>0</v>
      </c>
      <c r="O12" s="11">
        <v>0.88</v>
      </c>
      <c r="P12" s="11">
        <v>0</v>
      </c>
      <c r="Q12" s="11">
        <v>1.21</v>
      </c>
      <c r="R12" s="11">
        <v>1.95</v>
      </c>
      <c r="S12" s="11">
        <v>3.16</v>
      </c>
      <c r="T12" s="11">
        <v>2.67</v>
      </c>
      <c r="U12" s="11">
        <v>0.4900000000000002</v>
      </c>
      <c r="V12" s="11">
        <v>0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 t="str">
        <f>(Y12/2.67)*1914600</f>
        <v>0</v>
      </c>
      <c r="AC12" s="15" t="str">
        <f>(Z12/3)*4467500</f>
        <v>0</v>
      </c>
      <c r="AD12" s="15" t="str">
        <f>AB12+AC12</f>
        <v>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50</v>
      </c>
      <c r="F13" s="7" t="s">
        <v>42</v>
      </c>
      <c r="G13" s="7" t="s">
        <v>43</v>
      </c>
      <c r="H13" s="7"/>
      <c r="I13" s="11">
        <v>2.67</v>
      </c>
      <c r="J13" s="11">
        <v>3</v>
      </c>
      <c r="K13" s="11">
        <v>0</v>
      </c>
      <c r="L13" s="11">
        <v>3.69</v>
      </c>
      <c r="M13" s="11">
        <v>0.67</v>
      </c>
      <c r="N13" s="11">
        <v>0</v>
      </c>
      <c r="O13" s="11">
        <v>0</v>
      </c>
      <c r="P13" s="11">
        <v>0</v>
      </c>
      <c r="Q13" s="11">
        <v>4.36</v>
      </c>
      <c r="R13" s="11">
        <v>10.56</v>
      </c>
      <c r="S13" s="11">
        <v>14.92</v>
      </c>
      <c r="T13" s="11">
        <v>2.67</v>
      </c>
      <c r="U13" s="11">
        <v>3</v>
      </c>
      <c r="V13" s="11">
        <v>9.250000000000002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 t="str">
        <f>(Y13/2.67)*1914600</f>
        <v>0</v>
      </c>
      <c r="AC13" s="15" t="str">
        <f>(Z13/3)*4467500</f>
        <v>0</v>
      </c>
      <c r="AD13" s="15" t="str">
        <f>AB13+AC13</f>
        <v>0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42</v>
      </c>
      <c r="G14" s="7" t="s">
        <v>43</v>
      </c>
      <c r="H14" s="7"/>
      <c r="I14" s="11">
        <v>2.67</v>
      </c>
      <c r="J14" s="11">
        <v>3</v>
      </c>
      <c r="K14" s="11">
        <v>0</v>
      </c>
      <c r="L14" s="11">
        <v>0.5</v>
      </c>
      <c r="M14" s="11">
        <v>0</v>
      </c>
      <c r="N14" s="11">
        <v>0</v>
      </c>
      <c r="O14" s="11">
        <v>0.15</v>
      </c>
      <c r="P14" s="11">
        <v>0</v>
      </c>
      <c r="Q14" s="11">
        <v>0.65</v>
      </c>
      <c r="R14" s="11">
        <v>2.25</v>
      </c>
      <c r="S14" s="11">
        <v>2.9</v>
      </c>
      <c r="T14" s="11">
        <v>2.67</v>
      </c>
      <c r="U14" s="11">
        <v>0.23</v>
      </c>
      <c r="V14" s="11">
        <v>0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 t="str">
        <f>(Y14/2.67)*1914600</f>
        <v>0</v>
      </c>
      <c r="AC14" s="15" t="str">
        <f>(Z14/3)*4467500</f>
        <v>0</v>
      </c>
      <c r="AD14" s="15" t="str">
        <f>AB14+AC14</f>
        <v>0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56</v>
      </c>
      <c r="E15" s="7" t="s">
        <v>53</v>
      </c>
      <c r="F15" s="7" t="s">
        <v>42</v>
      </c>
      <c r="G15" s="7" t="s">
        <v>57</v>
      </c>
      <c r="H15" s="7" t="s">
        <v>58</v>
      </c>
      <c r="I15" s="11">
        <v>2.67</v>
      </c>
      <c r="J15" s="11">
        <v>3</v>
      </c>
      <c r="K15" s="11">
        <v>1</v>
      </c>
      <c r="L15" s="11">
        <v>7.770000000000003</v>
      </c>
      <c r="M15" s="11">
        <v>0</v>
      </c>
      <c r="N15" s="11">
        <v>0</v>
      </c>
      <c r="O15" s="11">
        <v>0</v>
      </c>
      <c r="P15" s="11">
        <v>0</v>
      </c>
      <c r="Q15" s="11">
        <v>8.770000000000003</v>
      </c>
      <c r="R15" s="11">
        <v>26.67000000000001</v>
      </c>
      <c r="S15" s="11">
        <v>35.44000000000001</v>
      </c>
      <c r="T15" s="11">
        <v>2.67</v>
      </c>
      <c r="U15" s="11">
        <v>3</v>
      </c>
      <c r="V15" s="11">
        <v>29.77000000000001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 t="str">
        <f>(Y15/2.67)*2850851</f>
        <v>0</v>
      </c>
      <c r="AC15" s="15" t="str">
        <f>(Z15/3)*6984600</f>
        <v>0</v>
      </c>
      <c r="AD15" s="15" t="str">
        <f>AB15+AC15</f>
        <v>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49</v>
      </c>
      <c r="E16" s="7" t="s">
        <v>53</v>
      </c>
      <c r="F16" s="7" t="s">
        <v>42</v>
      </c>
      <c r="G16" s="7" t="s">
        <v>57</v>
      </c>
      <c r="H16" s="7"/>
      <c r="I16" s="11">
        <v>2.67</v>
      </c>
      <c r="J16" s="11">
        <v>3</v>
      </c>
      <c r="K16" s="11">
        <v>0</v>
      </c>
      <c r="L16" s="11">
        <v>3.819999999999999</v>
      </c>
      <c r="M16" s="11">
        <v>0.66</v>
      </c>
      <c r="N16" s="11">
        <v>0</v>
      </c>
      <c r="O16" s="11">
        <v>0.88</v>
      </c>
      <c r="P16" s="11">
        <v>0</v>
      </c>
      <c r="Q16" s="11">
        <v>5.359999999999999</v>
      </c>
      <c r="R16" s="11">
        <v>7.600000000000001</v>
      </c>
      <c r="S16" s="11">
        <v>12.96</v>
      </c>
      <c r="T16" s="11">
        <v>2.67</v>
      </c>
      <c r="U16" s="11">
        <v>3</v>
      </c>
      <c r="V16" s="11">
        <v>7.289999999999999</v>
      </c>
      <c r="W16" s="13">
        <v>13.35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 t="str">
        <f>(Y16/2.67)*1914600</f>
        <v>0</v>
      </c>
      <c r="AC16" s="15" t="str">
        <f>(Z16/3)*4467500</f>
        <v>0</v>
      </c>
      <c r="AD16" s="15" t="str">
        <f>AB16+AC16</f>
        <v>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49</v>
      </c>
      <c r="E17" s="7" t="s">
        <v>53</v>
      </c>
      <c r="F17" s="7" t="s">
        <v>42</v>
      </c>
      <c r="G17" s="7" t="s">
        <v>43</v>
      </c>
      <c r="H17" s="7" t="s">
        <v>63</v>
      </c>
      <c r="I17" s="11">
        <v>2.67</v>
      </c>
      <c r="J17" s="11">
        <v>3</v>
      </c>
      <c r="K17" s="11">
        <v>1</v>
      </c>
      <c r="L17" s="11">
        <v>3.119999999999999</v>
      </c>
      <c r="M17" s="11">
        <v>0.49</v>
      </c>
      <c r="N17" s="11">
        <v>0</v>
      </c>
      <c r="O17" s="11">
        <v>0</v>
      </c>
      <c r="P17" s="11">
        <v>0</v>
      </c>
      <c r="Q17" s="11">
        <v>4.609999999999999</v>
      </c>
      <c r="R17" s="11">
        <v>8.5</v>
      </c>
      <c r="S17" s="11">
        <v>13.11</v>
      </c>
      <c r="T17" s="11">
        <v>2.67</v>
      </c>
      <c r="U17" s="11">
        <v>3</v>
      </c>
      <c r="V17" s="11">
        <v>7.44</v>
      </c>
      <c r="W17" s="13">
        <v>13.35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 t="str">
        <f>(Y17/2.67)*2131100</f>
        <v>0</v>
      </c>
      <c r="AC17" s="15" t="str">
        <f>(Z17/3)*5221283</f>
        <v>0</v>
      </c>
      <c r="AD17" s="15" t="str">
        <f>AB17+AC17</f>
        <v>0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49</v>
      </c>
      <c r="E18" s="7" t="s">
        <v>53</v>
      </c>
      <c r="F18" s="7" t="s">
        <v>42</v>
      </c>
      <c r="G18" s="7" t="s">
        <v>43</v>
      </c>
      <c r="H18" s="7" t="s">
        <v>66</v>
      </c>
      <c r="I18" s="11">
        <v>2.67</v>
      </c>
      <c r="J18" s="11">
        <v>3</v>
      </c>
      <c r="K18" s="11">
        <v>1.67</v>
      </c>
      <c r="L18" s="11">
        <v>3.53</v>
      </c>
      <c r="M18" s="11">
        <v>1</v>
      </c>
      <c r="N18" s="11">
        <v>0</v>
      </c>
      <c r="O18" s="11">
        <v>0.15</v>
      </c>
      <c r="P18" s="11">
        <v>0</v>
      </c>
      <c r="Q18" s="11">
        <v>6.35</v>
      </c>
      <c r="R18" s="11">
        <v>20.19</v>
      </c>
      <c r="S18" s="11">
        <v>26.54</v>
      </c>
      <c r="T18" s="11">
        <v>2.67</v>
      </c>
      <c r="U18" s="11">
        <v>3</v>
      </c>
      <c r="V18" s="11">
        <v>20.87</v>
      </c>
      <c r="W18" s="13">
        <v>13.35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 t="str">
        <f>(Y18/2.67)*4309100</f>
        <v>0</v>
      </c>
      <c r="AC18" s="15" t="str">
        <f>(Z18/3)*10054650</f>
        <v>0</v>
      </c>
      <c r="AD18" s="15" t="str">
        <f>AB18+AC18</f>
        <v>0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56</v>
      </c>
      <c r="E19" s="7" t="s">
        <v>53</v>
      </c>
      <c r="F19" s="7" t="s">
        <v>42</v>
      </c>
      <c r="G19" s="7" t="s">
        <v>43</v>
      </c>
      <c r="H19" s="7"/>
      <c r="I19" s="11">
        <v>2.67</v>
      </c>
      <c r="J19" s="11">
        <v>3</v>
      </c>
      <c r="K19" s="11">
        <v>0</v>
      </c>
      <c r="L19" s="11">
        <v>4.960000000000001</v>
      </c>
      <c r="M19" s="11">
        <v>0.33</v>
      </c>
      <c r="N19" s="11">
        <v>0</v>
      </c>
      <c r="O19" s="11">
        <v>0</v>
      </c>
      <c r="P19" s="11">
        <v>0</v>
      </c>
      <c r="Q19" s="11">
        <v>5.290000000000002</v>
      </c>
      <c r="R19" s="11">
        <v>11.87</v>
      </c>
      <c r="S19" s="11">
        <v>17.16</v>
      </c>
      <c r="T19" s="11">
        <v>2.67</v>
      </c>
      <c r="U19" s="11">
        <v>3</v>
      </c>
      <c r="V19" s="11">
        <v>11.49</v>
      </c>
      <c r="W19" s="13">
        <v>13.35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 t="str">
        <f>(Y19/2.67)*1914600</f>
        <v>0</v>
      </c>
      <c r="AC19" s="15" t="str">
        <f>(Z19/3)*4467500</f>
        <v>0</v>
      </c>
      <c r="AD19" s="15" t="str">
        <f>AB19+AC19</f>
        <v>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49</v>
      </c>
      <c r="E20" s="7" t="s">
        <v>53</v>
      </c>
      <c r="F20" s="7" t="s">
        <v>42</v>
      </c>
      <c r="G20" s="7" t="s">
        <v>43</v>
      </c>
      <c r="H20" s="7" t="s">
        <v>71</v>
      </c>
      <c r="I20" s="11">
        <v>2.67</v>
      </c>
      <c r="J20" s="11">
        <v>3</v>
      </c>
      <c r="K20" s="11">
        <v>1.33</v>
      </c>
      <c r="L20" s="11">
        <v>2.449999999999999</v>
      </c>
      <c r="M20" s="11">
        <v>0.66</v>
      </c>
      <c r="N20" s="11">
        <v>0</v>
      </c>
      <c r="O20" s="11">
        <v>0.8</v>
      </c>
      <c r="P20" s="11">
        <v>0</v>
      </c>
      <c r="Q20" s="11">
        <v>5.239999999999999</v>
      </c>
      <c r="R20" s="11">
        <v>11.74</v>
      </c>
      <c r="S20" s="11">
        <v>16.98</v>
      </c>
      <c r="T20" s="11">
        <v>2.67</v>
      </c>
      <c r="U20" s="11">
        <v>3</v>
      </c>
      <c r="V20" s="11">
        <v>11.31</v>
      </c>
      <c r="W20" s="13">
        <v>13.35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 t="str">
        <f>(Y20/2.67)*2131100</f>
        <v>0</v>
      </c>
      <c r="AC20" s="15" t="str">
        <f>(Z20/3)*4972650</f>
        <v>0</v>
      </c>
      <c r="AD20" s="15" t="str">
        <f>AB20+AC20</f>
        <v>0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41</v>
      </c>
      <c r="F21" s="7" t="s">
        <v>42</v>
      </c>
      <c r="G21" s="7" t="s">
        <v>43</v>
      </c>
      <c r="H21" s="7"/>
      <c r="I21" s="11">
        <v>2.67</v>
      </c>
      <c r="J21" s="11">
        <v>3</v>
      </c>
      <c r="K21" s="11">
        <v>0</v>
      </c>
      <c r="L21" s="11">
        <v>0.34</v>
      </c>
      <c r="M21" s="11">
        <v>0</v>
      </c>
      <c r="N21" s="11">
        <v>0</v>
      </c>
      <c r="O21" s="11">
        <v>0</v>
      </c>
      <c r="P21" s="11">
        <v>0</v>
      </c>
      <c r="Q21" s="11">
        <v>0.34</v>
      </c>
      <c r="R21" s="11">
        <v>0.17</v>
      </c>
      <c r="S21" s="11">
        <v>0.51</v>
      </c>
      <c r="T21" s="11">
        <v>0.51</v>
      </c>
      <c r="U21" s="11">
        <v>0</v>
      </c>
      <c r="V21" s="11">
        <v>0</v>
      </c>
      <c r="W21" s="13">
        <v>13.35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 t="str">
        <f>(Y21/2.67)*1914600</f>
        <v>0</v>
      </c>
      <c r="AC21" s="15" t="str">
        <f>(Z21/3)*4467500</f>
        <v>0</v>
      </c>
      <c r="AD21" s="15" t="str">
        <f>AB21+AC21</f>
        <v>0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49</v>
      </c>
      <c r="E22" s="7" t="s">
        <v>50</v>
      </c>
      <c r="F22" s="7" t="s">
        <v>76</v>
      </c>
      <c r="G22" s="7" t="s">
        <v>43</v>
      </c>
      <c r="H22" s="7"/>
      <c r="I22" s="11">
        <v>2</v>
      </c>
      <c r="J22" s="11">
        <v>3</v>
      </c>
      <c r="K22" s="11">
        <v>0</v>
      </c>
      <c r="L22" s="11">
        <v>3.21</v>
      </c>
      <c r="M22" s="11">
        <v>0.83</v>
      </c>
      <c r="N22" s="11">
        <v>0</v>
      </c>
      <c r="O22" s="11">
        <v>0</v>
      </c>
      <c r="P22" s="11">
        <v>0</v>
      </c>
      <c r="Q22" s="11">
        <v>4.04</v>
      </c>
      <c r="R22" s="11">
        <v>8.68</v>
      </c>
      <c r="S22" s="11">
        <v>12.72</v>
      </c>
      <c r="T22" s="11">
        <v>2</v>
      </c>
      <c r="U22" s="11">
        <v>3</v>
      </c>
      <c r="V22" s="11">
        <v>7.719999999999999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 t="str">
        <f>(Y22/2)*1585250</f>
        <v>0</v>
      </c>
      <c r="AC22" s="15" t="str">
        <f>(Z22/3)*3699000</f>
        <v>0</v>
      </c>
      <c r="AD22" s="15" t="str">
        <f>AB22+AC22</f>
        <v>0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40</v>
      </c>
      <c r="E23" s="7" t="s">
        <v>79</v>
      </c>
      <c r="F23" s="7" t="s">
        <v>76</v>
      </c>
      <c r="G23" s="7" t="s">
        <v>57</v>
      </c>
      <c r="H23" s="7" t="s">
        <v>80</v>
      </c>
      <c r="I23" s="11">
        <v>2</v>
      </c>
      <c r="J23" s="11">
        <v>3</v>
      </c>
      <c r="K23" s="11">
        <v>0.67</v>
      </c>
      <c r="L23" s="11">
        <v>0.08</v>
      </c>
      <c r="M23" s="11">
        <v>0.17</v>
      </c>
      <c r="N23" s="11">
        <v>0</v>
      </c>
      <c r="O23" s="11">
        <v>0.72</v>
      </c>
      <c r="P23" s="11">
        <v>0</v>
      </c>
      <c r="Q23" s="11">
        <v>1.64</v>
      </c>
      <c r="R23" s="11">
        <v>4.36</v>
      </c>
      <c r="S23" s="11">
        <v>6</v>
      </c>
      <c r="T23" s="11">
        <v>2</v>
      </c>
      <c r="U23" s="11">
        <v>3</v>
      </c>
      <c r="V23" s="11">
        <v>1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 t="str">
        <f>(Y23/2)*1914600</f>
        <v>0</v>
      </c>
      <c r="AC23" s="15" t="str">
        <f>(Z23/3)*4690875</f>
        <v>0</v>
      </c>
      <c r="AD23" s="15" t="str">
        <f>AB23+AC23</f>
        <v>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56</v>
      </c>
      <c r="E24" s="7" t="s">
        <v>46</v>
      </c>
      <c r="F24" s="7" t="s">
        <v>76</v>
      </c>
      <c r="G24" s="7" t="s">
        <v>57</v>
      </c>
      <c r="H24" s="7"/>
      <c r="I24" s="11">
        <v>2</v>
      </c>
      <c r="J24" s="11">
        <v>3</v>
      </c>
      <c r="K24" s="11">
        <v>0</v>
      </c>
      <c r="L24" s="11">
        <v>5.729999999999999</v>
      </c>
      <c r="M24" s="11">
        <v>0.33</v>
      </c>
      <c r="N24" s="11">
        <v>0</v>
      </c>
      <c r="O24" s="11">
        <v>0.76</v>
      </c>
      <c r="P24" s="11">
        <v>0</v>
      </c>
      <c r="Q24" s="11">
        <v>6.819999999999999</v>
      </c>
      <c r="R24" s="11">
        <v>19.97</v>
      </c>
      <c r="S24" s="11">
        <v>26.78999999999999</v>
      </c>
      <c r="T24" s="11">
        <v>2</v>
      </c>
      <c r="U24" s="11">
        <v>3</v>
      </c>
      <c r="V24" s="11">
        <v>21.78999999999999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 t="str">
        <f>(Y24/2)*1585250</f>
        <v>0</v>
      </c>
      <c r="AC24" s="15" t="str">
        <f>(Z24/3)*3699000</f>
        <v>0</v>
      </c>
      <c r="AD24" s="15" t="str">
        <f>AB24+AC24</f>
        <v>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50</v>
      </c>
      <c r="F25" s="7" t="s">
        <v>76</v>
      </c>
      <c r="G25" s="7" t="s">
        <v>43</v>
      </c>
      <c r="H25" s="7"/>
      <c r="I25" s="11">
        <v>2</v>
      </c>
      <c r="J25" s="11">
        <v>3</v>
      </c>
      <c r="K25" s="11">
        <v>0</v>
      </c>
      <c r="L25" s="11">
        <v>0.08</v>
      </c>
      <c r="M25" s="11">
        <v>0.17</v>
      </c>
      <c r="N25" s="11">
        <v>0</v>
      </c>
      <c r="O25" s="11">
        <v>0</v>
      </c>
      <c r="P25" s="11">
        <v>0</v>
      </c>
      <c r="Q25" s="11">
        <v>0.25</v>
      </c>
      <c r="R25" s="11">
        <v>1.43</v>
      </c>
      <c r="S25" s="11">
        <v>1.68</v>
      </c>
      <c r="T25" s="11">
        <v>1.68</v>
      </c>
      <c r="U25" s="11">
        <v>0</v>
      </c>
      <c r="V25" s="11">
        <v>0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 t="str">
        <f>(Y25/2)*1585250</f>
        <v>0</v>
      </c>
      <c r="AC25" s="15" t="str">
        <f>(Z25/3)*3699000</f>
        <v>0</v>
      </c>
      <c r="AD25" s="15" t="str">
        <f>AB25+AC25</f>
        <v>0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79</v>
      </c>
      <c r="F26" s="7" t="s">
        <v>76</v>
      </c>
      <c r="G26" s="7" t="s">
        <v>57</v>
      </c>
      <c r="H26" s="7"/>
      <c r="I26" s="11">
        <v>2</v>
      </c>
      <c r="J26" s="11">
        <v>3</v>
      </c>
      <c r="K26" s="11">
        <v>0</v>
      </c>
      <c r="L26" s="11">
        <v>0.08</v>
      </c>
      <c r="M26" s="11">
        <v>0</v>
      </c>
      <c r="N26" s="11">
        <v>0</v>
      </c>
      <c r="O26" s="11">
        <v>0</v>
      </c>
      <c r="P26" s="11">
        <v>0</v>
      </c>
      <c r="Q26" s="11">
        <v>0.08</v>
      </c>
      <c r="R26" s="11">
        <v>2.53</v>
      </c>
      <c r="S26" s="11">
        <v>2.61</v>
      </c>
      <c r="T26" s="11">
        <v>2</v>
      </c>
      <c r="U26" s="11">
        <v>0.6100000000000003</v>
      </c>
      <c r="V26" s="11">
        <v>0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 t="str">
        <f>(Y26/2)*1585250</f>
        <v>0</v>
      </c>
      <c r="AC26" s="15" t="str">
        <f>(Z26/3)*3699000</f>
        <v>0</v>
      </c>
      <c r="AD26" s="15" t="str">
        <f>AB26+AC26</f>
        <v>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56</v>
      </c>
      <c r="E27" s="7" t="s">
        <v>79</v>
      </c>
      <c r="F27" s="7" t="s">
        <v>76</v>
      </c>
      <c r="G27" s="7" t="s">
        <v>43</v>
      </c>
      <c r="H27" s="7"/>
      <c r="I27" s="11">
        <v>2</v>
      </c>
      <c r="J27" s="11">
        <v>3</v>
      </c>
      <c r="K27" s="11">
        <v>0</v>
      </c>
      <c r="L27" s="11">
        <v>4.200000000000001</v>
      </c>
      <c r="M27" s="11">
        <v>0.33</v>
      </c>
      <c r="N27" s="11">
        <v>0</v>
      </c>
      <c r="O27" s="11">
        <v>0.84</v>
      </c>
      <c r="P27" s="11">
        <v>0</v>
      </c>
      <c r="Q27" s="11">
        <v>5.370000000000001</v>
      </c>
      <c r="R27" s="11">
        <v>15.65</v>
      </c>
      <c r="S27" s="11">
        <v>21.02</v>
      </c>
      <c r="T27" s="11">
        <v>2</v>
      </c>
      <c r="U27" s="11">
        <v>3</v>
      </c>
      <c r="V27" s="11">
        <v>16.02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 t="str">
        <f>(Y27/2)*1585250</f>
        <v>0</v>
      </c>
      <c r="AC27" s="15" t="str">
        <f>(Z27/3)*3699000</f>
        <v>0</v>
      </c>
      <c r="AD27" s="15" t="str">
        <f>AB27+AC27</f>
        <v>0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50</v>
      </c>
      <c r="F28" s="7" t="s">
        <v>76</v>
      </c>
      <c r="G28" s="7" t="s">
        <v>43</v>
      </c>
      <c r="H28" s="7" t="s">
        <v>91</v>
      </c>
      <c r="I28" s="11">
        <v>2</v>
      </c>
      <c r="J28" s="11">
        <v>3</v>
      </c>
      <c r="K28" s="11">
        <v>1</v>
      </c>
      <c r="L28" s="11">
        <v>0.5800000000000001</v>
      </c>
      <c r="M28" s="11">
        <v>0.67</v>
      </c>
      <c r="N28" s="11">
        <v>0</v>
      </c>
      <c r="O28" s="11">
        <v>1.15</v>
      </c>
      <c r="P28" s="11">
        <v>0</v>
      </c>
      <c r="Q28" s="11">
        <v>3.4</v>
      </c>
      <c r="R28" s="11">
        <v>9.08</v>
      </c>
      <c r="S28" s="11">
        <v>12.48</v>
      </c>
      <c r="T28" s="11">
        <v>2</v>
      </c>
      <c r="U28" s="11">
        <v>3</v>
      </c>
      <c r="V28" s="11">
        <v>7.48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 t="str">
        <f>(Y28/2)*4309100</f>
        <v>0</v>
      </c>
      <c r="AC28" s="15" t="str">
        <f>(Z28/3)*10456836</f>
        <v>0</v>
      </c>
      <c r="AD28" s="15" t="str">
        <f>AB28+AC28</f>
        <v>0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49</v>
      </c>
      <c r="E29" s="7" t="s">
        <v>79</v>
      </c>
      <c r="F29" s="7" t="s">
        <v>76</v>
      </c>
      <c r="G29" s="7" t="s">
        <v>43</v>
      </c>
      <c r="H29" s="7"/>
      <c r="I29" s="11">
        <v>2</v>
      </c>
      <c r="J29" s="11">
        <v>3</v>
      </c>
      <c r="K29" s="11">
        <v>0</v>
      </c>
      <c r="L29" s="11">
        <v>6.250000000000001</v>
      </c>
      <c r="M29" s="11">
        <v>0.66</v>
      </c>
      <c r="N29" s="11">
        <v>0</v>
      </c>
      <c r="O29" s="11">
        <v>0</v>
      </c>
      <c r="P29" s="11">
        <v>0</v>
      </c>
      <c r="Q29" s="11">
        <v>6.910000000000001</v>
      </c>
      <c r="R29" s="11">
        <v>9.180000000000001</v>
      </c>
      <c r="S29" s="11">
        <v>16.09</v>
      </c>
      <c r="T29" s="11">
        <v>2</v>
      </c>
      <c r="U29" s="11">
        <v>3</v>
      </c>
      <c r="V29" s="11">
        <v>11.09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 t="str">
        <f>(Y29/2)*1585250</f>
        <v>0</v>
      </c>
      <c r="AC29" s="15" t="str">
        <f>(Z29/3)*3699000</f>
        <v>0</v>
      </c>
      <c r="AD29" s="15" t="str">
        <f>AB29+AC29</f>
        <v>0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49</v>
      </c>
      <c r="E30" s="7" t="s">
        <v>46</v>
      </c>
      <c r="F30" s="7" t="s">
        <v>76</v>
      </c>
      <c r="G30" s="7" t="s">
        <v>43</v>
      </c>
      <c r="H30" s="7" t="s">
        <v>96</v>
      </c>
      <c r="I30" s="11">
        <v>2</v>
      </c>
      <c r="J30" s="11">
        <v>3</v>
      </c>
      <c r="K30" s="11">
        <v>1.67</v>
      </c>
      <c r="L30" s="11">
        <v>1.68</v>
      </c>
      <c r="M30" s="11">
        <v>0.99</v>
      </c>
      <c r="N30" s="11">
        <v>0</v>
      </c>
      <c r="O30" s="11">
        <v>0.63</v>
      </c>
      <c r="P30" s="11">
        <v>0</v>
      </c>
      <c r="Q30" s="11">
        <v>4.97</v>
      </c>
      <c r="R30" s="11">
        <v>13.82</v>
      </c>
      <c r="S30" s="11">
        <v>18.79</v>
      </c>
      <c r="T30" s="11">
        <v>2</v>
      </c>
      <c r="U30" s="11">
        <v>3</v>
      </c>
      <c r="V30" s="11">
        <v>13.79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 t="str">
        <f>(Y30/2)*5226550</f>
        <v>0</v>
      </c>
      <c r="AC30" s="15" t="str">
        <f>(Z30/3)*12805065</f>
        <v>0</v>
      </c>
      <c r="AD30" s="15" t="str">
        <f>AB30+AC30</f>
        <v>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56</v>
      </c>
      <c r="E31" s="7" t="s">
        <v>79</v>
      </c>
      <c r="F31" s="7" t="s">
        <v>76</v>
      </c>
      <c r="G31" s="7" t="s">
        <v>43</v>
      </c>
      <c r="H31" s="7" t="s">
        <v>99</v>
      </c>
      <c r="I31" s="11">
        <v>2</v>
      </c>
      <c r="J31" s="11">
        <v>3</v>
      </c>
      <c r="K31" s="11">
        <v>1.67</v>
      </c>
      <c r="L31" s="11">
        <v>5.300000000000001</v>
      </c>
      <c r="M31" s="11">
        <v>0.34</v>
      </c>
      <c r="N31" s="11">
        <v>0</v>
      </c>
      <c r="O31" s="11">
        <v>0.22</v>
      </c>
      <c r="P31" s="11">
        <v>0</v>
      </c>
      <c r="Q31" s="11">
        <v>7.53</v>
      </c>
      <c r="R31" s="11">
        <v>20.07</v>
      </c>
      <c r="S31" s="11">
        <v>27.6</v>
      </c>
      <c r="T31" s="11">
        <v>2</v>
      </c>
      <c r="U31" s="11">
        <v>3</v>
      </c>
      <c r="V31" s="11">
        <v>22.6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 t="str">
        <f>(Y31/2)*5508850</f>
        <v>0</v>
      </c>
      <c r="AC31" s="15" t="str">
        <f>(Z31/3)*13175350</f>
        <v>0</v>
      </c>
      <c r="AD31" s="15" t="str">
        <f>AB31+AC31</f>
        <v>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79</v>
      </c>
      <c r="F32" s="7" t="s">
        <v>76</v>
      </c>
      <c r="G32" s="7" t="s">
        <v>57</v>
      </c>
      <c r="H32" s="7"/>
      <c r="I32" s="11">
        <v>2</v>
      </c>
      <c r="J32" s="11">
        <v>3</v>
      </c>
      <c r="K32" s="11">
        <v>0</v>
      </c>
      <c r="L32" s="11">
        <v>0.5</v>
      </c>
      <c r="M32" s="11">
        <v>0.33</v>
      </c>
      <c r="N32" s="11">
        <v>0</v>
      </c>
      <c r="O32" s="11">
        <v>0</v>
      </c>
      <c r="P32" s="11">
        <v>0</v>
      </c>
      <c r="Q32" s="11">
        <v>0.8300000000000001</v>
      </c>
      <c r="R32" s="11">
        <v>2.37</v>
      </c>
      <c r="S32" s="11">
        <v>3.2</v>
      </c>
      <c r="T32" s="11">
        <v>2</v>
      </c>
      <c r="U32" s="11">
        <v>1.2</v>
      </c>
      <c r="V32" s="11">
        <v>0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 t="str">
        <f>(Y32/2)*1585250</f>
        <v>0</v>
      </c>
      <c r="AC32" s="15" t="str">
        <f>(Z32/3)*3699000</f>
        <v>0</v>
      </c>
      <c r="AD32" s="15" t="str">
        <f>AB32+AC32</f>
        <v>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79</v>
      </c>
      <c r="F33" s="7" t="s">
        <v>76</v>
      </c>
      <c r="G33" s="7" t="s">
        <v>43</v>
      </c>
      <c r="H33" s="7"/>
      <c r="I33" s="11">
        <v>2</v>
      </c>
      <c r="J33" s="11">
        <v>3</v>
      </c>
      <c r="K33" s="11">
        <v>0</v>
      </c>
      <c r="L33" s="11">
        <v>0.34</v>
      </c>
      <c r="M33" s="11">
        <v>0.17</v>
      </c>
      <c r="N33" s="11">
        <v>0</v>
      </c>
      <c r="O33" s="11">
        <v>0.72</v>
      </c>
      <c r="P33" s="11">
        <v>0</v>
      </c>
      <c r="Q33" s="11">
        <v>1.23</v>
      </c>
      <c r="R33" s="11">
        <v>1.7</v>
      </c>
      <c r="S33" s="11">
        <v>2.93</v>
      </c>
      <c r="T33" s="11">
        <v>2</v>
      </c>
      <c r="U33" s="11">
        <v>0.9300000000000002</v>
      </c>
      <c r="V33" s="11">
        <v>0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 t="str">
        <f>(Y33/2)*1585250</f>
        <v>0</v>
      </c>
      <c r="AC33" s="15" t="str">
        <f>(Z33/3)*3699000</f>
        <v>0</v>
      </c>
      <c r="AD33" s="15" t="str">
        <f>AB33+AC33</f>
        <v>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56</v>
      </c>
      <c r="E34" s="7" t="s">
        <v>106</v>
      </c>
      <c r="F34" s="7" t="s">
        <v>76</v>
      </c>
      <c r="G34" s="7" t="s">
        <v>57</v>
      </c>
      <c r="H34" s="7"/>
      <c r="I34" s="11">
        <v>2</v>
      </c>
      <c r="J34" s="11">
        <v>3</v>
      </c>
      <c r="K34" s="11">
        <v>0</v>
      </c>
      <c r="L34" s="11">
        <v>6.35</v>
      </c>
      <c r="M34" s="11">
        <v>1</v>
      </c>
      <c r="N34" s="11">
        <v>0</v>
      </c>
      <c r="O34" s="11">
        <v>0</v>
      </c>
      <c r="P34" s="11">
        <v>0</v>
      </c>
      <c r="Q34" s="11">
        <v>7.349999999999998</v>
      </c>
      <c r="R34" s="11">
        <v>19.28999999999999</v>
      </c>
      <c r="S34" s="11">
        <v>26.63999999999999</v>
      </c>
      <c r="T34" s="11">
        <v>2</v>
      </c>
      <c r="U34" s="11">
        <v>3</v>
      </c>
      <c r="V34" s="11">
        <v>21.63999999999999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 t="str">
        <f>(Y34/2)*1585250</f>
        <v>0</v>
      </c>
      <c r="AC34" s="15" t="str">
        <f>(Z34/3)*3699000</f>
        <v>0</v>
      </c>
      <c r="AD34" s="15" t="str">
        <f>AB34+AC34</f>
        <v>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49</v>
      </c>
      <c r="E35" s="7" t="s">
        <v>109</v>
      </c>
      <c r="F35" s="7" t="s">
        <v>110</v>
      </c>
      <c r="G35" s="7" t="s">
        <v>57</v>
      </c>
      <c r="H35" s="7"/>
      <c r="I35" s="11">
        <v>2</v>
      </c>
      <c r="J35" s="11">
        <v>3</v>
      </c>
      <c r="K35" s="11">
        <v>0</v>
      </c>
      <c r="L35" s="11">
        <v>3</v>
      </c>
      <c r="M35" s="11">
        <v>0.5</v>
      </c>
      <c r="N35" s="11">
        <v>0</v>
      </c>
      <c r="O35" s="11">
        <v>0</v>
      </c>
      <c r="P35" s="11">
        <v>0</v>
      </c>
      <c r="Q35" s="11">
        <v>3.5</v>
      </c>
      <c r="R35" s="11">
        <v>7.279999999999999</v>
      </c>
      <c r="S35" s="11">
        <v>10.78</v>
      </c>
      <c r="T35" s="11">
        <v>2</v>
      </c>
      <c r="U35" s="11">
        <v>3</v>
      </c>
      <c r="V35" s="11">
        <v>5.779999999999999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 t="str">
        <f>(Y35/2)*1426725</f>
        <v>0</v>
      </c>
      <c r="AC35" s="15" t="str">
        <f>(Z35/3)*3329100</f>
        <v>0</v>
      </c>
      <c r="AD35" s="15" t="str">
        <f>AB35+AC35</f>
        <v>0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111</v>
      </c>
      <c r="C36" s="10" t="s">
        <v>112</v>
      </c>
      <c r="D36" s="7" t="s">
        <v>49</v>
      </c>
      <c r="E36" s="7" t="s">
        <v>79</v>
      </c>
      <c r="F36" s="7" t="s">
        <v>76</v>
      </c>
      <c r="G36" s="7" t="s">
        <v>57</v>
      </c>
      <c r="H36" s="7"/>
      <c r="I36" s="11">
        <v>2</v>
      </c>
      <c r="J36" s="11">
        <v>3</v>
      </c>
      <c r="K36" s="11">
        <v>0</v>
      </c>
      <c r="L36" s="11">
        <v>2.34</v>
      </c>
      <c r="M36" s="11">
        <v>0.66</v>
      </c>
      <c r="N36" s="11">
        <v>0</v>
      </c>
      <c r="O36" s="11">
        <v>0</v>
      </c>
      <c r="P36" s="11">
        <v>0</v>
      </c>
      <c r="Q36" s="11">
        <v>3</v>
      </c>
      <c r="R36" s="11">
        <v>6.2</v>
      </c>
      <c r="S36" s="11">
        <v>9.199999999999999</v>
      </c>
      <c r="T36" s="11">
        <v>2</v>
      </c>
      <c r="U36" s="11">
        <v>3</v>
      </c>
      <c r="V36" s="11">
        <v>4.199999999999999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 t="str">
        <f>(Y36/2)*1585250</f>
        <v>0</v>
      </c>
      <c r="AC36" s="15" t="str">
        <f>(Z36/3)*3699000</f>
        <v>0</v>
      </c>
      <c r="AD36" s="15" t="str">
        <f>AB36+AC36</f>
        <v>0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56</v>
      </c>
      <c r="E37" s="7" t="s">
        <v>46</v>
      </c>
      <c r="F37" s="7" t="s">
        <v>76</v>
      </c>
      <c r="G37" s="7" t="s">
        <v>57</v>
      </c>
      <c r="H37" s="7"/>
      <c r="I37" s="11">
        <v>2</v>
      </c>
      <c r="J37" s="11">
        <v>3</v>
      </c>
      <c r="K37" s="11">
        <v>0</v>
      </c>
      <c r="L37" s="11">
        <v>6.169999999999996</v>
      </c>
      <c r="M37" s="11">
        <v>0.67</v>
      </c>
      <c r="N37" s="11">
        <v>0</v>
      </c>
      <c r="O37" s="11">
        <v>0.5600000000000001</v>
      </c>
      <c r="P37" s="11">
        <v>0</v>
      </c>
      <c r="Q37" s="11">
        <v>7.399999999999997</v>
      </c>
      <c r="R37" s="11">
        <v>18.90999999999999</v>
      </c>
      <c r="S37" s="11">
        <v>26.30999999999999</v>
      </c>
      <c r="T37" s="11">
        <v>2</v>
      </c>
      <c r="U37" s="11">
        <v>3</v>
      </c>
      <c r="V37" s="11">
        <v>21.30999999999999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 t="str">
        <f>(Y37/2)*1585250</f>
        <v>0</v>
      </c>
      <c r="AC37" s="15" t="str">
        <f>(Z37/3)*3699000</f>
        <v>0</v>
      </c>
      <c r="AD37" s="15" t="str">
        <f>AB37+AC37</f>
        <v>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40</v>
      </c>
      <c r="E38" s="7" t="s">
        <v>46</v>
      </c>
      <c r="F38" s="7" t="s">
        <v>76</v>
      </c>
      <c r="G38" s="7" t="s">
        <v>43</v>
      </c>
      <c r="H38" s="7"/>
      <c r="I38" s="11">
        <v>2</v>
      </c>
      <c r="J38" s="11">
        <v>3</v>
      </c>
      <c r="K38" s="11">
        <v>0</v>
      </c>
      <c r="L38" s="11">
        <v>0.08</v>
      </c>
      <c r="M38" s="11">
        <v>0</v>
      </c>
      <c r="N38" s="11">
        <v>0</v>
      </c>
      <c r="O38" s="11">
        <v>0</v>
      </c>
      <c r="P38" s="11">
        <v>0</v>
      </c>
      <c r="Q38" s="11">
        <v>0.08</v>
      </c>
      <c r="R38" s="11">
        <v>1.89</v>
      </c>
      <c r="S38" s="11">
        <v>1.97</v>
      </c>
      <c r="T38" s="11">
        <v>1.97</v>
      </c>
      <c r="U38" s="11">
        <v>0</v>
      </c>
      <c r="V38" s="11">
        <v>0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 t="str">
        <f>(Y38/2)*1585250</f>
        <v>0</v>
      </c>
      <c r="AC38" s="15" t="str">
        <f>(Z38/3)*3699000</f>
        <v>0</v>
      </c>
      <c r="AD38" s="15" t="str">
        <f>AB38+AC38</f>
        <v>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40</v>
      </c>
      <c r="E39" s="7" t="s">
        <v>79</v>
      </c>
      <c r="F39" s="7" t="s">
        <v>76</v>
      </c>
      <c r="G39" s="7" t="s">
        <v>57</v>
      </c>
      <c r="H39" s="7"/>
      <c r="I39" s="11">
        <v>2</v>
      </c>
      <c r="J39" s="11">
        <v>3</v>
      </c>
      <c r="K39" s="11">
        <v>0</v>
      </c>
      <c r="L39" s="11">
        <v>0.5900000000000001</v>
      </c>
      <c r="M39" s="11">
        <v>0.34</v>
      </c>
      <c r="N39" s="11">
        <v>0</v>
      </c>
      <c r="O39" s="11">
        <v>0</v>
      </c>
      <c r="P39" s="11">
        <v>0</v>
      </c>
      <c r="Q39" s="11">
        <v>0.9300000000000002</v>
      </c>
      <c r="R39" s="11">
        <v>2.21</v>
      </c>
      <c r="S39" s="11">
        <v>3.14</v>
      </c>
      <c r="T39" s="11">
        <v>2</v>
      </c>
      <c r="U39" s="11">
        <v>1.14</v>
      </c>
      <c r="V39" s="11">
        <v>0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 t="str">
        <f>(Y39/2)*1585250</f>
        <v>0</v>
      </c>
      <c r="AC39" s="15" t="str">
        <f>(Z39/3)*3699000</f>
        <v>0</v>
      </c>
      <c r="AD39" s="15" t="str">
        <f>AB39+AC39</f>
        <v>0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56</v>
      </c>
      <c r="E40" s="7" t="s">
        <v>79</v>
      </c>
      <c r="F40" s="7" t="s">
        <v>76</v>
      </c>
      <c r="G40" s="7" t="s">
        <v>57</v>
      </c>
      <c r="H40" s="7"/>
      <c r="I40" s="11">
        <v>2</v>
      </c>
      <c r="J40" s="11">
        <v>3</v>
      </c>
      <c r="K40" s="11">
        <v>0</v>
      </c>
      <c r="L40" s="11">
        <v>6.299999999999997</v>
      </c>
      <c r="M40" s="11">
        <v>0.67</v>
      </c>
      <c r="N40" s="11">
        <v>0</v>
      </c>
      <c r="O40" s="11">
        <v>0</v>
      </c>
      <c r="P40" s="11">
        <v>0</v>
      </c>
      <c r="Q40" s="11">
        <v>6.969999999999995</v>
      </c>
      <c r="R40" s="11">
        <v>18.38999999999999</v>
      </c>
      <c r="S40" s="11">
        <v>25.35999999999999</v>
      </c>
      <c r="T40" s="11">
        <v>2</v>
      </c>
      <c r="U40" s="11">
        <v>3</v>
      </c>
      <c r="V40" s="11">
        <v>20.35999999999999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 t="str">
        <f>(Y40/2)*1585250</f>
        <v>0</v>
      </c>
      <c r="AC40" s="15" t="str">
        <f>(Z40/3)*3699000</f>
        <v>0</v>
      </c>
      <c r="AD40" s="15" t="str">
        <f>AB40+AC40</f>
        <v>0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56</v>
      </c>
      <c r="E41" s="7" t="s">
        <v>79</v>
      </c>
      <c r="F41" s="7" t="s">
        <v>76</v>
      </c>
      <c r="G41" s="7" t="s">
        <v>57</v>
      </c>
      <c r="H41" s="7"/>
      <c r="I41" s="11">
        <v>2</v>
      </c>
      <c r="J41" s="11">
        <v>3</v>
      </c>
      <c r="K41" s="11">
        <v>0</v>
      </c>
      <c r="L41" s="11">
        <v>6.319999999999999</v>
      </c>
      <c r="M41" s="11">
        <v>0.34</v>
      </c>
      <c r="N41" s="11">
        <v>0</v>
      </c>
      <c r="O41" s="11">
        <v>0</v>
      </c>
      <c r="P41" s="11">
        <v>0</v>
      </c>
      <c r="Q41" s="11">
        <v>6.659999999999998</v>
      </c>
      <c r="R41" s="11">
        <v>19.77999999999999</v>
      </c>
      <c r="S41" s="11">
        <v>26.43999999999998</v>
      </c>
      <c r="T41" s="11">
        <v>2</v>
      </c>
      <c r="U41" s="11">
        <v>3</v>
      </c>
      <c r="V41" s="11">
        <v>21.43999999999998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 t="str">
        <f>(Y41/2)*1585250</f>
        <v>0</v>
      </c>
      <c r="AC41" s="15" t="str">
        <f>(Z41/3)*3699000</f>
        <v>0</v>
      </c>
      <c r="AD41" s="15" t="str">
        <f>AB41+AC41</f>
        <v>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40</v>
      </c>
      <c r="E42" s="7" t="s">
        <v>50</v>
      </c>
      <c r="F42" s="7" t="s">
        <v>76</v>
      </c>
      <c r="G42" s="7" t="s">
        <v>57</v>
      </c>
      <c r="H42" s="7"/>
      <c r="I42" s="11">
        <v>2</v>
      </c>
      <c r="J42" s="11">
        <v>3</v>
      </c>
      <c r="K42" s="11">
        <v>0</v>
      </c>
      <c r="L42" s="11">
        <v>0.5900000000000001</v>
      </c>
      <c r="M42" s="11">
        <v>0.17</v>
      </c>
      <c r="N42" s="11">
        <v>0</v>
      </c>
      <c r="O42" s="11">
        <v>0</v>
      </c>
      <c r="P42" s="11">
        <v>0</v>
      </c>
      <c r="Q42" s="11">
        <v>0.7600000000000001</v>
      </c>
      <c r="R42" s="11">
        <v>1.53</v>
      </c>
      <c r="S42" s="11">
        <v>2.29</v>
      </c>
      <c r="T42" s="11">
        <v>2</v>
      </c>
      <c r="U42" s="11">
        <v>0.29</v>
      </c>
      <c r="V42" s="11">
        <v>0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 t="str">
        <f>(Y42/2)*1585250</f>
        <v>0</v>
      </c>
      <c r="AC42" s="15" t="str">
        <f>(Z42/3)*3699000</f>
        <v>0</v>
      </c>
      <c r="AD42" s="15" t="str">
        <f>AB42+AC42</f>
        <v>0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79</v>
      </c>
      <c r="F43" s="7" t="s">
        <v>76</v>
      </c>
      <c r="G43" s="7" t="s">
        <v>57</v>
      </c>
      <c r="H43" s="7"/>
      <c r="I43" s="11">
        <v>2</v>
      </c>
      <c r="J43" s="11">
        <v>3</v>
      </c>
      <c r="K43" s="11">
        <v>0</v>
      </c>
      <c r="L43" s="11">
        <v>0.5900000000000001</v>
      </c>
      <c r="M43" s="11">
        <v>0.17</v>
      </c>
      <c r="N43" s="11">
        <v>0</v>
      </c>
      <c r="O43" s="11">
        <v>0</v>
      </c>
      <c r="P43" s="11">
        <v>0</v>
      </c>
      <c r="Q43" s="11">
        <v>0.7600000000000001</v>
      </c>
      <c r="R43" s="11">
        <v>1.95</v>
      </c>
      <c r="S43" s="11">
        <v>2.71</v>
      </c>
      <c r="T43" s="11">
        <v>2</v>
      </c>
      <c r="U43" s="11">
        <v>0.7100000000000004</v>
      </c>
      <c r="V43" s="11">
        <v>0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 t="str">
        <f>(Y43/2)*1585250</f>
        <v>0</v>
      </c>
      <c r="AC43" s="15" t="str">
        <f>(Z43/3)*3699000</f>
        <v>0</v>
      </c>
      <c r="AD43" s="15" t="str">
        <f>AB43+AC43</f>
        <v>0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46</v>
      </c>
      <c r="F44" s="7" t="s">
        <v>76</v>
      </c>
      <c r="G44" s="7" t="s">
        <v>57</v>
      </c>
      <c r="H44" s="7"/>
      <c r="I44" s="11">
        <v>2</v>
      </c>
      <c r="J44" s="11">
        <v>3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 t="str">
        <f>(Y44/2)*1585250</f>
        <v>0</v>
      </c>
      <c r="AC44" s="15" t="str">
        <f>(Z44/3)*3699000</f>
        <v>0</v>
      </c>
      <c r="AD44" s="15" t="str">
        <f>AB44+AC44</f>
        <v>0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49</v>
      </c>
      <c r="E45" s="7" t="s">
        <v>50</v>
      </c>
      <c r="F45" s="7" t="s">
        <v>76</v>
      </c>
      <c r="G45" s="7" t="s">
        <v>57</v>
      </c>
      <c r="H45" s="7" t="s">
        <v>58</v>
      </c>
      <c r="I45" s="11">
        <v>2</v>
      </c>
      <c r="J45" s="11">
        <v>3</v>
      </c>
      <c r="K45" s="11">
        <v>1</v>
      </c>
      <c r="L45" s="11">
        <v>5.479999999999999</v>
      </c>
      <c r="M45" s="11">
        <v>0.66</v>
      </c>
      <c r="N45" s="11">
        <v>0</v>
      </c>
      <c r="O45" s="11">
        <v>0.88</v>
      </c>
      <c r="P45" s="11">
        <v>0</v>
      </c>
      <c r="Q45" s="11">
        <v>8.02</v>
      </c>
      <c r="R45" s="11">
        <v>16.58</v>
      </c>
      <c r="S45" s="11">
        <v>24.6</v>
      </c>
      <c r="T45" s="11">
        <v>2</v>
      </c>
      <c r="U45" s="11">
        <v>3</v>
      </c>
      <c r="V45" s="11">
        <v>19.6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 t="str">
        <f>(Y45/2)*2850851</f>
        <v>0</v>
      </c>
      <c r="AC45" s="15" t="str">
        <f>(Z45/3)*6984600</f>
        <v>0</v>
      </c>
      <c r="AD45" s="15" t="str">
        <f>AB45+AC45</f>
        <v>0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40</v>
      </c>
      <c r="E46" s="7" t="s">
        <v>50</v>
      </c>
      <c r="F46" s="7" t="s">
        <v>76</v>
      </c>
      <c r="G46" s="7" t="s">
        <v>57</v>
      </c>
      <c r="H46" s="7"/>
      <c r="I46" s="11">
        <v>2</v>
      </c>
      <c r="J46" s="11">
        <v>3</v>
      </c>
      <c r="K46" s="11">
        <v>0</v>
      </c>
      <c r="L46" s="11">
        <v>0.08</v>
      </c>
      <c r="M46" s="11">
        <v>0</v>
      </c>
      <c r="N46" s="11">
        <v>0</v>
      </c>
      <c r="O46" s="11">
        <v>0</v>
      </c>
      <c r="P46" s="11">
        <v>0</v>
      </c>
      <c r="Q46" s="11">
        <v>0.08</v>
      </c>
      <c r="R46" s="11">
        <v>1.27</v>
      </c>
      <c r="S46" s="11">
        <v>1.35</v>
      </c>
      <c r="T46" s="11">
        <v>1.35</v>
      </c>
      <c r="U46" s="11">
        <v>0</v>
      </c>
      <c r="V46" s="11">
        <v>0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 t="str">
        <f>(Y46/2)*1585250</f>
        <v>0</v>
      </c>
      <c r="AC46" s="15" t="str">
        <f>(Z46/3)*3699000</f>
        <v>0</v>
      </c>
      <c r="AD46" s="15" t="str">
        <f>AB46+AC46</f>
        <v>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56</v>
      </c>
      <c r="E47" s="7" t="s">
        <v>79</v>
      </c>
      <c r="F47" s="7" t="s">
        <v>76</v>
      </c>
      <c r="G47" s="7" t="s">
        <v>57</v>
      </c>
      <c r="H47" s="7"/>
      <c r="I47" s="11">
        <v>2</v>
      </c>
      <c r="J47" s="11">
        <v>3</v>
      </c>
      <c r="K47" s="11">
        <v>0</v>
      </c>
      <c r="L47" s="11">
        <v>4.75</v>
      </c>
      <c r="M47" s="11">
        <v>0.67</v>
      </c>
      <c r="N47" s="11">
        <v>0</v>
      </c>
      <c r="O47" s="11">
        <v>0</v>
      </c>
      <c r="P47" s="11">
        <v>0</v>
      </c>
      <c r="Q47" s="11">
        <v>5.42</v>
      </c>
      <c r="R47" s="11">
        <v>18.69999999999999</v>
      </c>
      <c r="S47" s="11">
        <v>24.11999999999999</v>
      </c>
      <c r="T47" s="11">
        <v>2</v>
      </c>
      <c r="U47" s="11">
        <v>3</v>
      </c>
      <c r="V47" s="11">
        <v>19.11999999999999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 t="str">
        <f>(Y47/2)*1585250</f>
        <v>0</v>
      </c>
      <c r="AC47" s="15" t="str">
        <f>(Z47/3)*3699000</f>
        <v>0</v>
      </c>
      <c r="AD47" s="15" t="str">
        <f>AB47+AC47</f>
        <v>0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56</v>
      </c>
      <c r="E48" s="7" t="s">
        <v>79</v>
      </c>
      <c r="F48" s="7" t="s">
        <v>76</v>
      </c>
      <c r="G48" s="7" t="s">
        <v>57</v>
      </c>
      <c r="H48" s="7" t="s">
        <v>137</v>
      </c>
      <c r="I48" s="11">
        <v>2</v>
      </c>
      <c r="J48" s="11">
        <v>3</v>
      </c>
      <c r="K48" s="11">
        <v>1</v>
      </c>
      <c r="L48" s="11">
        <v>2.98</v>
      </c>
      <c r="M48" s="11">
        <v>0.33</v>
      </c>
      <c r="N48" s="11">
        <v>0</v>
      </c>
      <c r="O48" s="11">
        <v>1.19</v>
      </c>
      <c r="P48" s="11">
        <v>0</v>
      </c>
      <c r="Q48" s="11">
        <v>5.5</v>
      </c>
      <c r="R48" s="11">
        <v>12.87</v>
      </c>
      <c r="S48" s="11">
        <v>18.37</v>
      </c>
      <c r="T48" s="11">
        <v>2</v>
      </c>
      <c r="U48" s="11">
        <v>3</v>
      </c>
      <c r="V48" s="11">
        <v>13.37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 t="str">
        <f>(Y48/2)*4309100</f>
        <v>0</v>
      </c>
      <c r="AC48" s="15" t="str">
        <f>(Z48/3)*10356290</f>
        <v>0</v>
      </c>
      <c r="AD48" s="15" t="str">
        <f>AB48+AC48</f>
        <v>0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56</v>
      </c>
      <c r="E49" s="7" t="s">
        <v>50</v>
      </c>
      <c r="F49" s="7" t="s">
        <v>76</v>
      </c>
      <c r="G49" s="7" t="s">
        <v>57</v>
      </c>
      <c r="H49" s="7"/>
      <c r="I49" s="11">
        <v>2</v>
      </c>
      <c r="J49" s="11">
        <v>3</v>
      </c>
      <c r="K49" s="11">
        <v>0</v>
      </c>
      <c r="L49" s="11">
        <v>2.88</v>
      </c>
      <c r="M49" s="11">
        <v>0.17</v>
      </c>
      <c r="N49" s="11">
        <v>0</v>
      </c>
      <c r="O49" s="11">
        <v>0</v>
      </c>
      <c r="P49" s="11">
        <v>0</v>
      </c>
      <c r="Q49" s="11">
        <v>3.05</v>
      </c>
      <c r="R49" s="11">
        <v>8.170000000000002</v>
      </c>
      <c r="S49" s="11">
        <v>11.22</v>
      </c>
      <c r="T49" s="11">
        <v>2</v>
      </c>
      <c r="U49" s="11">
        <v>3</v>
      </c>
      <c r="V49" s="11">
        <v>6.220000000000002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 t="str">
        <f>(Y49/2)*1585250</f>
        <v>0</v>
      </c>
      <c r="AC49" s="15" t="str">
        <f>(Z49/3)*3699000</f>
        <v>0</v>
      </c>
      <c r="AD49" s="15" t="str">
        <f>AB49+AC49</f>
        <v>0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40</v>
      </c>
      <c r="E50" s="7" t="s">
        <v>79</v>
      </c>
      <c r="F50" s="7" t="s">
        <v>76</v>
      </c>
      <c r="G50" s="7" t="s">
        <v>57</v>
      </c>
      <c r="H50" s="7"/>
      <c r="I50" s="11">
        <v>2</v>
      </c>
      <c r="J50" s="11">
        <v>3</v>
      </c>
      <c r="K50" s="11">
        <v>0</v>
      </c>
      <c r="L50" s="11">
        <v>0.51</v>
      </c>
      <c r="M50" s="11">
        <v>0.5</v>
      </c>
      <c r="N50" s="11">
        <v>0</v>
      </c>
      <c r="O50" s="11">
        <v>0</v>
      </c>
      <c r="P50" s="11">
        <v>0</v>
      </c>
      <c r="Q50" s="11">
        <v>1.01</v>
      </c>
      <c r="R50" s="11">
        <v>3.34</v>
      </c>
      <c r="S50" s="11">
        <v>4.35</v>
      </c>
      <c r="T50" s="11">
        <v>2</v>
      </c>
      <c r="U50" s="11">
        <v>2.35</v>
      </c>
      <c r="V50" s="11">
        <v>0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 t="str">
        <f>(Y50/2)*1585250</f>
        <v>0</v>
      </c>
      <c r="AC50" s="15" t="str">
        <f>(Z50/3)*3699000</f>
        <v>0</v>
      </c>
      <c r="AD50" s="15" t="str">
        <f>AB50+AC50</f>
        <v>0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40</v>
      </c>
      <c r="E51" s="7" t="s">
        <v>79</v>
      </c>
      <c r="F51" s="7" t="s">
        <v>76</v>
      </c>
      <c r="G51" s="7" t="s">
        <v>57</v>
      </c>
      <c r="H51" s="7"/>
      <c r="I51" s="11">
        <v>2</v>
      </c>
      <c r="J51" s="11">
        <v>3</v>
      </c>
      <c r="K51" s="11">
        <v>0</v>
      </c>
      <c r="L51" s="11">
        <v>0</v>
      </c>
      <c r="M51" s="11">
        <v>0.17</v>
      </c>
      <c r="N51" s="11">
        <v>0</v>
      </c>
      <c r="O51" s="11">
        <v>0</v>
      </c>
      <c r="P51" s="11">
        <v>0</v>
      </c>
      <c r="Q51" s="11">
        <v>0.17</v>
      </c>
      <c r="R51" s="11">
        <v>2.04</v>
      </c>
      <c r="S51" s="11">
        <v>2.21</v>
      </c>
      <c r="T51" s="11">
        <v>2</v>
      </c>
      <c r="U51" s="11">
        <v>0.21</v>
      </c>
      <c r="V51" s="11">
        <v>0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 t="str">
        <f>(Y51/2)*1585250</f>
        <v>0</v>
      </c>
      <c r="AC51" s="15" t="str">
        <f>(Z51/3)*3699000</f>
        <v>0</v>
      </c>
      <c r="AD51" s="15" t="str">
        <f>AB51+AC51</f>
        <v>0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49</v>
      </c>
      <c r="E52" s="7" t="s">
        <v>79</v>
      </c>
      <c r="F52" s="7" t="s">
        <v>76</v>
      </c>
      <c r="G52" s="7" t="s">
        <v>43</v>
      </c>
      <c r="H52" s="7"/>
      <c r="I52" s="11">
        <v>2</v>
      </c>
      <c r="J52" s="11">
        <v>3</v>
      </c>
      <c r="K52" s="11">
        <v>0</v>
      </c>
      <c r="L52" s="11">
        <v>5.14</v>
      </c>
      <c r="M52" s="11">
        <v>0.66</v>
      </c>
      <c r="N52" s="11">
        <v>0</v>
      </c>
      <c r="O52" s="11">
        <v>0</v>
      </c>
      <c r="P52" s="11">
        <v>0</v>
      </c>
      <c r="Q52" s="11">
        <v>5.799999999999998</v>
      </c>
      <c r="R52" s="11">
        <v>12.76</v>
      </c>
      <c r="S52" s="11">
        <v>18.56</v>
      </c>
      <c r="T52" s="11">
        <v>2</v>
      </c>
      <c r="U52" s="11">
        <v>3</v>
      </c>
      <c r="V52" s="11">
        <v>13.56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 t="str">
        <f>(Y52/2)*1585250</f>
        <v>0</v>
      </c>
      <c r="AC52" s="15" t="str">
        <f>(Z52/3)*3699000</f>
        <v>0</v>
      </c>
      <c r="AD52" s="15" t="str">
        <f>AB52+AC52</f>
        <v>0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106</v>
      </c>
      <c r="F53" s="7" t="s">
        <v>110</v>
      </c>
      <c r="G53" s="7" t="s">
        <v>57</v>
      </c>
      <c r="H53" s="7"/>
      <c r="I53" s="11">
        <v>2</v>
      </c>
      <c r="J53" s="11">
        <v>3</v>
      </c>
      <c r="K53" s="11">
        <v>0</v>
      </c>
      <c r="L53" s="11">
        <v>0.08</v>
      </c>
      <c r="M53" s="11">
        <v>0</v>
      </c>
      <c r="N53" s="11">
        <v>0</v>
      </c>
      <c r="O53" s="11">
        <v>0</v>
      </c>
      <c r="P53" s="11">
        <v>0</v>
      </c>
      <c r="Q53" s="11">
        <v>0.08</v>
      </c>
      <c r="R53" s="11">
        <v>0.9200000000000002</v>
      </c>
      <c r="S53" s="11">
        <v>1</v>
      </c>
      <c r="T53" s="11">
        <v>1</v>
      </c>
      <c r="U53" s="11">
        <v>0</v>
      </c>
      <c r="V53" s="11">
        <v>0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 t="str">
        <f>(Y53/2)*1426725</f>
        <v>0</v>
      </c>
      <c r="AC53" s="15" t="str">
        <f>(Z53/3)*3329100</f>
        <v>0</v>
      </c>
      <c r="AD53" s="15" t="str">
        <f>AB53+AC53</f>
        <v>0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49</v>
      </c>
      <c r="E54" s="7" t="s">
        <v>46</v>
      </c>
      <c r="F54" s="7" t="s">
        <v>76</v>
      </c>
      <c r="G54" s="7" t="s">
        <v>57</v>
      </c>
      <c r="H54" s="7" t="s">
        <v>150</v>
      </c>
      <c r="I54" s="11">
        <v>2</v>
      </c>
      <c r="J54" s="11">
        <v>3</v>
      </c>
      <c r="K54" s="11">
        <v>1</v>
      </c>
      <c r="L54" s="11">
        <v>2.06</v>
      </c>
      <c r="M54" s="11">
        <v>0.66</v>
      </c>
      <c r="N54" s="11">
        <v>0</v>
      </c>
      <c r="O54" s="11">
        <v>0.87</v>
      </c>
      <c r="P54" s="11">
        <v>0</v>
      </c>
      <c r="Q54" s="11">
        <v>4.59</v>
      </c>
      <c r="R54" s="11">
        <v>9.219999999999999</v>
      </c>
      <c r="S54" s="11">
        <v>13.81</v>
      </c>
      <c r="T54" s="11">
        <v>2</v>
      </c>
      <c r="U54" s="11">
        <v>3</v>
      </c>
      <c r="V54" s="11">
        <v>8.809999999999999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 t="str">
        <f>(Y54/2)*4309100</f>
        <v>0</v>
      </c>
      <c r="AC54" s="15" t="str">
        <f>(Z54/3)*10557383</f>
        <v>0</v>
      </c>
      <c r="AD54" s="15" t="str">
        <f>AB54+AC54</f>
        <v>0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56</v>
      </c>
      <c r="E55" s="7" t="s">
        <v>50</v>
      </c>
      <c r="F55" s="7" t="s">
        <v>76</v>
      </c>
      <c r="G55" s="7" t="s">
        <v>57</v>
      </c>
      <c r="H55" s="7"/>
      <c r="I55" s="11">
        <v>2</v>
      </c>
      <c r="J55" s="11">
        <v>3</v>
      </c>
      <c r="K55" s="11">
        <v>0</v>
      </c>
      <c r="L55" s="11">
        <v>4.200000000000001</v>
      </c>
      <c r="M55" s="11">
        <v>0.33</v>
      </c>
      <c r="N55" s="11">
        <v>0</v>
      </c>
      <c r="O55" s="11">
        <v>0</v>
      </c>
      <c r="P55" s="11">
        <v>0</v>
      </c>
      <c r="Q55" s="11">
        <v>4.53</v>
      </c>
      <c r="R55" s="11">
        <v>11.56</v>
      </c>
      <c r="S55" s="11">
        <v>16.09</v>
      </c>
      <c r="T55" s="11">
        <v>2</v>
      </c>
      <c r="U55" s="11">
        <v>3</v>
      </c>
      <c r="V55" s="11">
        <v>11.09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 t="str">
        <f>(Y55/2)*1585250</f>
        <v>0</v>
      </c>
      <c r="AC55" s="15" t="str">
        <f>(Z55/3)*3699000</f>
        <v>0</v>
      </c>
      <c r="AD55" s="15" t="str">
        <f>AB55+AC55</f>
        <v>0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56</v>
      </c>
      <c r="E56" s="7" t="s">
        <v>79</v>
      </c>
      <c r="F56" s="7" t="s">
        <v>76</v>
      </c>
      <c r="G56" s="7" t="s">
        <v>57</v>
      </c>
      <c r="H56" s="7"/>
      <c r="I56" s="11">
        <v>2</v>
      </c>
      <c r="J56" s="11">
        <v>3</v>
      </c>
      <c r="K56" s="11">
        <v>0</v>
      </c>
      <c r="L56" s="11">
        <v>6.709999999999999</v>
      </c>
      <c r="M56" s="11">
        <v>0.5</v>
      </c>
      <c r="N56" s="11">
        <v>0</v>
      </c>
      <c r="O56" s="11">
        <v>0</v>
      </c>
      <c r="P56" s="11">
        <v>0</v>
      </c>
      <c r="Q56" s="11">
        <v>7.209999999999997</v>
      </c>
      <c r="R56" s="11">
        <v>21.38999999999999</v>
      </c>
      <c r="S56" s="11">
        <v>28.59999999999999</v>
      </c>
      <c r="T56" s="11">
        <v>2</v>
      </c>
      <c r="U56" s="11">
        <v>3</v>
      </c>
      <c r="V56" s="11">
        <v>23.59999999999999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 t="str">
        <f>(Y56/2)*1585250</f>
        <v>0</v>
      </c>
      <c r="AC56" s="15" t="str">
        <f>(Z56/3)*3699000</f>
        <v>0</v>
      </c>
      <c r="AD56" s="15" t="str">
        <f>AB56+AC56</f>
        <v>0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49</v>
      </c>
      <c r="E57" s="7" t="s">
        <v>79</v>
      </c>
      <c r="F57" s="7" t="s">
        <v>76</v>
      </c>
      <c r="G57" s="7" t="s">
        <v>57</v>
      </c>
      <c r="H57" s="7"/>
      <c r="I57" s="11">
        <v>2</v>
      </c>
      <c r="J57" s="11">
        <v>3</v>
      </c>
      <c r="K57" s="11">
        <v>0</v>
      </c>
      <c r="L57" s="11">
        <v>3.940000000000001</v>
      </c>
      <c r="M57" s="11">
        <v>0.66</v>
      </c>
      <c r="N57" s="11">
        <v>0</v>
      </c>
      <c r="O57" s="11">
        <v>0</v>
      </c>
      <c r="P57" s="11">
        <v>0</v>
      </c>
      <c r="Q57" s="11">
        <v>4.600000000000001</v>
      </c>
      <c r="R57" s="11">
        <v>9.140000000000001</v>
      </c>
      <c r="S57" s="11">
        <v>13.74</v>
      </c>
      <c r="T57" s="11">
        <v>2</v>
      </c>
      <c r="U57" s="11">
        <v>3</v>
      </c>
      <c r="V57" s="11">
        <v>8.740000000000002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 t="str">
        <f>(Y57/2)*1585250</f>
        <v>0</v>
      </c>
      <c r="AC57" s="15" t="str">
        <f>(Z57/3)*3699000</f>
        <v>0</v>
      </c>
      <c r="AD57" s="15" t="str">
        <f>AB57+AC57</f>
        <v>0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40</v>
      </c>
      <c r="E58" s="7" t="s">
        <v>79</v>
      </c>
      <c r="F58" s="7" t="s">
        <v>76</v>
      </c>
      <c r="G58" s="7" t="s">
        <v>57</v>
      </c>
      <c r="H58" s="7"/>
      <c r="I58" s="11">
        <v>2</v>
      </c>
      <c r="J58" s="11">
        <v>3</v>
      </c>
      <c r="K58" s="11">
        <v>0</v>
      </c>
      <c r="L58" s="11">
        <v>0.17</v>
      </c>
      <c r="M58" s="11">
        <v>0</v>
      </c>
      <c r="N58" s="11">
        <v>0</v>
      </c>
      <c r="O58" s="11">
        <v>0</v>
      </c>
      <c r="P58" s="11">
        <v>0</v>
      </c>
      <c r="Q58" s="11">
        <v>0.17</v>
      </c>
      <c r="R58" s="11">
        <v>0.17</v>
      </c>
      <c r="S58" s="11">
        <v>0.34</v>
      </c>
      <c r="T58" s="11">
        <v>0.34</v>
      </c>
      <c r="U58" s="11">
        <v>0</v>
      </c>
      <c r="V58" s="11">
        <v>0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 t="str">
        <f>(Y58/2)*1585250</f>
        <v>0</v>
      </c>
      <c r="AC58" s="15" t="str">
        <f>(Z58/3)*3699000</f>
        <v>0</v>
      </c>
      <c r="AD58" s="15" t="str">
        <f>AB58+AC58</f>
        <v>0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40</v>
      </c>
      <c r="E59" s="7" t="s">
        <v>79</v>
      </c>
      <c r="F59" s="7" t="s">
        <v>76</v>
      </c>
      <c r="G59" s="7" t="s">
        <v>57</v>
      </c>
      <c r="H59" s="7"/>
      <c r="I59" s="11">
        <v>2</v>
      </c>
      <c r="J59" s="11">
        <v>3</v>
      </c>
      <c r="K59" s="11">
        <v>0</v>
      </c>
      <c r="L59" s="11">
        <v>0.42</v>
      </c>
      <c r="M59" s="11">
        <v>0.17</v>
      </c>
      <c r="N59" s="11">
        <v>0</v>
      </c>
      <c r="O59" s="11">
        <v>0</v>
      </c>
      <c r="P59" s="11">
        <v>0</v>
      </c>
      <c r="Q59" s="11">
        <v>0.5900000000000001</v>
      </c>
      <c r="R59" s="11">
        <v>1.93</v>
      </c>
      <c r="S59" s="11">
        <v>2.52</v>
      </c>
      <c r="T59" s="11">
        <v>2</v>
      </c>
      <c r="U59" s="11">
        <v>0.5200000000000005</v>
      </c>
      <c r="V59" s="11">
        <v>0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 t="str">
        <f>(Y59/2)*1585250</f>
        <v>0</v>
      </c>
      <c r="AC59" s="15" t="str">
        <f>(Z59/3)*3699000</f>
        <v>0</v>
      </c>
      <c r="AD59" s="15" t="str">
        <f>AB59+AC59</f>
        <v>0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56</v>
      </c>
      <c r="E60" s="7" t="s">
        <v>50</v>
      </c>
      <c r="F60" s="7" t="s">
        <v>76</v>
      </c>
      <c r="G60" s="7" t="s">
        <v>57</v>
      </c>
      <c r="H60" s="7" t="s">
        <v>63</v>
      </c>
      <c r="I60" s="11">
        <v>2</v>
      </c>
      <c r="J60" s="11">
        <v>3</v>
      </c>
      <c r="K60" s="11">
        <v>1</v>
      </c>
      <c r="L60" s="11">
        <v>5.749999999999998</v>
      </c>
      <c r="M60" s="11">
        <v>0</v>
      </c>
      <c r="N60" s="11">
        <v>0</v>
      </c>
      <c r="O60" s="11">
        <v>0</v>
      </c>
      <c r="P60" s="11">
        <v>0</v>
      </c>
      <c r="Q60" s="11">
        <v>6.749999999999998</v>
      </c>
      <c r="R60" s="11">
        <v>18.53</v>
      </c>
      <c r="S60" s="11">
        <v>25.27999999999999</v>
      </c>
      <c r="T60" s="11">
        <v>2</v>
      </c>
      <c r="U60" s="11">
        <v>3</v>
      </c>
      <c r="V60" s="11">
        <v>20.27999999999999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 t="str">
        <f>(Y60/2)*2131100</f>
        <v>0</v>
      </c>
      <c r="AC60" s="15" t="str">
        <f>(Z60/3)*5221283</f>
        <v>0</v>
      </c>
      <c r="AD60" s="15" t="str">
        <f>AB60+AC60</f>
        <v>0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40</v>
      </c>
      <c r="E61" s="7" t="s">
        <v>79</v>
      </c>
      <c r="F61" s="7" t="s">
        <v>76</v>
      </c>
      <c r="G61" s="7" t="s">
        <v>57</v>
      </c>
      <c r="H61" s="7" t="s">
        <v>58</v>
      </c>
      <c r="I61" s="11">
        <v>2</v>
      </c>
      <c r="J61" s="11">
        <v>3</v>
      </c>
      <c r="K61" s="11">
        <v>1</v>
      </c>
      <c r="L61" s="11">
        <v>0.5900000000000001</v>
      </c>
      <c r="M61" s="11">
        <v>0.33</v>
      </c>
      <c r="N61" s="11">
        <v>0</v>
      </c>
      <c r="O61" s="11">
        <v>0.76</v>
      </c>
      <c r="P61" s="11">
        <v>0</v>
      </c>
      <c r="Q61" s="11">
        <v>2.68</v>
      </c>
      <c r="R61" s="11">
        <v>7.51</v>
      </c>
      <c r="S61" s="11">
        <v>10.19</v>
      </c>
      <c r="T61" s="11">
        <v>2</v>
      </c>
      <c r="U61" s="11">
        <v>3</v>
      </c>
      <c r="V61" s="11">
        <v>5.19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 t="str">
        <f>(Y61/2)*2850851</f>
        <v>0</v>
      </c>
      <c r="AC61" s="15" t="str">
        <f>(Z61/3)*6984600</f>
        <v>0</v>
      </c>
      <c r="AD61" s="15" t="str">
        <f>AB61+AC61</f>
        <v>0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56</v>
      </c>
      <c r="E62" s="7" t="s">
        <v>106</v>
      </c>
      <c r="F62" s="7" t="s">
        <v>76</v>
      </c>
      <c r="G62" s="7" t="s">
        <v>57</v>
      </c>
      <c r="H62" s="7"/>
      <c r="I62" s="11">
        <v>2</v>
      </c>
      <c r="J62" s="11">
        <v>3</v>
      </c>
      <c r="K62" s="11">
        <v>0</v>
      </c>
      <c r="L62" s="11">
        <v>3.420000000000001</v>
      </c>
      <c r="M62" s="11">
        <v>0.5</v>
      </c>
      <c r="N62" s="11">
        <v>0</v>
      </c>
      <c r="O62" s="11">
        <v>0</v>
      </c>
      <c r="P62" s="11">
        <v>0</v>
      </c>
      <c r="Q62" s="11">
        <v>3.920000000000001</v>
      </c>
      <c r="R62" s="11">
        <v>12.83</v>
      </c>
      <c r="S62" s="11">
        <v>16.75</v>
      </c>
      <c r="T62" s="11">
        <v>2</v>
      </c>
      <c r="U62" s="11">
        <v>3</v>
      </c>
      <c r="V62" s="11">
        <v>11.75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 t="str">
        <f>(Y62/2)*1585250</f>
        <v>0</v>
      </c>
      <c r="AC62" s="15" t="str">
        <f>(Z62/3)*3699000</f>
        <v>0</v>
      </c>
      <c r="AD62" s="15" t="str">
        <f>AB62+AC62</f>
        <v>0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49</v>
      </c>
      <c r="E63" s="7" t="s">
        <v>79</v>
      </c>
      <c r="F63" s="7" t="s">
        <v>76</v>
      </c>
      <c r="G63" s="7" t="s">
        <v>57</v>
      </c>
      <c r="H63" s="7"/>
      <c r="I63" s="11">
        <v>2</v>
      </c>
      <c r="J63" s="11">
        <v>3</v>
      </c>
      <c r="K63" s="11">
        <v>0</v>
      </c>
      <c r="L63" s="11">
        <v>3.920000000000001</v>
      </c>
      <c r="M63" s="11">
        <v>0.67</v>
      </c>
      <c r="N63" s="11">
        <v>0</v>
      </c>
      <c r="O63" s="11">
        <v>0</v>
      </c>
      <c r="P63" s="11">
        <v>0</v>
      </c>
      <c r="Q63" s="11">
        <v>4.590000000000001</v>
      </c>
      <c r="R63" s="11">
        <v>8.180000000000001</v>
      </c>
      <c r="S63" s="11">
        <v>12.77</v>
      </c>
      <c r="T63" s="11">
        <v>2</v>
      </c>
      <c r="U63" s="11">
        <v>3</v>
      </c>
      <c r="V63" s="11">
        <v>7.770000000000003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 t="str">
        <f>(Y63/2)*1585250</f>
        <v>0</v>
      </c>
      <c r="AC63" s="15" t="str">
        <f>(Z63/3)*3699000</f>
        <v>0</v>
      </c>
      <c r="AD63" s="15" t="str">
        <f>AB63+AC63</f>
        <v>0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56</v>
      </c>
      <c r="E64" s="7" t="s">
        <v>106</v>
      </c>
      <c r="F64" s="7" t="s">
        <v>110</v>
      </c>
      <c r="G64" s="7" t="s">
        <v>57</v>
      </c>
      <c r="H64" s="7"/>
      <c r="I64" s="11">
        <v>2</v>
      </c>
      <c r="J64" s="11">
        <v>3</v>
      </c>
      <c r="K64" s="11">
        <v>0</v>
      </c>
      <c r="L64" s="11">
        <v>5.54</v>
      </c>
      <c r="M64" s="11">
        <v>0.33</v>
      </c>
      <c r="N64" s="11">
        <v>0</v>
      </c>
      <c r="O64" s="11">
        <v>0</v>
      </c>
      <c r="P64" s="11">
        <v>0</v>
      </c>
      <c r="Q64" s="11">
        <v>5.869999999999999</v>
      </c>
      <c r="R64" s="11">
        <v>15.26</v>
      </c>
      <c r="S64" s="11">
        <v>21.13</v>
      </c>
      <c r="T64" s="11">
        <v>2</v>
      </c>
      <c r="U64" s="11">
        <v>3</v>
      </c>
      <c r="V64" s="11">
        <v>16.13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 t="str">
        <f>(Y64/2)*1426725</f>
        <v>0</v>
      </c>
      <c r="AC64" s="15" t="str">
        <f>(Z64/3)*3329100</f>
        <v>0</v>
      </c>
      <c r="AD64" s="15" t="str">
        <f>AB64+AC64</f>
        <v>0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40</v>
      </c>
      <c r="E65" s="7" t="s">
        <v>79</v>
      </c>
      <c r="F65" s="7" t="s">
        <v>76</v>
      </c>
      <c r="G65" s="7" t="s">
        <v>57</v>
      </c>
      <c r="H65" s="7"/>
      <c r="I65" s="11">
        <v>2</v>
      </c>
      <c r="J65" s="11">
        <v>3</v>
      </c>
      <c r="K65" s="11">
        <v>0</v>
      </c>
      <c r="L65" s="11">
        <v>0.34</v>
      </c>
      <c r="M65" s="11">
        <v>0.17</v>
      </c>
      <c r="N65" s="11">
        <v>0</v>
      </c>
      <c r="O65" s="11">
        <v>0.93</v>
      </c>
      <c r="P65" s="11">
        <v>0</v>
      </c>
      <c r="Q65" s="11">
        <v>1.44</v>
      </c>
      <c r="R65" s="11">
        <v>2.87</v>
      </c>
      <c r="S65" s="11">
        <v>4.31</v>
      </c>
      <c r="T65" s="11">
        <v>2</v>
      </c>
      <c r="U65" s="11">
        <v>2.31</v>
      </c>
      <c r="V65" s="11">
        <v>0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 t="str">
        <f>(Y65/2)*1585250</f>
        <v>0</v>
      </c>
      <c r="AC65" s="15" t="str">
        <f>(Z65/3)*3699000</f>
        <v>0</v>
      </c>
      <c r="AD65" s="15" t="str">
        <f>AB65+AC65</f>
        <v>0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40</v>
      </c>
      <c r="E66" s="7" t="s">
        <v>106</v>
      </c>
      <c r="F66" s="7" t="s">
        <v>110</v>
      </c>
      <c r="G66" s="7" t="s">
        <v>57</v>
      </c>
      <c r="H66" s="7"/>
      <c r="I66" s="11">
        <v>2</v>
      </c>
      <c r="J66" s="11">
        <v>3</v>
      </c>
      <c r="K66" s="11">
        <v>0</v>
      </c>
      <c r="L66" s="11">
        <v>0.42</v>
      </c>
      <c r="M66" s="11">
        <v>0.34</v>
      </c>
      <c r="N66" s="11">
        <v>0</v>
      </c>
      <c r="O66" s="11">
        <v>0</v>
      </c>
      <c r="P66" s="11">
        <v>0</v>
      </c>
      <c r="Q66" s="11">
        <v>0.7600000000000001</v>
      </c>
      <c r="R66" s="11">
        <v>2.44</v>
      </c>
      <c r="S66" s="11">
        <v>3.2</v>
      </c>
      <c r="T66" s="11">
        <v>2</v>
      </c>
      <c r="U66" s="11">
        <v>1.2</v>
      </c>
      <c r="V66" s="11">
        <v>0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 t="str">
        <f>(Y66/2)*1426725</f>
        <v>0</v>
      </c>
      <c r="AC66" s="15" t="str">
        <f>(Z66/3)*3329100</f>
        <v>0</v>
      </c>
      <c r="AD66" s="15" t="str">
        <f>AB66+AC66</f>
        <v>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49</v>
      </c>
      <c r="E67" s="7" t="s">
        <v>177</v>
      </c>
      <c r="F67" s="7" t="s">
        <v>178</v>
      </c>
      <c r="G67" s="7" t="s">
        <v>57</v>
      </c>
      <c r="H67" s="7" t="s">
        <v>80</v>
      </c>
      <c r="I67" s="11">
        <v>2</v>
      </c>
      <c r="J67" s="11">
        <v>3</v>
      </c>
      <c r="K67" s="11">
        <v>0.67</v>
      </c>
      <c r="L67" s="11">
        <v>6.079999999999997</v>
      </c>
      <c r="M67" s="11">
        <v>0.66</v>
      </c>
      <c r="N67" s="11">
        <v>0</v>
      </c>
      <c r="O67" s="11">
        <v>0.8</v>
      </c>
      <c r="P67" s="11">
        <v>0</v>
      </c>
      <c r="Q67" s="11">
        <v>8.209999999999997</v>
      </c>
      <c r="R67" s="11">
        <v>15.33</v>
      </c>
      <c r="S67" s="11">
        <v>23.54</v>
      </c>
      <c r="T67" s="11">
        <v>2</v>
      </c>
      <c r="U67" s="11">
        <v>3</v>
      </c>
      <c r="V67" s="11">
        <v>18.54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 t="str">
        <f>(Y67/2)*1723125</f>
        <v>0</v>
      </c>
      <c r="AC67" s="15" t="str">
        <f>(Z67/3)*4221788</f>
        <v>0</v>
      </c>
      <c r="AD67" s="15" t="str">
        <f>AB67+AC67</f>
        <v>0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40</v>
      </c>
      <c r="E68" s="7" t="s">
        <v>109</v>
      </c>
      <c r="F68" s="7" t="s">
        <v>178</v>
      </c>
      <c r="G68" s="7" t="s">
        <v>57</v>
      </c>
      <c r="H68" s="7" t="s">
        <v>181</v>
      </c>
      <c r="I68" s="11">
        <v>2</v>
      </c>
      <c r="J68" s="11">
        <v>3</v>
      </c>
      <c r="K68" s="11">
        <v>1</v>
      </c>
      <c r="L68" s="11">
        <v>0.08</v>
      </c>
      <c r="M68" s="11">
        <v>0.33</v>
      </c>
      <c r="N68" s="11">
        <v>0</v>
      </c>
      <c r="O68" s="11">
        <v>0</v>
      </c>
      <c r="P68" s="11">
        <v>0</v>
      </c>
      <c r="Q68" s="11">
        <v>1.41</v>
      </c>
      <c r="R68" s="11">
        <v>6.25</v>
      </c>
      <c r="S68" s="11">
        <v>7.66</v>
      </c>
      <c r="T68" s="11">
        <v>2</v>
      </c>
      <c r="U68" s="11">
        <v>3</v>
      </c>
      <c r="V68" s="11">
        <v>2.66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 t="str">
        <f>(Y68/2)*1917975</f>
        <v>0</v>
      </c>
      <c r="AC68" s="15" t="str">
        <f>(Z68/3)*4609636</f>
        <v>0</v>
      </c>
      <c r="AD68" s="15" t="str">
        <f>AB68+AC68</f>
        <v>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49</v>
      </c>
      <c r="E69" s="7" t="s">
        <v>109</v>
      </c>
      <c r="F69" s="7" t="s">
        <v>178</v>
      </c>
      <c r="G69" s="7" t="s">
        <v>43</v>
      </c>
      <c r="H69" s="7"/>
      <c r="I69" s="11">
        <v>2</v>
      </c>
      <c r="J69" s="11">
        <v>3</v>
      </c>
      <c r="K69" s="11">
        <v>0</v>
      </c>
      <c r="L69" s="11">
        <v>4.730000000000001</v>
      </c>
      <c r="M69" s="11">
        <v>0.8300000000000001</v>
      </c>
      <c r="N69" s="11">
        <v>0</v>
      </c>
      <c r="O69" s="11">
        <v>0</v>
      </c>
      <c r="P69" s="11">
        <v>0</v>
      </c>
      <c r="Q69" s="11">
        <v>5.560000000000001</v>
      </c>
      <c r="R69" s="11">
        <v>11.88</v>
      </c>
      <c r="S69" s="11">
        <v>17.44</v>
      </c>
      <c r="T69" s="11">
        <v>2</v>
      </c>
      <c r="U69" s="11">
        <v>3</v>
      </c>
      <c r="V69" s="11">
        <v>12.44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 t="str">
        <f>(Y69/2)*1083825</f>
        <v>0</v>
      </c>
      <c r="AC69" s="15" t="str">
        <f>(Z69/3)*2529000</f>
        <v>0</v>
      </c>
      <c r="AD69" s="15" t="str">
        <f>AB69+AC69</f>
        <v>0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56</v>
      </c>
      <c r="E70" s="7" t="s">
        <v>109</v>
      </c>
      <c r="F70" s="7" t="s">
        <v>178</v>
      </c>
      <c r="G70" s="7" t="s">
        <v>57</v>
      </c>
      <c r="H70" s="7"/>
      <c r="I70" s="11">
        <v>2</v>
      </c>
      <c r="J70" s="11">
        <v>3</v>
      </c>
      <c r="K70" s="11">
        <v>0</v>
      </c>
      <c r="L70" s="11">
        <v>5.720000000000002</v>
      </c>
      <c r="M70" s="11">
        <v>0.17</v>
      </c>
      <c r="N70" s="11">
        <v>0</v>
      </c>
      <c r="O70" s="11">
        <v>0</v>
      </c>
      <c r="P70" s="11">
        <v>0</v>
      </c>
      <c r="Q70" s="11">
        <v>5.890000000000001</v>
      </c>
      <c r="R70" s="11">
        <v>16.72999999999999</v>
      </c>
      <c r="S70" s="11">
        <v>22.61999999999999</v>
      </c>
      <c r="T70" s="11">
        <v>2</v>
      </c>
      <c r="U70" s="11">
        <v>3</v>
      </c>
      <c r="V70" s="11">
        <v>17.61999999999999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 t="str">
        <f>(Y70/2)*1083825</f>
        <v>0</v>
      </c>
      <c r="AC70" s="15" t="str">
        <f>(Z70/3)*2529000</f>
        <v>0</v>
      </c>
      <c r="AD70" s="15" t="str">
        <f>AB70+AC70</f>
        <v>0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49</v>
      </c>
      <c r="E71" s="7" t="s">
        <v>109</v>
      </c>
      <c r="F71" s="7" t="s">
        <v>178</v>
      </c>
      <c r="G71" s="7" t="s">
        <v>57</v>
      </c>
      <c r="H71" s="7"/>
      <c r="I71" s="11">
        <v>2</v>
      </c>
      <c r="J71" s="11">
        <v>3</v>
      </c>
      <c r="K71" s="11">
        <v>0</v>
      </c>
      <c r="L71" s="11">
        <v>4.919999999999999</v>
      </c>
      <c r="M71" s="11">
        <v>0.66</v>
      </c>
      <c r="N71" s="11">
        <v>0</v>
      </c>
      <c r="O71" s="11">
        <v>0</v>
      </c>
      <c r="P71" s="11">
        <v>0</v>
      </c>
      <c r="Q71" s="11">
        <v>5.579999999999999</v>
      </c>
      <c r="R71" s="11">
        <v>11.12</v>
      </c>
      <c r="S71" s="11">
        <v>16.7</v>
      </c>
      <c r="T71" s="11">
        <v>2</v>
      </c>
      <c r="U71" s="11">
        <v>3</v>
      </c>
      <c r="V71" s="11">
        <v>11.7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 t="str">
        <f>(Y71/2)*1083825</f>
        <v>0</v>
      </c>
      <c r="AC71" s="15" t="str">
        <f>(Z71/3)*2529000</f>
        <v>0</v>
      </c>
      <c r="AD71" s="15" t="str">
        <f>AB71+AC71</f>
        <v>0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49</v>
      </c>
      <c r="E72" s="7" t="s">
        <v>109</v>
      </c>
      <c r="F72" s="7" t="s">
        <v>178</v>
      </c>
      <c r="G72" s="7" t="s">
        <v>57</v>
      </c>
      <c r="H72" s="7"/>
      <c r="I72" s="11">
        <v>2</v>
      </c>
      <c r="J72" s="11">
        <v>3</v>
      </c>
      <c r="K72" s="11">
        <v>0</v>
      </c>
      <c r="L72" s="11">
        <v>4.140000000000001</v>
      </c>
      <c r="M72" s="11">
        <v>0.66</v>
      </c>
      <c r="N72" s="11">
        <v>0</v>
      </c>
      <c r="O72" s="11">
        <v>0</v>
      </c>
      <c r="P72" s="11">
        <v>0</v>
      </c>
      <c r="Q72" s="11">
        <v>4.800000000000001</v>
      </c>
      <c r="R72" s="11">
        <v>11.18</v>
      </c>
      <c r="S72" s="11">
        <v>15.98</v>
      </c>
      <c r="T72" s="11">
        <v>2</v>
      </c>
      <c r="U72" s="11">
        <v>3</v>
      </c>
      <c r="V72" s="11">
        <v>10.98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 t="str">
        <f>(Y72/2)*1083825</f>
        <v>0</v>
      </c>
      <c r="AC72" s="15" t="str">
        <f>(Z72/3)*2529000</f>
        <v>0</v>
      </c>
      <c r="AD72" s="15" t="str">
        <f>AB72+AC72</f>
        <v>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56</v>
      </c>
      <c r="E73" s="7" t="s">
        <v>106</v>
      </c>
      <c r="F73" s="7" t="s">
        <v>178</v>
      </c>
      <c r="G73" s="7" t="s">
        <v>57</v>
      </c>
      <c r="H73" s="7" t="s">
        <v>192</v>
      </c>
      <c r="I73" s="11">
        <v>2</v>
      </c>
      <c r="J73" s="11">
        <v>3</v>
      </c>
      <c r="K73" s="11">
        <v>0</v>
      </c>
      <c r="L73" s="11">
        <v>6.299999999999999</v>
      </c>
      <c r="M73" s="11">
        <v>0.5</v>
      </c>
      <c r="N73" s="11">
        <v>0</v>
      </c>
      <c r="O73" s="11">
        <v>1.69</v>
      </c>
      <c r="P73" s="11">
        <v>0</v>
      </c>
      <c r="Q73" s="11">
        <v>8.489999999999997</v>
      </c>
      <c r="R73" s="11">
        <v>23.87</v>
      </c>
      <c r="S73" s="11">
        <v>32.35999999999999</v>
      </c>
      <c r="T73" s="11">
        <v>2</v>
      </c>
      <c r="U73" s="11">
        <v>3</v>
      </c>
      <c r="V73" s="11">
        <v>27.35999999999999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 t="str">
        <f>(Y73/2)*1083825</f>
        <v>0</v>
      </c>
      <c r="AC73" s="15" t="str">
        <f>(Z73/3)*2529000</f>
        <v>0</v>
      </c>
      <c r="AD73" s="15" t="str">
        <f>AB73+AC73</f>
        <v>0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177</v>
      </c>
      <c r="F74" s="7" t="s">
        <v>178</v>
      </c>
      <c r="G74" s="7" t="s">
        <v>57</v>
      </c>
      <c r="H74" s="7"/>
      <c r="I74" s="11">
        <v>2</v>
      </c>
      <c r="J74" s="11">
        <v>3</v>
      </c>
      <c r="K74" s="11">
        <v>0</v>
      </c>
      <c r="L74" s="11">
        <v>0.08</v>
      </c>
      <c r="M74" s="11">
        <v>0.33</v>
      </c>
      <c r="N74" s="11">
        <v>0</v>
      </c>
      <c r="O74" s="11">
        <v>0</v>
      </c>
      <c r="P74" s="11">
        <v>0</v>
      </c>
      <c r="Q74" s="11">
        <v>0.41</v>
      </c>
      <c r="R74" s="11">
        <v>2.01</v>
      </c>
      <c r="S74" s="11">
        <v>2.42</v>
      </c>
      <c r="T74" s="11">
        <v>2</v>
      </c>
      <c r="U74" s="11">
        <v>0.4200000000000004</v>
      </c>
      <c r="V74" s="11">
        <v>0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 t="str">
        <f>(Y74/2)*1083825</f>
        <v>0</v>
      </c>
      <c r="AC74" s="15" t="str">
        <f>(Z74/3)*2529000</f>
        <v>0</v>
      </c>
      <c r="AD74" s="15" t="str">
        <f>AB74+AC74</f>
        <v>0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49</v>
      </c>
      <c r="E75" s="7" t="s">
        <v>109</v>
      </c>
      <c r="F75" s="7" t="s">
        <v>178</v>
      </c>
      <c r="G75" s="7" t="s">
        <v>57</v>
      </c>
      <c r="H75" s="7" t="s">
        <v>192</v>
      </c>
      <c r="I75" s="11">
        <v>2</v>
      </c>
      <c r="J75" s="11">
        <v>3</v>
      </c>
      <c r="K75" s="11">
        <v>0</v>
      </c>
      <c r="L75" s="11">
        <v>3.920000000000001</v>
      </c>
      <c r="M75" s="11">
        <v>0.99</v>
      </c>
      <c r="N75" s="11">
        <v>0</v>
      </c>
      <c r="O75" s="11">
        <v>0</v>
      </c>
      <c r="P75" s="11">
        <v>0</v>
      </c>
      <c r="Q75" s="11">
        <v>4.910000000000001</v>
      </c>
      <c r="R75" s="11">
        <v>10.5</v>
      </c>
      <c r="S75" s="11">
        <v>15.41</v>
      </c>
      <c r="T75" s="11">
        <v>2</v>
      </c>
      <c r="U75" s="11">
        <v>3</v>
      </c>
      <c r="V75" s="11">
        <v>10.41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 t="str">
        <f>(Y75/2)*1083825</f>
        <v>0</v>
      </c>
      <c r="AC75" s="15" t="str">
        <f>(Z75/3)*2529000</f>
        <v>0</v>
      </c>
      <c r="AD75" s="15" t="str">
        <f>AB75+AC75</f>
        <v>0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56</v>
      </c>
      <c r="E76" s="7" t="s">
        <v>109</v>
      </c>
      <c r="F76" s="7" t="s">
        <v>178</v>
      </c>
      <c r="G76" s="7" t="s">
        <v>57</v>
      </c>
      <c r="H76" s="7"/>
      <c r="I76" s="11">
        <v>2</v>
      </c>
      <c r="J76" s="11">
        <v>3</v>
      </c>
      <c r="K76" s="11">
        <v>0</v>
      </c>
      <c r="L76" s="11">
        <v>6.939999999999998</v>
      </c>
      <c r="M76" s="11">
        <v>0.17</v>
      </c>
      <c r="N76" s="11">
        <v>0</v>
      </c>
      <c r="O76" s="11">
        <v>0</v>
      </c>
      <c r="P76" s="11">
        <v>0</v>
      </c>
      <c r="Q76" s="11">
        <v>7.109999999999998</v>
      </c>
      <c r="R76" s="11">
        <v>16.97999999999999</v>
      </c>
      <c r="S76" s="11">
        <v>24.08999999999999</v>
      </c>
      <c r="T76" s="11">
        <v>2</v>
      </c>
      <c r="U76" s="11">
        <v>3</v>
      </c>
      <c r="V76" s="11">
        <v>19.08999999999999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 t="str">
        <f>(Y76/2)*1083825</f>
        <v>0</v>
      </c>
      <c r="AC76" s="15" t="str">
        <f>(Z76/3)*2529000</f>
        <v>0</v>
      </c>
      <c r="AD76" s="15" t="str">
        <f>AB76+AC76</f>
        <v>0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56</v>
      </c>
      <c r="E77" s="7" t="s">
        <v>201</v>
      </c>
      <c r="F77" s="7" t="s">
        <v>178</v>
      </c>
      <c r="G77" s="7" t="s">
        <v>43</v>
      </c>
      <c r="H77" s="7"/>
      <c r="I77" s="11">
        <v>2</v>
      </c>
      <c r="J77" s="11">
        <v>3</v>
      </c>
      <c r="K77" s="11">
        <v>0</v>
      </c>
      <c r="L77" s="11">
        <v>6.319999999999999</v>
      </c>
      <c r="M77" s="11">
        <v>0.33</v>
      </c>
      <c r="N77" s="11">
        <v>0</v>
      </c>
      <c r="O77" s="11">
        <v>0</v>
      </c>
      <c r="P77" s="11">
        <v>0</v>
      </c>
      <c r="Q77" s="11">
        <v>6.649999999999999</v>
      </c>
      <c r="R77" s="11">
        <v>17.86999999999999</v>
      </c>
      <c r="S77" s="11">
        <v>24.51999999999999</v>
      </c>
      <c r="T77" s="11">
        <v>2</v>
      </c>
      <c r="U77" s="11">
        <v>3</v>
      </c>
      <c r="V77" s="11">
        <v>19.51999999999999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 t="str">
        <f>(Y77/2)*1083825</f>
        <v>0</v>
      </c>
      <c r="AC77" s="15" t="str">
        <f>(Z77/3)*2529000</f>
        <v>0</v>
      </c>
      <c r="AD77" s="15" t="str">
        <f>AB77+AC77</f>
        <v>0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106</v>
      </c>
      <c r="F78" s="7" t="s">
        <v>178</v>
      </c>
      <c r="G78" s="7" t="s">
        <v>43</v>
      </c>
      <c r="H78" s="7" t="s">
        <v>192</v>
      </c>
      <c r="I78" s="11">
        <v>2</v>
      </c>
      <c r="J78" s="11">
        <v>3</v>
      </c>
      <c r="K78" s="11">
        <v>0</v>
      </c>
      <c r="L78" s="11">
        <v>0.08</v>
      </c>
      <c r="M78" s="11">
        <v>0</v>
      </c>
      <c r="N78" s="11">
        <v>0</v>
      </c>
      <c r="O78" s="11">
        <v>0.17</v>
      </c>
      <c r="P78" s="11">
        <v>0</v>
      </c>
      <c r="Q78" s="11">
        <v>0.25</v>
      </c>
      <c r="R78" s="11">
        <v>2.92</v>
      </c>
      <c r="S78" s="11">
        <v>3.17</v>
      </c>
      <c r="T78" s="11">
        <v>2</v>
      </c>
      <c r="U78" s="11">
        <v>1.17</v>
      </c>
      <c r="V78" s="11">
        <v>0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 t="str">
        <f>(Y78/2)*1083825</f>
        <v>0</v>
      </c>
      <c r="AC78" s="15" t="str">
        <f>(Z78/3)*2529000</f>
        <v>0</v>
      </c>
      <c r="AD78" s="15" t="str">
        <f>AB78+AC78</f>
        <v>0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56</v>
      </c>
      <c r="E79" s="7" t="s">
        <v>109</v>
      </c>
      <c r="F79" s="7" t="s">
        <v>178</v>
      </c>
      <c r="G79" s="7" t="s">
        <v>57</v>
      </c>
      <c r="H79" s="7" t="s">
        <v>206</v>
      </c>
      <c r="I79" s="11">
        <v>2</v>
      </c>
      <c r="J79" s="11">
        <v>3</v>
      </c>
      <c r="K79" s="11">
        <v>1</v>
      </c>
      <c r="L79" s="11">
        <v>6.180000000000001</v>
      </c>
      <c r="M79" s="11">
        <v>0.67</v>
      </c>
      <c r="N79" s="11">
        <v>0</v>
      </c>
      <c r="O79" s="11">
        <v>0.72</v>
      </c>
      <c r="P79" s="11">
        <v>0</v>
      </c>
      <c r="Q79" s="11">
        <v>8.57</v>
      </c>
      <c r="R79" s="11">
        <v>19.52</v>
      </c>
      <c r="S79" s="11">
        <v>28.09</v>
      </c>
      <c r="T79" s="11">
        <v>2</v>
      </c>
      <c r="U79" s="11">
        <v>3</v>
      </c>
      <c r="V79" s="11">
        <v>23.09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 t="str">
        <f>(Y79/2)*1917975</f>
        <v>0</v>
      </c>
      <c r="AC79" s="15" t="str">
        <f>(Z79/3)*4475375</f>
        <v>0</v>
      </c>
      <c r="AD79" s="15" t="str">
        <f>AB79+AC79</f>
        <v>0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207</v>
      </c>
      <c r="C80" s="10" t="s">
        <v>208</v>
      </c>
      <c r="D80" s="7" t="s">
        <v>56</v>
      </c>
      <c r="E80" s="7" t="s">
        <v>106</v>
      </c>
      <c r="F80" s="7" t="s">
        <v>178</v>
      </c>
      <c r="G80" s="7" t="s">
        <v>43</v>
      </c>
      <c r="H80" s="7"/>
      <c r="I80" s="11">
        <v>2</v>
      </c>
      <c r="J80" s="11">
        <v>3</v>
      </c>
      <c r="K80" s="11">
        <v>0</v>
      </c>
      <c r="L80" s="11">
        <v>6.580000000000001</v>
      </c>
      <c r="M80" s="11">
        <v>0.17</v>
      </c>
      <c r="N80" s="11">
        <v>0</v>
      </c>
      <c r="O80" s="11">
        <v>1.56</v>
      </c>
      <c r="P80" s="11">
        <v>0</v>
      </c>
      <c r="Q80" s="11">
        <v>8.31</v>
      </c>
      <c r="R80" s="11">
        <v>15.92</v>
      </c>
      <c r="S80" s="11">
        <v>24.23</v>
      </c>
      <c r="T80" s="11">
        <v>2</v>
      </c>
      <c r="U80" s="11">
        <v>3</v>
      </c>
      <c r="V80" s="11">
        <v>19.23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 t="str">
        <f>(Y80/2)*1083825</f>
        <v>0</v>
      </c>
      <c r="AC80" s="15" t="str">
        <f>(Z80/3)*2529000</f>
        <v>0</v>
      </c>
      <c r="AD80" s="15" t="str">
        <f>AB80+AC80</f>
        <v>0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209</v>
      </c>
      <c r="C81" s="10" t="s">
        <v>210</v>
      </c>
      <c r="D81" s="7" t="s">
        <v>49</v>
      </c>
      <c r="E81" s="7" t="s">
        <v>109</v>
      </c>
      <c r="F81" s="7" t="s">
        <v>178</v>
      </c>
      <c r="G81" s="7" t="s">
        <v>57</v>
      </c>
      <c r="H81" s="7"/>
      <c r="I81" s="11">
        <v>2</v>
      </c>
      <c r="J81" s="11">
        <v>3</v>
      </c>
      <c r="K81" s="11">
        <v>0</v>
      </c>
      <c r="L81" s="11">
        <v>3.600000000000001</v>
      </c>
      <c r="M81" s="11">
        <v>0.66</v>
      </c>
      <c r="N81" s="11">
        <v>0</v>
      </c>
      <c r="O81" s="11">
        <v>0</v>
      </c>
      <c r="P81" s="11">
        <v>0</v>
      </c>
      <c r="Q81" s="11">
        <v>4.260000000000001</v>
      </c>
      <c r="R81" s="11">
        <v>8.82</v>
      </c>
      <c r="S81" s="11">
        <v>13.08</v>
      </c>
      <c r="T81" s="11">
        <v>2</v>
      </c>
      <c r="U81" s="11">
        <v>3</v>
      </c>
      <c r="V81" s="11">
        <v>8.080000000000002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 t="str">
        <f>(Y81/2)*1083825</f>
        <v>0</v>
      </c>
      <c r="AC81" s="15" t="str">
        <f>(Z81/3)*2529000</f>
        <v>0</v>
      </c>
      <c r="AD81" s="15" t="str">
        <f>AB81+AC81</f>
        <v>0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40</v>
      </c>
      <c r="E82" s="7" t="s">
        <v>109</v>
      </c>
      <c r="F82" s="7" t="s">
        <v>178</v>
      </c>
      <c r="G82" s="7" t="s">
        <v>57</v>
      </c>
      <c r="H82" s="7"/>
      <c r="I82" s="11">
        <v>2</v>
      </c>
      <c r="J82" s="11">
        <v>3</v>
      </c>
      <c r="K82" s="11">
        <v>0</v>
      </c>
      <c r="L82" s="11">
        <v>0.08</v>
      </c>
      <c r="M82" s="11">
        <v>0.33</v>
      </c>
      <c r="N82" s="11">
        <v>0</v>
      </c>
      <c r="O82" s="11">
        <v>0</v>
      </c>
      <c r="P82" s="11">
        <v>0</v>
      </c>
      <c r="Q82" s="11">
        <v>0.41</v>
      </c>
      <c r="R82" s="11">
        <v>1.41</v>
      </c>
      <c r="S82" s="11">
        <v>1.82</v>
      </c>
      <c r="T82" s="11">
        <v>1.82</v>
      </c>
      <c r="U82" s="11">
        <v>0</v>
      </c>
      <c r="V82" s="11">
        <v>0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 t="str">
        <f>(Y82/2)*1083825</f>
        <v>0</v>
      </c>
      <c r="AC82" s="15" t="str">
        <f>(Z82/3)*2529000</f>
        <v>0</v>
      </c>
      <c r="AD82" s="15" t="str">
        <f>AB82+AC82</f>
        <v>0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49</v>
      </c>
      <c r="E83" s="7" t="s">
        <v>109</v>
      </c>
      <c r="F83" s="7" t="s">
        <v>178</v>
      </c>
      <c r="G83" s="7" t="s">
        <v>57</v>
      </c>
      <c r="H83" s="7"/>
      <c r="I83" s="11">
        <v>2</v>
      </c>
      <c r="J83" s="11">
        <v>3</v>
      </c>
      <c r="K83" s="11">
        <v>0</v>
      </c>
      <c r="L83" s="11">
        <v>4.360000000000001</v>
      </c>
      <c r="M83" s="11">
        <v>0.5</v>
      </c>
      <c r="N83" s="11">
        <v>0</v>
      </c>
      <c r="O83" s="11">
        <v>0</v>
      </c>
      <c r="P83" s="11">
        <v>0</v>
      </c>
      <c r="Q83" s="11">
        <v>4.860000000000001</v>
      </c>
      <c r="R83" s="11">
        <v>9.100000000000001</v>
      </c>
      <c r="S83" s="11">
        <v>13.96</v>
      </c>
      <c r="T83" s="11">
        <v>2</v>
      </c>
      <c r="U83" s="11">
        <v>3</v>
      </c>
      <c r="V83" s="11">
        <v>8.960000000000003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 t="str">
        <f>(Y83/2)*1083825</f>
        <v>0</v>
      </c>
      <c r="AC83" s="15" t="str">
        <f>(Z83/3)*2529000</f>
        <v>0</v>
      </c>
      <c r="AD83" s="15" t="str">
        <f>AB83+AC83</f>
        <v>0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40</v>
      </c>
      <c r="E84" s="7" t="s">
        <v>106</v>
      </c>
      <c r="F84" s="7" t="s">
        <v>178</v>
      </c>
      <c r="G84" s="7" t="s">
        <v>57</v>
      </c>
      <c r="H84" s="7"/>
      <c r="I84" s="11">
        <v>2</v>
      </c>
      <c r="J84" s="11">
        <v>3</v>
      </c>
      <c r="K84" s="11">
        <v>0</v>
      </c>
      <c r="L84" s="11">
        <v>0.08</v>
      </c>
      <c r="M84" s="11">
        <v>0.17</v>
      </c>
      <c r="N84" s="11">
        <v>0</v>
      </c>
      <c r="O84" s="11">
        <v>0</v>
      </c>
      <c r="P84" s="11">
        <v>0</v>
      </c>
      <c r="Q84" s="11">
        <v>0.25</v>
      </c>
      <c r="R84" s="11">
        <v>3.31</v>
      </c>
      <c r="S84" s="11">
        <v>3.56</v>
      </c>
      <c r="T84" s="11">
        <v>2</v>
      </c>
      <c r="U84" s="11">
        <v>1.56</v>
      </c>
      <c r="V84" s="11">
        <v>0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 t="str">
        <f>(Y84/2)*1083825</f>
        <v>0</v>
      </c>
      <c r="AC84" s="15" t="str">
        <f>(Z84/3)*2529000</f>
        <v>0</v>
      </c>
      <c r="AD84" s="15" t="str">
        <f>AB84+AC84</f>
        <v>0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40</v>
      </c>
      <c r="E85" s="7" t="s">
        <v>109</v>
      </c>
      <c r="F85" s="7" t="s">
        <v>178</v>
      </c>
      <c r="G85" s="7" t="s">
        <v>57</v>
      </c>
      <c r="H85" s="7" t="s">
        <v>63</v>
      </c>
      <c r="I85" s="11">
        <v>2</v>
      </c>
      <c r="J85" s="11">
        <v>3</v>
      </c>
      <c r="K85" s="11">
        <v>1</v>
      </c>
      <c r="L85" s="11">
        <v>0.42</v>
      </c>
      <c r="M85" s="11">
        <v>0.17</v>
      </c>
      <c r="N85" s="11">
        <v>0</v>
      </c>
      <c r="O85" s="11">
        <v>0</v>
      </c>
      <c r="P85" s="11">
        <v>0</v>
      </c>
      <c r="Q85" s="11">
        <v>1.59</v>
      </c>
      <c r="R85" s="11">
        <v>7.629999999999999</v>
      </c>
      <c r="S85" s="11">
        <v>9.219999999999999</v>
      </c>
      <c r="T85" s="11">
        <v>2</v>
      </c>
      <c r="U85" s="11">
        <v>3</v>
      </c>
      <c r="V85" s="11">
        <v>4.219999999999999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 t="str">
        <f>(Y85/2)*1917975</f>
        <v>0</v>
      </c>
      <c r="AC85" s="15" t="str">
        <f>(Z85/3)*4699144</f>
        <v>0</v>
      </c>
      <c r="AD85" s="15" t="str">
        <f>AB85+AC85</f>
        <v>0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40</v>
      </c>
      <c r="E86" s="7" t="s">
        <v>109</v>
      </c>
      <c r="F86" s="7" t="s">
        <v>178</v>
      </c>
      <c r="G86" s="7" t="s">
        <v>57</v>
      </c>
      <c r="H86" s="7" t="s">
        <v>221</v>
      </c>
      <c r="I86" s="11">
        <v>2</v>
      </c>
      <c r="J86" s="11">
        <v>3</v>
      </c>
      <c r="K86" s="11">
        <v>0.67</v>
      </c>
      <c r="L86" s="11">
        <v>0.42</v>
      </c>
      <c r="M86" s="11">
        <v>0</v>
      </c>
      <c r="N86" s="11">
        <v>0</v>
      </c>
      <c r="O86" s="11">
        <v>0</v>
      </c>
      <c r="P86" s="11">
        <v>0</v>
      </c>
      <c r="Q86" s="11">
        <v>1.09</v>
      </c>
      <c r="R86" s="11">
        <v>3.54</v>
      </c>
      <c r="S86" s="11">
        <v>4.63</v>
      </c>
      <c r="T86" s="11">
        <v>2</v>
      </c>
      <c r="U86" s="11">
        <v>2.63</v>
      </c>
      <c r="V86" s="11">
        <v>0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 t="str">
        <f>(Y86/2)*1723125</f>
        <v>0</v>
      </c>
      <c r="AC86" s="15" t="str">
        <f>(Z86/3)*4101165</f>
        <v>0</v>
      </c>
      <c r="AD86" s="15" t="str">
        <f>AB86+AC86</f>
        <v>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222</v>
      </c>
      <c r="C87" s="10" t="s">
        <v>223</v>
      </c>
      <c r="D87" s="7" t="s">
        <v>40</v>
      </c>
      <c r="E87" s="7" t="s">
        <v>109</v>
      </c>
      <c r="F87" s="7" t="s">
        <v>178</v>
      </c>
      <c r="G87" s="7" t="s">
        <v>57</v>
      </c>
      <c r="H87" s="7" t="s">
        <v>181</v>
      </c>
      <c r="I87" s="11">
        <v>2</v>
      </c>
      <c r="J87" s="11">
        <v>3</v>
      </c>
      <c r="K87" s="11">
        <v>1</v>
      </c>
      <c r="L87" s="11">
        <v>0.08</v>
      </c>
      <c r="M87" s="11">
        <v>0</v>
      </c>
      <c r="N87" s="11">
        <v>0</v>
      </c>
      <c r="O87" s="11">
        <v>0</v>
      </c>
      <c r="P87" s="11">
        <v>0</v>
      </c>
      <c r="Q87" s="11">
        <v>1.08</v>
      </c>
      <c r="R87" s="11">
        <v>4.76</v>
      </c>
      <c r="S87" s="11">
        <v>5.84</v>
      </c>
      <c r="T87" s="11">
        <v>2</v>
      </c>
      <c r="U87" s="11">
        <v>3</v>
      </c>
      <c r="V87" s="11">
        <v>0.8399999999999999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 t="str">
        <f>(Y87/2)*1917975</f>
        <v>0</v>
      </c>
      <c r="AC87" s="15" t="str">
        <f>(Z87/3)*4609636</f>
        <v>0</v>
      </c>
      <c r="AD87" s="15" t="str">
        <f>AB87+AC87</f>
        <v>0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56</v>
      </c>
      <c r="E88" s="7" t="s">
        <v>106</v>
      </c>
      <c r="F88" s="7" t="s">
        <v>178</v>
      </c>
      <c r="G88" s="7" t="s">
        <v>57</v>
      </c>
      <c r="H88" s="7" t="s">
        <v>80</v>
      </c>
      <c r="I88" s="11">
        <v>2</v>
      </c>
      <c r="J88" s="11">
        <v>3</v>
      </c>
      <c r="K88" s="11">
        <v>0.67</v>
      </c>
      <c r="L88" s="11">
        <v>3.960000000000001</v>
      </c>
      <c r="M88" s="11">
        <v>0.67</v>
      </c>
      <c r="N88" s="11">
        <v>0</v>
      </c>
      <c r="O88" s="11">
        <v>0.4</v>
      </c>
      <c r="P88" s="11">
        <v>0</v>
      </c>
      <c r="Q88" s="11">
        <v>5.700000000000001</v>
      </c>
      <c r="R88" s="11">
        <v>17.29</v>
      </c>
      <c r="S88" s="11">
        <v>22.99</v>
      </c>
      <c r="T88" s="11">
        <v>2</v>
      </c>
      <c r="U88" s="11">
        <v>3</v>
      </c>
      <c r="V88" s="11">
        <v>17.99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 t="str">
        <f>(Y88/2)*1723125</f>
        <v>0</v>
      </c>
      <c r="AC88" s="15" t="str">
        <f>(Z88/3)*4221788</f>
        <v>0</v>
      </c>
      <c r="AD88" s="15" t="str">
        <f>AB88+AC88</f>
        <v>0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226</v>
      </c>
      <c r="C89" s="10" t="s">
        <v>227</v>
      </c>
      <c r="D89" s="7" t="s">
        <v>49</v>
      </c>
      <c r="E89" s="7" t="s">
        <v>109</v>
      </c>
      <c r="F89" s="7" t="s">
        <v>178</v>
      </c>
      <c r="G89" s="7" t="s">
        <v>57</v>
      </c>
      <c r="H89" s="7"/>
      <c r="I89" s="11">
        <v>2</v>
      </c>
      <c r="J89" s="11">
        <v>3</v>
      </c>
      <c r="K89" s="11">
        <v>0</v>
      </c>
      <c r="L89" s="11">
        <v>3.580000000000001</v>
      </c>
      <c r="M89" s="11">
        <v>0.33</v>
      </c>
      <c r="N89" s="11">
        <v>0</v>
      </c>
      <c r="O89" s="11">
        <v>0</v>
      </c>
      <c r="P89" s="11">
        <v>0</v>
      </c>
      <c r="Q89" s="11">
        <v>3.910000000000001</v>
      </c>
      <c r="R89" s="11">
        <v>8.700000000000001</v>
      </c>
      <c r="S89" s="11">
        <v>12.61</v>
      </c>
      <c r="T89" s="11">
        <v>2</v>
      </c>
      <c r="U89" s="11">
        <v>3</v>
      </c>
      <c r="V89" s="11">
        <v>7.610000000000003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 t="str">
        <f>(Y89/2)*1083825</f>
        <v>0</v>
      </c>
      <c r="AC89" s="15" t="str">
        <f>(Z89/3)*2529000</f>
        <v>0</v>
      </c>
      <c r="AD89" s="15" t="str">
        <f>AB89+AC89</f>
        <v>0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228</v>
      </c>
      <c r="C90" s="10" t="s">
        <v>229</v>
      </c>
      <c r="D90" s="7" t="s">
        <v>49</v>
      </c>
      <c r="E90" s="7" t="s">
        <v>106</v>
      </c>
      <c r="F90" s="7" t="s">
        <v>178</v>
      </c>
      <c r="G90" s="7" t="s">
        <v>57</v>
      </c>
      <c r="H90" s="7"/>
      <c r="I90" s="11">
        <v>2</v>
      </c>
      <c r="J90" s="11">
        <v>3</v>
      </c>
      <c r="K90" s="11">
        <v>0</v>
      </c>
      <c r="L90" s="11">
        <v>1.8</v>
      </c>
      <c r="M90" s="11">
        <v>0.33</v>
      </c>
      <c r="N90" s="11">
        <v>0</v>
      </c>
      <c r="O90" s="11">
        <v>0</v>
      </c>
      <c r="P90" s="11">
        <v>0</v>
      </c>
      <c r="Q90" s="11">
        <v>2.129999999999999</v>
      </c>
      <c r="R90" s="11">
        <v>3.6</v>
      </c>
      <c r="S90" s="11">
        <v>5.729999999999999</v>
      </c>
      <c r="T90" s="11">
        <v>2</v>
      </c>
      <c r="U90" s="11">
        <v>3</v>
      </c>
      <c r="V90" s="11">
        <v>0.7299999999999986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 t="str">
        <f>(Y90/2)*1083825</f>
        <v>0</v>
      </c>
      <c r="AC90" s="15" t="str">
        <f>(Z90/3)*2529000</f>
        <v>0</v>
      </c>
      <c r="AD90" s="15" t="str">
        <f>AB90+AC90</f>
        <v>0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230</v>
      </c>
      <c r="C91" s="10" t="s">
        <v>231</v>
      </c>
      <c r="D91" s="7" t="s">
        <v>40</v>
      </c>
      <c r="E91" s="7" t="s">
        <v>109</v>
      </c>
      <c r="F91" s="7" t="s">
        <v>178</v>
      </c>
      <c r="G91" s="7" t="s">
        <v>43</v>
      </c>
      <c r="H91" s="7"/>
      <c r="I91" s="11">
        <v>2</v>
      </c>
      <c r="J91" s="11">
        <v>3</v>
      </c>
      <c r="K91" s="11">
        <v>0</v>
      </c>
      <c r="L91" s="11">
        <v>0.41</v>
      </c>
      <c r="M91" s="11">
        <v>0.17</v>
      </c>
      <c r="N91" s="11">
        <v>0</v>
      </c>
      <c r="O91" s="11">
        <v>0</v>
      </c>
      <c r="P91" s="11">
        <v>0</v>
      </c>
      <c r="Q91" s="11">
        <v>0.5800000000000001</v>
      </c>
      <c r="R91" s="11">
        <v>2.36</v>
      </c>
      <c r="S91" s="11">
        <v>2.94</v>
      </c>
      <c r="T91" s="11">
        <v>2</v>
      </c>
      <c r="U91" s="11">
        <v>0.9399999999999999</v>
      </c>
      <c r="V91" s="11">
        <v>0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 t="str">
        <f>(Y91/2)*1083825</f>
        <v>0</v>
      </c>
      <c r="AC91" s="15" t="str">
        <f>(Z91/3)*2529000</f>
        <v>0</v>
      </c>
      <c r="AD91" s="15" t="str">
        <f>AB91+AC91</f>
        <v>0</v>
      </c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232</v>
      </c>
      <c r="C92" s="10" t="s">
        <v>233</v>
      </c>
      <c r="D92" s="7" t="s">
        <v>40</v>
      </c>
      <c r="E92" s="7" t="s">
        <v>109</v>
      </c>
      <c r="F92" s="7" t="s">
        <v>178</v>
      </c>
      <c r="G92" s="7" t="s">
        <v>43</v>
      </c>
      <c r="H92" s="7" t="s">
        <v>63</v>
      </c>
      <c r="I92" s="11">
        <v>2</v>
      </c>
      <c r="J92" s="11">
        <v>3</v>
      </c>
      <c r="K92" s="11">
        <v>1</v>
      </c>
      <c r="L92" s="11">
        <v>0.25</v>
      </c>
      <c r="M92" s="11">
        <v>0.17</v>
      </c>
      <c r="N92" s="11">
        <v>0</v>
      </c>
      <c r="O92" s="11">
        <v>0</v>
      </c>
      <c r="P92" s="11">
        <v>0</v>
      </c>
      <c r="Q92" s="11">
        <v>1.42</v>
      </c>
      <c r="R92" s="11">
        <v>7.49</v>
      </c>
      <c r="S92" s="11">
        <v>8.91</v>
      </c>
      <c r="T92" s="11">
        <v>2</v>
      </c>
      <c r="U92" s="11">
        <v>3</v>
      </c>
      <c r="V92" s="11">
        <v>3.91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 t="str">
        <f>(Y92/2)*1917975</f>
        <v>0</v>
      </c>
      <c r="AC92" s="15" t="str">
        <f>(Z92/3)*4699144</f>
        <v>0</v>
      </c>
      <c r="AD92" s="15" t="str">
        <f>AB92+AC92</f>
        <v>0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234</v>
      </c>
      <c r="C93" s="10" t="s">
        <v>235</v>
      </c>
      <c r="D93" s="7" t="s">
        <v>40</v>
      </c>
      <c r="E93" s="7" t="s">
        <v>106</v>
      </c>
      <c r="F93" s="7" t="s">
        <v>178</v>
      </c>
      <c r="G93" s="7" t="s">
        <v>57</v>
      </c>
      <c r="H93" s="7"/>
      <c r="I93" s="11">
        <v>2</v>
      </c>
      <c r="J93" s="11">
        <v>3</v>
      </c>
      <c r="K93" s="11">
        <v>0</v>
      </c>
      <c r="L93" s="11">
        <v>0.42</v>
      </c>
      <c r="M93" s="11">
        <v>0.33</v>
      </c>
      <c r="N93" s="11">
        <v>0</v>
      </c>
      <c r="O93" s="11">
        <v>0</v>
      </c>
      <c r="P93" s="11">
        <v>0</v>
      </c>
      <c r="Q93" s="11">
        <v>0.75</v>
      </c>
      <c r="R93" s="11">
        <v>2.08</v>
      </c>
      <c r="S93" s="11">
        <v>2.83</v>
      </c>
      <c r="T93" s="11">
        <v>2</v>
      </c>
      <c r="U93" s="11">
        <v>0.8300000000000001</v>
      </c>
      <c r="V93" s="11">
        <v>0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 t="str">
        <f>(Y93/2)*1083825</f>
        <v>0</v>
      </c>
      <c r="AC93" s="15" t="str">
        <f>(Z93/3)*2529000</f>
        <v>0</v>
      </c>
      <c r="AD93" s="15" t="str">
        <f>AB93+AC93</f>
        <v>0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236</v>
      </c>
      <c r="C94" s="10" t="s">
        <v>237</v>
      </c>
      <c r="D94" s="7" t="s">
        <v>40</v>
      </c>
      <c r="E94" s="7" t="s">
        <v>177</v>
      </c>
      <c r="F94" s="7" t="s">
        <v>178</v>
      </c>
      <c r="G94" s="7" t="s">
        <v>57</v>
      </c>
      <c r="H94" s="7"/>
      <c r="I94" s="11">
        <v>2</v>
      </c>
      <c r="J94" s="11">
        <v>3</v>
      </c>
      <c r="K94" s="11">
        <v>0</v>
      </c>
      <c r="L94" s="11">
        <v>0.51</v>
      </c>
      <c r="M94" s="11">
        <v>0.17</v>
      </c>
      <c r="N94" s="11">
        <v>0</v>
      </c>
      <c r="O94" s="11">
        <v>0</v>
      </c>
      <c r="P94" s="11">
        <v>0</v>
      </c>
      <c r="Q94" s="11">
        <v>0.68</v>
      </c>
      <c r="R94" s="11">
        <v>1.36</v>
      </c>
      <c r="S94" s="11">
        <v>2.04</v>
      </c>
      <c r="T94" s="11">
        <v>2</v>
      </c>
      <c r="U94" s="11">
        <v>0.04000000000000004</v>
      </c>
      <c r="V94" s="11">
        <v>0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 t="str">
        <f>(Y94/2)*1083825</f>
        <v>0</v>
      </c>
      <c r="AC94" s="15" t="str">
        <f>(Z94/3)*2529000</f>
        <v>0</v>
      </c>
      <c r="AD94" s="15" t="str">
        <f>AB94+AC94</f>
        <v>0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238</v>
      </c>
      <c r="C95" s="10" t="s">
        <v>239</v>
      </c>
      <c r="D95" s="7" t="s">
        <v>49</v>
      </c>
      <c r="E95" s="7" t="s">
        <v>106</v>
      </c>
      <c r="F95" s="7" t="s">
        <v>178</v>
      </c>
      <c r="G95" s="7" t="s">
        <v>57</v>
      </c>
      <c r="H95" s="7"/>
      <c r="I95" s="11">
        <v>2</v>
      </c>
      <c r="J95" s="11">
        <v>3</v>
      </c>
      <c r="K95" s="11">
        <v>0</v>
      </c>
      <c r="L95" s="11">
        <v>4.320000000000001</v>
      </c>
      <c r="M95" s="11">
        <v>0.5</v>
      </c>
      <c r="N95" s="11">
        <v>0</v>
      </c>
      <c r="O95" s="11">
        <v>0</v>
      </c>
      <c r="P95" s="11">
        <v>0</v>
      </c>
      <c r="Q95" s="11">
        <v>4.820000000000001</v>
      </c>
      <c r="R95" s="11">
        <v>8.780000000000001</v>
      </c>
      <c r="S95" s="11">
        <v>13.6</v>
      </c>
      <c r="T95" s="11">
        <v>2</v>
      </c>
      <c r="U95" s="11">
        <v>3</v>
      </c>
      <c r="V95" s="11">
        <v>8.600000000000001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 t="str">
        <f>(Y95/2)*1083825</f>
        <v>0</v>
      </c>
      <c r="AC95" s="15" t="str">
        <f>(Z95/3)*2529000</f>
        <v>0</v>
      </c>
      <c r="AD95" s="15" t="str">
        <f>AB95+AC95</f>
        <v>0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240</v>
      </c>
      <c r="C96" s="10" t="s">
        <v>241</v>
      </c>
      <c r="D96" s="7" t="s">
        <v>49</v>
      </c>
      <c r="E96" s="7" t="s">
        <v>109</v>
      </c>
      <c r="F96" s="7" t="s">
        <v>178</v>
      </c>
      <c r="G96" s="7" t="s">
        <v>57</v>
      </c>
      <c r="H96" s="7"/>
      <c r="I96" s="11">
        <v>2</v>
      </c>
      <c r="J96" s="11">
        <v>3</v>
      </c>
      <c r="K96" s="11">
        <v>0</v>
      </c>
      <c r="L96" s="11">
        <v>5.919999999999997</v>
      </c>
      <c r="M96" s="11">
        <v>0.66</v>
      </c>
      <c r="N96" s="11">
        <v>0</v>
      </c>
      <c r="O96" s="11">
        <v>0</v>
      </c>
      <c r="P96" s="11">
        <v>0</v>
      </c>
      <c r="Q96" s="11">
        <v>6.579999999999997</v>
      </c>
      <c r="R96" s="11">
        <v>13.24</v>
      </c>
      <c r="S96" s="11">
        <v>19.82</v>
      </c>
      <c r="T96" s="11">
        <v>2</v>
      </c>
      <c r="U96" s="11">
        <v>3</v>
      </c>
      <c r="V96" s="11">
        <v>14.82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 t="str">
        <f>(Y96/2)*1083825</f>
        <v>0</v>
      </c>
      <c r="AC96" s="15" t="str">
        <f>(Z96/3)*2529000</f>
        <v>0</v>
      </c>
      <c r="AD96" s="15" t="str">
        <f>AB96+AC96</f>
        <v>0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40</v>
      </c>
      <c r="E97" s="7" t="s">
        <v>109</v>
      </c>
      <c r="F97" s="7" t="s">
        <v>178</v>
      </c>
      <c r="G97" s="7" t="s">
        <v>57</v>
      </c>
      <c r="H97" s="7"/>
      <c r="I97" s="11">
        <v>2</v>
      </c>
      <c r="J97" s="11">
        <v>3</v>
      </c>
      <c r="K97" s="11">
        <v>0</v>
      </c>
      <c r="L97" s="11">
        <v>0.25</v>
      </c>
      <c r="M97" s="11">
        <v>0.33</v>
      </c>
      <c r="N97" s="11">
        <v>0</v>
      </c>
      <c r="O97" s="11">
        <v>0</v>
      </c>
      <c r="P97" s="11">
        <v>0</v>
      </c>
      <c r="Q97" s="11">
        <v>0.5800000000000001</v>
      </c>
      <c r="R97" s="11">
        <v>1.92</v>
      </c>
      <c r="S97" s="11">
        <v>2.5</v>
      </c>
      <c r="T97" s="11">
        <v>2</v>
      </c>
      <c r="U97" s="11">
        <v>0.5</v>
      </c>
      <c r="V97" s="11">
        <v>0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 t="str">
        <f>(Y97/2)*1083825</f>
        <v>0</v>
      </c>
      <c r="AC97" s="15" t="str">
        <f>(Z97/3)*2529000</f>
        <v>0</v>
      </c>
      <c r="AD97" s="15" t="str">
        <f>AB97+AC97</f>
        <v>0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244</v>
      </c>
      <c r="C98" s="10" t="s">
        <v>245</v>
      </c>
      <c r="D98" s="7" t="s">
        <v>49</v>
      </c>
      <c r="E98" s="7" t="s">
        <v>109</v>
      </c>
      <c r="F98" s="7" t="s">
        <v>178</v>
      </c>
      <c r="G98" s="7" t="s">
        <v>57</v>
      </c>
      <c r="H98" s="7"/>
      <c r="I98" s="11">
        <v>2</v>
      </c>
      <c r="J98" s="11">
        <v>3</v>
      </c>
      <c r="K98" s="11">
        <v>0</v>
      </c>
      <c r="L98" s="11">
        <v>4.779999999999999</v>
      </c>
      <c r="M98" s="11">
        <v>0.5</v>
      </c>
      <c r="N98" s="11">
        <v>0</v>
      </c>
      <c r="O98" s="11">
        <v>0</v>
      </c>
      <c r="P98" s="11">
        <v>0</v>
      </c>
      <c r="Q98" s="11">
        <v>5.279999999999999</v>
      </c>
      <c r="R98" s="11">
        <v>10.6</v>
      </c>
      <c r="S98" s="11">
        <v>15.88</v>
      </c>
      <c r="T98" s="11">
        <v>2</v>
      </c>
      <c r="U98" s="11">
        <v>3</v>
      </c>
      <c r="V98" s="11">
        <v>10.88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 t="str">
        <f>(Y98/2)*1083825</f>
        <v>0</v>
      </c>
      <c r="AC98" s="15" t="str">
        <f>(Z98/3)*2529000</f>
        <v>0</v>
      </c>
      <c r="AD98" s="15" t="str">
        <f>AB98+AC98</f>
        <v>0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246</v>
      </c>
      <c r="C99" s="10" t="s">
        <v>247</v>
      </c>
      <c r="D99" s="7" t="s">
        <v>49</v>
      </c>
      <c r="E99" s="7" t="s">
        <v>177</v>
      </c>
      <c r="F99" s="7" t="s">
        <v>178</v>
      </c>
      <c r="G99" s="7" t="s">
        <v>57</v>
      </c>
      <c r="H99" s="7" t="s">
        <v>192</v>
      </c>
      <c r="I99" s="11">
        <v>2</v>
      </c>
      <c r="J99" s="11">
        <v>3</v>
      </c>
      <c r="K99" s="11">
        <v>0</v>
      </c>
      <c r="L99" s="11">
        <v>2.94</v>
      </c>
      <c r="M99" s="11">
        <v>0.66</v>
      </c>
      <c r="N99" s="11">
        <v>0</v>
      </c>
      <c r="O99" s="11">
        <v>0.22</v>
      </c>
      <c r="P99" s="11">
        <v>0</v>
      </c>
      <c r="Q99" s="11">
        <v>3.820000000000001</v>
      </c>
      <c r="R99" s="11">
        <v>7.140000000000001</v>
      </c>
      <c r="S99" s="11">
        <v>10.96</v>
      </c>
      <c r="T99" s="11">
        <v>2</v>
      </c>
      <c r="U99" s="11">
        <v>3</v>
      </c>
      <c r="V99" s="11">
        <v>5.960000000000001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 t="str">
        <f>(Y99/2)*1083825</f>
        <v>0</v>
      </c>
      <c r="AC99" s="15" t="str">
        <f>(Z99/3)*2529000</f>
        <v>0</v>
      </c>
      <c r="AD99" s="15" t="str">
        <f>AB99+AC99</f>
        <v>0</v>
      </c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248</v>
      </c>
      <c r="C100" s="10" t="s">
        <v>249</v>
      </c>
      <c r="D100" s="7" t="s">
        <v>49</v>
      </c>
      <c r="E100" s="7" t="s">
        <v>177</v>
      </c>
      <c r="F100" s="7" t="s">
        <v>178</v>
      </c>
      <c r="G100" s="7" t="s">
        <v>57</v>
      </c>
      <c r="H100" s="7" t="s">
        <v>63</v>
      </c>
      <c r="I100" s="11">
        <v>2</v>
      </c>
      <c r="J100" s="11">
        <v>3</v>
      </c>
      <c r="K100" s="11">
        <v>1</v>
      </c>
      <c r="L100" s="11">
        <v>6.159999999999997</v>
      </c>
      <c r="M100" s="11">
        <v>1.16</v>
      </c>
      <c r="N100" s="11">
        <v>0</v>
      </c>
      <c r="O100" s="11">
        <v>0</v>
      </c>
      <c r="P100" s="11">
        <v>0</v>
      </c>
      <c r="Q100" s="11">
        <v>8.319999999999997</v>
      </c>
      <c r="R100" s="11">
        <v>18.62</v>
      </c>
      <c r="S100" s="11">
        <v>26.94</v>
      </c>
      <c r="T100" s="11">
        <v>2</v>
      </c>
      <c r="U100" s="11">
        <v>3</v>
      </c>
      <c r="V100" s="11">
        <v>21.94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 t="str">
        <f>(Y100/2)*1917975</f>
        <v>0</v>
      </c>
      <c r="AC100" s="15" t="str">
        <f>(Z100/3)*4699144</f>
        <v>0</v>
      </c>
      <c r="AD100" s="15" t="str">
        <f>AB100+AC100</f>
        <v>0</v>
      </c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250</v>
      </c>
      <c r="C101" s="10" t="s">
        <v>251</v>
      </c>
      <c r="D101" s="7" t="s">
        <v>40</v>
      </c>
      <c r="E101" s="7" t="s">
        <v>177</v>
      </c>
      <c r="F101" s="7" t="s">
        <v>178</v>
      </c>
      <c r="G101" s="7" t="s">
        <v>57</v>
      </c>
      <c r="H101" s="7"/>
      <c r="I101" s="11">
        <v>2</v>
      </c>
      <c r="J101" s="11">
        <v>3</v>
      </c>
      <c r="K101" s="11">
        <v>0</v>
      </c>
      <c r="L101" s="11">
        <v>0.25</v>
      </c>
      <c r="M101" s="11">
        <v>0.17</v>
      </c>
      <c r="N101" s="11">
        <v>0</v>
      </c>
      <c r="O101" s="11">
        <v>0</v>
      </c>
      <c r="P101" s="11">
        <v>0</v>
      </c>
      <c r="Q101" s="11">
        <v>0.42</v>
      </c>
      <c r="R101" s="11">
        <v>1.35</v>
      </c>
      <c r="S101" s="11">
        <v>1.77</v>
      </c>
      <c r="T101" s="11">
        <v>1.77</v>
      </c>
      <c r="U101" s="11">
        <v>0</v>
      </c>
      <c r="V101" s="11">
        <v>0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 t="str">
        <f>(Y101/2)*1083825</f>
        <v>0</v>
      </c>
      <c r="AC101" s="15" t="str">
        <f>(Z101/3)*2529000</f>
        <v>0</v>
      </c>
      <c r="AD101" s="15" t="str">
        <f>AB101+AC101</f>
        <v>0</v>
      </c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252</v>
      </c>
      <c r="C102" s="10" t="s">
        <v>253</v>
      </c>
      <c r="D102" s="7" t="s">
        <v>40</v>
      </c>
      <c r="E102" s="7" t="s">
        <v>109</v>
      </c>
      <c r="F102" s="7" t="s">
        <v>178</v>
      </c>
      <c r="G102" s="7" t="s">
        <v>57</v>
      </c>
      <c r="H102" s="7" t="s">
        <v>192</v>
      </c>
      <c r="I102" s="11">
        <v>2</v>
      </c>
      <c r="J102" s="11">
        <v>3</v>
      </c>
      <c r="K102" s="11">
        <v>0</v>
      </c>
      <c r="L102" s="11">
        <v>0.25</v>
      </c>
      <c r="M102" s="11">
        <v>0</v>
      </c>
      <c r="N102" s="11">
        <v>0</v>
      </c>
      <c r="O102" s="11">
        <v>0</v>
      </c>
      <c r="P102" s="11">
        <v>0</v>
      </c>
      <c r="Q102" s="11">
        <v>0.25</v>
      </c>
      <c r="R102" s="11">
        <v>1.93</v>
      </c>
      <c r="S102" s="11">
        <v>2.18</v>
      </c>
      <c r="T102" s="11">
        <v>2</v>
      </c>
      <c r="U102" s="11">
        <v>0.1799999999999997</v>
      </c>
      <c r="V102" s="11">
        <v>0</v>
      </c>
      <c r="W102" s="13">
        <v>10</v>
      </c>
      <c r="X102" s="13">
        <v>15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 t="str">
        <f>(Y102/2)*1083825</f>
        <v>0</v>
      </c>
      <c r="AC102" s="15" t="str">
        <f>(Z102/3)*2529000</f>
        <v>0</v>
      </c>
      <c r="AD102" s="15" t="str">
        <f>AB102+AC102</f>
        <v>0</v>
      </c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254</v>
      </c>
      <c r="C103" s="10" t="s">
        <v>255</v>
      </c>
      <c r="D103" s="7" t="s">
        <v>56</v>
      </c>
      <c r="E103" s="7" t="s">
        <v>106</v>
      </c>
      <c r="F103" s="7" t="s">
        <v>178</v>
      </c>
      <c r="G103" s="7" t="s">
        <v>57</v>
      </c>
      <c r="H103" s="7"/>
      <c r="I103" s="11">
        <v>2</v>
      </c>
      <c r="J103" s="11">
        <v>3</v>
      </c>
      <c r="K103" s="11">
        <v>0</v>
      </c>
      <c r="L103" s="11">
        <v>4.860000000000001</v>
      </c>
      <c r="M103" s="11">
        <v>0.5</v>
      </c>
      <c r="N103" s="11">
        <v>0</v>
      </c>
      <c r="O103" s="11">
        <v>0</v>
      </c>
      <c r="P103" s="11">
        <v>0</v>
      </c>
      <c r="Q103" s="11">
        <v>5.359999999999999</v>
      </c>
      <c r="R103" s="11">
        <v>18.13999999999999</v>
      </c>
      <c r="S103" s="11">
        <v>23.49999999999999</v>
      </c>
      <c r="T103" s="11">
        <v>2</v>
      </c>
      <c r="U103" s="11">
        <v>3</v>
      </c>
      <c r="V103" s="11">
        <v>18.49999999999999</v>
      </c>
      <c r="W103" s="13">
        <v>10</v>
      </c>
      <c r="X103" s="13">
        <v>15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 t="str">
        <f>(Y103/2)*1083825</f>
        <v>0</v>
      </c>
      <c r="AC103" s="15" t="str">
        <f>(Z103/3)*2529000</f>
        <v>0</v>
      </c>
      <c r="AD103" s="15" t="str">
        <f>AB103+AC103</f>
        <v>0</v>
      </c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256</v>
      </c>
      <c r="C104" s="10" t="s">
        <v>257</v>
      </c>
      <c r="D104" s="7" t="s">
        <v>40</v>
      </c>
      <c r="E104" s="7" t="s">
        <v>177</v>
      </c>
      <c r="F104" s="7" t="s">
        <v>178</v>
      </c>
      <c r="G104" s="7" t="s">
        <v>57</v>
      </c>
      <c r="H104" s="7"/>
      <c r="I104" s="11">
        <v>2</v>
      </c>
      <c r="J104" s="11">
        <v>3</v>
      </c>
      <c r="K104" s="11">
        <v>0</v>
      </c>
      <c r="L104" s="11">
        <v>0.34</v>
      </c>
      <c r="M104" s="11">
        <v>0.17</v>
      </c>
      <c r="N104" s="11">
        <v>0</v>
      </c>
      <c r="O104" s="11">
        <v>0</v>
      </c>
      <c r="P104" s="11">
        <v>0</v>
      </c>
      <c r="Q104" s="11">
        <v>0.51</v>
      </c>
      <c r="R104" s="11">
        <v>2.78</v>
      </c>
      <c r="S104" s="11">
        <v>3.29</v>
      </c>
      <c r="T104" s="11">
        <v>2</v>
      </c>
      <c r="U104" s="11">
        <v>1.29</v>
      </c>
      <c r="V104" s="11">
        <v>0</v>
      </c>
      <c r="W104" s="13">
        <v>10</v>
      </c>
      <c r="X104" s="13">
        <v>15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 t="str">
        <f>(Y104/2)*1083825</f>
        <v>0</v>
      </c>
      <c r="AC104" s="15" t="str">
        <f>(Z104/3)*2529000</f>
        <v>0</v>
      </c>
      <c r="AD104" s="15" t="str">
        <f>AB104+AC104</f>
        <v>0</v>
      </c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258</v>
      </c>
      <c r="C105" s="10" t="s">
        <v>259</v>
      </c>
      <c r="D105" s="7" t="s">
        <v>56</v>
      </c>
      <c r="E105" s="7" t="s">
        <v>177</v>
      </c>
      <c r="F105" s="7" t="s">
        <v>178</v>
      </c>
      <c r="G105" s="7" t="s">
        <v>57</v>
      </c>
      <c r="H105" s="7" t="s">
        <v>192</v>
      </c>
      <c r="I105" s="11">
        <v>2</v>
      </c>
      <c r="J105" s="11">
        <v>3</v>
      </c>
      <c r="K105" s="11">
        <v>0</v>
      </c>
      <c r="L105" s="11">
        <v>8.259999999999996</v>
      </c>
      <c r="M105" s="11">
        <v>0.67</v>
      </c>
      <c r="N105" s="11">
        <v>0</v>
      </c>
      <c r="O105" s="11">
        <v>0</v>
      </c>
      <c r="P105" s="11">
        <v>0</v>
      </c>
      <c r="Q105" s="11">
        <v>8.929999999999993</v>
      </c>
      <c r="R105" s="11">
        <v>22.89999999999999</v>
      </c>
      <c r="S105" s="11">
        <v>31.82999999999998</v>
      </c>
      <c r="T105" s="11">
        <v>2</v>
      </c>
      <c r="U105" s="11">
        <v>3</v>
      </c>
      <c r="V105" s="11">
        <v>26.82999999999998</v>
      </c>
      <c r="W105" s="13">
        <v>10</v>
      </c>
      <c r="X105" s="13">
        <v>15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 t="str">
        <f>(Y105/2)*1083825</f>
        <v>0</v>
      </c>
      <c r="AC105" s="15" t="str">
        <f>(Z105/3)*2529000</f>
        <v>0</v>
      </c>
      <c r="AD105" s="15" t="str">
        <f>AB105+AC105</f>
        <v>0</v>
      </c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260</v>
      </c>
      <c r="C106" s="10" t="s">
        <v>261</v>
      </c>
      <c r="D106" s="7" t="s">
        <v>49</v>
      </c>
      <c r="E106" s="7" t="s">
        <v>109</v>
      </c>
      <c r="F106" s="7" t="s">
        <v>178</v>
      </c>
      <c r="G106" s="7" t="s">
        <v>57</v>
      </c>
      <c r="H106" s="7"/>
      <c r="I106" s="11">
        <v>2</v>
      </c>
      <c r="J106" s="11">
        <v>3</v>
      </c>
      <c r="K106" s="11">
        <v>0</v>
      </c>
      <c r="L106" s="11">
        <v>4.200000000000001</v>
      </c>
      <c r="M106" s="11">
        <v>0.5</v>
      </c>
      <c r="N106" s="11">
        <v>0</v>
      </c>
      <c r="O106" s="11">
        <v>0</v>
      </c>
      <c r="P106" s="11">
        <v>0</v>
      </c>
      <c r="Q106" s="11">
        <v>4.7</v>
      </c>
      <c r="R106" s="11">
        <v>8.680000000000001</v>
      </c>
      <c r="S106" s="11">
        <v>13.38</v>
      </c>
      <c r="T106" s="11">
        <v>2</v>
      </c>
      <c r="U106" s="11">
        <v>3</v>
      </c>
      <c r="V106" s="11">
        <v>8.380000000000003</v>
      </c>
      <c r="W106" s="13">
        <v>10</v>
      </c>
      <c r="X106" s="13">
        <v>15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 t="str">
        <f>(Y106/2)*1083825</f>
        <v>0</v>
      </c>
      <c r="AC106" s="15" t="str">
        <f>(Z106/3)*2529000</f>
        <v>0</v>
      </c>
      <c r="AD106" s="15" t="str">
        <f>AB106+AC106</f>
        <v>0</v>
      </c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262</v>
      </c>
      <c r="C107" s="10" t="s">
        <v>263</v>
      </c>
      <c r="D107" s="7" t="s">
        <v>40</v>
      </c>
      <c r="E107" s="7" t="s">
        <v>177</v>
      </c>
      <c r="F107" s="7" t="s">
        <v>178</v>
      </c>
      <c r="G107" s="7" t="s">
        <v>57</v>
      </c>
      <c r="H107" s="7"/>
      <c r="I107" s="11">
        <v>2</v>
      </c>
      <c r="J107" s="11">
        <v>3</v>
      </c>
      <c r="K107" s="11">
        <v>0</v>
      </c>
      <c r="L107" s="11">
        <v>0.25</v>
      </c>
      <c r="M107" s="11">
        <v>0.33</v>
      </c>
      <c r="N107" s="11">
        <v>0</v>
      </c>
      <c r="O107" s="11">
        <v>0</v>
      </c>
      <c r="P107" s="11">
        <v>0</v>
      </c>
      <c r="Q107" s="11">
        <v>0.5800000000000001</v>
      </c>
      <c r="R107" s="11">
        <v>1.76</v>
      </c>
      <c r="S107" s="11">
        <v>2.34</v>
      </c>
      <c r="T107" s="11">
        <v>2</v>
      </c>
      <c r="U107" s="11">
        <v>0.3400000000000003</v>
      </c>
      <c r="V107" s="11">
        <v>0</v>
      </c>
      <c r="W107" s="13">
        <v>10</v>
      </c>
      <c r="X107" s="13">
        <v>15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 t="str">
        <f>(Y107/2)*1083825</f>
        <v>0</v>
      </c>
      <c r="AC107" s="15" t="str">
        <f>(Z107/3)*2529000</f>
        <v>0</v>
      </c>
      <c r="AD107" s="15" t="str">
        <f>AB107+AC107</f>
        <v>0</v>
      </c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264</v>
      </c>
      <c r="C108" s="10" t="s">
        <v>265</v>
      </c>
      <c r="D108" s="7" t="s">
        <v>49</v>
      </c>
      <c r="E108" s="7" t="s">
        <v>106</v>
      </c>
      <c r="F108" s="7" t="s">
        <v>178</v>
      </c>
      <c r="G108" s="7" t="s">
        <v>57</v>
      </c>
      <c r="H108" s="7"/>
      <c r="I108" s="11">
        <v>2</v>
      </c>
      <c r="J108" s="11">
        <v>3</v>
      </c>
      <c r="K108" s="11">
        <v>0</v>
      </c>
      <c r="L108" s="11">
        <v>4.120000000000001</v>
      </c>
      <c r="M108" s="11">
        <v>0.66</v>
      </c>
      <c r="N108" s="11">
        <v>0</v>
      </c>
      <c r="O108" s="11">
        <v>0</v>
      </c>
      <c r="P108" s="11">
        <v>0</v>
      </c>
      <c r="Q108" s="11">
        <v>4.780000000000001</v>
      </c>
      <c r="R108" s="11">
        <v>9.100000000000001</v>
      </c>
      <c r="S108" s="11">
        <v>13.88</v>
      </c>
      <c r="T108" s="11">
        <v>2</v>
      </c>
      <c r="U108" s="11">
        <v>3</v>
      </c>
      <c r="V108" s="11">
        <v>8.880000000000003</v>
      </c>
      <c r="W108" s="13">
        <v>10</v>
      </c>
      <c r="X108" s="13">
        <v>15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 t="str">
        <f>(Y108/2)*1083825</f>
        <v>0</v>
      </c>
      <c r="AC108" s="15" t="str">
        <f>(Z108/3)*2529000</f>
        <v>0</v>
      </c>
      <c r="AD108" s="15" t="str">
        <f>AB108+AC108</f>
        <v>0</v>
      </c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266</v>
      </c>
      <c r="C109" s="10" t="s">
        <v>267</v>
      </c>
      <c r="D109" s="7" t="s">
        <v>40</v>
      </c>
      <c r="E109" s="7" t="s">
        <v>109</v>
      </c>
      <c r="F109" s="7" t="s">
        <v>178</v>
      </c>
      <c r="G109" s="7" t="s">
        <v>57</v>
      </c>
      <c r="H109" s="7" t="s">
        <v>192</v>
      </c>
      <c r="I109" s="11">
        <v>2</v>
      </c>
      <c r="J109" s="11">
        <v>3</v>
      </c>
      <c r="K109" s="11">
        <v>0</v>
      </c>
      <c r="L109" s="11">
        <v>0</v>
      </c>
      <c r="M109" s="11">
        <v>0.33</v>
      </c>
      <c r="N109" s="11">
        <v>0</v>
      </c>
      <c r="O109" s="11">
        <v>0</v>
      </c>
      <c r="P109" s="11">
        <v>0</v>
      </c>
      <c r="Q109" s="11">
        <v>0.33</v>
      </c>
      <c r="R109" s="11">
        <v>1.97</v>
      </c>
      <c r="S109" s="11">
        <v>2.3</v>
      </c>
      <c r="T109" s="11">
        <v>2</v>
      </c>
      <c r="U109" s="11">
        <v>0.3000000000000003</v>
      </c>
      <c r="V109" s="11">
        <v>0</v>
      </c>
      <c r="W109" s="13">
        <v>10</v>
      </c>
      <c r="X109" s="13">
        <v>15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 t="str">
        <f>(Y109/2)*1083825</f>
        <v>0</v>
      </c>
      <c r="AC109" s="15" t="str">
        <f>(Z109/3)*2529000</f>
        <v>0</v>
      </c>
      <c r="AD109" s="15" t="str">
        <f>AB109+AC109</f>
        <v>0</v>
      </c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268</v>
      </c>
      <c r="C110" s="10" t="s">
        <v>269</v>
      </c>
      <c r="D110" s="7" t="s">
        <v>40</v>
      </c>
      <c r="E110" s="7" t="s">
        <v>106</v>
      </c>
      <c r="F110" s="7" t="s">
        <v>178</v>
      </c>
      <c r="G110" s="7" t="s">
        <v>57</v>
      </c>
      <c r="H110" s="7" t="s">
        <v>181</v>
      </c>
      <c r="I110" s="11">
        <v>2</v>
      </c>
      <c r="J110" s="11">
        <v>3</v>
      </c>
      <c r="K110" s="11">
        <v>1</v>
      </c>
      <c r="L110" s="11">
        <v>0.25</v>
      </c>
      <c r="M110" s="11">
        <v>0.33</v>
      </c>
      <c r="N110" s="11">
        <v>0</v>
      </c>
      <c r="O110" s="11">
        <v>0</v>
      </c>
      <c r="P110" s="11">
        <v>0</v>
      </c>
      <c r="Q110" s="11">
        <v>1.58</v>
      </c>
      <c r="R110" s="11">
        <v>6.07</v>
      </c>
      <c r="S110" s="11">
        <v>7.65</v>
      </c>
      <c r="T110" s="11">
        <v>2</v>
      </c>
      <c r="U110" s="11">
        <v>3</v>
      </c>
      <c r="V110" s="11">
        <v>2.65</v>
      </c>
      <c r="W110" s="13">
        <v>10</v>
      </c>
      <c r="X110" s="13">
        <v>15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 t="str">
        <f>(Y110/2)*1917975</f>
        <v>0</v>
      </c>
      <c r="AC110" s="15" t="str">
        <f>(Z110/3)*4609636</f>
        <v>0</v>
      </c>
      <c r="AD110" s="15" t="str">
        <f>AB110+AC110</f>
        <v>0</v>
      </c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270</v>
      </c>
      <c r="C111" s="10" t="s">
        <v>271</v>
      </c>
      <c r="D111" s="7" t="s">
        <v>49</v>
      </c>
      <c r="E111" s="7" t="s">
        <v>109</v>
      </c>
      <c r="F111" s="7" t="s">
        <v>178</v>
      </c>
      <c r="G111" s="7" t="s">
        <v>57</v>
      </c>
      <c r="H111" s="7" t="s">
        <v>192</v>
      </c>
      <c r="I111" s="11">
        <v>2</v>
      </c>
      <c r="J111" s="11">
        <v>3</v>
      </c>
      <c r="K111" s="11">
        <v>0</v>
      </c>
      <c r="L111" s="11">
        <v>3.600000000000001</v>
      </c>
      <c r="M111" s="11">
        <v>0.33</v>
      </c>
      <c r="N111" s="11">
        <v>0</v>
      </c>
      <c r="O111" s="11">
        <v>0</v>
      </c>
      <c r="P111" s="11">
        <v>0</v>
      </c>
      <c r="Q111" s="11">
        <v>3.930000000000001</v>
      </c>
      <c r="R111" s="11">
        <v>8.100000000000001</v>
      </c>
      <c r="S111" s="11">
        <v>12.03</v>
      </c>
      <c r="T111" s="11">
        <v>2</v>
      </c>
      <c r="U111" s="11">
        <v>3</v>
      </c>
      <c r="V111" s="11">
        <v>7.030000000000003</v>
      </c>
      <c r="W111" s="13">
        <v>10</v>
      </c>
      <c r="X111" s="13">
        <v>15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 t="str">
        <f>(Y111/2)*1083825</f>
        <v>0</v>
      </c>
      <c r="AC111" s="15" t="str">
        <f>(Z111/3)*2529000</f>
        <v>0</v>
      </c>
      <c r="AD111" s="15" t="str">
        <f>AB111+AC111</f>
        <v>0</v>
      </c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272</v>
      </c>
      <c r="C112" s="10" t="s">
        <v>273</v>
      </c>
      <c r="D112" s="7" t="s">
        <v>40</v>
      </c>
      <c r="E112" s="7" t="s">
        <v>109</v>
      </c>
      <c r="F112" s="7" t="s">
        <v>178</v>
      </c>
      <c r="G112" s="7" t="s">
        <v>57</v>
      </c>
      <c r="H112" s="7"/>
      <c r="I112" s="11">
        <v>2</v>
      </c>
      <c r="J112" s="11">
        <v>3</v>
      </c>
      <c r="K112" s="11">
        <v>0</v>
      </c>
      <c r="L112" s="11">
        <v>0.08</v>
      </c>
      <c r="M112" s="11">
        <v>0</v>
      </c>
      <c r="N112" s="11">
        <v>0</v>
      </c>
      <c r="O112" s="11">
        <v>0</v>
      </c>
      <c r="P112" s="11">
        <v>0</v>
      </c>
      <c r="Q112" s="11">
        <v>0.08</v>
      </c>
      <c r="R112" s="11">
        <v>1.5</v>
      </c>
      <c r="S112" s="11">
        <v>1.58</v>
      </c>
      <c r="T112" s="11">
        <v>1.58</v>
      </c>
      <c r="U112" s="11">
        <v>0</v>
      </c>
      <c r="V112" s="11">
        <v>0</v>
      </c>
      <c r="W112" s="13">
        <v>10</v>
      </c>
      <c r="X112" s="13">
        <v>15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 t="str">
        <f>(Y112/2)*1083825</f>
        <v>0</v>
      </c>
      <c r="AC112" s="15" t="str">
        <f>(Z112/3)*2529000</f>
        <v>0</v>
      </c>
      <c r="AD112" s="15" t="str">
        <f>AB112+AC112</f>
        <v>0</v>
      </c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274</v>
      </c>
      <c r="C113" s="10" t="s">
        <v>275</v>
      </c>
      <c r="D113" s="7" t="s">
        <v>56</v>
      </c>
      <c r="E113" s="7" t="s">
        <v>177</v>
      </c>
      <c r="F113" s="7" t="s">
        <v>178</v>
      </c>
      <c r="G113" s="7" t="s">
        <v>57</v>
      </c>
      <c r="H113" s="7" t="s">
        <v>192</v>
      </c>
      <c r="I113" s="11">
        <v>2</v>
      </c>
      <c r="J113" s="11">
        <v>3</v>
      </c>
      <c r="K113" s="11">
        <v>0</v>
      </c>
      <c r="L113" s="11">
        <v>6.749999999999998</v>
      </c>
      <c r="M113" s="11">
        <v>0.34</v>
      </c>
      <c r="N113" s="11">
        <v>0</v>
      </c>
      <c r="O113" s="11">
        <v>0.17</v>
      </c>
      <c r="P113" s="11">
        <v>0</v>
      </c>
      <c r="Q113" s="11">
        <v>7.259999999999998</v>
      </c>
      <c r="R113" s="11">
        <v>17.51999999999999</v>
      </c>
      <c r="S113" s="11">
        <v>24.77999999999999</v>
      </c>
      <c r="T113" s="11">
        <v>2</v>
      </c>
      <c r="U113" s="11">
        <v>3</v>
      </c>
      <c r="V113" s="11">
        <v>19.77999999999999</v>
      </c>
      <c r="W113" s="13">
        <v>10</v>
      </c>
      <c r="X113" s="13">
        <v>15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 t="str">
        <f>(Y113/2)*1083825</f>
        <v>0</v>
      </c>
      <c r="AC113" s="15" t="str">
        <f>(Z113/3)*2529000</f>
        <v>0</v>
      </c>
      <c r="AD113" s="15" t="str">
        <f>AB113+AC113</f>
        <v>0</v>
      </c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276</v>
      </c>
      <c r="C114" s="10" t="s">
        <v>277</v>
      </c>
      <c r="D114" s="7" t="s">
        <v>49</v>
      </c>
      <c r="E114" s="7" t="s">
        <v>109</v>
      </c>
      <c r="F114" s="7" t="s">
        <v>178</v>
      </c>
      <c r="G114" s="7" t="s">
        <v>57</v>
      </c>
      <c r="H114" s="7" t="s">
        <v>192</v>
      </c>
      <c r="I114" s="11">
        <v>2</v>
      </c>
      <c r="J114" s="11">
        <v>3</v>
      </c>
      <c r="K114" s="11">
        <v>0</v>
      </c>
      <c r="L114" s="11">
        <v>2.78</v>
      </c>
      <c r="M114" s="11">
        <v>0.33</v>
      </c>
      <c r="N114" s="11">
        <v>0</v>
      </c>
      <c r="O114" s="11">
        <v>0</v>
      </c>
      <c r="P114" s="11">
        <v>0</v>
      </c>
      <c r="Q114" s="11">
        <v>3.11</v>
      </c>
      <c r="R114" s="11">
        <v>7.6</v>
      </c>
      <c r="S114" s="11">
        <v>10.71</v>
      </c>
      <c r="T114" s="11">
        <v>2</v>
      </c>
      <c r="U114" s="11">
        <v>3</v>
      </c>
      <c r="V114" s="11">
        <v>5.710000000000001</v>
      </c>
      <c r="W114" s="13">
        <v>10</v>
      </c>
      <c r="X114" s="13">
        <v>15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 t="str">
        <f>(Y114/2)*1083825</f>
        <v>0</v>
      </c>
      <c r="AC114" s="15" t="str">
        <f>(Z114/3)*2529000</f>
        <v>0</v>
      </c>
      <c r="AD114" s="15" t="str">
        <f>AB114+AC114</f>
        <v>0</v>
      </c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278</v>
      </c>
      <c r="C115" s="10" t="s">
        <v>279</v>
      </c>
      <c r="D115" s="7" t="s">
        <v>40</v>
      </c>
      <c r="E115" s="7" t="s">
        <v>177</v>
      </c>
      <c r="F115" s="7" t="s">
        <v>280</v>
      </c>
      <c r="G115" s="7" t="s">
        <v>57</v>
      </c>
      <c r="H115" s="7"/>
      <c r="I115" s="11">
        <v>2</v>
      </c>
      <c r="J115" s="11">
        <v>3</v>
      </c>
      <c r="K115" s="11">
        <v>0</v>
      </c>
      <c r="L115" s="11">
        <v>0</v>
      </c>
      <c r="M115" s="11">
        <v>0.17</v>
      </c>
      <c r="N115" s="11">
        <v>0</v>
      </c>
      <c r="O115" s="11">
        <v>0</v>
      </c>
      <c r="P115" s="11">
        <v>0</v>
      </c>
      <c r="Q115" s="11">
        <v>0.17</v>
      </c>
      <c r="R115" s="11">
        <v>0.51</v>
      </c>
      <c r="S115" s="11">
        <v>0.68</v>
      </c>
      <c r="T115" s="11">
        <v>0.68</v>
      </c>
      <c r="U115" s="11">
        <v>0</v>
      </c>
      <c r="V115" s="11">
        <v>0</v>
      </c>
      <c r="W115" s="13">
        <v>10</v>
      </c>
      <c r="X115" s="13">
        <v>15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 t="str">
        <f>(Y115/2)*838350</f>
        <v>0</v>
      </c>
      <c r="AC115" s="15" t="str">
        <f>(Z115/3)*1956150</f>
        <v>0</v>
      </c>
      <c r="AD115" s="15" t="str">
        <f>AB115+AC115</f>
        <v>0</v>
      </c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281</v>
      </c>
      <c r="C116" s="10" t="s">
        <v>282</v>
      </c>
      <c r="D116" s="7" t="s">
        <v>49</v>
      </c>
      <c r="E116" s="7" t="s">
        <v>201</v>
      </c>
      <c r="F116" s="7" t="s">
        <v>280</v>
      </c>
      <c r="G116" s="7" t="s">
        <v>57</v>
      </c>
      <c r="H116" s="7" t="s">
        <v>192</v>
      </c>
      <c r="I116" s="11">
        <v>2</v>
      </c>
      <c r="J116" s="11">
        <v>3</v>
      </c>
      <c r="K116" s="11">
        <v>0</v>
      </c>
      <c r="L116" s="11">
        <v>5.36</v>
      </c>
      <c r="M116" s="11">
        <v>0.66</v>
      </c>
      <c r="N116" s="11">
        <v>0</v>
      </c>
      <c r="O116" s="11">
        <v>0</v>
      </c>
      <c r="P116" s="11">
        <v>0</v>
      </c>
      <c r="Q116" s="11">
        <v>6.02</v>
      </c>
      <c r="R116" s="11">
        <v>13.22</v>
      </c>
      <c r="S116" s="11">
        <v>19.24</v>
      </c>
      <c r="T116" s="11">
        <v>2</v>
      </c>
      <c r="U116" s="11">
        <v>3</v>
      </c>
      <c r="V116" s="11">
        <v>14.24</v>
      </c>
      <c r="W116" s="13">
        <v>10</v>
      </c>
      <c r="X116" s="13">
        <v>15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 t="str">
        <f>(Y116/2)*838350</f>
        <v>0</v>
      </c>
      <c r="AC116" s="15" t="str">
        <f>(Z116/3)*1956150</f>
        <v>0</v>
      </c>
      <c r="AD116" s="15" t="str">
        <f>AB116+AC116</f>
        <v>0</v>
      </c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283</v>
      </c>
      <c r="C117" s="10" t="s">
        <v>284</v>
      </c>
      <c r="D117" s="7" t="s">
        <v>56</v>
      </c>
      <c r="E117" s="7" t="s">
        <v>177</v>
      </c>
      <c r="F117" s="7" t="s">
        <v>285</v>
      </c>
      <c r="G117" s="7" t="s">
        <v>57</v>
      </c>
      <c r="H117" s="7" t="s">
        <v>192</v>
      </c>
      <c r="I117" s="11">
        <v>2</v>
      </c>
      <c r="J117" s="11">
        <v>3</v>
      </c>
      <c r="K117" s="11">
        <v>0</v>
      </c>
      <c r="L117" s="11">
        <v>7.339999999999996</v>
      </c>
      <c r="M117" s="11">
        <v>0.67</v>
      </c>
      <c r="N117" s="11">
        <v>0</v>
      </c>
      <c r="O117" s="11">
        <v>0.9299999999999999</v>
      </c>
      <c r="P117" s="11">
        <v>0</v>
      </c>
      <c r="Q117" s="11">
        <v>8.939999999999994</v>
      </c>
      <c r="R117" s="11">
        <v>21.01999999999999</v>
      </c>
      <c r="S117" s="11">
        <v>29.95999999999998</v>
      </c>
      <c r="T117" s="11">
        <v>2</v>
      </c>
      <c r="U117" s="11">
        <v>3</v>
      </c>
      <c r="V117" s="11">
        <v>24.95999999999998</v>
      </c>
      <c r="W117" s="13">
        <v>10</v>
      </c>
      <c r="X117" s="13">
        <v>15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 t="str">
        <f>(Y117/2)*838350</f>
        <v>0</v>
      </c>
      <c r="AC117" s="15" t="str">
        <f>(Z117/3)*0</f>
        <v>0</v>
      </c>
      <c r="AD117" s="15" t="str">
        <f>AB117+AC117</f>
        <v>0</v>
      </c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286</v>
      </c>
      <c r="C118" s="10" t="s">
        <v>287</v>
      </c>
      <c r="D118" s="7" t="s">
        <v>49</v>
      </c>
      <c r="E118" s="7" t="s">
        <v>177</v>
      </c>
      <c r="F118" s="7" t="s">
        <v>288</v>
      </c>
      <c r="G118" s="7" t="s">
        <v>57</v>
      </c>
      <c r="H118" s="7"/>
      <c r="I118" s="11">
        <v>2</v>
      </c>
      <c r="J118" s="11">
        <v>3</v>
      </c>
      <c r="K118" s="11">
        <v>0</v>
      </c>
      <c r="L118" s="11">
        <v>4.619999999999999</v>
      </c>
      <c r="M118" s="11">
        <v>0.5</v>
      </c>
      <c r="N118" s="11">
        <v>0</v>
      </c>
      <c r="O118" s="11">
        <v>0</v>
      </c>
      <c r="P118" s="11">
        <v>0</v>
      </c>
      <c r="Q118" s="11">
        <v>5.119999999999999</v>
      </c>
      <c r="R118" s="11">
        <v>10</v>
      </c>
      <c r="S118" s="11">
        <v>15.12</v>
      </c>
      <c r="T118" s="11">
        <v>2</v>
      </c>
      <c r="U118" s="11">
        <v>3</v>
      </c>
      <c r="V118" s="11">
        <v>10.12</v>
      </c>
      <c r="W118" s="13">
        <v>10</v>
      </c>
      <c r="X118" s="13">
        <v>15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 t="str">
        <f>(Y118/2)*838350</f>
        <v>0</v>
      </c>
      <c r="AC118" s="15" t="str">
        <f>(Z118/3)*1956150</f>
        <v>0</v>
      </c>
      <c r="AD118" s="15" t="str">
        <f>AB118+AC118</f>
        <v>0</v>
      </c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289</v>
      </c>
      <c r="C119" s="10" t="s">
        <v>290</v>
      </c>
      <c r="D119" s="7" t="s">
        <v>40</v>
      </c>
      <c r="E119" s="7" t="s">
        <v>177</v>
      </c>
      <c r="F119" s="7" t="s">
        <v>280</v>
      </c>
      <c r="G119" s="7" t="s">
        <v>57</v>
      </c>
      <c r="H119" s="7"/>
      <c r="I119" s="11">
        <v>2</v>
      </c>
      <c r="J119" s="11">
        <v>3</v>
      </c>
      <c r="K119" s="11">
        <v>0</v>
      </c>
      <c r="L119" s="11">
        <v>0.34</v>
      </c>
      <c r="M119" s="11">
        <v>0.17</v>
      </c>
      <c r="N119" s="11">
        <v>0</v>
      </c>
      <c r="O119" s="11">
        <v>0</v>
      </c>
      <c r="P119" s="11">
        <v>0</v>
      </c>
      <c r="Q119" s="11">
        <v>0.51</v>
      </c>
      <c r="R119" s="11">
        <v>1.02</v>
      </c>
      <c r="S119" s="11">
        <v>1.53</v>
      </c>
      <c r="T119" s="11">
        <v>1.53</v>
      </c>
      <c r="U119" s="11">
        <v>0</v>
      </c>
      <c r="V119" s="11">
        <v>0</v>
      </c>
      <c r="W119" s="13">
        <v>10</v>
      </c>
      <c r="X119" s="13">
        <v>15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 t="str">
        <f>(Y119/2)*838350</f>
        <v>0</v>
      </c>
      <c r="AC119" s="15" t="str">
        <f>(Z119/3)*1956150</f>
        <v>0</v>
      </c>
      <c r="AD119" s="15" t="str">
        <f>AB119+AC119</f>
        <v>0</v>
      </c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291</v>
      </c>
      <c r="C120" s="10" t="s">
        <v>292</v>
      </c>
      <c r="D120" s="7" t="s">
        <v>56</v>
      </c>
      <c r="E120" s="7" t="s">
        <v>177</v>
      </c>
      <c r="F120" s="7" t="s">
        <v>280</v>
      </c>
      <c r="G120" s="7" t="s">
        <v>57</v>
      </c>
      <c r="H120" s="7"/>
      <c r="I120" s="11">
        <v>2</v>
      </c>
      <c r="J120" s="11">
        <v>3</v>
      </c>
      <c r="K120" s="11">
        <v>0</v>
      </c>
      <c r="L120" s="11">
        <v>5.190000000000001</v>
      </c>
      <c r="M120" s="11">
        <v>0.33</v>
      </c>
      <c r="N120" s="11">
        <v>0</v>
      </c>
      <c r="O120" s="11">
        <v>0</v>
      </c>
      <c r="P120" s="11">
        <v>0</v>
      </c>
      <c r="Q120" s="11">
        <v>5.52</v>
      </c>
      <c r="R120" s="11">
        <v>16.63</v>
      </c>
      <c r="S120" s="11">
        <v>22.15</v>
      </c>
      <c r="T120" s="11">
        <v>2</v>
      </c>
      <c r="U120" s="11">
        <v>3</v>
      </c>
      <c r="V120" s="11">
        <v>17.15</v>
      </c>
      <c r="W120" s="13">
        <v>10</v>
      </c>
      <c r="X120" s="13">
        <v>15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 t="str">
        <f>(Y120/2)*838350</f>
        <v>0</v>
      </c>
      <c r="AC120" s="15" t="str">
        <f>(Z120/3)*1956150</f>
        <v>0</v>
      </c>
      <c r="AD120" s="15" t="str">
        <f>AB120+AC120</f>
        <v>0</v>
      </c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293</v>
      </c>
      <c r="C121" s="10" t="s">
        <v>294</v>
      </c>
      <c r="D121" s="7" t="s">
        <v>40</v>
      </c>
      <c r="E121" s="7" t="s">
        <v>177</v>
      </c>
      <c r="F121" s="7" t="s">
        <v>280</v>
      </c>
      <c r="G121" s="7" t="s">
        <v>57</v>
      </c>
      <c r="H121" s="7"/>
      <c r="I121" s="11">
        <v>2</v>
      </c>
      <c r="J121" s="11">
        <v>3</v>
      </c>
      <c r="K121" s="11">
        <v>0</v>
      </c>
      <c r="L121" s="11">
        <v>0.42</v>
      </c>
      <c r="M121" s="11">
        <v>0.33</v>
      </c>
      <c r="N121" s="11">
        <v>0</v>
      </c>
      <c r="O121" s="11">
        <v>0</v>
      </c>
      <c r="P121" s="11">
        <v>0</v>
      </c>
      <c r="Q121" s="11">
        <v>0.75</v>
      </c>
      <c r="R121" s="11">
        <v>2.24</v>
      </c>
      <c r="S121" s="11">
        <v>2.99</v>
      </c>
      <c r="T121" s="11">
        <v>2</v>
      </c>
      <c r="U121" s="11">
        <v>0.9900000000000002</v>
      </c>
      <c r="V121" s="11">
        <v>0</v>
      </c>
      <c r="W121" s="13">
        <v>10</v>
      </c>
      <c r="X121" s="13">
        <v>15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 t="str">
        <f>(Y121/2)*838350</f>
        <v>0</v>
      </c>
      <c r="AC121" s="15" t="str">
        <f>(Z121/3)*1956150</f>
        <v>0</v>
      </c>
      <c r="AD121" s="15" t="str">
        <f>AB121+AC121</f>
        <v>0</v>
      </c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295</v>
      </c>
      <c r="C122" s="10" t="s">
        <v>296</v>
      </c>
      <c r="D122" s="7" t="s">
        <v>40</v>
      </c>
      <c r="E122" s="7" t="s">
        <v>177</v>
      </c>
      <c r="F122" s="7" t="s">
        <v>288</v>
      </c>
      <c r="G122" s="7" t="s">
        <v>57</v>
      </c>
      <c r="H122" s="7"/>
      <c r="I122" s="11">
        <v>2</v>
      </c>
      <c r="J122" s="11">
        <v>3</v>
      </c>
      <c r="K122" s="11">
        <v>0</v>
      </c>
      <c r="L122" s="11">
        <v>0</v>
      </c>
      <c r="M122" s="11">
        <v>0.17</v>
      </c>
      <c r="N122" s="11">
        <v>0</v>
      </c>
      <c r="O122" s="11">
        <v>0</v>
      </c>
      <c r="P122" s="11">
        <v>0</v>
      </c>
      <c r="Q122" s="11">
        <v>0.17</v>
      </c>
      <c r="R122" s="11">
        <v>0.68</v>
      </c>
      <c r="S122" s="11">
        <v>0.8500000000000001</v>
      </c>
      <c r="T122" s="11">
        <v>0.8500000000000001</v>
      </c>
      <c r="U122" s="11">
        <v>0</v>
      </c>
      <c r="V122" s="11">
        <v>0</v>
      </c>
      <c r="W122" s="13">
        <v>10</v>
      </c>
      <c r="X122" s="13">
        <v>15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 t="str">
        <f>(Y122/2)*838350</f>
        <v>0</v>
      </c>
      <c r="AC122" s="15" t="str">
        <f>(Z122/3)*1956150</f>
        <v>0</v>
      </c>
      <c r="AD122" s="15" t="str">
        <f>AB122+AC122</f>
        <v>0</v>
      </c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297</v>
      </c>
      <c r="C123" s="10" t="s">
        <v>298</v>
      </c>
      <c r="D123" s="7" t="s">
        <v>49</v>
      </c>
      <c r="E123" s="7" t="s">
        <v>201</v>
      </c>
      <c r="F123" s="7" t="s">
        <v>288</v>
      </c>
      <c r="G123" s="7" t="s">
        <v>57</v>
      </c>
      <c r="H123" s="7" t="s">
        <v>192</v>
      </c>
      <c r="I123" s="11">
        <v>2</v>
      </c>
      <c r="J123" s="11">
        <v>3</v>
      </c>
      <c r="K123" s="11">
        <v>0</v>
      </c>
      <c r="L123" s="11">
        <v>3.240000000000001</v>
      </c>
      <c r="M123" s="11">
        <v>0.5</v>
      </c>
      <c r="N123" s="11">
        <v>0</v>
      </c>
      <c r="O123" s="11">
        <v>0</v>
      </c>
      <c r="P123" s="11">
        <v>0</v>
      </c>
      <c r="Q123" s="11">
        <v>3.740000000000001</v>
      </c>
      <c r="R123" s="11">
        <v>8.370000000000001</v>
      </c>
      <c r="S123" s="11">
        <v>12.11</v>
      </c>
      <c r="T123" s="11">
        <v>2</v>
      </c>
      <c r="U123" s="11">
        <v>3</v>
      </c>
      <c r="V123" s="11">
        <v>7.110000000000001</v>
      </c>
      <c r="W123" s="13">
        <v>10</v>
      </c>
      <c r="X123" s="13">
        <v>15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 t="str">
        <f>(Y123/2)*838350</f>
        <v>0</v>
      </c>
      <c r="AC123" s="15" t="str">
        <f>(Z123/3)*1956150</f>
        <v>0</v>
      </c>
      <c r="AD123" s="15" t="str">
        <f>AB123+AC123</f>
        <v>0</v>
      </c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299</v>
      </c>
      <c r="C124" s="10" t="s">
        <v>300</v>
      </c>
      <c r="D124" s="7" t="s">
        <v>49</v>
      </c>
      <c r="E124" s="7" t="s">
        <v>79</v>
      </c>
      <c r="F124" s="7" t="s">
        <v>301</v>
      </c>
      <c r="G124" s="7" t="s">
        <v>57</v>
      </c>
      <c r="H124" s="7"/>
      <c r="I124" s="11">
        <v>2</v>
      </c>
      <c r="J124" s="11">
        <v>3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3">
        <v>10</v>
      </c>
      <c r="X124" s="13">
        <v>15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 t="str">
        <f>(Y124/2)*931500</f>
        <v>0</v>
      </c>
      <c r="AC124" s="15" t="str">
        <f>(Z124/3)*0</f>
        <v>0</v>
      </c>
      <c r="AD124" s="15" t="str">
        <f>AB124+AC124</f>
        <v>0</v>
      </c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302</v>
      </c>
      <c r="C125" s="10" t="s">
        <v>303</v>
      </c>
      <c r="D125" s="7" t="s">
        <v>56</v>
      </c>
      <c r="E125" s="7" t="s">
        <v>201</v>
      </c>
      <c r="F125" s="7" t="s">
        <v>280</v>
      </c>
      <c r="G125" s="7" t="s">
        <v>57</v>
      </c>
      <c r="H125" s="7"/>
      <c r="I125" s="11">
        <v>2</v>
      </c>
      <c r="J125" s="11">
        <v>3</v>
      </c>
      <c r="K125" s="11">
        <v>0</v>
      </c>
      <c r="L125" s="11">
        <v>2.7</v>
      </c>
      <c r="M125" s="11">
        <v>0.17</v>
      </c>
      <c r="N125" s="11">
        <v>0</v>
      </c>
      <c r="O125" s="11">
        <v>0</v>
      </c>
      <c r="P125" s="11">
        <v>0</v>
      </c>
      <c r="Q125" s="11">
        <v>2.87</v>
      </c>
      <c r="R125" s="11">
        <v>8.420000000000002</v>
      </c>
      <c r="S125" s="11">
        <v>11.29</v>
      </c>
      <c r="T125" s="11">
        <v>2</v>
      </c>
      <c r="U125" s="11">
        <v>3</v>
      </c>
      <c r="V125" s="11">
        <v>6.290000000000003</v>
      </c>
      <c r="W125" s="13">
        <v>10</v>
      </c>
      <c r="X125" s="13">
        <v>15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 t="str">
        <f>(Y125/2)*838350</f>
        <v>0</v>
      </c>
      <c r="AC125" s="15" t="str">
        <f>(Z125/3)*1956150</f>
        <v>0</v>
      </c>
      <c r="AD125" s="15" t="str">
        <f>AB125+AC125</f>
        <v>0</v>
      </c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304</v>
      </c>
      <c r="C126" s="10" t="s">
        <v>305</v>
      </c>
      <c r="D126" s="7" t="s">
        <v>306</v>
      </c>
      <c r="E126" s="7" t="s">
        <v>109</v>
      </c>
      <c r="F126" s="7" t="s">
        <v>288</v>
      </c>
      <c r="G126" s="7" t="s">
        <v>57</v>
      </c>
      <c r="H126" s="7"/>
      <c r="I126" s="11">
        <v>2</v>
      </c>
      <c r="J126" s="11">
        <v>3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3">
        <v>10</v>
      </c>
      <c r="X126" s="13">
        <v>15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 t="str">
        <f>(Y126/2)*838350</f>
        <v>0</v>
      </c>
      <c r="AC126" s="15" t="str">
        <f>(Z126/3)*1956150</f>
        <v>0</v>
      </c>
      <c r="AD126" s="15" t="str">
        <f>AB126+AC126</f>
        <v>0</v>
      </c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307</v>
      </c>
      <c r="C127" s="10" t="s">
        <v>308</v>
      </c>
      <c r="D127" s="7" t="s">
        <v>40</v>
      </c>
      <c r="E127" s="7" t="s">
        <v>177</v>
      </c>
      <c r="F127" s="7" t="s">
        <v>280</v>
      </c>
      <c r="G127" s="7" t="s">
        <v>57</v>
      </c>
      <c r="H127" s="7"/>
      <c r="I127" s="11">
        <v>2</v>
      </c>
      <c r="J127" s="11">
        <v>3</v>
      </c>
      <c r="K127" s="11">
        <v>0</v>
      </c>
      <c r="L127" s="11">
        <v>0.08</v>
      </c>
      <c r="M127" s="11">
        <v>0</v>
      </c>
      <c r="N127" s="11">
        <v>0</v>
      </c>
      <c r="O127" s="11">
        <v>0</v>
      </c>
      <c r="P127" s="11">
        <v>0</v>
      </c>
      <c r="Q127" s="11">
        <v>0.08</v>
      </c>
      <c r="R127" s="11">
        <v>1.42</v>
      </c>
      <c r="S127" s="11">
        <v>1.5</v>
      </c>
      <c r="T127" s="11">
        <v>1.5</v>
      </c>
      <c r="U127" s="11">
        <v>0</v>
      </c>
      <c r="V127" s="11">
        <v>0</v>
      </c>
      <c r="W127" s="13">
        <v>10</v>
      </c>
      <c r="X127" s="13">
        <v>15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 t="str">
        <f>(Y127/2)*838350</f>
        <v>0</v>
      </c>
      <c r="AC127" s="15" t="str">
        <f>(Z127/3)*1956150</f>
        <v>0</v>
      </c>
      <c r="AD127" s="15" t="str">
        <f>AB127+AC127</f>
        <v>0</v>
      </c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309</v>
      </c>
      <c r="C128" s="10" t="s">
        <v>310</v>
      </c>
      <c r="D128" s="7" t="s">
        <v>40</v>
      </c>
      <c r="E128" s="7" t="s">
        <v>177</v>
      </c>
      <c r="F128" s="7" t="s">
        <v>280</v>
      </c>
      <c r="G128" s="7" t="s">
        <v>57</v>
      </c>
      <c r="H128" s="7"/>
      <c r="I128" s="11">
        <v>2</v>
      </c>
      <c r="J128" s="11">
        <v>3</v>
      </c>
      <c r="K128" s="11">
        <v>0</v>
      </c>
      <c r="L128" s="11">
        <v>0</v>
      </c>
      <c r="M128" s="11">
        <v>0.17</v>
      </c>
      <c r="N128" s="11">
        <v>0</v>
      </c>
      <c r="O128" s="11">
        <v>0</v>
      </c>
      <c r="P128" s="11">
        <v>0</v>
      </c>
      <c r="Q128" s="11">
        <v>0.17</v>
      </c>
      <c r="R128" s="11">
        <v>0.68</v>
      </c>
      <c r="S128" s="11">
        <v>0.8500000000000001</v>
      </c>
      <c r="T128" s="11">
        <v>0.8500000000000001</v>
      </c>
      <c r="U128" s="11">
        <v>0</v>
      </c>
      <c r="V128" s="11">
        <v>0</v>
      </c>
      <c r="W128" s="13">
        <v>10</v>
      </c>
      <c r="X128" s="13">
        <v>15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 t="str">
        <f>(Y128/2)*838350</f>
        <v>0</v>
      </c>
      <c r="AC128" s="15" t="str">
        <f>(Z128/3)*1956150</f>
        <v>0</v>
      </c>
      <c r="AD128" s="15" t="str">
        <f>AB128+AC128</f>
        <v>0</v>
      </c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311</v>
      </c>
      <c r="C129" s="10" t="s">
        <v>312</v>
      </c>
      <c r="D129" s="7" t="s">
        <v>40</v>
      </c>
      <c r="E129" s="7" t="s">
        <v>201</v>
      </c>
      <c r="F129" s="7" t="s">
        <v>288</v>
      </c>
      <c r="G129" s="7" t="s">
        <v>57</v>
      </c>
      <c r="H129" s="7"/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0.99</v>
      </c>
      <c r="S129" s="11">
        <v>0.99</v>
      </c>
      <c r="T129" s="11">
        <v>0.99</v>
      </c>
      <c r="U129" s="11">
        <v>0</v>
      </c>
      <c r="V129" s="11">
        <v>0</v>
      </c>
      <c r="W129" s="13">
        <v>10</v>
      </c>
      <c r="X129" s="13">
        <v>15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 t="str">
        <f>(Y129/2)*838350</f>
        <v>0</v>
      </c>
      <c r="AC129" s="15" t="str">
        <f>(Z129/3)*1956150</f>
        <v>0</v>
      </c>
      <c r="AD129" s="15" t="str">
        <f>AB129+AC129</f>
        <v>0</v>
      </c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313</v>
      </c>
      <c r="C130" s="10" t="s">
        <v>314</v>
      </c>
      <c r="D130" s="7" t="s">
        <v>40</v>
      </c>
      <c r="E130" s="7" t="s">
        <v>79</v>
      </c>
      <c r="F130" s="7" t="s">
        <v>301</v>
      </c>
      <c r="G130" s="7" t="s">
        <v>57</v>
      </c>
      <c r="H130" s="7"/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10</v>
      </c>
      <c r="X130" s="13">
        <v>15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 t="str">
        <f>(Y130/2)*931500</f>
        <v>0</v>
      </c>
      <c r="AC130" s="15" t="str">
        <f>(Z130/3)*0</f>
        <v>0</v>
      </c>
      <c r="AD130" s="15" t="str">
        <f>AB130+AC130</f>
        <v>0</v>
      </c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315</v>
      </c>
      <c r="C131" s="10" t="s">
        <v>316</v>
      </c>
      <c r="D131" s="7" t="s">
        <v>49</v>
      </c>
      <c r="E131" s="7" t="s">
        <v>177</v>
      </c>
      <c r="F131" s="7" t="s">
        <v>280</v>
      </c>
      <c r="G131" s="7" t="s">
        <v>57</v>
      </c>
      <c r="H131" s="7"/>
      <c r="I131" s="11">
        <v>2</v>
      </c>
      <c r="J131" s="11">
        <v>3</v>
      </c>
      <c r="K131" s="11">
        <v>0</v>
      </c>
      <c r="L131" s="11">
        <v>4.5</v>
      </c>
      <c r="M131" s="11">
        <v>0.66</v>
      </c>
      <c r="N131" s="11">
        <v>0</v>
      </c>
      <c r="O131" s="11">
        <v>0</v>
      </c>
      <c r="P131" s="11">
        <v>0</v>
      </c>
      <c r="Q131" s="11">
        <v>5.159999999999998</v>
      </c>
      <c r="R131" s="11">
        <v>10.32</v>
      </c>
      <c r="S131" s="11">
        <v>15.48</v>
      </c>
      <c r="T131" s="11">
        <v>2</v>
      </c>
      <c r="U131" s="11">
        <v>3</v>
      </c>
      <c r="V131" s="11">
        <v>10.48</v>
      </c>
      <c r="W131" s="13">
        <v>10</v>
      </c>
      <c r="X131" s="13">
        <v>15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 t="str">
        <f>(Y131/2)*838350</f>
        <v>0</v>
      </c>
      <c r="AC131" s="15" t="str">
        <f>(Z131/3)*1956150</f>
        <v>0</v>
      </c>
      <c r="AD131" s="15" t="str">
        <f>AB131+AC131</f>
        <v>0</v>
      </c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317</v>
      </c>
      <c r="C132" s="10" t="s">
        <v>318</v>
      </c>
      <c r="D132" s="7" t="s">
        <v>49</v>
      </c>
      <c r="E132" s="7" t="s">
        <v>109</v>
      </c>
      <c r="F132" s="7" t="s">
        <v>285</v>
      </c>
      <c r="G132" s="7" t="s">
        <v>57</v>
      </c>
      <c r="H132" s="7" t="s">
        <v>192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3">
        <v>10</v>
      </c>
      <c r="X132" s="13">
        <v>15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 t="str">
        <f>(Y132/2)*838350</f>
        <v>0</v>
      </c>
      <c r="AC132" s="15" t="str">
        <f>(Z132/3)*0</f>
        <v>0</v>
      </c>
      <c r="AD132" s="15" t="str">
        <f>AB132+AC132</f>
        <v>0</v>
      </c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319</v>
      </c>
      <c r="C133" s="10" t="s">
        <v>320</v>
      </c>
      <c r="D133" s="7" t="s">
        <v>49</v>
      </c>
      <c r="E133" s="7" t="s">
        <v>177</v>
      </c>
      <c r="F133" s="7" t="s">
        <v>288</v>
      </c>
      <c r="G133" s="7" t="s">
        <v>57</v>
      </c>
      <c r="H133" s="7"/>
      <c r="I133" s="11">
        <v>2</v>
      </c>
      <c r="J133" s="11">
        <v>3</v>
      </c>
      <c r="K133" s="11">
        <v>0</v>
      </c>
      <c r="L133" s="11">
        <v>4.140000000000001</v>
      </c>
      <c r="M133" s="11">
        <v>0.66</v>
      </c>
      <c r="N133" s="11">
        <v>0</v>
      </c>
      <c r="O133" s="11">
        <v>0</v>
      </c>
      <c r="P133" s="11">
        <v>0</v>
      </c>
      <c r="Q133" s="11">
        <v>4.8</v>
      </c>
      <c r="R133" s="11">
        <v>9.420000000000002</v>
      </c>
      <c r="S133" s="11">
        <v>14.22</v>
      </c>
      <c r="T133" s="11">
        <v>2</v>
      </c>
      <c r="U133" s="11">
        <v>3</v>
      </c>
      <c r="V133" s="11">
        <v>9.220000000000002</v>
      </c>
      <c r="W133" s="13">
        <v>10</v>
      </c>
      <c r="X133" s="13">
        <v>15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 t="str">
        <f>(Y133/2)*838350</f>
        <v>0</v>
      </c>
      <c r="AC133" s="15" t="str">
        <f>(Z133/3)*1956150</f>
        <v>0</v>
      </c>
      <c r="AD133" s="15" t="str">
        <f>AB133+AC133</f>
        <v>0</v>
      </c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321</v>
      </c>
      <c r="C134" s="10" t="s">
        <v>322</v>
      </c>
      <c r="D134" s="7" t="s">
        <v>40</v>
      </c>
      <c r="E134" s="7" t="s">
        <v>79</v>
      </c>
      <c r="F134" s="7" t="s">
        <v>301</v>
      </c>
      <c r="G134" s="7" t="s">
        <v>57</v>
      </c>
      <c r="H134" s="7"/>
      <c r="I134" s="11">
        <v>2</v>
      </c>
      <c r="J134" s="11">
        <v>3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3">
        <v>10</v>
      </c>
      <c r="X134" s="13">
        <v>15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 t="str">
        <f>(Y134/2)*931500</f>
        <v>0</v>
      </c>
      <c r="AC134" s="15" t="str">
        <f>(Z134/3)*0</f>
        <v>0</v>
      </c>
      <c r="AD134" s="15" t="str">
        <f>AB134+AC134</f>
        <v>0</v>
      </c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323</v>
      </c>
      <c r="C135" s="10" t="s">
        <v>324</v>
      </c>
      <c r="D135" s="7" t="s">
        <v>40</v>
      </c>
      <c r="E135" s="7" t="s">
        <v>177</v>
      </c>
      <c r="F135" s="7" t="s">
        <v>280</v>
      </c>
      <c r="G135" s="7" t="s">
        <v>57</v>
      </c>
      <c r="H135" s="7" t="s">
        <v>192</v>
      </c>
      <c r="I135" s="11">
        <v>2</v>
      </c>
      <c r="J135" s="11">
        <v>3</v>
      </c>
      <c r="K135" s="11">
        <v>0</v>
      </c>
      <c r="L135" s="11">
        <v>0.42</v>
      </c>
      <c r="M135" s="11">
        <v>0.17</v>
      </c>
      <c r="N135" s="11">
        <v>0</v>
      </c>
      <c r="O135" s="11">
        <v>0</v>
      </c>
      <c r="P135" s="11">
        <v>0</v>
      </c>
      <c r="Q135" s="11">
        <v>0.5900000000000001</v>
      </c>
      <c r="R135" s="11">
        <v>0.8500000000000001</v>
      </c>
      <c r="S135" s="11">
        <v>1.44</v>
      </c>
      <c r="T135" s="11">
        <v>1.44</v>
      </c>
      <c r="U135" s="11">
        <v>0</v>
      </c>
      <c r="V135" s="11">
        <v>0</v>
      </c>
      <c r="W135" s="13">
        <v>10</v>
      </c>
      <c r="X135" s="13">
        <v>15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 t="str">
        <f>(Y135/2)*838350</f>
        <v>0</v>
      </c>
      <c r="AC135" s="15" t="str">
        <f>(Z135/3)*1956150</f>
        <v>0</v>
      </c>
      <c r="AD135" s="15" t="str">
        <f>AB135+AC135</f>
        <v>0</v>
      </c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325</v>
      </c>
      <c r="C136" s="10" t="s">
        <v>326</v>
      </c>
      <c r="D136" s="7" t="s">
        <v>49</v>
      </c>
      <c r="E136" s="7" t="s">
        <v>177</v>
      </c>
      <c r="F136" s="7" t="s">
        <v>280</v>
      </c>
      <c r="G136" s="7" t="s">
        <v>57</v>
      </c>
      <c r="H136" s="7" t="s">
        <v>192</v>
      </c>
      <c r="I136" s="11">
        <v>2</v>
      </c>
      <c r="J136" s="11">
        <v>3</v>
      </c>
      <c r="K136" s="11">
        <v>0</v>
      </c>
      <c r="L136" s="11">
        <v>4.499999999999999</v>
      </c>
      <c r="M136" s="11">
        <v>0.66</v>
      </c>
      <c r="N136" s="11">
        <v>0</v>
      </c>
      <c r="O136" s="11">
        <v>0</v>
      </c>
      <c r="P136" s="11">
        <v>0</v>
      </c>
      <c r="Q136" s="11">
        <v>5.159999999999999</v>
      </c>
      <c r="R136" s="11">
        <v>11.6</v>
      </c>
      <c r="S136" s="11">
        <v>16.76</v>
      </c>
      <c r="T136" s="11">
        <v>2</v>
      </c>
      <c r="U136" s="11">
        <v>3</v>
      </c>
      <c r="V136" s="11">
        <v>11.76</v>
      </c>
      <c r="W136" s="13">
        <v>10</v>
      </c>
      <c r="X136" s="13">
        <v>15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 t="str">
        <f>(Y136/2)*838350</f>
        <v>0</v>
      </c>
      <c r="AC136" s="15" t="str">
        <f>(Z136/3)*1956150</f>
        <v>0</v>
      </c>
      <c r="AD136" s="15" t="str">
        <f>AB136+AC136</f>
        <v>0</v>
      </c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327</v>
      </c>
      <c r="C137" s="10" t="s">
        <v>328</v>
      </c>
      <c r="D137" s="7" t="s">
        <v>56</v>
      </c>
      <c r="E137" s="7" t="s">
        <v>201</v>
      </c>
      <c r="F137" s="7" t="s">
        <v>280</v>
      </c>
      <c r="G137" s="7" t="s">
        <v>57</v>
      </c>
      <c r="H137" s="7" t="s">
        <v>192</v>
      </c>
      <c r="I137" s="11">
        <v>2</v>
      </c>
      <c r="J137" s="11">
        <v>3</v>
      </c>
      <c r="K137" s="11">
        <v>0</v>
      </c>
      <c r="L137" s="11">
        <v>8.049999999999997</v>
      </c>
      <c r="M137" s="11">
        <v>0.67</v>
      </c>
      <c r="N137" s="11">
        <v>0</v>
      </c>
      <c r="O137" s="11">
        <v>0.89</v>
      </c>
      <c r="P137" s="11">
        <v>0</v>
      </c>
      <c r="Q137" s="11">
        <v>9.609999999999996</v>
      </c>
      <c r="R137" s="11">
        <v>22.45999999999999</v>
      </c>
      <c r="S137" s="11">
        <v>32.06999999999999</v>
      </c>
      <c r="T137" s="11">
        <v>2</v>
      </c>
      <c r="U137" s="11">
        <v>3</v>
      </c>
      <c r="V137" s="11">
        <v>27.06999999999999</v>
      </c>
      <c r="W137" s="13">
        <v>10</v>
      </c>
      <c r="X137" s="13">
        <v>15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 t="str">
        <f>(Y137/2)*838350</f>
        <v>0</v>
      </c>
      <c r="AC137" s="15" t="str">
        <f>(Z137/3)*1956150</f>
        <v>0</v>
      </c>
      <c r="AD137" s="15" t="str">
        <f>AB137+AC137</f>
        <v>0</v>
      </c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329</v>
      </c>
      <c r="C138" s="10" t="s">
        <v>330</v>
      </c>
      <c r="D138" s="7" t="s">
        <v>40</v>
      </c>
      <c r="E138" s="7" t="s">
        <v>177</v>
      </c>
      <c r="F138" s="7" t="s">
        <v>288</v>
      </c>
      <c r="G138" s="7" t="s">
        <v>57</v>
      </c>
      <c r="H138" s="7"/>
      <c r="I138" s="11">
        <v>2</v>
      </c>
      <c r="J138" s="11">
        <v>3</v>
      </c>
      <c r="K138" s="11">
        <v>0</v>
      </c>
      <c r="L138" s="11">
        <v>0</v>
      </c>
      <c r="M138" s="11">
        <v>0.17</v>
      </c>
      <c r="N138" s="11">
        <v>0</v>
      </c>
      <c r="O138" s="11">
        <v>0</v>
      </c>
      <c r="P138" s="11">
        <v>0</v>
      </c>
      <c r="Q138" s="11">
        <v>0.17</v>
      </c>
      <c r="R138" s="11">
        <v>0.8500000000000001</v>
      </c>
      <c r="S138" s="11">
        <v>1.02</v>
      </c>
      <c r="T138" s="11">
        <v>1.02</v>
      </c>
      <c r="U138" s="11">
        <v>0</v>
      </c>
      <c r="V138" s="11">
        <v>0</v>
      </c>
      <c r="W138" s="13">
        <v>10</v>
      </c>
      <c r="X138" s="13">
        <v>15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 t="str">
        <f>(Y138/2)*838350</f>
        <v>0</v>
      </c>
      <c r="AC138" s="15" t="str">
        <f>(Z138/3)*1956150</f>
        <v>0</v>
      </c>
      <c r="AD138" s="15" t="str">
        <f>AB138+AC138</f>
        <v>0</v>
      </c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331</v>
      </c>
      <c r="C139" s="10" t="s">
        <v>332</v>
      </c>
      <c r="D139" s="7" t="s">
        <v>40</v>
      </c>
      <c r="E139" s="7" t="s">
        <v>177</v>
      </c>
      <c r="F139" s="7" t="s">
        <v>280</v>
      </c>
      <c r="G139" s="7" t="s">
        <v>57</v>
      </c>
      <c r="H139" s="7"/>
      <c r="I139" s="11">
        <v>2</v>
      </c>
      <c r="J139" s="11">
        <v>3</v>
      </c>
      <c r="K139" s="11">
        <v>0</v>
      </c>
      <c r="L139" s="11">
        <v>0.25</v>
      </c>
      <c r="M139" s="11">
        <v>0.17</v>
      </c>
      <c r="N139" s="11">
        <v>0</v>
      </c>
      <c r="O139" s="11">
        <v>0</v>
      </c>
      <c r="P139" s="11">
        <v>0</v>
      </c>
      <c r="Q139" s="11">
        <v>0.42</v>
      </c>
      <c r="R139" s="11">
        <v>2.38</v>
      </c>
      <c r="S139" s="11">
        <v>2.8</v>
      </c>
      <c r="T139" s="11">
        <v>2</v>
      </c>
      <c r="U139" s="11">
        <v>0.8000000000000003</v>
      </c>
      <c r="V139" s="11">
        <v>0</v>
      </c>
      <c r="W139" s="13">
        <v>10</v>
      </c>
      <c r="X139" s="13">
        <v>15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 t="str">
        <f>(Y139/2)*838350</f>
        <v>0</v>
      </c>
      <c r="AC139" s="15" t="str">
        <f>(Z139/3)*1956150</f>
        <v>0</v>
      </c>
      <c r="AD139" s="15" t="str">
        <f>AB139+AC139</f>
        <v>0</v>
      </c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3" spans="1:676">
      <c r="A143" s="16"/>
      <c r="B143" s="16" t="s">
        <v>333</v>
      </c>
      <c r="C143" s="16"/>
      <c r="D143" s="16"/>
      <c r="E143" s="16"/>
      <c r="F143" s="16"/>
      <c r="G143" s="16"/>
      <c r="H143" s="16"/>
      <c r="I143" s="16" t="s">
        <v>334</v>
      </c>
      <c r="J143" s="16"/>
      <c r="K143" s="16"/>
      <c r="L143" s="16"/>
      <c r="M143" s="16"/>
      <c r="N143" s="16"/>
      <c r="O143" s="16"/>
      <c r="P143" s="16"/>
      <c r="Q143" s="16"/>
    </row>
    <row r="144" spans="1:676">
      <c r="A144" s="16"/>
      <c r="B144" s="16" t="s">
        <v>335</v>
      </c>
      <c r="C144" s="16"/>
      <c r="D144" s="16"/>
      <c r="E144" s="16"/>
      <c r="F144" s="16"/>
      <c r="G144" s="16"/>
      <c r="H144" s="16"/>
      <c r="I144" s="16" t="s">
        <v>336</v>
      </c>
      <c r="J144" s="16"/>
      <c r="K144" s="16"/>
      <c r="L144" s="16"/>
      <c r="M144" s="16"/>
      <c r="N144" s="16"/>
      <c r="O144" s="16"/>
      <c r="P144" s="16"/>
      <c r="Q144" s="16"/>
    </row>
    <row r="145" spans="1:67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 t="s">
        <v>337</v>
      </c>
      <c r="C149" s="16"/>
      <c r="D149" s="16"/>
      <c r="E149" s="16"/>
      <c r="F149" s="16"/>
      <c r="G149" s="16"/>
      <c r="H149" s="16"/>
      <c r="I149" s="16" t="s">
        <v>338</v>
      </c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 t="s">
        <v>339</v>
      </c>
      <c r="C150" s="16"/>
      <c r="D150" s="16"/>
      <c r="E150" s="16"/>
      <c r="F150" s="16"/>
      <c r="G150" s="16"/>
      <c r="H150" s="16"/>
      <c r="I150" s="16" t="s">
        <v>339</v>
      </c>
      <c r="J150" s="16"/>
      <c r="K150" s="16"/>
      <c r="L150" s="16"/>
      <c r="M150" s="16"/>
      <c r="N150" s="16"/>
      <c r="O150" s="16"/>
      <c r="P150" s="16"/>
      <c r="Q15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2017-08-02T13:52:47+07:00</dcterms:created>
  <dcterms:modified xsi:type="dcterms:W3CDTF">2017-08-02T13:52:47+07:00</dcterms:modified>
  <dc:title>Untitled Spreadsheet</dc:title>
  <dc:description/>
  <dc:subject/>
  <cp:keywords/>
  <cp:category/>
</cp:coreProperties>
</file>