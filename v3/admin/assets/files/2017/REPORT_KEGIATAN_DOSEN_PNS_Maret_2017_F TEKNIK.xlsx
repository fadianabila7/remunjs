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<sst xmlns="http://schemas.openxmlformats.org/spreadsheetml/2006/main" uniqueCount="388">
  <si>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</si>
  <si>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</si>
  <si>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</si>
  <si>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</si>
  <si>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</si>
  <si>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</si>
  <si>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</si>
  <si>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</si>
  <si>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</si>
  <si>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</si>
  <si>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</si>
  <si>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</si>
  <si>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</si>
  <si>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</si>
  <si>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</si>
  <si>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</si>
  <si>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</si>
  <si>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</si>
  <si>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</si>
  <si>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</si>
  <si>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</si>
  <si>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</si>
  <si>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</si>
  <si>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</si>
  <si>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</si>
  <si>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</si>
  <si>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</si>
  <si>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</si>
  <si>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</si>
  <si>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</si>
  <si>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</si>
  <si>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</si>
  <si>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</si>
  <si>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</si>
  <si>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</si>
  <si>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</si>
  <si>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</si>
  <si>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</si>
  <si>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</si>
  <si>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</si>
  <si>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</si>
  <si>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</si>
  <si>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</si>
  <si>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S2</t>
  </si>
  <si>
    <t>Belum ada jabatan struktural</t>
  </si>
  <si>
    <t>196911241998032001</t>
  </si>
  <si>
    <t>Dr. ZUCHRA HELWANI, ST, MT</t>
  </si>
  <si>
    <t>III/c</t>
  </si>
  <si>
    <t>S3</t>
  </si>
  <si>
    <t>196001031986031003</t>
  </si>
  <si>
    <t>Prof. Dr. SYAIFUL BAHRI, M.SI</t>
  </si>
  <si>
    <t>S2 Teknik Kimia</t>
  </si>
  <si>
    <t>IV/c</t>
  </si>
  <si>
    <t>196804131998031002</t>
  </si>
  <si>
    <t>BAMBANG SUJATMOKO, ST ,MT</t>
  </si>
  <si>
    <t>Teknik Sipil</t>
  </si>
  <si>
    <t>Lektor Kepala Gol. IV</t>
  </si>
  <si>
    <t>196008251986092002</t>
  </si>
  <si>
    <t>DRA. NIRWANA, MT</t>
  </si>
  <si>
    <t>IV/b</t>
  </si>
  <si>
    <t>196011251985032002</t>
  </si>
  <si>
    <t>DRA. YENITA MORENA, M.SI</t>
  </si>
  <si>
    <t>D3 Teknik Sipil</t>
  </si>
  <si>
    <t>196206121988032002</t>
  </si>
  <si>
    <t>DRA. YUSNIMAR, M.SI.M.Phil</t>
  </si>
  <si>
    <t>D3 Teknik Kimia</t>
  </si>
  <si>
    <t>Sekretaris Jurusan A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</si>
  <si>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</si>
  <si>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</si>
  <si>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</si>
  <si>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</si>
  <si>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</si>
  <si>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</si>
  <si>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</si>
  <si>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</si>
  <si>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</si>
  <si>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197304011999032003</t>
  </si>
  <si>
    <t>Dr. AZRIYENNI, ST, M.ENG</t>
  </si>
  <si>
    <t>Teknik Elektro</t>
  </si>
  <si>
    <t>197105192000031002</t>
  </si>
  <si>
    <t>Dr. Eng. AZRIDJAL AZIZ, ST, MT</t>
  </si>
  <si>
    <t>196805031997021002</t>
  </si>
  <si>
    <t>Dr. IMAM SUPRAYOGI, MT</t>
  </si>
  <si>
    <t>III/d</t>
  </si>
  <si>
    <t>Lektor Kepala Gol. III</t>
  </si>
  <si>
    <t>Koordinator Program Studi B</t>
  </si>
  <si>
    <t>196801271995121001</t>
  </si>
  <si>
    <t>Dr. Ir. ARI SANDYAHVITRI, M.SC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</si>
  <si>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</si>
  <si>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</si>
  <si>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</si>
  <si>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</si>
  <si>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</si>
  <si>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</si>
  <si>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</si>
  <si>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</si>
  <si>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</si>
  <si>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</si>
  <si>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</si>
  <si>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</si>
  <si>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</si>
  <si>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</si>
  <si>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</si>
  <si>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</si>
  <si>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</si>
  <si>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</si>
  <si>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</si>
  <si>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</si>
  <si>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</si>
  <si>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</si>
  <si>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</si>
  <si>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</si>
  <si>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</si>
  <si>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</si>
  <si>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</si>
  <si>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</si>
  <si>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</si>
  <si>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</si>
  <si>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</si>
  <si>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</si>
  <si>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</si>
  <si>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</si>
  <si>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</si>
  <si>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</si>
  <si>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</si>
  <si>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</si>
  <si>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</si>
  <si>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</si>
  <si>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</si>
  <si>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</si>
  <si>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</si>
  <si>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</si>
  <si>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</si>
  <si>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</si>
  <si>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</si>
  <si>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</si>
  <si>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197803082003121001</t>
  </si>
  <si>
    <t>DIAN YAYAN SUKMA, ST., MT</t>
  </si>
  <si>
    <t>Sekretaris Jurusan B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</si>
  <si>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</si>
  <si>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</si>
  <si>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</si>
  <si>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</si>
  <si>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</si>
  <si>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</si>
  <si>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</si>
  <si>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</si>
  <si>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</si>
  <si>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197403072002121002</t>
  </si>
  <si>
    <t>DR. INDRA YASRI, ST, MT</t>
  </si>
  <si>
    <t>Koordinator Program Studi C</t>
  </si>
  <si>
    <t>197807152003121006</t>
  </si>
  <si>
    <t>DR. ISWADI HR, ST, MT</t>
  </si>
  <si>
    <t>197511042005012001</t>
  </si>
  <si>
    <t>DR.YUSNITA RAHAYU, ST, M.ENG</t>
  </si>
  <si>
    <t>III/a</t>
  </si>
  <si>
    <t>197310251998031002</t>
  </si>
  <si>
    <t>Dr. AHMAD FADLI, ST ,MT</t>
  </si>
  <si>
    <t>Ketua Jurusan A Gol. III</t>
  </si>
  <si>
    <t>197203012000031003</t>
  </si>
  <si>
    <t>Dr. AWALUDIN MARTIN, ST, MT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</si>
  <si>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</si>
  <si>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</si>
  <si>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</si>
  <si>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</si>
  <si>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</si>
  <si>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</si>
  <si>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</si>
  <si>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</si>
  <si>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</si>
  <si>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</si>
  <si>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</si>
  <si>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</si>
  <si>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</si>
  <si>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</si>
  <si>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</si>
  <si>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</si>
  <si>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</si>
  <si>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</si>
  <si>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</si>
  <si>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</si>
  <si>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</si>
  <si>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</si>
  <si>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Ketua Jurusan B Gol. III / Ketua Bagian FK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</si>
  <si>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</si>
  <si>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</si>
  <si>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</si>
  <si>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</si>
  <si>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</si>
  <si>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</si>
  <si>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</si>
  <si>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</si>
  <si>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</si>
  <si>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</si>
  <si>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</si>
  <si>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</si>
  <si>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</si>
  <si>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</si>
  <si>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</si>
  <si>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</si>
  <si>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</si>
  <si>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</si>
  <si>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</si>
  <si>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</si>
  <si>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</si>
  <si>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</si>
  <si>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</si>
  <si>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</si>
  <si>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</si>
  <si>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</si>
  <si>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</si>
  <si>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</si>
  <si>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</si>
  <si>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</si>
  <si>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</si>
  <si>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</si>
  <si>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</si>
  <si>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</si>
  <si>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</si>
  <si>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</si>
  <si>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</si>
  <si>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</si>
  <si>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</si>
  <si>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</si>
  <si>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</si>
  <si>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</si>
  <si>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</si>
  <si>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</si>
  <si>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</si>
  <si>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</si>
  <si>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</si>
  <si>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</si>
  <si>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</si>
  <si>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</si>
  <si>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</si>
  <si>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</si>
  <si>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</si>
  <si>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</si>
  <si>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</si>
  <si>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197406161999031004</t>
  </si>
  <si>
    <t>SIGIT SUTIKNO, ST, MT</t>
  </si>
  <si>
    <t>197906122005011003</t>
  </si>
  <si>
    <t>WAHYU HIDAYAT, ST, MURP</t>
  </si>
  <si>
    <t>197208051999031003</t>
  </si>
  <si>
    <t>WARMAN FATRA, ST, 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</si>
  <si>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</si>
  <si>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</si>
  <si>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</si>
  <si>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</si>
  <si>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</si>
  <si>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</si>
  <si>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197511271999031001</t>
  </si>
  <si>
    <t>ANDRE NOVAN, ST</t>
  </si>
  <si>
    <t>Asisten Ahli Gol. III</t>
  </si>
  <si>
    <t>198606122012121003</t>
  </si>
  <si>
    <t>ARYO SASMITA,ST,MT</t>
  </si>
  <si>
    <t>Teknik Lingkungan</t>
  </si>
  <si>
    <t>Dosen belum punya Jabatan Gol. III</t>
  </si>
  <si>
    <t>197111141998031001</t>
  </si>
  <si>
    <t>CHAIRUL, ST, MT</t>
  </si>
  <si>
    <t>198010042005011803</t>
  </si>
  <si>
    <t>DAVID ANDRIO, ST, M.SI</t>
  </si>
  <si>
    <t>198002212008121001</t>
  </si>
  <si>
    <t>DEDI ROSA PUTRA CUPU,ST</t>
  </si>
  <si>
    <t>197612072003121002</t>
  </si>
  <si>
    <t>DEDY MASNUR, ST, M.Eng</t>
  </si>
  <si>
    <t>197112141998032001</t>
  </si>
  <si>
    <t>DESI HELTINA, ST, MT</t>
  </si>
  <si>
    <t>195802101987021001</t>
  </si>
  <si>
    <t>DR.  FAJRIL AKBAR, M.SI</t>
  </si>
  <si>
    <t>Wakil Dekan I A Gol. IV</t>
  </si>
  <si>
    <t>196808041997031003</t>
  </si>
  <si>
    <t>DR.IR. BAHRUDDIN, MT</t>
  </si>
  <si>
    <t>195908231987022001</t>
  </si>
  <si>
    <t>DRA. DRASTINAWATI, M.SI</t>
  </si>
  <si>
    <t>196010121987022001</t>
  </si>
  <si>
    <t>DRA. KHAIRAT, M.SI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</si>
  <si>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</si>
  <si>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</si>
  <si>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</si>
  <si>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</si>
  <si>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</si>
  <si>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</si>
  <si>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196305041989032001</t>
  </si>
  <si>
    <t>DRA. ZULTINIAR, M.SI</t>
  </si>
  <si>
    <t>195910221987021001</t>
  </si>
  <si>
    <t>DRS. EDWARD. HS, MS</t>
  </si>
  <si>
    <t>196010031988031003</t>
  </si>
  <si>
    <t>DRS. SYAMSU HERMAN, MT</t>
  </si>
  <si>
    <t>197102131999031002</t>
  </si>
  <si>
    <t>Dr. IDRAL, ST, MT</t>
  </si>
  <si>
    <t>197201312000031001</t>
  </si>
  <si>
    <t>Dr.AMUN AMRI, ST, MT</t>
  </si>
  <si>
    <t>197612312002051001</t>
  </si>
  <si>
    <t>Dr.SYAWAL SATIBI , M.Sc</t>
  </si>
  <si>
    <t>197007061999031003</t>
  </si>
  <si>
    <t>EFI AFRIZAL, ST, MT</t>
  </si>
  <si>
    <t>197004081997022001</t>
  </si>
  <si>
    <t>ELVIE YENIE, ST, M.Eng</t>
  </si>
  <si>
    <t>197503142001122001</t>
  </si>
  <si>
    <t>EVELYN, ST, M.SC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</si>
  <si>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</si>
  <si>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</si>
  <si>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</si>
  <si>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</si>
  <si>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</si>
  <si>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</si>
  <si>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</si>
  <si>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</si>
  <si>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</si>
  <si>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</si>
  <si>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</si>
  <si>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</si>
  <si>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196202161990022001</t>
  </si>
  <si>
    <t>IR. ROZANNA SRI IRIANTI. M.SI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</si>
  <si>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</si>
  <si>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</si>
  <si>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</si>
  <si>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</si>
  <si>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</si>
  <si>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</si>
  <si>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</si>
  <si>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</si>
  <si>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>197905242005011002</t>
  </si>
  <si>
    <t>IWAN KURNIAWAN,ST,MT</t>
  </si>
  <si>
    <t>197709162005011002</t>
  </si>
  <si>
    <t>JECKY ASMURA, ST, MT</t>
  </si>
  <si>
    <t>197305291999031002</t>
  </si>
  <si>
    <t>JHON ARMEDI PINEM, ST ,MT</t>
  </si>
  <si>
    <t>198806062015041002</t>
  </si>
  <si>
    <t>KASPUL ANUAR , S.Pd . M.T</t>
  </si>
  <si>
    <t>197101141998032001</t>
  </si>
  <si>
    <t>KOMALASARI, ST, MT</t>
  </si>
  <si>
    <t>197101281997012001</t>
  </si>
  <si>
    <t>MARIA PERATENTA S. ST, MT</t>
  </si>
  <si>
    <t>197903082005012002</t>
  </si>
  <si>
    <t>MIRA DHARMA SUSILAWATI, ST, MT</t>
  </si>
  <si>
    <t>197011131999031002</t>
  </si>
  <si>
    <t>MUHAMMAD IWAN FERMI, ST</t>
  </si>
  <si>
    <t>197702062012121002</t>
  </si>
  <si>
    <t>MUHAMMAD REZA , S.T , M.Sc</t>
  </si>
  <si>
    <t>197504272005011002</t>
  </si>
  <si>
    <t>MUHAMMAD RIJAL, ST, MT</t>
  </si>
  <si>
    <t>Dosen Tugas Belajar Gol. III</t>
  </si>
  <si>
    <t>198310042008121001</t>
  </si>
  <si>
    <t>MUSTHAFA AKBAR, ST , MT</t>
  </si>
  <si>
    <t>197306161999031002</t>
  </si>
  <si>
    <t>PADIL, ST, MT</t>
  </si>
  <si>
    <t>196706011997031003</t>
  </si>
  <si>
    <t>PANCA SETIA UTAMA, ST, MT</t>
  </si>
  <si>
    <t>195810181987031001</t>
  </si>
  <si>
    <t>PROF. DR. ADRIANTO AHMAD, MT</t>
  </si>
  <si>
    <t>IV/d</t>
  </si>
  <si>
    <t>197805112012122001</t>
  </si>
  <si>
    <t>PUTRI NAWANGSARI,ST,M.Eng</t>
  </si>
  <si>
    <t>198602222008031001</t>
  </si>
  <si>
    <t>RAHMAT IMAN MAINIL, S.T, MT</t>
  </si>
  <si>
    <t>197507242005011001</t>
  </si>
  <si>
    <t>ROMY, ST, M.Eng</t>
  </si>
  <si>
    <t>196809271998031003</t>
  </si>
  <si>
    <t>S. ZUL AMRAINI, ST ,MT</t>
  </si>
  <si>
    <t>198607052010122005</t>
  </si>
  <si>
    <t>SHINTA ELYSTIA, ST, M.SI</t>
  </si>
  <si>
    <t>197405262000032003</t>
  </si>
  <si>
    <t>SRI HELIANTY, ST, MT</t>
  </si>
  <si>
    <t>197705092009122002</t>
  </si>
  <si>
    <t>SRI REZEKI MURIA, ST.MP.M.Sc</t>
  </si>
  <si>
    <t>197208171998031002</t>
  </si>
  <si>
    <t>SUNARNO, ST, MT</t>
  </si>
  <si>
    <t>198203312008121002</t>
  </si>
  <si>
    <t>SYAFRI,S.T</t>
  </si>
  <si>
    <t>198407122012122001</t>
  </si>
  <si>
    <t>SYELVIA PUTRI UTAMI, ST, M.Eng</t>
  </si>
  <si>
    <t>197301312000031001</t>
  </si>
  <si>
    <t>YOGIE RINALDY  GINTING, ST</t>
  </si>
  <si>
    <t>196901181997021001</t>
  </si>
  <si>
    <t>YOHANES, ST</t>
  </si>
  <si>
    <t>196902221997031001</t>
  </si>
  <si>
    <t>ZULFANSYAH, ST, MT</t>
  </si>
  <si>
    <t>198611112009121006</t>
  </si>
  <si>
    <t>SALHAZAN NASUTION, S.KOM., MIT</t>
  </si>
  <si>
    <t>Menyetujui,</t>
  </si>
  <si>
    <t>Palembang, 27 Juli 2017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</si>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</sst>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b56bf0e52d2c29d2109e6c03f8173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 t="s">
        <v>44</v>
      </c>
      <c r="I11" s="11">
        <v>2.67</v>
      </c>
      <c r="J11" s="11">
        <v>3</v>
      </c>
      <c r="K11" s="11">
        <v>0</v>
      </c>
      <c r="L11" s="11">
        <v>4.829999999999999</v>
      </c>
      <c r="M11" s="11">
        <v>1</v>
      </c>
      <c r="N11" s="11">
        <v>0</v>
      </c>
      <c r="O11" s="11">
        <v>0</v>
      </c>
      <c r="P11" s="11">
        <v>0</v>
      </c>
      <c r="Q11" s="11">
        <v>5.829999999999999</v>
      </c>
      <c r="R11" s="11">
        <v>3.46</v>
      </c>
      <c r="S11" s="11">
        <v>9.289999999999999</v>
      </c>
      <c r="T11" s="11">
        <v>2.67</v>
      </c>
      <c r="U11" s="11">
        <v>3</v>
      </c>
      <c r="V11" s="11">
        <v>3.619999999999999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(Y11/2.67)*1914600</f>
        <v>0</v>
      </c>
      <c r="AC11" s="15" t="str">
        <f>(Z11/3)*4467500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45</v>
      </c>
      <c r="C12" s="10" t="s">
        <v>46</v>
      </c>
      <c r="D12" s="7" t="s">
        <v>40</v>
      </c>
      <c r="E12" s="7" t="s">
        <v>47</v>
      </c>
      <c r="F12" s="7" t="s">
        <v>42</v>
      </c>
      <c r="G12" s="7" t="s">
        <v>48</v>
      </c>
      <c r="H12" s="7" t="s">
        <v>44</v>
      </c>
      <c r="I12" s="11">
        <v>2.67</v>
      </c>
      <c r="J12" s="11">
        <v>3</v>
      </c>
      <c r="K12" s="11">
        <v>0</v>
      </c>
      <c r="L12" s="11">
        <v>4.23</v>
      </c>
      <c r="M12" s="11">
        <v>1</v>
      </c>
      <c r="N12" s="11">
        <v>0</v>
      </c>
      <c r="O12" s="11">
        <v>0</v>
      </c>
      <c r="P12" s="11">
        <v>0</v>
      </c>
      <c r="Q12" s="11">
        <v>5.23</v>
      </c>
      <c r="R12" s="11">
        <v>3.910000000000001</v>
      </c>
      <c r="S12" s="11">
        <v>9.140000000000001</v>
      </c>
      <c r="T12" s="11">
        <v>2.67</v>
      </c>
      <c r="U12" s="11">
        <v>3</v>
      </c>
      <c r="V12" s="11">
        <v>3.470000000000001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(Y12/2.67)*1914600</f>
        <v>0</v>
      </c>
      <c r="AC12" s="15" t="str">
        <f>(Z12/3)*4467500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 t="s">
        <v>43</v>
      </c>
      <c r="H13" s="7" t="s">
        <v>44</v>
      </c>
      <c r="I13" s="11">
        <v>2.67</v>
      </c>
      <c r="J13" s="11">
        <v>3</v>
      </c>
      <c r="K13" s="11">
        <v>0</v>
      </c>
      <c r="L13" s="11">
        <v>2.27</v>
      </c>
      <c r="M13" s="11">
        <v>0</v>
      </c>
      <c r="N13" s="11">
        <v>0</v>
      </c>
      <c r="O13" s="11">
        <v>0</v>
      </c>
      <c r="P13" s="11">
        <v>0</v>
      </c>
      <c r="Q13" s="11">
        <v>2.27</v>
      </c>
      <c r="R13" s="11">
        <v>0.73</v>
      </c>
      <c r="S13" s="11">
        <v>3</v>
      </c>
      <c r="T13" s="11">
        <v>2.67</v>
      </c>
      <c r="U13" s="11">
        <v>0.3300000000000001</v>
      </c>
      <c r="V13" s="11">
        <v>0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(Y13/2.67)*1914600</f>
        <v>0</v>
      </c>
      <c r="AC13" s="15" t="str">
        <f>(Z13/3)*4467500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55</v>
      </c>
      <c r="E14" s="7" t="s">
        <v>41</v>
      </c>
      <c r="F14" s="7" t="s">
        <v>56</v>
      </c>
      <c r="G14" s="7" t="s">
        <v>43</v>
      </c>
      <c r="H14" s="7" t="s">
        <v>44</v>
      </c>
      <c r="I14" s="11">
        <v>2</v>
      </c>
      <c r="J14" s="11">
        <v>3</v>
      </c>
      <c r="K14" s="11">
        <v>0</v>
      </c>
      <c r="L14" s="11">
        <v>8.119999999999997</v>
      </c>
      <c r="M14" s="11">
        <v>0.33</v>
      </c>
      <c r="N14" s="11">
        <v>0</v>
      </c>
      <c r="O14" s="11">
        <v>0</v>
      </c>
      <c r="P14" s="11">
        <v>0</v>
      </c>
      <c r="Q14" s="11">
        <v>8.449999999999999</v>
      </c>
      <c r="R14" s="11">
        <v>7.26</v>
      </c>
      <c r="S14" s="11">
        <v>15.71</v>
      </c>
      <c r="T14" s="11">
        <v>2</v>
      </c>
      <c r="U14" s="11">
        <v>3</v>
      </c>
      <c r="V14" s="11">
        <v>10.71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(Y14/2)*1585250</f>
        <v>0</v>
      </c>
      <c r="AC14" s="15" t="str">
        <f>(Z14/3)*3699000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40</v>
      </c>
      <c r="E15" s="7" t="s">
        <v>59</v>
      </c>
      <c r="F15" s="7" t="s">
        <v>56</v>
      </c>
      <c r="G15" s="7" t="s">
        <v>43</v>
      </c>
      <c r="H15" s="7" t="s">
        <v>44</v>
      </c>
      <c r="I15" s="11">
        <v>2</v>
      </c>
      <c r="J15" s="11">
        <v>3</v>
      </c>
      <c r="K15" s="11">
        <v>0</v>
      </c>
      <c r="L15" s="11">
        <v>2.16</v>
      </c>
      <c r="M15" s="11">
        <v>0</v>
      </c>
      <c r="N15" s="11">
        <v>0</v>
      </c>
      <c r="O15" s="11">
        <v>0</v>
      </c>
      <c r="P15" s="11">
        <v>0</v>
      </c>
      <c r="Q15" s="11">
        <v>2.16</v>
      </c>
      <c r="R15" s="11">
        <v>0.8999999999999999</v>
      </c>
      <c r="S15" s="11">
        <v>3.06</v>
      </c>
      <c r="T15" s="11">
        <v>2</v>
      </c>
      <c r="U15" s="11">
        <v>1.06</v>
      </c>
      <c r="V15" s="11">
        <v>0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(Y15/2)*1585250</f>
        <v>0</v>
      </c>
      <c r="AC15" s="15" t="str">
        <f>(Z15/3)*3699000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59</v>
      </c>
      <c r="F16" s="7" t="s">
        <v>56</v>
      </c>
      <c r="G16" s="7" t="s">
        <v>43</v>
      </c>
      <c r="H16" s="7" t="s">
        <v>44</v>
      </c>
      <c r="I16" s="11">
        <v>2</v>
      </c>
      <c r="J16" s="11">
        <v>3</v>
      </c>
      <c r="K16" s="11">
        <v>0</v>
      </c>
      <c r="L16" s="11">
        <v>3.630000000000002</v>
      </c>
      <c r="M16" s="11">
        <v>0.66</v>
      </c>
      <c r="N16" s="11">
        <v>0</v>
      </c>
      <c r="O16" s="11">
        <v>0</v>
      </c>
      <c r="P16" s="11">
        <v>0</v>
      </c>
      <c r="Q16" s="11">
        <v>4.290000000000002</v>
      </c>
      <c r="R16" s="11">
        <v>5.330000000000001</v>
      </c>
      <c r="S16" s="11">
        <v>9.620000000000003</v>
      </c>
      <c r="T16" s="11">
        <v>2</v>
      </c>
      <c r="U16" s="11">
        <v>3</v>
      </c>
      <c r="V16" s="11">
        <v>4.620000000000003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(Y16/2)*1585250</f>
        <v>0</v>
      </c>
      <c r="AC16" s="15" t="str">
        <f>(Z16/3)*3699000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65</v>
      </c>
      <c r="E17" s="7" t="s">
        <v>52</v>
      </c>
      <c r="F17" s="7" t="s">
        <v>56</v>
      </c>
      <c r="G17" s="7" t="s">
        <v>43</v>
      </c>
      <c r="H17" s="7" t="s">
        <v>66</v>
      </c>
      <c r="I17" s="11">
        <v>2</v>
      </c>
      <c r="J17" s="11">
        <v>3</v>
      </c>
      <c r="K17" s="11">
        <v>0.67</v>
      </c>
      <c r="L17" s="11">
        <v>7.759999999999997</v>
      </c>
      <c r="M17" s="11">
        <v>2.33</v>
      </c>
      <c r="N17" s="11">
        <v>0</v>
      </c>
      <c r="O17" s="11">
        <v>0</v>
      </c>
      <c r="P17" s="11">
        <v>1.66</v>
      </c>
      <c r="Q17" s="11">
        <v>12.42</v>
      </c>
      <c r="R17" s="11">
        <v>18.63</v>
      </c>
      <c r="S17" s="11">
        <v>31.05</v>
      </c>
      <c r="T17" s="11">
        <v>2</v>
      </c>
      <c r="U17" s="11">
        <v>3</v>
      </c>
      <c r="V17" s="11">
        <v>26.05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(Y17/2)*1914600</f>
        <v>0</v>
      </c>
      <c r="AC17" s="15" t="str">
        <f>(Z17/3)*4690875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69</v>
      </c>
      <c r="E18" s="7" t="s">
        <v>41</v>
      </c>
      <c r="F18" s="7" t="s">
        <v>56</v>
      </c>
      <c r="G18" s="7" t="s">
        <v>48</v>
      </c>
      <c r="H18" s="7" t="s">
        <v>44</v>
      </c>
      <c r="I18" s="11">
        <v>2</v>
      </c>
      <c r="J18" s="11">
        <v>3</v>
      </c>
      <c r="K18" s="11">
        <v>0</v>
      </c>
      <c r="L18" s="11">
        <v>4.010000000000002</v>
      </c>
      <c r="M18" s="11">
        <v>0</v>
      </c>
      <c r="N18" s="11">
        <v>0</v>
      </c>
      <c r="O18" s="11">
        <v>0</v>
      </c>
      <c r="P18" s="11">
        <v>0</v>
      </c>
      <c r="Q18" s="11">
        <v>4.010000000000002</v>
      </c>
      <c r="R18" s="11">
        <v>1.4</v>
      </c>
      <c r="S18" s="11">
        <v>5.410000000000002</v>
      </c>
      <c r="T18" s="11">
        <v>2</v>
      </c>
      <c r="U18" s="11">
        <v>3</v>
      </c>
      <c r="V18" s="11">
        <v>0.4100000000000019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(Y18/2)*1585250</f>
        <v>0</v>
      </c>
      <c r="AC18" s="15" t="str">
        <f>(Z18/3)*3699000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59</v>
      </c>
      <c r="F19" s="7" t="s">
        <v>56</v>
      </c>
      <c r="G19" s="7" t="s">
        <v>43</v>
      </c>
      <c r="H19" s="7" t="s">
        <v>44</v>
      </c>
      <c r="I19" s="11">
        <v>2</v>
      </c>
      <c r="J19" s="11">
        <v>3</v>
      </c>
      <c r="K19" s="11">
        <v>0</v>
      </c>
      <c r="L19" s="11">
        <v>1.66</v>
      </c>
      <c r="M19" s="11">
        <v>0.33</v>
      </c>
      <c r="N19" s="11">
        <v>0</v>
      </c>
      <c r="O19" s="11">
        <v>0</v>
      </c>
      <c r="P19" s="11">
        <v>0</v>
      </c>
      <c r="Q19" s="11">
        <v>1.99</v>
      </c>
      <c r="R19" s="11">
        <v>0.9800000000000001</v>
      </c>
      <c r="S19" s="11">
        <v>2.97</v>
      </c>
      <c r="T19" s="11">
        <v>2</v>
      </c>
      <c r="U19" s="11">
        <v>0.9700000000000002</v>
      </c>
      <c r="V19" s="11">
        <v>0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(Y19/2)*1585250</f>
        <v>0</v>
      </c>
      <c r="AC19" s="15" t="str">
        <f>(Z19/3)*3699000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55</v>
      </c>
      <c r="E20" s="7" t="s">
        <v>41</v>
      </c>
      <c r="F20" s="7" t="s">
        <v>56</v>
      </c>
      <c r="G20" s="7" t="s">
        <v>43</v>
      </c>
      <c r="H20" s="7" t="s">
        <v>44</v>
      </c>
      <c r="I20" s="11">
        <v>2</v>
      </c>
      <c r="J20" s="11">
        <v>3</v>
      </c>
      <c r="K20" s="11">
        <v>0</v>
      </c>
      <c r="L20" s="11">
        <v>3.470000000000001</v>
      </c>
      <c r="M20" s="11">
        <v>0</v>
      </c>
      <c r="N20" s="11">
        <v>0</v>
      </c>
      <c r="O20" s="11">
        <v>0</v>
      </c>
      <c r="P20" s="11">
        <v>0</v>
      </c>
      <c r="Q20" s="11">
        <v>3.470000000000001</v>
      </c>
      <c r="R20" s="11">
        <v>2.24</v>
      </c>
      <c r="S20" s="11">
        <v>5.710000000000001</v>
      </c>
      <c r="T20" s="11">
        <v>2</v>
      </c>
      <c r="U20" s="11">
        <v>3</v>
      </c>
      <c r="V20" s="11">
        <v>0.7100000000000009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(Y20/2)*1585250</f>
        <v>0</v>
      </c>
      <c r="AC20" s="15" t="str">
        <f>(Z20/3)*3699000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62</v>
      </c>
      <c r="E21" s="7" t="s">
        <v>41</v>
      </c>
      <c r="F21" s="7" t="s">
        <v>56</v>
      </c>
      <c r="G21" s="7" t="s">
        <v>43</v>
      </c>
      <c r="H21" s="7" t="s">
        <v>44</v>
      </c>
      <c r="I21" s="11">
        <v>2</v>
      </c>
      <c r="J21" s="11">
        <v>3</v>
      </c>
      <c r="K21" s="11">
        <v>0</v>
      </c>
      <c r="L21" s="11">
        <v>8.139999999999992</v>
      </c>
      <c r="M21" s="11">
        <v>0.33</v>
      </c>
      <c r="N21" s="11">
        <v>0</v>
      </c>
      <c r="O21" s="11">
        <v>0</v>
      </c>
      <c r="P21" s="11">
        <v>0.83</v>
      </c>
      <c r="Q21" s="11">
        <v>9.299999999999992</v>
      </c>
      <c r="R21" s="11">
        <v>6.780000000000001</v>
      </c>
      <c r="S21" s="11">
        <v>16.07999999999999</v>
      </c>
      <c r="T21" s="11">
        <v>2</v>
      </c>
      <c r="U21" s="11">
        <v>3</v>
      </c>
      <c r="V21" s="11">
        <v>11.07999999999999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(Y21/2)*1585250</f>
        <v>0</v>
      </c>
      <c r="AC21" s="15" t="str">
        <f>(Z21/3)*3699000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78</v>
      </c>
      <c r="E22" s="7" t="s">
        <v>41</v>
      </c>
      <c r="F22" s="7" t="s">
        <v>56</v>
      </c>
      <c r="G22" s="7" t="s">
        <v>43</v>
      </c>
      <c r="H22" s="7" t="s">
        <v>44</v>
      </c>
      <c r="I22" s="11">
        <v>2</v>
      </c>
      <c r="J22" s="11">
        <v>3</v>
      </c>
      <c r="K22" s="11">
        <v>0</v>
      </c>
      <c r="L22" s="11">
        <v>3.120000000000001</v>
      </c>
      <c r="M22" s="11">
        <v>0.17</v>
      </c>
      <c r="N22" s="11">
        <v>0</v>
      </c>
      <c r="O22" s="11">
        <v>0</v>
      </c>
      <c r="P22" s="11">
        <v>0</v>
      </c>
      <c r="Q22" s="11">
        <v>3.290000000000001</v>
      </c>
      <c r="R22" s="11">
        <v>1.13</v>
      </c>
      <c r="S22" s="11">
        <v>4.420000000000001</v>
      </c>
      <c r="T22" s="11">
        <v>2</v>
      </c>
      <c r="U22" s="11">
        <v>2.420000000000001</v>
      </c>
      <c r="V22" s="11">
        <v>0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(Y22/2)*1585250</f>
        <v>0</v>
      </c>
      <c r="AC22" s="15" t="str">
        <f>(Z22/3)*3699000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69</v>
      </c>
      <c r="E23" s="7" t="s">
        <v>41</v>
      </c>
      <c r="F23" s="7" t="s">
        <v>56</v>
      </c>
      <c r="G23" s="7" t="s">
        <v>48</v>
      </c>
      <c r="H23" s="7" t="s">
        <v>44</v>
      </c>
      <c r="I23" s="11">
        <v>2</v>
      </c>
      <c r="J23" s="11">
        <v>3</v>
      </c>
      <c r="K23" s="11">
        <v>0</v>
      </c>
      <c r="L23" s="11">
        <v>2.85</v>
      </c>
      <c r="M23" s="11">
        <v>1.33</v>
      </c>
      <c r="N23" s="11">
        <v>0</v>
      </c>
      <c r="O23" s="11">
        <v>0</v>
      </c>
      <c r="P23" s="11">
        <v>0</v>
      </c>
      <c r="Q23" s="11">
        <v>4.18</v>
      </c>
      <c r="R23" s="11">
        <v>1.24</v>
      </c>
      <c r="S23" s="11">
        <v>5.42</v>
      </c>
      <c r="T23" s="11">
        <v>2</v>
      </c>
      <c r="U23" s="11">
        <v>3</v>
      </c>
      <c r="V23" s="11">
        <v>0.4199999999999999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(Y23/2)*1585250</f>
        <v>0</v>
      </c>
      <c r="AC23" s="15" t="str">
        <f>(Z23/3)*3699000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62</v>
      </c>
      <c r="E24" s="7" t="s">
        <v>83</v>
      </c>
      <c r="F24" s="7" t="s">
        <v>84</v>
      </c>
      <c r="G24" s="7" t="s">
        <v>48</v>
      </c>
      <c r="H24" s="7" t="s">
        <v>85</v>
      </c>
      <c r="I24" s="11">
        <v>2</v>
      </c>
      <c r="J24" s="11">
        <v>3</v>
      </c>
      <c r="K24" s="11">
        <v>1</v>
      </c>
      <c r="L24" s="11">
        <v>7.780000000000002</v>
      </c>
      <c r="M24" s="11">
        <v>0</v>
      </c>
      <c r="N24" s="11">
        <v>0</v>
      </c>
      <c r="O24" s="11">
        <v>0</v>
      </c>
      <c r="P24" s="11">
        <v>0</v>
      </c>
      <c r="Q24" s="11">
        <v>8.780000000000001</v>
      </c>
      <c r="R24" s="11">
        <v>8.270000000000001</v>
      </c>
      <c r="S24" s="11">
        <v>17.05</v>
      </c>
      <c r="T24" s="11">
        <v>2</v>
      </c>
      <c r="U24" s="11">
        <v>3</v>
      </c>
      <c r="V24" s="11">
        <v>12.05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(Y24/2)*1917975</f>
        <v>0</v>
      </c>
      <c r="AC24" s="15" t="str">
        <f>(Z24/3)*4609636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86</v>
      </c>
      <c r="C25" s="10" t="s">
        <v>87</v>
      </c>
      <c r="D25" s="7" t="s">
        <v>55</v>
      </c>
      <c r="E25" s="7" t="s">
        <v>41</v>
      </c>
      <c r="F25" s="7" t="s">
        <v>56</v>
      </c>
      <c r="G25" s="7" t="s">
        <v>48</v>
      </c>
      <c r="H25" s="7"/>
      <c r="I25" s="11">
        <v>2</v>
      </c>
      <c r="J25" s="11">
        <v>3</v>
      </c>
      <c r="K25" s="11">
        <v>0</v>
      </c>
      <c r="L25" s="11">
        <v>6.939999999999999</v>
      </c>
      <c r="M25" s="11">
        <v>0</v>
      </c>
      <c r="N25" s="11">
        <v>0</v>
      </c>
      <c r="O25" s="11">
        <v>0</v>
      </c>
      <c r="P25" s="11">
        <v>0</v>
      </c>
      <c r="Q25" s="11">
        <v>6.939999999999999</v>
      </c>
      <c r="R25" s="11">
        <v>3.250000000000001</v>
      </c>
      <c r="S25" s="11">
        <v>10.19</v>
      </c>
      <c r="T25" s="11">
        <v>2</v>
      </c>
      <c r="U25" s="11">
        <v>3</v>
      </c>
      <c r="V25" s="11">
        <v>5.19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(Y25/2)*1585250</f>
        <v>0</v>
      </c>
      <c r="AC25" s="15" t="str">
        <f>(Z25/3)*3699000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55</v>
      </c>
      <c r="E26" s="7" t="s">
        <v>41</v>
      </c>
      <c r="F26" s="7" t="s">
        <v>56</v>
      </c>
      <c r="G26" s="7" t="s">
        <v>48</v>
      </c>
      <c r="H26" s="7" t="s">
        <v>44</v>
      </c>
      <c r="I26" s="11">
        <v>2</v>
      </c>
      <c r="J26" s="11">
        <v>3</v>
      </c>
      <c r="K26" s="11">
        <v>0</v>
      </c>
      <c r="L26" s="11">
        <v>7.970000000000002</v>
      </c>
      <c r="M26" s="11">
        <v>0.5</v>
      </c>
      <c r="N26" s="11">
        <v>0</v>
      </c>
      <c r="O26" s="11">
        <v>0</v>
      </c>
      <c r="P26" s="11">
        <v>0.83</v>
      </c>
      <c r="Q26" s="11">
        <v>9.300000000000002</v>
      </c>
      <c r="R26" s="11">
        <v>8.209999999999999</v>
      </c>
      <c r="S26" s="11">
        <v>17.51</v>
      </c>
      <c r="T26" s="11">
        <v>2</v>
      </c>
      <c r="U26" s="11">
        <v>3</v>
      </c>
      <c r="V26" s="11">
        <v>12.51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(Y26/2)*1585250</f>
        <v>0</v>
      </c>
      <c r="AC26" s="15" t="str">
        <f>(Z26/3)*3699000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55</v>
      </c>
      <c r="E27" s="7" t="s">
        <v>41</v>
      </c>
      <c r="F27" s="7" t="s">
        <v>56</v>
      </c>
      <c r="G27" s="7" t="s">
        <v>48</v>
      </c>
      <c r="H27" s="7" t="s">
        <v>44</v>
      </c>
      <c r="I27" s="11">
        <v>2</v>
      </c>
      <c r="J27" s="11">
        <v>3</v>
      </c>
      <c r="K27" s="11">
        <v>0</v>
      </c>
      <c r="L27" s="11">
        <v>7.859999999999998</v>
      </c>
      <c r="M27" s="11">
        <v>1</v>
      </c>
      <c r="N27" s="11">
        <v>0</v>
      </c>
      <c r="O27" s="11">
        <v>0</v>
      </c>
      <c r="P27" s="11">
        <v>0.17</v>
      </c>
      <c r="Q27" s="11">
        <v>9.029999999999998</v>
      </c>
      <c r="R27" s="11">
        <v>8.85</v>
      </c>
      <c r="S27" s="11">
        <v>17.88</v>
      </c>
      <c r="T27" s="11">
        <v>2</v>
      </c>
      <c r="U27" s="11">
        <v>3</v>
      </c>
      <c r="V27" s="11">
        <v>12.88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(Y27/2)*1585250</f>
        <v>0</v>
      </c>
      <c r="AC27" s="15" t="str">
        <f>(Z27/3)*3699000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78</v>
      </c>
      <c r="E28" s="7" t="s">
        <v>59</v>
      </c>
      <c r="F28" s="7" t="s">
        <v>56</v>
      </c>
      <c r="G28" s="7" t="s">
        <v>43</v>
      </c>
      <c r="H28" s="7" t="s">
        <v>44</v>
      </c>
      <c r="I28" s="11">
        <v>2</v>
      </c>
      <c r="J28" s="11">
        <v>3</v>
      </c>
      <c r="K28" s="11">
        <v>0</v>
      </c>
      <c r="L28" s="11">
        <v>3.720000000000002</v>
      </c>
      <c r="M28" s="11">
        <v>0.34</v>
      </c>
      <c r="N28" s="11">
        <v>0</v>
      </c>
      <c r="O28" s="11">
        <v>0</v>
      </c>
      <c r="P28" s="11">
        <v>0</v>
      </c>
      <c r="Q28" s="11">
        <v>4.06</v>
      </c>
      <c r="R28" s="11">
        <v>1.42</v>
      </c>
      <c r="S28" s="11">
        <v>5.48</v>
      </c>
      <c r="T28" s="11">
        <v>2</v>
      </c>
      <c r="U28" s="11">
        <v>3</v>
      </c>
      <c r="V28" s="11">
        <v>0.4800000000000004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(Y28/2)*1585250</f>
        <v>0</v>
      </c>
      <c r="AC28" s="15" t="str">
        <f>(Z28/3)*3699000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62</v>
      </c>
      <c r="E29" s="7" t="s">
        <v>41</v>
      </c>
      <c r="F29" s="7" t="s">
        <v>56</v>
      </c>
      <c r="G29" s="7" t="s">
        <v>43</v>
      </c>
      <c r="H29" s="7" t="s">
        <v>44</v>
      </c>
      <c r="I29" s="11">
        <v>2</v>
      </c>
      <c r="J29" s="11">
        <v>3</v>
      </c>
      <c r="K29" s="11">
        <v>0</v>
      </c>
      <c r="L29" s="11">
        <v>4.1</v>
      </c>
      <c r="M29" s="11">
        <v>0.33</v>
      </c>
      <c r="N29" s="11">
        <v>0</v>
      </c>
      <c r="O29" s="11">
        <v>0</v>
      </c>
      <c r="P29" s="11">
        <v>0</v>
      </c>
      <c r="Q29" s="11">
        <v>4.43</v>
      </c>
      <c r="R29" s="11">
        <v>5.890000000000001</v>
      </c>
      <c r="S29" s="11">
        <v>10.32</v>
      </c>
      <c r="T29" s="11">
        <v>2</v>
      </c>
      <c r="U29" s="11">
        <v>3</v>
      </c>
      <c r="V29" s="11">
        <v>5.32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(Y29/2)*1585250</f>
        <v>0</v>
      </c>
      <c r="AC29" s="15" t="str">
        <f>(Z29/3)*3699000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62</v>
      </c>
      <c r="E30" s="7" t="s">
        <v>41</v>
      </c>
      <c r="F30" s="7" t="s">
        <v>56</v>
      </c>
      <c r="G30" s="7" t="s">
        <v>43</v>
      </c>
      <c r="H30" s="7" t="s">
        <v>44</v>
      </c>
      <c r="I30" s="11">
        <v>2</v>
      </c>
      <c r="J30" s="11">
        <v>3</v>
      </c>
      <c r="K30" s="11">
        <v>0</v>
      </c>
      <c r="L30" s="11">
        <v>8.030000000000003</v>
      </c>
      <c r="M30" s="11">
        <v>0.33</v>
      </c>
      <c r="N30" s="11">
        <v>0</v>
      </c>
      <c r="O30" s="11">
        <v>0</v>
      </c>
      <c r="P30" s="11">
        <v>0.83</v>
      </c>
      <c r="Q30" s="11">
        <v>9.190000000000003</v>
      </c>
      <c r="R30" s="11">
        <v>15.68</v>
      </c>
      <c r="S30" s="11">
        <v>24.87</v>
      </c>
      <c r="T30" s="11">
        <v>2</v>
      </c>
      <c r="U30" s="11">
        <v>3</v>
      </c>
      <c r="V30" s="11">
        <v>19.87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(Y30/2)*1585250</f>
        <v>0</v>
      </c>
      <c r="AC30" s="15" t="str">
        <f>(Z30/3)*3699000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78</v>
      </c>
      <c r="E31" s="7" t="s">
        <v>41</v>
      </c>
      <c r="F31" s="7" t="s">
        <v>56</v>
      </c>
      <c r="G31" s="7" t="s">
        <v>43</v>
      </c>
      <c r="H31" s="7" t="s">
        <v>44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(Y31/2)*1585250</f>
        <v>0</v>
      </c>
      <c r="AC31" s="15" t="str">
        <f>(Z31/3)*3699000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62</v>
      </c>
      <c r="E32" s="7" t="s">
        <v>41</v>
      </c>
      <c r="F32" s="7" t="s">
        <v>56</v>
      </c>
      <c r="G32" s="7" t="s">
        <v>43</v>
      </c>
      <c r="H32" s="7" t="s">
        <v>66</v>
      </c>
      <c r="I32" s="11">
        <v>2</v>
      </c>
      <c r="J32" s="11">
        <v>3</v>
      </c>
      <c r="K32" s="11">
        <v>0.67</v>
      </c>
      <c r="L32" s="11">
        <v>7.71</v>
      </c>
      <c r="M32" s="11">
        <v>0.5</v>
      </c>
      <c r="N32" s="11">
        <v>0</v>
      </c>
      <c r="O32" s="11">
        <v>0.11</v>
      </c>
      <c r="P32" s="11">
        <v>0</v>
      </c>
      <c r="Q32" s="11">
        <v>8.99</v>
      </c>
      <c r="R32" s="11">
        <v>12.2</v>
      </c>
      <c r="S32" s="11">
        <v>21.19</v>
      </c>
      <c r="T32" s="11">
        <v>2</v>
      </c>
      <c r="U32" s="11">
        <v>3</v>
      </c>
      <c r="V32" s="11">
        <v>16.19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(Y32/2)*1914600</f>
        <v>0</v>
      </c>
      <c r="AC32" s="15" t="str">
        <f>(Z32/3)*4690875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62</v>
      </c>
      <c r="E33" s="7" t="s">
        <v>41</v>
      </c>
      <c r="F33" s="7" t="s">
        <v>56</v>
      </c>
      <c r="G33" s="7" t="s">
        <v>43</v>
      </c>
      <c r="H33" s="7" t="s">
        <v>44</v>
      </c>
      <c r="I33" s="11">
        <v>2</v>
      </c>
      <c r="J33" s="11">
        <v>3</v>
      </c>
      <c r="K33" s="11">
        <v>0</v>
      </c>
      <c r="L33" s="11">
        <v>6.030000000000005</v>
      </c>
      <c r="M33" s="11">
        <v>1</v>
      </c>
      <c r="N33" s="11">
        <v>0</v>
      </c>
      <c r="O33" s="11">
        <v>0.11</v>
      </c>
      <c r="P33" s="11">
        <v>0.17</v>
      </c>
      <c r="Q33" s="11">
        <v>7.310000000000005</v>
      </c>
      <c r="R33" s="11">
        <v>7.13</v>
      </c>
      <c r="S33" s="11">
        <v>14.44</v>
      </c>
      <c r="T33" s="11">
        <v>2</v>
      </c>
      <c r="U33" s="11">
        <v>3</v>
      </c>
      <c r="V33" s="11">
        <v>9.440000000000005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(Y33/2)*1585250</f>
        <v>0</v>
      </c>
      <c r="AC33" s="15" t="str">
        <f>(Z33/3)*3699000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55</v>
      </c>
      <c r="E34" s="7" t="s">
        <v>83</v>
      </c>
      <c r="F34" s="7" t="s">
        <v>84</v>
      </c>
      <c r="G34" s="7" t="s">
        <v>43</v>
      </c>
      <c r="H34" s="7" t="s">
        <v>44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(Y34/2)*1426725</f>
        <v>0</v>
      </c>
      <c r="AC34" s="15" t="str">
        <f>(Z34/3)*3329100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56</v>
      </c>
      <c r="G35" s="7" t="s">
        <v>43</v>
      </c>
      <c r="H35" s="7" t="s">
        <v>44</v>
      </c>
      <c r="I35" s="11">
        <v>2</v>
      </c>
      <c r="J35" s="11">
        <v>3</v>
      </c>
      <c r="K35" s="11">
        <v>0</v>
      </c>
      <c r="L35" s="11">
        <v>9.619999999999976</v>
      </c>
      <c r="M35" s="11">
        <v>0.33</v>
      </c>
      <c r="N35" s="11">
        <v>0</v>
      </c>
      <c r="O35" s="11">
        <v>0.11</v>
      </c>
      <c r="P35" s="11">
        <v>0.83</v>
      </c>
      <c r="Q35" s="11">
        <v>10.88999999999998</v>
      </c>
      <c r="R35" s="11">
        <v>13.51</v>
      </c>
      <c r="S35" s="11">
        <v>24.39999999999998</v>
      </c>
      <c r="T35" s="11">
        <v>2</v>
      </c>
      <c r="U35" s="11">
        <v>3</v>
      </c>
      <c r="V35" s="11">
        <v>19.39999999999998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(Y35/2)*1585250</f>
        <v>0</v>
      </c>
      <c r="AC35" s="15" t="str">
        <f>(Z35/3)*3699000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69</v>
      </c>
      <c r="E36" s="7" t="s">
        <v>41</v>
      </c>
      <c r="F36" s="7" t="s">
        <v>56</v>
      </c>
      <c r="G36" s="7" t="s">
        <v>43</v>
      </c>
      <c r="H36" s="7" t="s">
        <v>44</v>
      </c>
      <c r="I36" s="11">
        <v>2</v>
      </c>
      <c r="J36" s="11">
        <v>3</v>
      </c>
      <c r="K36" s="11">
        <v>0</v>
      </c>
      <c r="L36" s="11">
        <v>3.21</v>
      </c>
      <c r="M36" s="11">
        <v>0</v>
      </c>
      <c r="N36" s="11">
        <v>0</v>
      </c>
      <c r="O36" s="11">
        <v>0</v>
      </c>
      <c r="P36" s="11">
        <v>0</v>
      </c>
      <c r="Q36" s="11">
        <v>3.21</v>
      </c>
      <c r="R36" s="11">
        <v>1.6</v>
      </c>
      <c r="S36" s="11">
        <v>4.81</v>
      </c>
      <c r="T36" s="11">
        <v>2</v>
      </c>
      <c r="U36" s="11">
        <v>2.81</v>
      </c>
      <c r="V36" s="11">
        <v>0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(Y36/2)*1585250</f>
        <v>0</v>
      </c>
      <c r="AC36" s="15" t="str">
        <f>(Z36/3)*3699000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112</v>
      </c>
      <c r="E37" s="7" t="s">
        <v>52</v>
      </c>
      <c r="F37" s="7" t="s">
        <v>56</v>
      </c>
      <c r="G37" s="7" t="s">
        <v>43</v>
      </c>
      <c r="H37" s="7" t="s">
        <v>44</v>
      </c>
      <c r="I37" s="11">
        <v>2</v>
      </c>
      <c r="J37" s="11">
        <v>3</v>
      </c>
      <c r="K37" s="11">
        <v>0</v>
      </c>
      <c r="L37" s="11">
        <v>3.180000000000001</v>
      </c>
      <c r="M37" s="11">
        <v>0.66</v>
      </c>
      <c r="N37" s="11">
        <v>0</v>
      </c>
      <c r="O37" s="11">
        <v>0</v>
      </c>
      <c r="P37" s="11">
        <v>0</v>
      </c>
      <c r="Q37" s="11">
        <v>3.840000000000002</v>
      </c>
      <c r="R37" s="11">
        <v>1.78</v>
      </c>
      <c r="S37" s="11">
        <v>5.620000000000002</v>
      </c>
      <c r="T37" s="11">
        <v>2</v>
      </c>
      <c r="U37" s="11">
        <v>3</v>
      </c>
      <c r="V37" s="11">
        <v>0.6200000000000019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(Y37/2)*1585250</f>
        <v>0</v>
      </c>
      <c r="AC37" s="15" t="str">
        <f>(Z37/3)*3699000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55</v>
      </c>
      <c r="E38" s="7" t="s">
        <v>41</v>
      </c>
      <c r="F38" s="7" t="s">
        <v>56</v>
      </c>
      <c r="G38" s="7" t="s">
        <v>43</v>
      </c>
      <c r="H38" s="7" t="s">
        <v>44</v>
      </c>
      <c r="I38" s="11">
        <v>2</v>
      </c>
      <c r="J38" s="11">
        <v>3</v>
      </c>
      <c r="K38" s="11">
        <v>0</v>
      </c>
      <c r="L38" s="11">
        <v>2.4</v>
      </c>
      <c r="M38" s="11">
        <v>0.33</v>
      </c>
      <c r="N38" s="11">
        <v>0</v>
      </c>
      <c r="O38" s="11">
        <v>0</v>
      </c>
      <c r="P38" s="11">
        <v>0.17</v>
      </c>
      <c r="Q38" s="11">
        <v>2.9</v>
      </c>
      <c r="R38" s="11">
        <v>6.539999999999999</v>
      </c>
      <c r="S38" s="11">
        <v>9.44</v>
      </c>
      <c r="T38" s="11">
        <v>2</v>
      </c>
      <c r="U38" s="11">
        <v>3</v>
      </c>
      <c r="V38" s="11">
        <v>4.44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(Y38/2)*1585250</f>
        <v>0</v>
      </c>
      <c r="AC38" s="15" t="str">
        <f>(Z38/3)*3699000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78</v>
      </c>
      <c r="E39" s="7" t="s">
        <v>59</v>
      </c>
      <c r="F39" s="7" t="s">
        <v>56</v>
      </c>
      <c r="G39" s="7" t="s">
        <v>43</v>
      </c>
      <c r="H39" s="7" t="s">
        <v>44</v>
      </c>
      <c r="I39" s="11">
        <v>2</v>
      </c>
      <c r="J39" s="11">
        <v>3</v>
      </c>
      <c r="K39" s="11">
        <v>0</v>
      </c>
      <c r="L39" s="11">
        <v>1.8</v>
      </c>
      <c r="M39" s="11">
        <v>0.33</v>
      </c>
      <c r="N39" s="11">
        <v>0</v>
      </c>
      <c r="O39" s="11">
        <v>0</v>
      </c>
      <c r="P39" s="11">
        <v>0</v>
      </c>
      <c r="Q39" s="11">
        <v>2.13</v>
      </c>
      <c r="R39" s="11">
        <v>0.63</v>
      </c>
      <c r="S39" s="11">
        <v>2.76</v>
      </c>
      <c r="T39" s="11">
        <v>2</v>
      </c>
      <c r="U39" s="11">
        <v>0.7599999999999998</v>
      </c>
      <c r="V39" s="11">
        <v>0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(Y39/2)*1585250</f>
        <v>0</v>
      </c>
      <c r="AC39" s="15" t="str">
        <f>(Z39/3)*3699000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47</v>
      </c>
      <c r="F40" s="7" t="s">
        <v>119</v>
      </c>
      <c r="G40" s="7" t="s">
        <v>43</v>
      </c>
      <c r="H40" s="7" t="s">
        <v>44</v>
      </c>
      <c r="I40" s="11">
        <v>2</v>
      </c>
      <c r="J40" s="11">
        <v>3</v>
      </c>
      <c r="K40" s="11">
        <v>0</v>
      </c>
      <c r="L40" s="11">
        <v>2.899999999999999</v>
      </c>
      <c r="M40" s="11">
        <v>0</v>
      </c>
      <c r="N40" s="11">
        <v>0</v>
      </c>
      <c r="O40" s="11">
        <v>0</v>
      </c>
      <c r="P40" s="11">
        <v>0</v>
      </c>
      <c r="Q40" s="11">
        <v>2.899999999999999</v>
      </c>
      <c r="R40" s="11">
        <v>4.649999999999999</v>
      </c>
      <c r="S40" s="11">
        <v>7.549999999999999</v>
      </c>
      <c r="T40" s="11">
        <v>2</v>
      </c>
      <c r="U40" s="11">
        <v>3</v>
      </c>
      <c r="V40" s="11">
        <v>2.549999999999999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(Y40/2)*1083825</f>
        <v>0</v>
      </c>
      <c r="AC40" s="15" t="str">
        <f>(Z40/3)*2529000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122</v>
      </c>
      <c r="E41" s="7" t="s">
        <v>47</v>
      </c>
      <c r="F41" s="7" t="s">
        <v>119</v>
      </c>
      <c r="G41" s="7" t="s">
        <v>43</v>
      </c>
      <c r="H41" s="7" t="s">
        <v>44</v>
      </c>
      <c r="I41" s="11">
        <v>2</v>
      </c>
      <c r="J41" s="11">
        <v>3</v>
      </c>
      <c r="K41" s="11">
        <v>0</v>
      </c>
      <c r="L41" s="11">
        <v>1.920000000000001</v>
      </c>
      <c r="M41" s="11">
        <v>2.35</v>
      </c>
      <c r="N41" s="11">
        <v>0</v>
      </c>
      <c r="O41" s="11">
        <v>0</v>
      </c>
      <c r="P41" s="11">
        <v>0</v>
      </c>
      <c r="Q41" s="11">
        <v>4.27</v>
      </c>
      <c r="R41" s="11">
        <v>3.09</v>
      </c>
      <c r="S41" s="11">
        <v>7.36</v>
      </c>
      <c r="T41" s="11">
        <v>2</v>
      </c>
      <c r="U41" s="11">
        <v>3</v>
      </c>
      <c r="V41" s="11">
        <v>2.36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 t="str">
        <f>(Y41/2)*1083825</f>
        <v>0</v>
      </c>
      <c r="AC41" s="15" t="str">
        <f>(Z41/3)*2529000</f>
        <v>0</v>
      </c>
      <c r="AD41" s="15" t="str">
        <f>AB41+AC41</f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55</v>
      </c>
      <c r="E42" s="7" t="s">
        <v>47</v>
      </c>
      <c r="F42" s="7" t="s">
        <v>119</v>
      </c>
      <c r="G42" s="7" t="s">
        <v>43</v>
      </c>
      <c r="H42" s="7" t="s">
        <v>125</v>
      </c>
      <c r="I42" s="11">
        <v>2</v>
      </c>
      <c r="J42" s="11">
        <v>3</v>
      </c>
      <c r="K42" s="11">
        <v>1</v>
      </c>
      <c r="L42" s="11">
        <v>1.37</v>
      </c>
      <c r="M42" s="11">
        <v>0.33</v>
      </c>
      <c r="N42" s="11">
        <v>0</v>
      </c>
      <c r="O42" s="11">
        <v>0</v>
      </c>
      <c r="P42" s="11">
        <v>0</v>
      </c>
      <c r="Q42" s="11">
        <v>2.7</v>
      </c>
      <c r="R42" s="11">
        <v>4.800000000000001</v>
      </c>
      <c r="S42" s="11">
        <v>7.500000000000001</v>
      </c>
      <c r="T42" s="11">
        <v>2</v>
      </c>
      <c r="U42" s="11">
        <v>3</v>
      </c>
      <c r="V42" s="11">
        <v>2.500000000000001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 t="str">
        <f>(Y42/2)*1917975</f>
        <v>0</v>
      </c>
      <c r="AC42" s="15" t="str">
        <f>(Z42/3)*4699144</f>
        <v>0</v>
      </c>
      <c r="AD42" s="15" t="str">
        <f>AB42+AC42</f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78</v>
      </c>
      <c r="E43" s="7" t="s">
        <v>47</v>
      </c>
      <c r="F43" s="7" t="s">
        <v>119</v>
      </c>
      <c r="G43" s="7" t="s">
        <v>43</v>
      </c>
      <c r="H43" s="7" t="s">
        <v>44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 t="str">
        <f>(Y43/2)*1083825</f>
        <v>0</v>
      </c>
      <c r="AC43" s="15" t="str">
        <f>(Z43/3)*2529000</f>
        <v>0</v>
      </c>
      <c r="AD43" s="15" t="str">
        <f>AB43+AC43</f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69</v>
      </c>
      <c r="E44" s="7" t="s">
        <v>47</v>
      </c>
      <c r="F44" s="7" t="s">
        <v>119</v>
      </c>
      <c r="G44" s="7" t="s">
        <v>48</v>
      </c>
      <c r="H44" s="7" t="s">
        <v>44</v>
      </c>
      <c r="I44" s="11">
        <v>2</v>
      </c>
      <c r="J44" s="11">
        <v>3</v>
      </c>
      <c r="K44" s="11">
        <v>0</v>
      </c>
      <c r="L44" s="11">
        <v>5.709999999999997</v>
      </c>
      <c r="M44" s="11">
        <v>0</v>
      </c>
      <c r="N44" s="11">
        <v>0</v>
      </c>
      <c r="O44" s="11">
        <v>0</v>
      </c>
      <c r="P44" s="11">
        <v>0</v>
      </c>
      <c r="Q44" s="11">
        <v>5.709999999999997</v>
      </c>
      <c r="R44" s="11">
        <v>1.94</v>
      </c>
      <c r="S44" s="11">
        <v>7.649999999999998</v>
      </c>
      <c r="T44" s="11">
        <v>2</v>
      </c>
      <c r="U44" s="11">
        <v>3</v>
      </c>
      <c r="V44" s="11">
        <v>2.649999999999998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 t="str">
        <f>(Y44/2)*1083825</f>
        <v>0</v>
      </c>
      <c r="AC44" s="15" t="str">
        <f>(Z44/3)*2529000</f>
        <v>0</v>
      </c>
      <c r="AD44" s="15" t="str">
        <f>AB44+AC44</f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69</v>
      </c>
      <c r="E45" s="7" t="s">
        <v>47</v>
      </c>
      <c r="F45" s="7" t="s">
        <v>119</v>
      </c>
      <c r="G45" s="7" t="s">
        <v>48</v>
      </c>
      <c r="H45" s="7"/>
      <c r="I45" s="11">
        <v>2</v>
      </c>
      <c r="J45" s="11">
        <v>3</v>
      </c>
      <c r="K45" s="11">
        <v>0</v>
      </c>
      <c r="L45" s="11">
        <v>4.529999999999998</v>
      </c>
      <c r="M45" s="11">
        <v>2</v>
      </c>
      <c r="N45" s="11">
        <v>0</v>
      </c>
      <c r="O45" s="11">
        <v>0</v>
      </c>
      <c r="P45" s="11">
        <v>0</v>
      </c>
      <c r="Q45" s="11">
        <v>6.529999999999998</v>
      </c>
      <c r="R45" s="11">
        <v>4.629999999999999</v>
      </c>
      <c r="S45" s="11">
        <v>11.16</v>
      </c>
      <c r="T45" s="11">
        <v>2</v>
      </c>
      <c r="U45" s="11">
        <v>3</v>
      </c>
      <c r="V45" s="11">
        <v>6.159999999999997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 t="str">
        <f>(Y45/2)*1083825</f>
        <v>0</v>
      </c>
      <c r="AC45" s="15" t="str">
        <f>(Z45/3)*2529000</f>
        <v>0</v>
      </c>
      <c r="AD45" s="15" t="str">
        <f>AB45+AC45</f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62</v>
      </c>
      <c r="E46" s="7" t="s">
        <v>47</v>
      </c>
      <c r="F46" s="7" t="s">
        <v>119</v>
      </c>
      <c r="G46" s="7" t="s">
        <v>43</v>
      </c>
      <c r="H46" s="7" t="s">
        <v>44</v>
      </c>
      <c r="I46" s="11">
        <v>2</v>
      </c>
      <c r="J46" s="11">
        <v>3</v>
      </c>
      <c r="K46" s="11">
        <v>0</v>
      </c>
      <c r="L46" s="11">
        <v>6.880000000000004</v>
      </c>
      <c r="M46" s="11">
        <v>0</v>
      </c>
      <c r="N46" s="11">
        <v>0</v>
      </c>
      <c r="O46" s="11">
        <v>0</v>
      </c>
      <c r="P46" s="11">
        <v>0.17</v>
      </c>
      <c r="Q46" s="11">
        <v>7.050000000000004</v>
      </c>
      <c r="R46" s="11">
        <v>5.36</v>
      </c>
      <c r="S46" s="11">
        <v>12.41</v>
      </c>
      <c r="T46" s="11">
        <v>2</v>
      </c>
      <c r="U46" s="11">
        <v>3</v>
      </c>
      <c r="V46" s="11">
        <v>7.410000000000004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 t="str">
        <f>(Y46/2)*1083825</f>
        <v>0</v>
      </c>
      <c r="AC46" s="15" t="str">
        <f>(Z46/3)*2529000</f>
        <v>0</v>
      </c>
      <c r="AD46" s="15" t="str">
        <f>AB46+AC46</f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62</v>
      </c>
      <c r="E47" s="7" t="s">
        <v>47</v>
      </c>
      <c r="F47" s="7" t="s">
        <v>119</v>
      </c>
      <c r="G47" s="7" t="s">
        <v>43</v>
      </c>
      <c r="H47" s="7" t="s">
        <v>44</v>
      </c>
      <c r="I47" s="11">
        <v>2</v>
      </c>
      <c r="J47" s="11">
        <v>3</v>
      </c>
      <c r="K47" s="11">
        <v>0</v>
      </c>
      <c r="L47" s="11">
        <v>6.390000000000004</v>
      </c>
      <c r="M47" s="11">
        <v>0.66</v>
      </c>
      <c r="N47" s="11">
        <v>0</v>
      </c>
      <c r="O47" s="11">
        <v>0</v>
      </c>
      <c r="P47" s="11">
        <v>0.83</v>
      </c>
      <c r="Q47" s="11">
        <v>7.880000000000004</v>
      </c>
      <c r="R47" s="11">
        <v>7.860000000000001</v>
      </c>
      <c r="S47" s="11">
        <v>15.74000000000001</v>
      </c>
      <c r="T47" s="11">
        <v>2</v>
      </c>
      <c r="U47" s="11">
        <v>3</v>
      </c>
      <c r="V47" s="11">
        <v>10.74000000000001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 t="str">
        <f>(Y47/2)*1083825</f>
        <v>0</v>
      </c>
      <c r="AC47" s="15" t="str">
        <f>(Z47/3)*2529000</f>
        <v>0</v>
      </c>
      <c r="AD47" s="15" t="str">
        <f>AB47+AC47</f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78</v>
      </c>
      <c r="E48" s="7" t="s">
        <v>47</v>
      </c>
      <c r="F48" s="7" t="s">
        <v>119</v>
      </c>
      <c r="G48" s="7" t="s">
        <v>43</v>
      </c>
      <c r="H48" s="7" t="s">
        <v>138</v>
      </c>
      <c r="I48" s="11">
        <v>2</v>
      </c>
      <c r="J48" s="11">
        <v>3</v>
      </c>
      <c r="K48" s="11">
        <v>0.67</v>
      </c>
      <c r="L48" s="11">
        <v>3</v>
      </c>
      <c r="M48" s="11">
        <v>1</v>
      </c>
      <c r="N48" s="11">
        <v>0</v>
      </c>
      <c r="O48" s="11">
        <v>0</v>
      </c>
      <c r="P48" s="11">
        <v>0</v>
      </c>
      <c r="Q48" s="11">
        <v>4.67</v>
      </c>
      <c r="R48" s="11">
        <v>3.42</v>
      </c>
      <c r="S48" s="11">
        <v>8.09</v>
      </c>
      <c r="T48" s="11">
        <v>2</v>
      </c>
      <c r="U48" s="11">
        <v>3</v>
      </c>
      <c r="V48" s="11">
        <v>3.09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 t="str">
        <f>(Y48/2)*1723125</f>
        <v>0</v>
      </c>
      <c r="AC48" s="15" t="str">
        <f>(Z48/3)*4141373</f>
        <v>0</v>
      </c>
      <c r="AD48" s="15" t="str">
        <f>AB48+AC48</f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69</v>
      </c>
      <c r="E49" s="7" t="s">
        <v>141</v>
      </c>
      <c r="F49" s="7" t="s">
        <v>119</v>
      </c>
      <c r="G49" s="7" t="s">
        <v>43</v>
      </c>
      <c r="H49" s="7" t="s">
        <v>44</v>
      </c>
      <c r="I49" s="11">
        <v>2</v>
      </c>
      <c r="J49" s="11">
        <v>3</v>
      </c>
      <c r="K49" s="11">
        <v>0</v>
      </c>
      <c r="L49" s="11">
        <v>2.12</v>
      </c>
      <c r="M49" s="11">
        <v>5.15</v>
      </c>
      <c r="N49" s="11">
        <v>0</v>
      </c>
      <c r="O49" s="11">
        <v>0</v>
      </c>
      <c r="P49" s="11">
        <v>0</v>
      </c>
      <c r="Q49" s="11">
        <v>7.27</v>
      </c>
      <c r="R49" s="11">
        <v>8.929999999999998</v>
      </c>
      <c r="S49" s="11">
        <v>16.2</v>
      </c>
      <c r="T49" s="11">
        <v>2</v>
      </c>
      <c r="U49" s="11">
        <v>3</v>
      </c>
      <c r="V49" s="11">
        <v>11.2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 t="str">
        <f>(Y49/2)*1083825</f>
        <v>0</v>
      </c>
      <c r="AC49" s="15" t="str">
        <f>(Z49/3)*2529000</f>
        <v>0</v>
      </c>
      <c r="AD49" s="15" t="str">
        <f>AB49+AC49</f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112</v>
      </c>
      <c r="E50" s="7" t="s">
        <v>47</v>
      </c>
      <c r="F50" s="7" t="s">
        <v>119</v>
      </c>
      <c r="G50" s="7" t="s">
        <v>48</v>
      </c>
      <c r="H50" s="7" t="s">
        <v>44</v>
      </c>
      <c r="I50" s="11">
        <v>2</v>
      </c>
      <c r="J50" s="11">
        <v>3</v>
      </c>
      <c r="K50" s="11">
        <v>0</v>
      </c>
      <c r="L50" s="11">
        <v>4.740000000000001</v>
      </c>
      <c r="M50" s="11">
        <v>0.67</v>
      </c>
      <c r="N50" s="11">
        <v>0</v>
      </c>
      <c r="O50" s="11">
        <v>0</v>
      </c>
      <c r="P50" s="11">
        <v>0</v>
      </c>
      <c r="Q50" s="11">
        <v>5.410000000000001</v>
      </c>
      <c r="R50" s="11">
        <v>3.55</v>
      </c>
      <c r="S50" s="11">
        <v>8.960000000000001</v>
      </c>
      <c r="T50" s="11">
        <v>2</v>
      </c>
      <c r="U50" s="11">
        <v>3</v>
      </c>
      <c r="V50" s="11">
        <v>3.960000000000001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 t="str">
        <f>(Y50/2)*1083825</f>
        <v>0</v>
      </c>
      <c r="AC50" s="15" t="str">
        <f>(Z50/3)*2529000</f>
        <v>0</v>
      </c>
      <c r="AD50" s="15" t="str">
        <f>AB50+AC50</f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112</v>
      </c>
      <c r="E51" s="7" t="s">
        <v>47</v>
      </c>
      <c r="F51" s="7" t="s">
        <v>119</v>
      </c>
      <c r="G51" s="7" t="s">
        <v>43</v>
      </c>
      <c r="H51" s="7" t="s">
        <v>44</v>
      </c>
      <c r="I51" s="11">
        <v>2</v>
      </c>
      <c r="J51" s="11">
        <v>3</v>
      </c>
      <c r="K51" s="11">
        <v>0</v>
      </c>
      <c r="L51" s="11">
        <v>2.7</v>
      </c>
      <c r="M51" s="11">
        <v>0.17</v>
      </c>
      <c r="N51" s="11">
        <v>0</v>
      </c>
      <c r="O51" s="11">
        <v>0</v>
      </c>
      <c r="P51" s="11">
        <v>0</v>
      </c>
      <c r="Q51" s="11">
        <v>2.87</v>
      </c>
      <c r="R51" s="11">
        <v>0.17</v>
      </c>
      <c r="S51" s="11">
        <v>3.04</v>
      </c>
      <c r="T51" s="11">
        <v>2</v>
      </c>
      <c r="U51" s="11">
        <v>1.04</v>
      </c>
      <c r="V51" s="11">
        <v>0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 t="str">
        <f>(Y51/2)*1083825</f>
        <v>0</v>
      </c>
      <c r="AC51" s="15" t="str">
        <f>(Z51/3)*2529000</f>
        <v>0</v>
      </c>
      <c r="AD51" s="15" t="str">
        <f>AB51+AC51</f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122</v>
      </c>
      <c r="E52" s="7" t="s">
        <v>47</v>
      </c>
      <c r="F52" s="7" t="s">
        <v>119</v>
      </c>
      <c r="G52" s="7" t="s">
        <v>48</v>
      </c>
      <c r="H52" s="7"/>
      <c r="I52" s="11">
        <v>2</v>
      </c>
      <c r="J52" s="11">
        <v>3</v>
      </c>
      <c r="K52" s="11">
        <v>0</v>
      </c>
      <c r="L52" s="11">
        <v>4.190000000000001</v>
      </c>
      <c r="M52" s="11">
        <v>1.17</v>
      </c>
      <c r="N52" s="11">
        <v>0</v>
      </c>
      <c r="O52" s="11">
        <v>0.32</v>
      </c>
      <c r="P52" s="11">
        <v>0</v>
      </c>
      <c r="Q52" s="11">
        <v>5.679999999999997</v>
      </c>
      <c r="R52" s="11">
        <v>2.62</v>
      </c>
      <c r="S52" s="11">
        <v>8.299999999999997</v>
      </c>
      <c r="T52" s="11">
        <v>2</v>
      </c>
      <c r="U52" s="11">
        <v>3</v>
      </c>
      <c r="V52" s="11">
        <v>3.299999999999997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 t="str">
        <f>(Y52/2)*1083825</f>
        <v>0</v>
      </c>
      <c r="AC52" s="15" t="str">
        <f>(Z52/3)*2529000</f>
        <v>0</v>
      </c>
      <c r="AD52" s="15" t="str">
        <f>AB52+AC52</f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78</v>
      </c>
      <c r="E53" s="7" t="s">
        <v>47</v>
      </c>
      <c r="F53" s="7" t="s">
        <v>119</v>
      </c>
      <c r="G53" s="7" t="s">
        <v>48</v>
      </c>
      <c r="H53" s="7" t="s">
        <v>150</v>
      </c>
      <c r="I53" s="11">
        <v>2</v>
      </c>
      <c r="J53" s="11">
        <v>3</v>
      </c>
      <c r="K53" s="11">
        <v>1</v>
      </c>
      <c r="L53" s="11">
        <v>3.060000000000002</v>
      </c>
      <c r="M53" s="11">
        <v>1.32</v>
      </c>
      <c r="N53" s="11">
        <v>0</v>
      </c>
      <c r="O53" s="11">
        <v>0.21</v>
      </c>
      <c r="P53" s="11">
        <v>0</v>
      </c>
      <c r="Q53" s="11">
        <v>5.59</v>
      </c>
      <c r="R53" s="11">
        <v>3.850000000000001</v>
      </c>
      <c r="S53" s="11">
        <v>9.440000000000001</v>
      </c>
      <c r="T53" s="11">
        <v>2</v>
      </c>
      <c r="U53" s="11">
        <v>3</v>
      </c>
      <c r="V53" s="11">
        <v>4.440000000000001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 t="str">
        <f>(Y53/2)*1917975</f>
        <v>0</v>
      </c>
      <c r="AC53" s="15" t="str">
        <f>(Z53/3)*4475375</f>
        <v>0</v>
      </c>
      <c r="AD53" s="15" t="str">
        <f>AB53+AC53</f>
        <v>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78</v>
      </c>
      <c r="E54" s="7" t="s">
        <v>47</v>
      </c>
      <c r="F54" s="7" t="s">
        <v>119</v>
      </c>
      <c r="G54" s="7" t="s">
        <v>43</v>
      </c>
      <c r="H54" s="7" t="s">
        <v>44</v>
      </c>
      <c r="I54" s="11">
        <v>2</v>
      </c>
      <c r="J54" s="11">
        <v>3</v>
      </c>
      <c r="K54" s="11">
        <v>0</v>
      </c>
      <c r="L54" s="11">
        <v>2.52</v>
      </c>
      <c r="M54" s="11">
        <v>0.67</v>
      </c>
      <c r="N54" s="11">
        <v>0</v>
      </c>
      <c r="O54" s="11">
        <v>0</v>
      </c>
      <c r="P54" s="11">
        <v>0</v>
      </c>
      <c r="Q54" s="11">
        <v>3.19</v>
      </c>
      <c r="R54" s="11">
        <v>1.65</v>
      </c>
      <c r="S54" s="11">
        <v>4.84</v>
      </c>
      <c r="T54" s="11">
        <v>2</v>
      </c>
      <c r="U54" s="11">
        <v>2.84</v>
      </c>
      <c r="V54" s="11">
        <v>0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 t="str">
        <f>(Y54/2)*1083825</f>
        <v>0</v>
      </c>
      <c r="AC54" s="15" t="str">
        <f>(Z54/3)*2529000</f>
        <v>0</v>
      </c>
      <c r="AD54" s="15" t="str">
        <f>AB54+AC54</f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78</v>
      </c>
      <c r="E55" s="7" t="s">
        <v>155</v>
      </c>
      <c r="F55" s="7" t="s">
        <v>119</v>
      </c>
      <c r="G55" s="7" t="s">
        <v>48</v>
      </c>
      <c r="H55" s="7" t="s">
        <v>44</v>
      </c>
      <c r="I55" s="11">
        <v>2</v>
      </c>
      <c r="J55" s="11">
        <v>3</v>
      </c>
      <c r="K55" s="11">
        <v>0</v>
      </c>
      <c r="L55" s="11">
        <v>2.1</v>
      </c>
      <c r="M55" s="11">
        <v>0.67</v>
      </c>
      <c r="N55" s="11">
        <v>0</v>
      </c>
      <c r="O55" s="11">
        <v>0</v>
      </c>
      <c r="P55" s="11">
        <v>0</v>
      </c>
      <c r="Q55" s="11">
        <v>2.77</v>
      </c>
      <c r="R55" s="11">
        <v>1.09</v>
      </c>
      <c r="S55" s="11">
        <v>3.86</v>
      </c>
      <c r="T55" s="11">
        <v>2</v>
      </c>
      <c r="U55" s="11">
        <v>1.86</v>
      </c>
      <c r="V55" s="11">
        <v>0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 t="str">
        <f>(Y55/2)*1083825</f>
        <v>0</v>
      </c>
      <c r="AC55" s="15" t="str">
        <f>(Z55/3)*2529000</f>
        <v>0</v>
      </c>
      <c r="AD55" s="15" t="str">
        <f>AB55+AC55</f>
        <v>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/>
      <c r="F56" s="7" t="s">
        <v>119</v>
      </c>
      <c r="G56" s="7" t="s">
        <v>48</v>
      </c>
      <c r="H56" s="7" t="s">
        <v>158</v>
      </c>
      <c r="I56" s="11">
        <v>2</v>
      </c>
      <c r="J56" s="11">
        <v>3</v>
      </c>
      <c r="K56" s="11">
        <v>1</v>
      </c>
      <c r="L56" s="11">
        <v>4.08</v>
      </c>
      <c r="M56" s="11">
        <v>1</v>
      </c>
      <c r="N56" s="11">
        <v>0</v>
      </c>
      <c r="O56" s="11">
        <v>0</v>
      </c>
      <c r="P56" s="11">
        <v>0</v>
      </c>
      <c r="Q56" s="11">
        <v>6.079999999999998</v>
      </c>
      <c r="R56" s="11">
        <v>5.140000000000001</v>
      </c>
      <c r="S56" s="11">
        <v>11.22</v>
      </c>
      <c r="T56" s="11">
        <v>2</v>
      </c>
      <c r="U56" s="11">
        <v>3</v>
      </c>
      <c r="V56" s="11">
        <v>6.219999999999999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 t="str">
        <f>(Y56/2)*2565750</f>
        <v>0</v>
      </c>
      <c r="AC56" s="15" t="str">
        <f>(Z56/3)*6286140</f>
        <v>0</v>
      </c>
      <c r="AD56" s="15" t="str">
        <f>AB56+AC56</f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69</v>
      </c>
      <c r="E57" s="7" t="s">
        <v>47</v>
      </c>
      <c r="F57" s="7" t="s">
        <v>119</v>
      </c>
      <c r="G57" s="7" t="s">
        <v>48</v>
      </c>
      <c r="H57" s="7"/>
      <c r="I57" s="11">
        <v>2</v>
      </c>
      <c r="J57" s="11">
        <v>3</v>
      </c>
      <c r="K57" s="11">
        <v>0</v>
      </c>
      <c r="L57" s="11">
        <v>2.99</v>
      </c>
      <c r="M57" s="11">
        <v>0.33</v>
      </c>
      <c r="N57" s="11">
        <v>0</v>
      </c>
      <c r="O57" s="11">
        <v>0</v>
      </c>
      <c r="P57" s="11">
        <v>0</v>
      </c>
      <c r="Q57" s="11">
        <v>3.32</v>
      </c>
      <c r="R57" s="11">
        <v>0.51</v>
      </c>
      <c r="S57" s="11">
        <v>3.83</v>
      </c>
      <c r="T57" s="11">
        <v>2</v>
      </c>
      <c r="U57" s="11">
        <v>1.83</v>
      </c>
      <c r="V57" s="11">
        <v>0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 t="str">
        <f>(Y57/2)*1083825</f>
        <v>0</v>
      </c>
      <c r="AC57" s="15" t="str">
        <f>(Z57/3)*2529000</f>
        <v>0</v>
      </c>
      <c r="AD57" s="15" t="str">
        <f>AB57+AC57</f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55</v>
      </c>
      <c r="E58" s="7" t="s">
        <v>83</v>
      </c>
      <c r="F58" s="7" t="s">
        <v>119</v>
      </c>
      <c r="G58" s="7" t="s">
        <v>48</v>
      </c>
      <c r="H58" s="7" t="s">
        <v>44</v>
      </c>
      <c r="I58" s="11">
        <v>2</v>
      </c>
      <c r="J58" s="11">
        <v>3</v>
      </c>
      <c r="K58" s="11">
        <v>0</v>
      </c>
      <c r="L58" s="11">
        <v>7.789999999999997</v>
      </c>
      <c r="M58" s="11">
        <v>0</v>
      </c>
      <c r="N58" s="11">
        <v>0</v>
      </c>
      <c r="O58" s="11">
        <v>0</v>
      </c>
      <c r="P58" s="11">
        <v>0</v>
      </c>
      <c r="Q58" s="11">
        <v>7.789999999999997</v>
      </c>
      <c r="R58" s="11">
        <v>7.800000000000001</v>
      </c>
      <c r="S58" s="11">
        <v>15.59</v>
      </c>
      <c r="T58" s="11">
        <v>2</v>
      </c>
      <c r="U58" s="11">
        <v>3</v>
      </c>
      <c r="V58" s="11">
        <v>10.59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 t="str">
        <f>(Y58/2)*1083825</f>
        <v>0</v>
      </c>
      <c r="AC58" s="15" t="str">
        <f>(Z58/3)*2529000</f>
        <v>0</v>
      </c>
      <c r="AD58" s="15" t="str">
        <f>AB58+AC58</f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55</v>
      </c>
      <c r="E59" s="7" t="s">
        <v>83</v>
      </c>
      <c r="F59" s="7" t="s">
        <v>119</v>
      </c>
      <c r="G59" s="7" t="s">
        <v>48</v>
      </c>
      <c r="H59" s="7" t="s">
        <v>158</v>
      </c>
      <c r="I59" s="11">
        <v>2</v>
      </c>
      <c r="J59" s="11">
        <v>3</v>
      </c>
      <c r="K59" s="11">
        <v>1</v>
      </c>
      <c r="L59" s="11">
        <v>12</v>
      </c>
      <c r="M59" s="11">
        <v>0</v>
      </c>
      <c r="N59" s="11">
        <v>0</v>
      </c>
      <c r="O59" s="11">
        <v>0</v>
      </c>
      <c r="P59" s="11">
        <v>0</v>
      </c>
      <c r="Q59" s="11">
        <v>13</v>
      </c>
      <c r="R59" s="11">
        <v>6.840000000000001</v>
      </c>
      <c r="S59" s="11">
        <v>19.84</v>
      </c>
      <c r="T59" s="11">
        <v>2</v>
      </c>
      <c r="U59" s="11">
        <v>3</v>
      </c>
      <c r="V59" s="11">
        <v>14.84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 t="str">
        <f>(Y59/2)*2565750</f>
        <v>0</v>
      </c>
      <c r="AC59" s="15" t="str">
        <f>(Z59/3)*6286140</f>
        <v>0</v>
      </c>
      <c r="AD59" s="15" t="str">
        <f>AB59+AC59</f>
        <v>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55</v>
      </c>
      <c r="E60" s="7" t="s">
        <v>47</v>
      </c>
      <c r="F60" s="7" t="s">
        <v>119</v>
      </c>
      <c r="G60" s="7" t="s">
        <v>48</v>
      </c>
      <c r="H60" s="7" t="s">
        <v>44</v>
      </c>
      <c r="I60" s="11">
        <v>2</v>
      </c>
      <c r="J60" s="11">
        <v>3</v>
      </c>
      <c r="K60" s="11">
        <v>0</v>
      </c>
      <c r="L60" s="11">
        <v>7.239999999999997</v>
      </c>
      <c r="M60" s="11">
        <v>0</v>
      </c>
      <c r="N60" s="11">
        <v>0</v>
      </c>
      <c r="O60" s="11">
        <v>0</v>
      </c>
      <c r="P60" s="11">
        <v>0</v>
      </c>
      <c r="Q60" s="11">
        <v>7.239999999999997</v>
      </c>
      <c r="R60" s="11">
        <v>2.43</v>
      </c>
      <c r="S60" s="11">
        <v>9.669999999999996</v>
      </c>
      <c r="T60" s="11">
        <v>2</v>
      </c>
      <c r="U60" s="11">
        <v>3</v>
      </c>
      <c r="V60" s="11">
        <v>4.669999999999996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 t="str">
        <f>(Y60/2)*1083825</f>
        <v>0</v>
      </c>
      <c r="AC60" s="15" t="str">
        <f>(Z60/3)*2529000</f>
        <v>0</v>
      </c>
      <c r="AD60" s="15" t="str">
        <f>AB60+AC60</f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55</v>
      </c>
      <c r="E61" s="7" t="s">
        <v>83</v>
      </c>
      <c r="F61" s="7" t="s">
        <v>119</v>
      </c>
      <c r="G61" s="7" t="s">
        <v>48</v>
      </c>
      <c r="H61" s="7" t="s">
        <v>44</v>
      </c>
      <c r="I61" s="11">
        <v>2</v>
      </c>
      <c r="J61" s="11">
        <v>3</v>
      </c>
      <c r="K61" s="11">
        <v>0</v>
      </c>
      <c r="L61" s="11">
        <v>6.199999999999998</v>
      </c>
      <c r="M61" s="11">
        <v>0.83</v>
      </c>
      <c r="N61" s="11">
        <v>0</v>
      </c>
      <c r="O61" s="11">
        <v>0</v>
      </c>
      <c r="P61" s="11">
        <v>0.83</v>
      </c>
      <c r="Q61" s="11">
        <v>7.859999999999998</v>
      </c>
      <c r="R61" s="11">
        <v>8.289999999999999</v>
      </c>
      <c r="S61" s="11">
        <v>16.15</v>
      </c>
      <c r="T61" s="11">
        <v>2</v>
      </c>
      <c r="U61" s="11">
        <v>3</v>
      </c>
      <c r="V61" s="11">
        <v>11.15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 t="str">
        <f>(Y61/2)*1083825</f>
        <v>0</v>
      </c>
      <c r="AC61" s="15" t="str">
        <f>(Z61/3)*2529000</f>
        <v>0</v>
      </c>
      <c r="AD61" s="15" t="str">
        <f>AB61+AC61</f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62</v>
      </c>
      <c r="E62" s="7" t="s">
        <v>47</v>
      </c>
      <c r="F62" s="7" t="s">
        <v>119</v>
      </c>
      <c r="G62" s="7" t="s">
        <v>48</v>
      </c>
      <c r="H62" s="7" t="s">
        <v>44</v>
      </c>
      <c r="I62" s="11">
        <v>2</v>
      </c>
      <c r="J62" s="11">
        <v>3</v>
      </c>
      <c r="K62" s="11">
        <v>0</v>
      </c>
      <c r="L62" s="11">
        <v>3.62</v>
      </c>
      <c r="M62" s="11">
        <v>0.33</v>
      </c>
      <c r="N62" s="11">
        <v>0</v>
      </c>
      <c r="O62" s="11">
        <v>0</v>
      </c>
      <c r="P62" s="11">
        <v>0</v>
      </c>
      <c r="Q62" s="11">
        <v>3.95</v>
      </c>
      <c r="R62" s="11">
        <v>0.5700000000000001</v>
      </c>
      <c r="S62" s="11">
        <v>4.52</v>
      </c>
      <c r="T62" s="11">
        <v>2</v>
      </c>
      <c r="U62" s="11">
        <v>2.52</v>
      </c>
      <c r="V62" s="11">
        <v>0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 t="str">
        <f>(Y62/2)*1083825</f>
        <v>0</v>
      </c>
      <c r="AC62" s="15" t="str">
        <f>(Z62/3)*2529000</f>
        <v>0</v>
      </c>
      <c r="AD62" s="15" t="str">
        <f>AB62+AC62</f>
        <v>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55</v>
      </c>
      <c r="E63" s="7" t="s">
        <v>47</v>
      </c>
      <c r="F63" s="7" t="s">
        <v>119</v>
      </c>
      <c r="G63" s="7" t="s">
        <v>48</v>
      </c>
      <c r="H63" s="7" t="s">
        <v>125</v>
      </c>
      <c r="I63" s="11">
        <v>2</v>
      </c>
      <c r="J63" s="11">
        <v>3</v>
      </c>
      <c r="K63" s="11">
        <v>1</v>
      </c>
      <c r="L63" s="11">
        <v>10.36</v>
      </c>
      <c r="M63" s="11">
        <v>0</v>
      </c>
      <c r="N63" s="11">
        <v>0</v>
      </c>
      <c r="O63" s="11">
        <v>0</v>
      </c>
      <c r="P63" s="11">
        <v>0</v>
      </c>
      <c r="Q63" s="11">
        <v>11.36</v>
      </c>
      <c r="R63" s="11">
        <v>9.859999999999999</v>
      </c>
      <c r="S63" s="11">
        <v>21.22</v>
      </c>
      <c r="T63" s="11">
        <v>2</v>
      </c>
      <c r="U63" s="11">
        <v>3</v>
      </c>
      <c r="V63" s="11">
        <v>16.22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 t="str">
        <f>(Y63/2)*1917975</f>
        <v>0</v>
      </c>
      <c r="AC63" s="15" t="str">
        <f>(Z63/3)*4699144</f>
        <v>0</v>
      </c>
      <c r="AD63" s="15" t="str">
        <f>AB63+AC63</f>
        <v>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122</v>
      </c>
      <c r="E64" s="7" t="s">
        <v>47</v>
      </c>
      <c r="F64" s="7" t="s">
        <v>119</v>
      </c>
      <c r="G64" s="7" t="s">
        <v>43</v>
      </c>
      <c r="H64" s="7" t="s">
        <v>44</v>
      </c>
      <c r="I64" s="11">
        <v>2</v>
      </c>
      <c r="J64" s="11">
        <v>3</v>
      </c>
      <c r="K64" s="11">
        <v>0</v>
      </c>
      <c r="L64" s="11">
        <v>3.600000000000001</v>
      </c>
      <c r="M64" s="11">
        <v>1.49</v>
      </c>
      <c r="N64" s="11">
        <v>0</v>
      </c>
      <c r="O64" s="11">
        <v>0</v>
      </c>
      <c r="P64" s="11">
        <v>0</v>
      </c>
      <c r="Q64" s="11">
        <v>5.090000000000001</v>
      </c>
      <c r="R64" s="11">
        <v>2.14</v>
      </c>
      <c r="S64" s="11">
        <v>7.23</v>
      </c>
      <c r="T64" s="11">
        <v>2</v>
      </c>
      <c r="U64" s="11">
        <v>3</v>
      </c>
      <c r="V64" s="11">
        <v>2.23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 t="str">
        <f>(Y64/2)*1083825</f>
        <v>0</v>
      </c>
      <c r="AC64" s="15" t="str">
        <f>(Z64/3)*2529000</f>
        <v>0</v>
      </c>
      <c r="AD64" s="15" t="str">
        <f>AB64+AC64</f>
        <v>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62</v>
      </c>
      <c r="E65" s="7" t="s">
        <v>83</v>
      </c>
      <c r="F65" s="7" t="s">
        <v>119</v>
      </c>
      <c r="G65" s="7" t="s">
        <v>43</v>
      </c>
      <c r="H65" s="7" t="s">
        <v>44</v>
      </c>
      <c r="I65" s="11">
        <v>2</v>
      </c>
      <c r="J65" s="11">
        <v>3</v>
      </c>
      <c r="K65" s="11">
        <v>0</v>
      </c>
      <c r="L65" s="11">
        <v>13.23000000000001</v>
      </c>
      <c r="M65" s="11">
        <v>0.66</v>
      </c>
      <c r="N65" s="11">
        <v>0</v>
      </c>
      <c r="O65" s="11">
        <v>0</v>
      </c>
      <c r="P65" s="11">
        <v>0.17</v>
      </c>
      <c r="Q65" s="11">
        <v>14.06000000000001</v>
      </c>
      <c r="R65" s="11">
        <v>8.15</v>
      </c>
      <c r="S65" s="11">
        <v>22.21000000000001</v>
      </c>
      <c r="T65" s="11">
        <v>2</v>
      </c>
      <c r="U65" s="11">
        <v>3</v>
      </c>
      <c r="V65" s="11">
        <v>17.21000000000001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 t="str">
        <f>(Y65/2)*1083825</f>
        <v>0</v>
      </c>
      <c r="AC65" s="15" t="str">
        <f>(Z65/3)*2529000</f>
        <v>0</v>
      </c>
      <c r="AD65" s="15" t="str">
        <f>AB65+AC65</f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62</v>
      </c>
      <c r="E66" s="7" t="s">
        <v>83</v>
      </c>
      <c r="F66" s="7" t="s">
        <v>119</v>
      </c>
      <c r="G66" s="7" t="s">
        <v>43</v>
      </c>
      <c r="H66" s="7" t="s">
        <v>44</v>
      </c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3.96</v>
      </c>
      <c r="S66" s="11">
        <v>3.96</v>
      </c>
      <c r="T66" s="11">
        <v>2</v>
      </c>
      <c r="U66" s="11">
        <v>1.96</v>
      </c>
      <c r="V66" s="11">
        <v>0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 t="str">
        <f>(Y66/2)*1083825</f>
        <v>0</v>
      </c>
      <c r="AC66" s="15" t="str">
        <f>(Z66/3)*2529000</f>
        <v>0</v>
      </c>
      <c r="AD66" s="15" t="str">
        <f>AB66+AC66</f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69</v>
      </c>
      <c r="E67" s="7" t="s">
        <v>47</v>
      </c>
      <c r="F67" s="7" t="s">
        <v>119</v>
      </c>
      <c r="G67" s="7" t="s">
        <v>48</v>
      </c>
      <c r="H67" s="7"/>
      <c r="I67" s="11">
        <v>2</v>
      </c>
      <c r="J67" s="11">
        <v>3</v>
      </c>
      <c r="K67" s="11">
        <v>0</v>
      </c>
      <c r="L67" s="11">
        <v>2.04</v>
      </c>
      <c r="M67" s="11">
        <v>0</v>
      </c>
      <c r="N67" s="11">
        <v>0</v>
      </c>
      <c r="O67" s="11">
        <v>0</v>
      </c>
      <c r="P67" s="11">
        <v>0</v>
      </c>
      <c r="Q67" s="11">
        <v>2.04</v>
      </c>
      <c r="R67" s="11">
        <v>1</v>
      </c>
      <c r="S67" s="11">
        <v>3.04</v>
      </c>
      <c r="T67" s="11">
        <v>2</v>
      </c>
      <c r="U67" s="11">
        <v>1.04</v>
      </c>
      <c r="V67" s="11">
        <v>0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 t="str">
        <f>(Y67/2)*1083825</f>
        <v>0</v>
      </c>
      <c r="AC67" s="15" t="str">
        <f>(Z67/3)*2529000</f>
        <v>0</v>
      </c>
      <c r="AD67" s="15" t="str">
        <f>AB67+AC67</f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78</v>
      </c>
      <c r="E68" s="7" t="s">
        <v>47</v>
      </c>
      <c r="F68" s="7" t="s">
        <v>119</v>
      </c>
      <c r="G68" s="7" t="s">
        <v>43</v>
      </c>
      <c r="H68" s="7" t="s">
        <v>183</v>
      </c>
      <c r="I68" s="11">
        <v>2</v>
      </c>
      <c r="J68" s="11">
        <v>3</v>
      </c>
      <c r="K68" s="11">
        <v>1</v>
      </c>
      <c r="L68" s="11">
        <v>3.840000000000001</v>
      </c>
      <c r="M68" s="11">
        <v>1.08</v>
      </c>
      <c r="N68" s="11">
        <v>0</v>
      </c>
      <c r="O68" s="11">
        <v>0</v>
      </c>
      <c r="P68" s="11">
        <v>0</v>
      </c>
      <c r="Q68" s="11">
        <v>5.919999999999999</v>
      </c>
      <c r="R68" s="11">
        <v>4.8</v>
      </c>
      <c r="S68" s="11">
        <v>10.72</v>
      </c>
      <c r="T68" s="11">
        <v>2</v>
      </c>
      <c r="U68" s="11">
        <v>3</v>
      </c>
      <c r="V68" s="11">
        <v>5.719999999999999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 t="str">
        <f>(Y68/2)*2565750</f>
        <v>0</v>
      </c>
      <c r="AC68" s="15" t="str">
        <f>(Z68/3)*6166404</f>
        <v>0</v>
      </c>
      <c r="AD68" s="15" t="str">
        <f>AB68+AC68</f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78</v>
      </c>
      <c r="E69" s="7" t="s">
        <v>83</v>
      </c>
      <c r="F69" s="7" t="s">
        <v>119</v>
      </c>
      <c r="G69" s="7" t="s">
        <v>43</v>
      </c>
      <c r="H69" s="7" t="s">
        <v>44</v>
      </c>
      <c r="I69" s="11">
        <v>2</v>
      </c>
      <c r="J69" s="11">
        <v>3</v>
      </c>
      <c r="K69" s="11">
        <v>0</v>
      </c>
      <c r="L69" s="11">
        <v>2.64</v>
      </c>
      <c r="M69" s="11">
        <v>0.17</v>
      </c>
      <c r="N69" s="11">
        <v>0</v>
      </c>
      <c r="O69" s="11">
        <v>0</v>
      </c>
      <c r="P69" s="11">
        <v>0</v>
      </c>
      <c r="Q69" s="11">
        <v>2.81</v>
      </c>
      <c r="R69" s="11">
        <v>1.21</v>
      </c>
      <c r="S69" s="11">
        <v>4.02</v>
      </c>
      <c r="T69" s="11">
        <v>2</v>
      </c>
      <c r="U69" s="11">
        <v>2.02</v>
      </c>
      <c r="V69" s="11">
        <v>0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 t="str">
        <f>(Y69/2)*1083825</f>
        <v>0</v>
      </c>
      <c r="AC69" s="15" t="str">
        <f>(Z69/3)*2529000</f>
        <v>0</v>
      </c>
      <c r="AD69" s="15" t="str">
        <f>AB69+AC69</f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55</v>
      </c>
      <c r="E70" s="7" t="s">
        <v>47</v>
      </c>
      <c r="F70" s="7" t="s">
        <v>119</v>
      </c>
      <c r="G70" s="7" t="s">
        <v>48</v>
      </c>
      <c r="H70" s="7" t="s">
        <v>44</v>
      </c>
      <c r="I70" s="11">
        <v>2</v>
      </c>
      <c r="J70" s="11">
        <v>3</v>
      </c>
      <c r="K70" s="11">
        <v>0</v>
      </c>
      <c r="L70" s="11">
        <v>3.789999999999999</v>
      </c>
      <c r="M70" s="11">
        <v>0.33</v>
      </c>
      <c r="N70" s="11">
        <v>0</v>
      </c>
      <c r="O70" s="11">
        <v>0</v>
      </c>
      <c r="P70" s="11">
        <v>0</v>
      </c>
      <c r="Q70" s="11">
        <v>4.119999999999999</v>
      </c>
      <c r="R70" s="11">
        <v>4.09</v>
      </c>
      <c r="S70" s="11">
        <v>8.209999999999999</v>
      </c>
      <c r="T70" s="11">
        <v>2</v>
      </c>
      <c r="U70" s="11">
        <v>3</v>
      </c>
      <c r="V70" s="11">
        <v>3.209999999999999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 t="str">
        <f>(Y70/2)*1083825</f>
        <v>0</v>
      </c>
      <c r="AC70" s="15" t="str">
        <f>(Z70/3)*2529000</f>
        <v>0</v>
      </c>
      <c r="AD70" s="15" t="str">
        <f>AB70+AC70</f>
        <v>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62</v>
      </c>
      <c r="E71" s="7" t="s">
        <v>47</v>
      </c>
      <c r="F71" s="7" t="s">
        <v>119</v>
      </c>
      <c r="G71" s="7" t="s">
        <v>43</v>
      </c>
      <c r="H71" s="7" t="s">
        <v>44</v>
      </c>
      <c r="I71" s="11">
        <v>2</v>
      </c>
      <c r="J71" s="11">
        <v>3</v>
      </c>
      <c r="K71" s="11">
        <v>0</v>
      </c>
      <c r="L71" s="11">
        <v>6.320000000000005</v>
      </c>
      <c r="M71" s="11">
        <v>0.66</v>
      </c>
      <c r="N71" s="11">
        <v>0</v>
      </c>
      <c r="O71" s="11">
        <v>0</v>
      </c>
      <c r="P71" s="11">
        <v>0.83</v>
      </c>
      <c r="Q71" s="11">
        <v>7.810000000000005</v>
      </c>
      <c r="R71" s="11">
        <v>9.06</v>
      </c>
      <c r="S71" s="11">
        <v>16.87</v>
      </c>
      <c r="T71" s="11">
        <v>2</v>
      </c>
      <c r="U71" s="11">
        <v>3</v>
      </c>
      <c r="V71" s="11">
        <v>11.87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 t="str">
        <f>(Y71/2)*1083825</f>
        <v>0</v>
      </c>
      <c r="AC71" s="15" t="str">
        <f>(Z71/3)*2529000</f>
        <v>0</v>
      </c>
      <c r="AD71" s="15" t="str">
        <f>AB71+AC71</f>
        <v>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55</v>
      </c>
      <c r="E72" s="7" t="s">
        <v>47</v>
      </c>
      <c r="F72" s="7" t="s">
        <v>119</v>
      </c>
      <c r="G72" s="7" t="s">
        <v>43</v>
      </c>
      <c r="H72" s="7" t="s">
        <v>44</v>
      </c>
      <c r="I72" s="11">
        <v>2</v>
      </c>
      <c r="J72" s="11">
        <v>3</v>
      </c>
      <c r="K72" s="11">
        <v>0</v>
      </c>
      <c r="L72" s="11">
        <v>6.579999999999999</v>
      </c>
      <c r="M72" s="11">
        <v>0.5</v>
      </c>
      <c r="N72" s="11">
        <v>0</v>
      </c>
      <c r="O72" s="11">
        <v>0.11</v>
      </c>
      <c r="P72" s="11">
        <v>0</v>
      </c>
      <c r="Q72" s="11">
        <v>7.19</v>
      </c>
      <c r="R72" s="11">
        <v>3.56</v>
      </c>
      <c r="S72" s="11">
        <v>10.75</v>
      </c>
      <c r="T72" s="11">
        <v>2</v>
      </c>
      <c r="U72" s="11">
        <v>3</v>
      </c>
      <c r="V72" s="11">
        <v>5.75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 t="str">
        <f>(Y72/2)*1083825</f>
        <v>0</v>
      </c>
      <c r="AC72" s="15" t="str">
        <f>(Z72/3)*2529000</f>
        <v>0</v>
      </c>
      <c r="AD72" s="15" t="str">
        <f>AB72+AC72</f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55</v>
      </c>
      <c r="E73" s="7" t="s">
        <v>47</v>
      </c>
      <c r="F73" s="7" t="s">
        <v>119</v>
      </c>
      <c r="G73" s="7" t="s">
        <v>43</v>
      </c>
      <c r="H73" s="7" t="s">
        <v>44</v>
      </c>
      <c r="I73" s="11">
        <v>2</v>
      </c>
      <c r="J73" s="11">
        <v>3</v>
      </c>
      <c r="K73" s="11">
        <v>0</v>
      </c>
      <c r="L73" s="11">
        <v>0.8999999999999999</v>
      </c>
      <c r="M73" s="11">
        <v>0.17</v>
      </c>
      <c r="N73" s="11">
        <v>0</v>
      </c>
      <c r="O73" s="11">
        <v>0</v>
      </c>
      <c r="P73" s="11">
        <v>0</v>
      </c>
      <c r="Q73" s="11">
        <v>1.07</v>
      </c>
      <c r="R73" s="11">
        <v>1.12</v>
      </c>
      <c r="S73" s="11">
        <v>2.19</v>
      </c>
      <c r="T73" s="11">
        <v>2</v>
      </c>
      <c r="U73" s="11">
        <v>0.1899999999999999</v>
      </c>
      <c r="V73" s="11">
        <v>0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 t="str">
        <f>(Y73/2)*1083825</f>
        <v>0</v>
      </c>
      <c r="AC73" s="15" t="str">
        <f>(Z73/3)*2529000</f>
        <v>0</v>
      </c>
      <c r="AD73" s="15" t="str">
        <f>AB73+AC73</f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122</v>
      </c>
      <c r="E74" s="7" t="s">
        <v>47</v>
      </c>
      <c r="F74" s="7" t="s">
        <v>119</v>
      </c>
      <c r="G74" s="7" t="s">
        <v>43</v>
      </c>
      <c r="H74" s="7" t="s">
        <v>85</v>
      </c>
      <c r="I74" s="11">
        <v>2</v>
      </c>
      <c r="J74" s="11">
        <v>3</v>
      </c>
      <c r="K74" s="11">
        <v>1</v>
      </c>
      <c r="L74" s="11">
        <v>2.700000000000001</v>
      </c>
      <c r="M74" s="11">
        <v>1.16</v>
      </c>
      <c r="N74" s="11">
        <v>0</v>
      </c>
      <c r="O74" s="11">
        <v>0</v>
      </c>
      <c r="P74" s="11">
        <v>0</v>
      </c>
      <c r="Q74" s="11">
        <v>4.860000000000001</v>
      </c>
      <c r="R74" s="11">
        <v>4.74</v>
      </c>
      <c r="S74" s="11">
        <v>9.600000000000001</v>
      </c>
      <c r="T74" s="11">
        <v>2</v>
      </c>
      <c r="U74" s="11">
        <v>3</v>
      </c>
      <c r="V74" s="11">
        <v>4.600000000000001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 t="str">
        <f>(Y74/2)*1917975</f>
        <v>0</v>
      </c>
      <c r="AC74" s="15" t="str">
        <f>(Z74/3)*4609636</f>
        <v>0</v>
      </c>
      <c r="AD74" s="15" t="str">
        <f>AB74+AC74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55</v>
      </c>
      <c r="E75" s="7" t="s">
        <v>47</v>
      </c>
      <c r="F75" s="7" t="s">
        <v>119</v>
      </c>
      <c r="G75" s="7" t="s">
        <v>43</v>
      </c>
      <c r="H75" s="7" t="s">
        <v>44</v>
      </c>
      <c r="I75" s="11">
        <v>2</v>
      </c>
      <c r="J75" s="11">
        <v>3</v>
      </c>
      <c r="K75" s="11">
        <v>0</v>
      </c>
      <c r="L75" s="11">
        <v>4.530000000000001</v>
      </c>
      <c r="M75" s="11">
        <v>0.33</v>
      </c>
      <c r="N75" s="11">
        <v>0</v>
      </c>
      <c r="O75" s="11">
        <v>0</v>
      </c>
      <c r="P75" s="11">
        <v>0</v>
      </c>
      <c r="Q75" s="11">
        <v>4.860000000000001</v>
      </c>
      <c r="R75" s="11">
        <v>3.31</v>
      </c>
      <c r="S75" s="11">
        <v>8.170000000000002</v>
      </c>
      <c r="T75" s="11">
        <v>2</v>
      </c>
      <c r="U75" s="11">
        <v>3</v>
      </c>
      <c r="V75" s="11">
        <v>3.170000000000002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 t="str">
        <f>(Y75/2)*1083825</f>
        <v>0</v>
      </c>
      <c r="AC75" s="15" t="str">
        <f>(Z75/3)*2529000</f>
        <v>0</v>
      </c>
      <c r="AD75" s="15" t="str">
        <f>AB75+AC75</f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122</v>
      </c>
      <c r="E76" s="7" t="s">
        <v>155</v>
      </c>
      <c r="F76" s="7" t="s">
        <v>119</v>
      </c>
      <c r="G76" s="7" t="s">
        <v>43</v>
      </c>
      <c r="H76" s="7" t="s">
        <v>44</v>
      </c>
      <c r="I76" s="11">
        <v>2</v>
      </c>
      <c r="J76" s="11">
        <v>3</v>
      </c>
      <c r="K76" s="11">
        <v>0</v>
      </c>
      <c r="L76" s="11">
        <v>3.120000000000001</v>
      </c>
      <c r="M76" s="11">
        <v>0.9900000000000001</v>
      </c>
      <c r="N76" s="11">
        <v>0</v>
      </c>
      <c r="O76" s="11">
        <v>0</v>
      </c>
      <c r="P76" s="11">
        <v>0</v>
      </c>
      <c r="Q76" s="11">
        <v>4.110000000000001</v>
      </c>
      <c r="R76" s="11">
        <v>1.43</v>
      </c>
      <c r="S76" s="11">
        <v>5.540000000000001</v>
      </c>
      <c r="T76" s="11">
        <v>2</v>
      </c>
      <c r="U76" s="11">
        <v>3</v>
      </c>
      <c r="V76" s="11">
        <v>0.5400000000000009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 t="str">
        <f>(Y76/2)*1083825</f>
        <v>0</v>
      </c>
      <c r="AC76" s="15" t="str">
        <f>(Z76/3)*2529000</f>
        <v>0</v>
      </c>
      <c r="AD76" s="15" t="str">
        <f>AB76+AC76</f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55</v>
      </c>
      <c r="E77" s="7" t="s">
        <v>83</v>
      </c>
      <c r="F77" s="7" t="s">
        <v>119</v>
      </c>
      <c r="G77" s="7" t="s">
        <v>43</v>
      </c>
      <c r="H77" s="7" t="s">
        <v>44</v>
      </c>
      <c r="I77" s="11">
        <v>2</v>
      </c>
      <c r="J77" s="11">
        <v>3</v>
      </c>
      <c r="K77" s="11">
        <v>0</v>
      </c>
      <c r="L77" s="11">
        <v>2.610000000000001</v>
      </c>
      <c r="M77" s="11">
        <v>0.33</v>
      </c>
      <c r="N77" s="11">
        <v>0</v>
      </c>
      <c r="O77" s="11">
        <v>0</v>
      </c>
      <c r="P77" s="11">
        <v>0</v>
      </c>
      <c r="Q77" s="11">
        <v>2.940000000000001</v>
      </c>
      <c r="R77" s="11">
        <v>2.63</v>
      </c>
      <c r="S77" s="11">
        <v>5.57</v>
      </c>
      <c r="T77" s="11">
        <v>2</v>
      </c>
      <c r="U77" s="11">
        <v>3</v>
      </c>
      <c r="V77" s="11">
        <v>0.5700000000000003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 t="str">
        <f>(Y77/2)*1083825</f>
        <v>0</v>
      </c>
      <c r="AC77" s="15" t="str">
        <f>(Z77/3)*2529000</f>
        <v>0</v>
      </c>
      <c r="AD77" s="15" t="str">
        <f>AB77+AC77</f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69</v>
      </c>
      <c r="E78" s="7" t="s">
        <v>47</v>
      </c>
      <c r="F78" s="7" t="s">
        <v>119</v>
      </c>
      <c r="G78" s="7" t="s">
        <v>43</v>
      </c>
      <c r="H78" s="7" t="s">
        <v>44</v>
      </c>
      <c r="I78" s="11">
        <v>2</v>
      </c>
      <c r="J78" s="11">
        <v>3</v>
      </c>
      <c r="K78" s="11">
        <v>0</v>
      </c>
      <c r="L78" s="11">
        <v>4.240000000000002</v>
      </c>
      <c r="M78" s="11">
        <v>0</v>
      </c>
      <c r="N78" s="11">
        <v>0</v>
      </c>
      <c r="O78" s="11">
        <v>0</v>
      </c>
      <c r="P78" s="11">
        <v>0</v>
      </c>
      <c r="Q78" s="11">
        <v>4.240000000000002</v>
      </c>
      <c r="R78" s="11">
        <v>1.64</v>
      </c>
      <c r="S78" s="11">
        <v>5.880000000000003</v>
      </c>
      <c r="T78" s="11">
        <v>2</v>
      </c>
      <c r="U78" s="11">
        <v>3</v>
      </c>
      <c r="V78" s="11">
        <v>0.8800000000000026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 t="str">
        <f>(Y78/2)*1083825</f>
        <v>0</v>
      </c>
      <c r="AC78" s="15" t="str">
        <f>(Z78/3)*2529000</f>
        <v>0</v>
      </c>
      <c r="AD78" s="15" t="str">
        <f>AB78+AC78</f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55</v>
      </c>
      <c r="E79" s="7" t="s">
        <v>47</v>
      </c>
      <c r="F79" s="7" t="s">
        <v>119</v>
      </c>
      <c r="G79" s="7" t="s">
        <v>43</v>
      </c>
      <c r="H79" s="7" t="s">
        <v>44</v>
      </c>
      <c r="I79" s="11">
        <v>2</v>
      </c>
      <c r="J79" s="11">
        <v>3</v>
      </c>
      <c r="K79" s="11">
        <v>0</v>
      </c>
      <c r="L79" s="11">
        <v>2.78</v>
      </c>
      <c r="M79" s="11">
        <v>0.17</v>
      </c>
      <c r="N79" s="11">
        <v>0</v>
      </c>
      <c r="O79" s="11">
        <v>0</v>
      </c>
      <c r="P79" s="11">
        <v>0.83</v>
      </c>
      <c r="Q79" s="11">
        <v>3.78</v>
      </c>
      <c r="R79" s="11">
        <v>4.29</v>
      </c>
      <c r="S79" s="11">
        <v>8.07</v>
      </c>
      <c r="T79" s="11">
        <v>2</v>
      </c>
      <c r="U79" s="11">
        <v>3</v>
      </c>
      <c r="V79" s="11">
        <v>3.07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 t="str">
        <f>(Y79/2)*1083825</f>
        <v>0</v>
      </c>
      <c r="AC79" s="15" t="str">
        <f>(Z79/3)*2529000</f>
        <v>0</v>
      </c>
      <c r="AD79" s="15" t="str">
        <f>AB79+AC79</f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55</v>
      </c>
      <c r="E80" s="7" t="s">
        <v>47</v>
      </c>
      <c r="F80" s="7" t="s">
        <v>119</v>
      </c>
      <c r="G80" s="7" t="s">
        <v>43</v>
      </c>
      <c r="H80" s="7" t="s">
        <v>44</v>
      </c>
      <c r="I80" s="11">
        <v>2</v>
      </c>
      <c r="J80" s="11">
        <v>3</v>
      </c>
      <c r="K80" s="11">
        <v>0</v>
      </c>
      <c r="L80" s="11">
        <v>4.389999999999999</v>
      </c>
      <c r="M80" s="11">
        <v>0.33</v>
      </c>
      <c r="N80" s="11">
        <v>0</v>
      </c>
      <c r="O80" s="11">
        <v>0</v>
      </c>
      <c r="P80" s="11">
        <v>0.83</v>
      </c>
      <c r="Q80" s="11">
        <v>5.549999999999999</v>
      </c>
      <c r="R80" s="11">
        <v>7.42</v>
      </c>
      <c r="S80" s="11">
        <v>12.97</v>
      </c>
      <c r="T80" s="11">
        <v>2</v>
      </c>
      <c r="U80" s="11">
        <v>3</v>
      </c>
      <c r="V80" s="11">
        <v>7.969999999999999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 t="str">
        <f>(Y80/2)*1083825</f>
        <v>0</v>
      </c>
      <c r="AC80" s="15" t="str">
        <f>(Z80/3)*2529000</f>
        <v>0</v>
      </c>
      <c r="AD80" s="15" t="str">
        <f>AB80+AC80</f>
        <v>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62</v>
      </c>
      <c r="E81" s="7" t="s">
        <v>47</v>
      </c>
      <c r="F81" s="7" t="s">
        <v>119</v>
      </c>
      <c r="G81" s="7" t="s">
        <v>43</v>
      </c>
      <c r="H81" s="7" t="s">
        <v>44</v>
      </c>
      <c r="I81" s="11">
        <v>2</v>
      </c>
      <c r="J81" s="11">
        <v>3</v>
      </c>
      <c r="K81" s="11">
        <v>0</v>
      </c>
      <c r="L81" s="11">
        <v>14.09999999999997</v>
      </c>
      <c r="M81" s="11">
        <v>0.5</v>
      </c>
      <c r="N81" s="11">
        <v>0</v>
      </c>
      <c r="O81" s="11">
        <v>0</v>
      </c>
      <c r="P81" s="11">
        <v>0</v>
      </c>
      <c r="Q81" s="11">
        <v>14.59999999999997</v>
      </c>
      <c r="R81" s="11">
        <v>7.609999999999999</v>
      </c>
      <c r="S81" s="11">
        <v>22.20999999999997</v>
      </c>
      <c r="T81" s="11">
        <v>2</v>
      </c>
      <c r="U81" s="11">
        <v>3</v>
      </c>
      <c r="V81" s="11">
        <v>17.20999999999997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 t="str">
        <f>(Y81/2)*1083825</f>
        <v>0</v>
      </c>
      <c r="AC81" s="15" t="str">
        <f>(Z81/3)*2529000</f>
        <v>0</v>
      </c>
      <c r="AD81" s="15" t="str">
        <f>AB81+AC81</f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55</v>
      </c>
      <c r="E82" s="7" t="s">
        <v>83</v>
      </c>
      <c r="F82" s="7" t="s">
        <v>119</v>
      </c>
      <c r="G82" s="7" t="s">
        <v>43</v>
      </c>
      <c r="H82" s="7" t="s">
        <v>44</v>
      </c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 t="str">
        <f>(Y82/2)*1083825</f>
        <v>0</v>
      </c>
      <c r="AC82" s="15" t="str">
        <f>(Z82/3)*2529000</f>
        <v>0</v>
      </c>
      <c r="AD82" s="15" t="str">
        <f>AB82+AC82</f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112</v>
      </c>
      <c r="E83" s="7" t="s">
        <v>47</v>
      </c>
      <c r="F83" s="7" t="s">
        <v>119</v>
      </c>
      <c r="G83" s="7" t="s">
        <v>43</v>
      </c>
      <c r="H83" s="7" t="s">
        <v>150</v>
      </c>
      <c r="I83" s="11">
        <v>2</v>
      </c>
      <c r="J83" s="11">
        <v>3</v>
      </c>
      <c r="K83" s="11">
        <v>1</v>
      </c>
      <c r="L83" s="11">
        <v>3.6</v>
      </c>
      <c r="M83" s="11">
        <v>1</v>
      </c>
      <c r="N83" s="11">
        <v>0</v>
      </c>
      <c r="O83" s="11">
        <v>0</v>
      </c>
      <c r="P83" s="11">
        <v>0</v>
      </c>
      <c r="Q83" s="11">
        <v>5.6</v>
      </c>
      <c r="R83" s="11">
        <v>5.720000000000001</v>
      </c>
      <c r="S83" s="11">
        <v>11.32</v>
      </c>
      <c r="T83" s="11">
        <v>2</v>
      </c>
      <c r="U83" s="11">
        <v>3</v>
      </c>
      <c r="V83" s="11">
        <v>6.32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 t="str">
        <f>(Y83/2)*1917975</f>
        <v>0</v>
      </c>
      <c r="AC83" s="15" t="str">
        <f>(Z83/3)*4475375</f>
        <v>0</v>
      </c>
      <c r="AD83" s="15" t="str">
        <f>AB83+AC83</f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55</v>
      </c>
      <c r="E84" s="7" t="s">
        <v>47</v>
      </c>
      <c r="F84" s="7" t="s">
        <v>119</v>
      </c>
      <c r="G84" s="7" t="s">
        <v>43</v>
      </c>
      <c r="H84" s="7" t="s">
        <v>44</v>
      </c>
      <c r="I84" s="11">
        <v>2</v>
      </c>
      <c r="J84" s="11">
        <v>3</v>
      </c>
      <c r="K84" s="11">
        <v>0</v>
      </c>
      <c r="L84" s="11">
        <v>3.820000000000001</v>
      </c>
      <c r="M84" s="11">
        <v>0.33</v>
      </c>
      <c r="N84" s="11">
        <v>0</v>
      </c>
      <c r="O84" s="11">
        <v>0</v>
      </c>
      <c r="P84" s="11">
        <v>0</v>
      </c>
      <c r="Q84" s="11">
        <v>4.150000000000001</v>
      </c>
      <c r="R84" s="11">
        <v>2.05</v>
      </c>
      <c r="S84" s="11">
        <v>6.200000000000001</v>
      </c>
      <c r="T84" s="11">
        <v>2</v>
      </c>
      <c r="U84" s="11">
        <v>3</v>
      </c>
      <c r="V84" s="11">
        <v>1.200000000000001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 t="str">
        <f>(Y84/2)*1083825</f>
        <v>0</v>
      </c>
      <c r="AC84" s="15" t="str">
        <f>(Z84/3)*2529000</f>
        <v>0</v>
      </c>
      <c r="AD84" s="15" t="str">
        <f>AB84+AC84</f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55</v>
      </c>
      <c r="E85" s="7" t="s">
        <v>47</v>
      </c>
      <c r="F85" s="7" t="s">
        <v>119</v>
      </c>
      <c r="G85" s="7" t="s">
        <v>43</v>
      </c>
      <c r="H85" s="7" t="s">
        <v>44</v>
      </c>
      <c r="I85" s="11">
        <v>2</v>
      </c>
      <c r="J85" s="11">
        <v>3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 t="str">
        <f>(Y85/2)*1083825</f>
        <v>0</v>
      </c>
      <c r="AC85" s="15" t="str">
        <f>(Z85/3)*2529000</f>
        <v>0</v>
      </c>
      <c r="AD85" s="15" t="str">
        <f>AB85+AC85</f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112</v>
      </c>
      <c r="E86" s="7" t="s">
        <v>47</v>
      </c>
      <c r="F86" s="7" t="s">
        <v>119</v>
      </c>
      <c r="G86" s="7" t="s">
        <v>43</v>
      </c>
      <c r="H86" s="7" t="s">
        <v>44</v>
      </c>
      <c r="I86" s="11">
        <v>2</v>
      </c>
      <c r="J86" s="11">
        <v>3</v>
      </c>
      <c r="K86" s="11">
        <v>0</v>
      </c>
      <c r="L86" s="11">
        <v>3.36</v>
      </c>
      <c r="M86" s="11">
        <v>0.17</v>
      </c>
      <c r="N86" s="11">
        <v>0</v>
      </c>
      <c r="O86" s="11">
        <v>0</v>
      </c>
      <c r="P86" s="11">
        <v>0</v>
      </c>
      <c r="Q86" s="11">
        <v>3.53</v>
      </c>
      <c r="R86" s="11">
        <v>3.41</v>
      </c>
      <c r="S86" s="11">
        <v>6.94</v>
      </c>
      <c r="T86" s="11">
        <v>2</v>
      </c>
      <c r="U86" s="11">
        <v>3</v>
      </c>
      <c r="V86" s="11">
        <v>1.94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 t="str">
        <f>(Y86/2)*1083825</f>
        <v>0</v>
      </c>
      <c r="AC86" s="15" t="str">
        <f>(Z86/3)*2529000</f>
        <v>0</v>
      </c>
      <c r="AD86" s="15" t="str">
        <f>AB86+AC86</f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69</v>
      </c>
      <c r="E87" s="7" t="s">
        <v>47</v>
      </c>
      <c r="F87" s="7" t="s">
        <v>119</v>
      </c>
      <c r="G87" s="7" t="s">
        <v>43</v>
      </c>
      <c r="H87" s="7" t="s">
        <v>44</v>
      </c>
      <c r="I87" s="11">
        <v>2</v>
      </c>
      <c r="J87" s="11">
        <v>3</v>
      </c>
      <c r="K87" s="11">
        <v>0</v>
      </c>
      <c r="L87" s="11">
        <v>4.440000000000001</v>
      </c>
      <c r="M87" s="11">
        <v>2.49</v>
      </c>
      <c r="N87" s="11">
        <v>0</v>
      </c>
      <c r="O87" s="11">
        <v>0</v>
      </c>
      <c r="P87" s="11">
        <v>0</v>
      </c>
      <c r="Q87" s="11">
        <v>6.930000000000001</v>
      </c>
      <c r="R87" s="11">
        <v>3.18</v>
      </c>
      <c r="S87" s="11">
        <v>10.11</v>
      </c>
      <c r="T87" s="11">
        <v>2</v>
      </c>
      <c r="U87" s="11">
        <v>3</v>
      </c>
      <c r="V87" s="11">
        <v>5.110000000000001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 t="str">
        <f>(Y87/2)*1083825</f>
        <v>0</v>
      </c>
      <c r="AC87" s="15" t="str">
        <f>(Z87/3)*2529000</f>
        <v>0</v>
      </c>
      <c r="AD87" s="15" t="str">
        <f>AB87+AC87</f>
        <v>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55</v>
      </c>
      <c r="E88" s="7" t="s">
        <v>47</v>
      </c>
      <c r="F88" s="7" t="s">
        <v>119</v>
      </c>
      <c r="G88" s="7" t="s">
        <v>43</v>
      </c>
      <c r="H88" s="7" t="s">
        <v>44</v>
      </c>
      <c r="I88" s="11">
        <v>2</v>
      </c>
      <c r="J88" s="11">
        <v>3</v>
      </c>
      <c r="K88" s="11">
        <v>0</v>
      </c>
      <c r="L88" s="11">
        <v>4.030000000000001</v>
      </c>
      <c r="M88" s="11">
        <v>0</v>
      </c>
      <c r="N88" s="11">
        <v>0</v>
      </c>
      <c r="O88" s="11">
        <v>0</v>
      </c>
      <c r="P88" s="11">
        <v>0.83</v>
      </c>
      <c r="Q88" s="11">
        <v>4.860000000000001</v>
      </c>
      <c r="R88" s="11">
        <v>3.8</v>
      </c>
      <c r="S88" s="11">
        <v>8.660000000000002</v>
      </c>
      <c r="T88" s="11">
        <v>2</v>
      </c>
      <c r="U88" s="11">
        <v>3</v>
      </c>
      <c r="V88" s="11">
        <v>3.660000000000002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 t="str">
        <f>(Y88/2)*1083825</f>
        <v>0</v>
      </c>
      <c r="AC88" s="15" t="str">
        <f>(Z88/3)*2529000</f>
        <v>0</v>
      </c>
      <c r="AD88" s="15" t="str">
        <f>AB88+AC88</f>
        <v>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69</v>
      </c>
      <c r="E89" s="7" t="s">
        <v>47</v>
      </c>
      <c r="F89" s="7" t="s">
        <v>119</v>
      </c>
      <c r="G89" s="7" t="s">
        <v>43</v>
      </c>
      <c r="H89" s="7" t="s">
        <v>85</v>
      </c>
      <c r="I89" s="11">
        <v>2</v>
      </c>
      <c r="J89" s="11">
        <v>3</v>
      </c>
      <c r="K89" s="11">
        <v>1</v>
      </c>
      <c r="L89" s="11">
        <v>3.52</v>
      </c>
      <c r="M89" s="11">
        <v>2.33</v>
      </c>
      <c r="N89" s="11">
        <v>0</v>
      </c>
      <c r="O89" s="11">
        <v>0</v>
      </c>
      <c r="P89" s="11">
        <v>0</v>
      </c>
      <c r="Q89" s="11">
        <v>6.849999999999999</v>
      </c>
      <c r="R89" s="11">
        <v>6.67</v>
      </c>
      <c r="S89" s="11">
        <v>13.52</v>
      </c>
      <c r="T89" s="11">
        <v>2</v>
      </c>
      <c r="U89" s="11">
        <v>3</v>
      </c>
      <c r="V89" s="11">
        <v>8.52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 t="str">
        <f>(Y89/2)*1917975</f>
        <v>0</v>
      </c>
      <c r="AC89" s="15" t="str">
        <f>(Z89/3)*4609636</f>
        <v>0</v>
      </c>
      <c r="AD89" s="15" t="str">
        <f>AB89+AC89</f>
        <v>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62</v>
      </c>
      <c r="E90" s="7" t="s">
        <v>83</v>
      </c>
      <c r="F90" s="7" t="s">
        <v>119</v>
      </c>
      <c r="G90" s="7" t="s">
        <v>43</v>
      </c>
      <c r="H90" s="7" t="s">
        <v>44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1.98</v>
      </c>
      <c r="S90" s="11">
        <v>1.98</v>
      </c>
      <c r="T90" s="11">
        <v>1.98</v>
      </c>
      <c r="U90" s="11">
        <v>0</v>
      </c>
      <c r="V90" s="11">
        <v>0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 t="str">
        <f>(Y90/2)*1083825</f>
        <v>0</v>
      </c>
      <c r="AC90" s="15" t="str">
        <f>(Z90/3)*2529000</f>
        <v>0</v>
      </c>
      <c r="AD90" s="15" t="str">
        <f>AB90+AC90</f>
        <v>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78</v>
      </c>
      <c r="E91" s="7" t="s">
        <v>47</v>
      </c>
      <c r="F91" s="7" t="s">
        <v>119</v>
      </c>
      <c r="G91" s="7" t="s">
        <v>43</v>
      </c>
      <c r="H91" s="7"/>
      <c r="I91" s="11">
        <v>2</v>
      </c>
      <c r="J91" s="11">
        <v>3</v>
      </c>
      <c r="K91" s="11">
        <v>0</v>
      </c>
      <c r="L91" s="11">
        <v>4.980000000000002</v>
      </c>
      <c r="M91" s="11">
        <v>0.67</v>
      </c>
      <c r="N91" s="11">
        <v>0</v>
      </c>
      <c r="O91" s="11">
        <v>0</v>
      </c>
      <c r="P91" s="11">
        <v>0</v>
      </c>
      <c r="Q91" s="11">
        <v>5.650000000000002</v>
      </c>
      <c r="R91" s="11">
        <v>2.37</v>
      </c>
      <c r="S91" s="11">
        <v>8.020000000000003</v>
      </c>
      <c r="T91" s="11">
        <v>2</v>
      </c>
      <c r="U91" s="11">
        <v>3</v>
      </c>
      <c r="V91" s="11">
        <v>3.020000000000003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 t="str">
        <f>(Y91/2)*1083825</f>
        <v>0</v>
      </c>
      <c r="AC91" s="15" t="str">
        <f>(Z91/3)*2529000</f>
        <v>0</v>
      </c>
      <c r="AD91" s="15" t="str">
        <f>AB91+AC91</f>
        <v>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232</v>
      </c>
      <c r="E92" s="7" t="s">
        <v>47</v>
      </c>
      <c r="F92" s="7" t="s">
        <v>119</v>
      </c>
      <c r="G92" s="7" t="s">
        <v>43</v>
      </c>
      <c r="H92" s="7"/>
      <c r="I92" s="11">
        <v>2</v>
      </c>
      <c r="J92" s="11">
        <v>3</v>
      </c>
      <c r="K92" s="11">
        <v>0</v>
      </c>
      <c r="L92" s="11">
        <v>7.48</v>
      </c>
      <c r="M92" s="11">
        <v>0.33</v>
      </c>
      <c r="N92" s="11">
        <v>0</v>
      </c>
      <c r="O92" s="11">
        <v>0</v>
      </c>
      <c r="P92" s="11">
        <v>0</v>
      </c>
      <c r="Q92" s="11">
        <v>7.81</v>
      </c>
      <c r="R92" s="11">
        <v>4.41</v>
      </c>
      <c r="S92" s="11">
        <v>12.22</v>
      </c>
      <c r="T92" s="11">
        <v>2</v>
      </c>
      <c r="U92" s="11">
        <v>3</v>
      </c>
      <c r="V92" s="11">
        <v>7.220000000000001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 t="str">
        <f>(Y92/2)*1083825</f>
        <v>0</v>
      </c>
      <c r="AC92" s="15" t="str">
        <f>(Z92/3)*2529000</f>
        <v>0</v>
      </c>
      <c r="AD92" s="15" t="str">
        <f>AB92+AC92</f>
        <v>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112</v>
      </c>
      <c r="E93" s="7" t="s">
        <v>47</v>
      </c>
      <c r="F93" s="7" t="s">
        <v>119</v>
      </c>
      <c r="G93" s="7" t="s">
        <v>43</v>
      </c>
      <c r="H93" s="7" t="s">
        <v>44</v>
      </c>
      <c r="I93" s="11">
        <v>2</v>
      </c>
      <c r="J93" s="11">
        <v>3</v>
      </c>
      <c r="K93" s="11">
        <v>0</v>
      </c>
      <c r="L93" s="11">
        <v>3.410000000000001</v>
      </c>
      <c r="M93" s="11">
        <v>0.8300000000000001</v>
      </c>
      <c r="N93" s="11">
        <v>0</v>
      </c>
      <c r="O93" s="11">
        <v>0.17</v>
      </c>
      <c r="P93" s="11">
        <v>0</v>
      </c>
      <c r="Q93" s="11">
        <v>4.41</v>
      </c>
      <c r="R93" s="11">
        <v>2.41</v>
      </c>
      <c r="S93" s="11">
        <v>6.82</v>
      </c>
      <c r="T93" s="11">
        <v>2</v>
      </c>
      <c r="U93" s="11">
        <v>3</v>
      </c>
      <c r="V93" s="11">
        <v>1.82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 t="str">
        <f>(Y93/2)*1083825</f>
        <v>0</v>
      </c>
      <c r="AC93" s="15" t="str">
        <f>(Z93/3)*2529000</f>
        <v>0</v>
      </c>
      <c r="AD93" s="15" t="str">
        <f>AB93+AC93</f>
        <v>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232</v>
      </c>
      <c r="E94" s="7" t="s">
        <v>47</v>
      </c>
      <c r="F94" s="7" t="s">
        <v>119</v>
      </c>
      <c r="G94" s="7" t="s">
        <v>43</v>
      </c>
      <c r="H94" s="7" t="s">
        <v>44</v>
      </c>
      <c r="I94" s="11">
        <v>2</v>
      </c>
      <c r="J94" s="11">
        <v>3</v>
      </c>
      <c r="K94" s="11">
        <v>0</v>
      </c>
      <c r="L94" s="11">
        <v>4.700000000000002</v>
      </c>
      <c r="M94" s="11">
        <v>0.17</v>
      </c>
      <c r="N94" s="11">
        <v>0</v>
      </c>
      <c r="O94" s="11">
        <v>0</v>
      </c>
      <c r="P94" s="11">
        <v>0</v>
      </c>
      <c r="Q94" s="11">
        <v>4.870000000000002</v>
      </c>
      <c r="R94" s="11">
        <v>3.18</v>
      </c>
      <c r="S94" s="11">
        <v>8.050000000000002</v>
      </c>
      <c r="T94" s="11">
        <v>2</v>
      </c>
      <c r="U94" s="11">
        <v>3</v>
      </c>
      <c r="V94" s="11">
        <v>3.050000000000002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 t="str">
        <f>(Y94/2)*1083825</f>
        <v>0</v>
      </c>
      <c r="AC94" s="15" t="str">
        <f>(Z94/3)*2529000</f>
        <v>0</v>
      </c>
      <c r="AD94" s="15" t="str">
        <f>AB94+AC94</f>
        <v>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55</v>
      </c>
      <c r="E95" s="7" t="s">
        <v>47</v>
      </c>
      <c r="F95" s="7" t="s">
        <v>119</v>
      </c>
      <c r="G95" s="7" t="s">
        <v>43</v>
      </c>
      <c r="H95" s="7" t="s">
        <v>44</v>
      </c>
      <c r="I95" s="11">
        <v>2</v>
      </c>
      <c r="J95" s="11">
        <v>3</v>
      </c>
      <c r="K95" s="11">
        <v>0</v>
      </c>
      <c r="L95" s="11">
        <v>6.909999999999998</v>
      </c>
      <c r="M95" s="11">
        <v>0</v>
      </c>
      <c r="N95" s="11">
        <v>0</v>
      </c>
      <c r="O95" s="11">
        <v>0</v>
      </c>
      <c r="P95" s="11">
        <v>0.17</v>
      </c>
      <c r="Q95" s="11">
        <v>7.079999999999998</v>
      </c>
      <c r="R95" s="11">
        <v>3.97</v>
      </c>
      <c r="S95" s="11">
        <v>11.05</v>
      </c>
      <c r="T95" s="11">
        <v>2</v>
      </c>
      <c r="U95" s="11">
        <v>3</v>
      </c>
      <c r="V95" s="11">
        <v>6.049999999999997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 t="str">
        <f>(Y95/2)*1083825</f>
        <v>0</v>
      </c>
      <c r="AC95" s="15" t="str">
        <f>(Z95/3)*2529000</f>
        <v>0</v>
      </c>
      <c r="AD95" s="15" t="str">
        <f>AB95+AC95</f>
        <v>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55</v>
      </c>
      <c r="E96" s="7" t="s">
        <v>47</v>
      </c>
      <c r="F96" s="7" t="s">
        <v>119</v>
      </c>
      <c r="G96" s="7" t="s">
        <v>48</v>
      </c>
      <c r="H96" s="7" t="s">
        <v>44</v>
      </c>
      <c r="I96" s="11">
        <v>2</v>
      </c>
      <c r="J96" s="11">
        <v>3</v>
      </c>
      <c r="K96" s="11">
        <v>0</v>
      </c>
      <c r="L96" s="11">
        <v>7.689999999999999</v>
      </c>
      <c r="M96" s="11">
        <v>0</v>
      </c>
      <c r="N96" s="11">
        <v>0</v>
      </c>
      <c r="O96" s="11">
        <v>0</v>
      </c>
      <c r="P96" s="11">
        <v>0</v>
      </c>
      <c r="Q96" s="11">
        <v>7.689999999999999</v>
      </c>
      <c r="R96" s="11">
        <v>2.140000000000001</v>
      </c>
      <c r="S96" s="11">
        <v>9.829999999999998</v>
      </c>
      <c r="T96" s="11">
        <v>2</v>
      </c>
      <c r="U96" s="11">
        <v>3</v>
      </c>
      <c r="V96" s="11">
        <v>4.829999999999998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 t="str">
        <f>(Y96/2)*1083825</f>
        <v>0</v>
      </c>
      <c r="AC96" s="15" t="str">
        <f>(Z96/3)*2529000</f>
        <v>0</v>
      </c>
      <c r="AD96" s="15" t="str">
        <f>AB96+AC96</f>
        <v>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232</v>
      </c>
      <c r="E97" s="7" t="s">
        <v>141</v>
      </c>
      <c r="F97" s="7" t="s">
        <v>119</v>
      </c>
      <c r="G97" s="7" t="s">
        <v>43</v>
      </c>
      <c r="H97" s="7" t="s">
        <v>44</v>
      </c>
      <c r="I97" s="11">
        <v>2</v>
      </c>
      <c r="J97" s="11">
        <v>3</v>
      </c>
      <c r="K97" s="11">
        <v>0</v>
      </c>
      <c r="L97" s="11">
        <v>7.290000000000001</v>
      </c>
      <c r="M97" s="11">
        <v>0.17</v>
      </c>
      <c r="N97" s="11">
        <v>0</v>
      </c>
      <c r="O97" s="11">
        <v>0</v>
      </c>
      <c r="P97" s="11">
        <v>0</v>
      </c>
      <c r="Q97" s="11">
        <v>7.460000000000001</v>
      </c>
      <c r="R97" s="11">
        <v>5.290000000000001</v>
      </c>
      <c r="S97" s="11">
        <v>12.75</v>
      </c>
      <c r="T97" s="11">
        <v>2</v>
      </c>
      <c r="U97" s="11">
        <v>3</v>
      </c>
      <c r="V97" s="11">
        <v>7.750000000000002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 t="str">
        <f>(Y97/2)*1083825</f>
        <v>0</v>
      </c>
      <c r="AC97" s="15" t="str">
        <f>(Z97/3)*2529000</f>
        <v>0</v>
      </c>
      <c r="AD97" s="15" t="str">
        <f>AB97+AC97</f>
        <v>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69</v>
      </c>
      <c r="E98" s="7" t="s">
        <v>155</v>
      </c>
      <c r="F98" s="7" t="s">
        <v>119</v>
      </c>
      <c r="G98" s="7" t="s">
        <v>43</v>
      </c>
      <c r="H98" s="7" t="s">
        <v>44</v>
      </c>
      <c r="I98" s="11">
        <v>2</v>
      </c>
      <c r="J98" s="11">
        <v>3</v>
      </c>
      <c r="K98" s="11">
        <v>0</v>
      </c>
      <c r="L98" s="11">
        <v>3.450000000000001</v>
      </c>
      <c r="M98" s="11">
        <v>0.67</v>
      </c>
      <c r="N98" s="11">
        <v>0</v>
      </c>
      <c r="O98" s="11">
        <v>0</v>
      </c>
      <c r="P98" s="11">
        <v>0</v>
      </c>
      <c r="Q98" s="11">
        <v>4.12</v>
      </c>
      <c r="R98" s="11">
        <v>3.5</v>
      </c>
      <c r="S98" s="11">
        <v>7.62</v>
      </c>
      <c r="T98" s="11">
        <v>2</v>
      </c>
      <c r="U98" s="11">
        <v>3</v>
      </c>
      <c r="V98" s="11">
        <v>2.62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 t="str">
        <f>(Y98/2)*1083825</f>
        <v>0</v>
      </c>
      <c r="AC98" s="15" t="str">
        <f>(Z98/3)*2529000</f>
        <v>0</v>
      </c>
      <c r="AD98" s="15" t="str">
        <f>AB98+AC98</f>
        <v>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55</v>
      </c>
      <c r="E99" s="7" t="s">
        <v>141</v>
      </c>
      <c r="F99" s="7" t="s">
        <v>119</v>
      </c>
      <c r="G99" s="7" t="s">
        <v>43</v>
      </c>
      <c r="H99" s="7" t="s">
        <v>44</v>
      </c>
      <c r="I99" s="11">
        <v>2</v>
      </c>
      <c r="J99" s="11">
        <v>3</v>
      </c>
      <c r="K99" s="11">
        <v>0</v>
      </c>
      <c r="L99" s="11">
        <v>4.080000000000001</v>
      </c>
      <c r="M99" s="11">
        <v>0</v>
      </c>
      <c r="N99" s="11">
        <v>0</v>
      </c>
      <c r="O99" s="11">
        <v>0</v>
      </c>
      <c r="P99" s="11">
        <v>0</v>
      </c>
      <c r="Q99" s="11">
        <v>4.080000000000001</v>
      </c>
      <c r="R99" s="11">
        <v>2.55</v>
      </c>
      <c r="S99" s="11">
        <v>6.630000000000001</v>
      </c>
      <c r="T99" s="11">
        <v>2</v>
      </c>
      <c r="U99" s="11">
        <v>3</v>
      </c>
      <c r="V99" s="11">
        <v>1.630000000000001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 t="str">
        <f>(Y99/2)*1083825</f>
        <v>0</v>
      </c>
      <c r="AC99" s="15" t="str">
        <f>(Z99/3)*2529000</f>
        <v>0</v>
      </c>
      <c r="AD99" s="15" t="str">
        <f>AB99+AC99</f>
        <v>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232</v>
      </c>
      <c r="E100" s="7" t="s">
        <v>83</v>
      </c>
      <c r="F100" s="7" t="s">
        <v>119</v>
      </c>
      <c r="G100" s="7" t="s">
        <v>48</v>
      </c>
      <c r="H100" s="7" t="s">
        <v>44</v>
      </c>
      <c r="I100" s="11">
        <v>2</v>
      </c>
      <c r="J100" s="11">
        <v>3</v>
      </c>
      <c r="K100" s="11">
        <v>0</v>
      </c>
      <c r="L100" s="11">
        <v>7.670000000000004</v>
      </c>
      <c r="M100" s="11">
        <v>0.33</v>
      </c>
      <c r="N100" s="11">
        <v>0</v>
      </c>
      <c r="O100" s="11">
        <v>0</v>
      </c>
      <c r="P100" s="11">
        <v>0</v>
      </c>
      <c r="Q100" s="11">
        <v>8.000000000000004</v>
      </c>
      <c r="R100" s="11">
        <v>6.189999999999999</v>
      </c>
      <c r="S100" s="11">
        <v>14.19</v>
      </c>
      <c r="T100" s="11">
        <v>2</v>
      </c>
      <c r="U100" s="11">
        <v>3</v>
      </c>
      <c r="V100" s="11">
        <v>9.190000000000001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 t="str">
        <f>(Y100/2)*1083825</f>
        <v>0</v>
      </c>
      <c r="AC100" s="15" t="str">
        <f>(Z100/3)*2529000</f>
        <v>0</v>
      </c>
      <c r="AD100" s="15" t="str">
        <f>AB100+AC100</f>
        <v>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55</v>
      </c>
      <c r="E101" s="7" t="s">
        <v>47</v>
      </c>
      <c r="F101" s="7" t="s">
        <v>119</v>
      </c>
      <c r="G101" s="7" t="s">
        <v>43</v>
      </c>
      <c r="H101" s="7" t="s">
        <v>44</v>
      </c>
      <c r="I101" s="11">
        <v>2</v>
      </c>
      <c r="J101" s="11">
        <v>3</v>
      </c>
      <c r="K101" s="11">
        <v>0</v>
      </c>
      <c r="L101" s="11">
        <v>0.08</v>
      </c>
      <c r="M101" s="11">
        <v>0</v>
      </c>
      <c r="N101" s="11">
        <v>0</v>
      </c>
      <c r="O101" s="11">
        <v>0</v>
      </c>
      <c r="P101" s="11">
        <v>0.17</v>
      </c>
      <c r="Q101" s="11">
        <v>0.25</v>
      </c>
      <c r="R101" s="11">
        <v>0.8700000000000001</v>
      </c>
      <c r="S101" s="11">
        <v>1.12</v>
      </c>
      <c r="T101" s="11">
        <v>1.12</v>
      </c>
      <c r="U101" s="11">
        <v>0</v>
      </c>
      <c r="V101" s="11">
        <v>0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 t="str">
        <f>(Y101/2)*1083825</f>
        <v>0</v>
      </c>
      <c r="AC101" s="15" t="str">
        <f>(Z101/3)*2529000</f>
        <v>0</v>
      </c>
      <c r="AD101" s="15" t="str">
        <f>AB101+AC101</f>
        <v>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62</v>
      </c>
      <c r="E102" s="7" t="s">
        <v>155</v>
      </c>
      <c r="F102" s="7" t="s">
        <v>253</v>
      </c>
      <c r="G102" s="7" t="s">
        <v>43</v>
      </c>
      <c r="H102" s="7" t="s">
        <v>44</v>
      </c>
      <c r="I102" s="11">
        <v>2</v>
      </c>
      <c r="J102" s="11">
        <v>3</v>
      </c>
      <c r="K102" s="11">
        <v>0</v>
      </c>
      <c r="L102" s="11">
        <v>7.600000000000002</v>
      </c>
      <c r="M102" s="11">
        <v>0.66</v>
      </c>
      <c r="N102" s="11">
        <v>0</v>
      </c>
      <c r="O102" s="11">
        <v>0</v>
      </c>
      <c r="P102" s="11">
        <v>0</v>
      </c>
      <c r="Q102" s="11">
        <v>8.260000000000002</v>
      </c>
      <c r="R102" s="11">
        <v>9.82</v>
      </c>
      <c r="S102" s="11">
        <v>18.08</v>
      </c>
      <c r="T102" s="11">
        <v>2</v>
      </c>
      <c r="U102" s="11">
        <v>3</v>
      </c>
      <c r="V102" s="11">
        <v>13.08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 t="str">
        <f>(Y102/2)*838350</f>
        <v>0</v>
      </c>
      <c r="AC102" s="15" t="str">
        <f>(Z102/3)*1956150</f>
        <v>0</v>
      </c>
      <c r="AD102" s="15" t="str">
        <f>AB102+AC102</f>
        <v>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256</v>
      </c>
      <c r="E103" s="7" t="s">
        <v>141</v>
      </c>
      <c r="F103" s="7" t="s">
        <v>257</v>
      </c>
      <c r="G103" s="7" t="s">
        <v>43</v>
      </c>
      <c r="H103" s="7" t="s">
        <v>44</v>
      </c>
      <c r="I103" s="11">
        <v>2</v>
      </c>
      <c r="J103" s="11">
        <v>3</v>
      </c>
      <c r="K103" s="11">
        <v>0</v>
      </c>
      <c r="L103" s="11">
        <v>4.000000000000001</v>
      </c>
      <c r="M103" s="11">
        <v>0</v>
      </c>
      <c r="N103" s="11">
        <v>0</v>
      </c>
      <c r="O103" s="11">
        <v>0</v>
      </c>
      <c r="P103" s="11">
        <v>0</v>
      </c>
      <c r="Q103" s="11">
        <v>4.000000000000001</v>
      </c>
      <c r="R103" s="11">
        <v>2.52</v>
      </c>
      <c r="S103" s="11">
        <v>6.520000000000001</v>
      </c>
      <c r="T103" s="11">
        <v>2</v>
      </c>
      <c r="U103" s="11">
        <v>3</v>
      </c>
      <c r="V103" s="11">
        <v>1.520000000000001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 t="str">
        <f>(Y103/2)*838350</f>
        <v>0</v>
      </c>
      <c r="AC103" s="15" t="str">
        <f>(Z103/3)*1956150</f>
        <v>0</v>
      </c>
      <c r="AD103" s="15" t="str">
        <f>AB103+AC103</f>
        <v>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40</v>
      </c>
      <c r="E104" s="7" t="s">
        <v>141</v>
      </c>
      <c r="F104" s="7" t="s">
        <v>257</v>
      </c>
      <c r="G104" s="7" t="s">
        <v>43</v>
      </c>
      <c r="H104" s="7" t="s">
        <v>44</v>
      </c>
      <c r="I104" s="11">
        <v>2</v>
      </c>
      <c r="J104" s="11">
        <v>3</v>
      </c>
      <c r="K104" s="11">
        <v>0</v>
      </c>
      <c r="L104" s="11">
        <v>0.98</v>
      </c>
      <c r="M104" s="11">
        <v>0.17</v>
      </c>
      <c r="N104" s="11">
        <v>0</v>
      </c>
      <c r="O104" s="11">
        <v>0</v>
      </c>
      <c r="P104" s="11">
        <v>0</v>
      </c>
      <c r="Q104" s="11">
        <v>1.15</v>
      </c>
      <c r="R104" s="11">
        <v>0.52</v>
      </c>
      <c r="S104" s="11">
        <v>1.67</v>
      </c>
      <c r="T104" s="11">
        <v>1.67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 t="str">
        <f>(Y104/2)*838350</f>
        <v>0</v>
      </c>
      <c r="AC104" s="15" t="str">
        <f>(Z104/3)*1956150</f>
        <v>0</v>
      </c>
      <c r="AD104" s="15" t="str">
        <f>AB104+AC104</f>
        <v>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256</v>
      </c>
      <c r="E105" s="7" t="s">
        <v>155</v>
      </c>
      <c r="F105" s="7" t="s">
        <v>257</v>
      </c>
      <c r="G105" s="7" t="s">
        <v>43</v>
      </c>
      <c r="H105" s="7" t="s">
        <v>44</v>
      </c>
      <c r="I105" s="11">
        <v>2</v>
      </c>
      <c r="J105" s="11">
        <v>3</v>
      </c>
      <c r="K105" s="11">
        <v>0</v>
      </c>
      <c r="L105" s="11">
        <v>0.41</v>
      </c>
      <c r="M105" s="11">
        <v>0.8300000000000001</v>
      </c>
      <c r="N105" s="11">
        <v>0</v>
      </c>
      <c r="O105" s="11">
        <v>0</v>
      </c>
      <c r="P105" s="11">
        <v>0</v>
      </c>
      <c r="Q105" s="11">
        <v>1.24</v>
      </c>
      <c r="R105" s="11">
        <v>1.74</v>
      </c>
      <c r="S105" s="11">
        <v>2.98</v>
      </c>
      <c r="T105" s="11">
        <v>2</v>
      </c>
      <c r="U105" s="11">
        <v>0.9800000000000004</v>
      </c>
      <c r="V105" s="11">
        <v>0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 t="str">
        <f>(Y105/2)*838350</f>
        <v>0</v>
      </c>
      <c r="AC105" s="15" t="str">
        <f>(Z105/3)*1956150</f>
        <v>0</v>
      </c>
      <c r="AD105" s="15" t="str">
        <f>AB105+AC105</f>
        <v>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69</v>
      </c>
      <c r="E106" s="7" t="s">
        <v>155</v>
      </c>
      <c r="F106" s="7" t="s">
        <v>257</v>
      </c>
      <c r="G106" s="7" t="s">
        <v>43</v>
      </c>
      <c r="H106" s="7" t="s">
        <v>44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 t="str">
        <f>(Y106/2)*838350</f>
        <v>0</v>
      </c>
      <c r="AC106" s="15" t="str">
        <f>(Z106/3)*1956150</f>
        <v>0</v>
      </c>
      <c r="AD106" s="15" t="str">
        <f>AB106+AC106</f>
        <v>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69</v>
      </c>
      <c r="E107" s="7" t="s">
        <v>47</v>
      </c>
      <c r="F107" s="7" t="s">
        <v>257</v>
      </c>
      <c r="G107" s="7" t="s">
        <v>43</v>
      </c>
      <c r="H107" s="7" t="s">
        <v>44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 t="str">
        <f>(Y107/2)*838350</f>
        <v>0</v>
      </c>
      <c r="AC107" s="15" t="str">
        <f>(Z107/3)*1956150</f>
        <v>0</v>
      </c>
      <c r="AD107" s="15" t="str">
        <f>AB107+AC107</f>
        <v>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40</v>
      </c>
      <c r="E108" s="7" t="s">
        <v>47</v>
      </c>
      <c r="F108" s="7" t="s">
        <v>257</v>
      </c>
      <c r="G108" s="7" t="s">
        <v>43</v>
      </c>
      <c r="H108" s="7" t="s">
        <v>44</v>
      </c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 t="str">
        <f>(Y108/2)*838350</f>
        <v>0</v>
      </c>
      <c r="AC108" s="15" t="str">
        <f>(Z108/3)*1956150</f>
        <v>0</v>
      </c>
      <c r="AD108" s="15" t="str">
        <f>AB108+AC108</f>
        <v>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51</v>
      </c>
      <c r="E109" s="7" t="s">
        <v>41</v>
      </c>
      <c r="F109" s="7" t="s">
        <v>257</v>
      </c>
      <c r="G109" s="7" t="s">
        <v>43</v>
      </c>
      <c r="H109" s="7" t="s">
        <v>270</v>
      </c>
      <c r="I109" s="11">
        <v>2</v>
      </c>
      <c r="J109" s="11">
        <v>3</v>
      </c>
      <c r="K109" s="11">
        <v>1</v>
      </c>
      <c r="L109" s="11">
        <v>3.960000000000001</v>
      </c>
      <c r="M109" s="11">
        <v>0</v>
      </c>
      <c r="N109" s="11">
        <v>0</v>
      </c>
      <c r="O109" s="11">
        <v>0</v>
      </c>
      <c r="P109" s="11">
        <v>0</v>
      </c>
      <c r="Q109" s="11">
        <v>4.960000000000001</v>
      </c>
      <c r="R109" s="11">
        <v>4.220000000000001</v>
      </c>
      <c r="S109" s="11">
        <v>9.180000000000001</v>
      </c>
      <c r="T109" s="11">
        <v>2</v>
      </c>
      <c r="U109" s="11">
        <v>3</v>
      </c>
      <c r="V109" s="11">
        <v>4.180000000000001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 t="str">
        <f>(Y109/2)*4309100</f>
        <v>0</v>
      </c>
      <c r="AC109" s="15" t="str">
        <f>(Z109/3)*10456836</f>
        <v>0</v>
      </c>
      <c r="AD109" s="15" t="str">
        <f>AB109+AC109</f>
        <v>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51</v>
      </c>
      <c r="E110" s="7" t="s">
        <v>41</v>
      </c>
      <c r="F110" s="7" t="s">
        <v>257</v>
      </c>
      <c r="G110" s="7" t="s">
        <v>43</v>
      </c>
      <c r="H110" s="7" t="s">
        <v>44</v>
      </c>
      <c r="I110" s="11">
        <v>2</v>
      </c>
      <c r="J110" s="11">
        <v>3</v>
      </c>
      <c r="K110" s="11">
        <v>0</v>
      </c>
      <c r="L110" s="11">
        <v>2.86</v>
      </c>
      <c r="M110" s="11">
        <v>1.33</v>
      </c>
      <c r="N110" s="11">
        <v>0</v>
      </c>
      <c r="O110" s="11">
        <v>0</v>
      </c>
      <c r="P110" s="11">
        <v>0</v>
      </c>
      <c r="Q110" s="11">
        <v>4.19</v>
      </c>
      <c r="R110" s="11">
        <v>2.98</v>
      </c>
      <c r="S110" s="11">
        <v>7.17</v>
      </c>
      <c r="T110" s="11">
        <v>2</v>
      </c>
      <c r="U110" s="11">
        <v>3</v>
      </c>
      <c r="V110" s="11">
        <v>2.17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 t="str">
        <f>(Y110/2)*838350</f>
        <v>0</v>
      </c>
      <c r="AC110" s="15" t="str">
        <f>(Z110/3)*1956150</f>
        <v>0</v>
      </c>
      <c r="AD110" s="15" t="str">
        <f>AB110+AC110</f>
        <v>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273</v>
      </c>
      <c r="C111" s="10" t="s">
        <v>274</v>
      </c>
      <c r="D111" s="7" t="s">
        <v>65</v>
      </c>
      <c r="E111" s="7" t="s">
        <v>41</v>
      </c>
      <c r="F111" s="7" t="s">
        <v>257</v>
      </c>
      <c r="G111" s="7" t="s">
        <v>43</v>
      </c>
      <c r="H111" s="7" t="s">
        <v>44</v>
      </c>
      <c r="I111" s="11">
        <v>2</v>
      </c>
      <c r="J111" s="11">
        <v>3</v>
      </c>
      <c r="K111" s="11">
        <v>0</v>
      </c>
      <c r="L111" s="11">
        <v>1.96</v>
      </c>
      <c r="M111" s="11">
        <v>0</v>
      </c>
      <c r="N111" s="11">
        <v>0</v>
      </c>
      <c r="O111" s="11">
        <v>0</v>
      </c>
      <c r="P111" s="11">
        <v>0</v>
      </c>
      <c r="Q111" s="11">
        <v>1.96</v>
      </c>
      <c r="R111" s="11">
        <v>1.840000000000001</v>
      </c>
      <c r="S111" s="11">
        <v>3.800000000000001</v>
      </c>
      <c r="T111" s="11">
        <v>2</v>
      </c>
      <c r="U111" s="11">
        <v>1.800000000000001</v>
      </c>
      <c r="V111" s="11">
        <v>0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 t="str">
        <f>(Y111/2)*838350</f>
        <v>0</v>
      </c>
      <c r="AC111" s="15" t="str">
        <f>(Z111/3)*1956150</f>
        <v>0</v>
      </c>
      <c r="AD111" s="15" t="str">
        <f>AB111+AC111</f>
        <v>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275</v>
      </c>
      <c r="C112" s="10" t="s">
        <v>276</v>
      </c>
      <c r="D112" s="7" t="s">
        <v>65</v>
      </c>
      <c r="E112" s="7" t="s">
        <v>59</v>
      </c>
      <c r="F112" s="7" t="s">
        <v>257</v>
      </c>
      <c r="G112" s="7" t="s">
        <v>43</v>
      </c>
      <c r="H112" s="7" t="s">
        <v>44</v>
      </c>
      <c r="I112" s="11">
        <v>2</v>
      </c>
      <c r="J112" s="11">
        <v>3</v>
      </c>
      <c r="K112" s="11">
        <v>0</v>
      </c>
      <c r="L112" s="11">
        <v>3.780000000000001</v>
      </c>
      <c r="M112" s="11">
        <v>0.67</v>
      </c>
      <c r="N112" s="11">
        <v>0</v>
      </c>
      <c r="O112" s="11">
        <v>0</v>
      </c>
      <c r="P112" s="11">
        <v>1.63</v>
      </c>
      <c r="Q112" s="11">
        <v>6.08</v>
      </c>
      <c r="R112" s="11">
        <v>7.250000000000001</v>
      </c>
      <c r="S112" s="11">
        <v>13.33</v>
      </c>
      <c r="T112" s="11">
        <v>2</v>
      </c>
      <c r="U112" s="11">
        <v>3</v>
      </c>
      <c r="V112" s="11">
        <v>8.330000000000002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 t="str">
        <f>(Y112/2)*838350</f>
        <v>0</v>
      </c>
      <c r="AC112" s="15" t="str">
        <f>(Z112/3)*1956150</f>
        <v>0</v>
      </c>
      <c r="AD112" s="15" t="str">
        <f>AB112+AC112</f>
        <v>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277</v>
      </c>
      <c r="C113" s="10" t="s">
        <v>278</v>
      </c>
      <c r="D113" s="7" t="s">
        <v>65</v>
      </c>
      <c r="E113" s="7" t="s">
        <v>52</v>
      </c>
      <c r="F113" s="7" t="s">
        <v>257</v>
      </c>
      <c r="G113" s="7" t="s">
        <v>43</v>
      </c>
      <c r="H113" s="7" t="s">
        <v>44</v>
      </c>
      <c r="I113" s="11">
        <v>2</v>
      </c>
      <c r="J113" s="11">
        <v>3</v>
      </c>
      <c r="K113" s="11">
        <v>0</v>
      </c>
      <c r="L113" s="11">
        <v>2.760000000000002</v>
      </c>
      <c r="M113" s="11">
        <v>0.67</v>
      </c>
      <c r="N113" s="11">
        <v>0</v>
      </c>
      <c r="O113" s="11">
        <v>0</v>
      </c>
      <c r="P113" s="11">
        <v>0</v>
      </c>
      <c r="Q113" s="11">
        <v>3.430000000000001</v>
      </c>
      <c r="R113" s="11">
        <v>3.460000000000001</v>
      </c>
      <c r="S113" s="11">
        <v>6.890000000000002</v>
      </c>
      <c r="T113" s="11">
        <v>2</v>
      </c>
      <c r="U113" s="11">
        <v>3</v>
      </c>
      <c r="V113" s="11">
        <v>1.890000000000002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 t="str">
        <f>(Y113/2)*838350</f>
        <v>0</v>
      </c>
      <c r="AC113" s="15" t="str">
        <f>(Z113/3)*1956150</f>
        <v>0</v>
      </c>
      <c r="AD113" s="15" t="str">
        <f>AB113+AC113</f>
        <v>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279</v>
      </c>
      <c r="C114" s="10" t="s">
        <v>280</v>
      </c>
      <c r="D114" s="7" t="s">
        <v>65</v>
      </c>
      <c r="E114" s="7" t="s">
        <v>41</v>
      </c>
      <c r="F114" s="7" t="s">
        <v>257</v>
      </c>
      <c r="G114" s="7" t="s">
        <v>43</v>
      </c>
      <c r="H114" s="7" t="s">
        <v>44</v>
      </c>
      <c r="I114" s="11">
        <v>2</v>
      </c>
      <c r="J114" s="11">
        <v>3</v>
      </c>
      <c r="K114" s="11">
        <v>0</v>
      </c>
      <c r="L114" s="11">
        <v>0.96</v>
      </c>
      <c r="M114" s="11">
        <v>0.66</v>
      </c>
      <c r="N114" s="11">
        <v>0</v>
      </c>
      <c r="O114" s="11">
        <v>0</v>
      </c>
      <c r="P114" s="11">
        <v>0</v>
      </c>
      <c r="Q114" s="11">
        <v>1.62</v>
      </c>
      <c r="R114" s="11">
        <v>2.37</v>
      </c>
      <c r="S114" s="11">
        <v>3.99</v>
      </c>
      <c r="T114" s="11">
        <v>2</v>
      </c>
      <c r="U114" s="11">
        <v>1.99</v>
      </c>
      <c r="V114" s="11">
        <v>0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 t="str">
        <f>(Y114/2)*838350</f>
        <v>0</v>
      </c>
      <c r="AC114" s="15" t="str">
        <f>(Z114/3)*1956150</f>
        <v>0</v>
      </c>
      <c r="AD114" s="15" t="str">
        <f>AB114+AC114</f>
        <v>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281</v>
      </c>
      <c r="C115" s="10" t="s">
        <v>282</v>
      </c>
      <c r="D115" s="7" t="s">
        <v>65</v>
      </c>
      <c r="E115" s="7" t="s">
        <v>41</v>
      </c>
      <c r="F115" s="7" t="s">
        <v>257</v>
      </c>
      <c r="G115" s="7" t="s">
        <v>43</v>
      </c>
      <c r="H115" s="7" t="s">
        <v>44</v>
      </c>
      <c r="I115" s="11">
        <v>2</v>
      </c>
      <c r="J115" s="11">
        <v>3</v>
      </c>
      <c r="K115" s="11">
        <v>0</v>
      </c>
      <c r="L115" s="11">
        <v>3.980000000000002</v>
      </c>
      <c r="M115" s="11">
        <v>0.17</v>
      </c>
      <c r="N115" s="11">
        <v>0</v>
      </c>
      <c r="O115" s="11">
        <v>0</v>
      </c>
      <c r="P115" s="11">
        <v>0</v>
      </c>
      <c r="Q115" s="11">
        <v>4.15</v>
      </c>
      <c r="R115" s="11">
        <v>6.690000000000003</v>
      </c>
      <c r="S115" s="11">
        <v>10.84</v>
      </c>
      <c r="T115" s="11">
        <v>2</v>
      </c>
      <c r="U115" s="11">
        <v>3</v>
      </c>
      <c r="V115" s="11">
        <v>5.840000000000003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 t="str">
        <f>(Y115/2)*838350</f>
        <v>0</v>
      </c>
      <c r="AC115" s="15" t="str">
        <f>(Z115/3)*1956150</f>
        <v>0</v>
      </c>
      <c r="AD115" s="15" t="str">
        <f>AB115+AC115</f>
        <v>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283</v>
      </c>
      <c r="C116" s="10" t="s">
        <v>284</v>
      </c>
      <c r="D116" s="7" t="s">
        <v>65</v>
      </c>
      <c r="E116" s="7" t="s">
        <v>59</v>
      </c>
      <c r="F116" s="7" t="s">
        <v>257</v>
      </c>
      <c r="G116" s="7" t="s">
        <v>43</v>
      </c>
      <c r="H116" s="7" t="s">
        <v>44</v>
      </c>
      <c r="I116" s="11">
        <v>2</v>
      </c>
      <c r="J116" s="11">
        <v>3</v>
      </c>
      <c r="K116" s="11">
        <v>0</v>
      </c>
      <c r="L116" s="11">
        <v>4.919999999999997</v>
      </c>
      <c r="M116" s="11">
        <v>0</v>
      </c>
      <c r="N116" s="11">
        <v>0</v>
      </c>
      <c r="O116" s="11">
        <v>0</v>
      </c>
      <c r="P116" s="11">
        <v>0</v>
      </c>
      <c r="Q116" s="11">
        <v>4.919999999999997</v>
      </c>
      <c r="R116" s="11">
        <v>2.14</v>
      </c>
      <c r="S116" s="11">
        <v>7.059999999999997</v>
      </c>
      <c r="T116" s="11">
        <v>2</v>
      </c>
      <c r="U116" s="11">
        <v>3</v>
      </c>
      <c r="V116" s="11">
        <v>2.059999999999997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 t="str">
        <f>(Y116/2)*838350</f>
        <v>0</v>
      </c>
      <c r="AC116" s="15" t="str">
        <f>(Z116/3)*1956150</f>
        <v>0</v>
      </c>
      <c r="AD116" s="15" t="str">
        <f>AB116+AC116</f>
        <v>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285</v>
      </c>
      <c r="C117" s="10" t="s">
        <v>286</v>
      </c>
      <c r="D117" s="7" t="s">
        <v>256</v>
      </c>
      <c r="E117" s="7" t="s">
        <v>83</v>
      </c>
      <c r="F117" s="7" t="s">
        <v>257</v>
      </c>
      <c r="G117" s="7" t="s">
        <v>43</v>
      </c>
      <c r="H117" s="7" t="s">
        <v>44</v>
      </c>
      <c r="I117" s="11">
        <v>2</v>
      </c>
      <c r="J117" s="11">
        <v>3</v>
      </c>
      <c r="K117" s="11">
        <v>0</v>
      </c>
      <c r="L117" s="11">
        <v>4.010000000000002</v>
      </c>
      <c r="M117" s="11">
        <v>0.75</v>
      </c>
      <c r="N117" s="11">
        <v>0</v>
      </c>
      <c r="O117" s="11">
        <v>0</v>
      </c>
      <c r="P117" s="11">
        <v>0</v>
      </c>
      <c r="Q117" s="11">
        <v>4.760000000000002</v>
      </c>
      <c r="R117" s="11">
        <v>2.47</v>
      </c>
      <c r="S117" s="11">
        <v>7.230000000000002</v>
      </c>
      <c r="T117" s="11">
        <v>2</v>
      </c>
      <c r="U117" s="11">
        <v>3</v>
      </c>
      <c r="V117" s="11">
        <v>2.230000000000002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 t="str">
        <f>(Y117/2)*838350</f>
        <v>0</v>
      </c>
      <c r="AC117" s="15" t="str">
        <f>(Z117/3)*1956150</f>
        <v>0</v>
      </c>
      <c r="AD117" s="15" t="str">
        <f>AB117+AC117</f>
        <v>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287</v>
      </c>
      <c r="C118" s="10" t="s">
        <v>288</v>
      </c>
      <c r="D118" s="7" t="s">
        <v>65</v>
      </c>
      <c r="E118" s="7" t="s">
        <v>59</v>
      </c>
      <c r="F118" s="7" t="s">
        <v>257</v>
      </c>
      <c r="G118" s="7" t="s">
        <v>43</v>
      </c>
      <c r="H118" s="7" t="s">
        <v>44</v>
      </c>
      <c r="I118" s="11">
        <v>2</v>
      </c>
      <c r="J118" s="11">
        <v>3</v>
      </c>
      <c r="K118" s="11">
        <v>0</v>
      </c>
      <c r="L118" s="11">
        <v>1.580000000000001</v>
      </c>
      <c r="M118" s="11">
        <v>0.5</v>
      </c>
      <c r="N118" s="11">
        <v>0</v>
      </c>
      <c r="O118" s="11">
        <v>0</v>
      </c>
      <c r="P118" s="11">
        <v>0</v>
      </c>
      <c r="Q118" s="11">
        <v>2.080000000000001</v>
      </c>
      <c r="R118" s="11">
        <v>1.54</v>
      </c>
      <c r="S118" s="11">
        <v>3.620000000000001</v>
      </c>
      <c r="T118" s="11">
        <v>2</v>
      </c>
      <c r="U118" s="11">
        <v>1.620000000000001</v>
      </c>
      <c r="V118" s="11">
        <v>0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 t="str">
        <f>(Y118/2)*838350</f>
        <v>0</v>
      </c>
      <c r="AC118" s="15" t="str">
        <f>(Z118/3)*1956150</f>
        <v>0</v>
      </c>
      <c r="AD118" s="15" t="str">
        <f>AB118+AC118</f>
        <v>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51</v>
      </c>
      <c r="E119" s="7" t="s">
        <v>141</v>
      </c>
      <c r="F119" s="7" t="s">
        <v>257</v>
      </c>
      <c r="G119" s="7" t="s">
        <v>43</v>
      </c>
      <c r="H119" s="7" t="s">
        <v>44</v>
      </c>
      <c r="I119" s="11">
        <v>2</v>
      </c>
      <c r="J119" s="11">
        <v>3</v>
      </c>
      <c r="K119" s="11">
        <v>0</v>
      </c>
      <c r="L119" s="11">
        <v>3.130000000000001</v>
      </c>
      <c r="M119" s="11">
        <v>0.5</v>
      </c>
      <c r="N119" s="11">
        <v>0</v>
      </c>
      <c r="O119" s="11">
        <v>0</v>
      </c>
      <c r="P119" s="11">
        <v>0</v>
      </c>
      <c r="Q119" s="11">
        <v>3.630000000000001</v>
      </c>
      <c r="R119" s="11">
        <v>0.6100000000000001</v>
      </c>
      <c r="S119" s="11">
        <v>4.240000000000001</v>
      </c>
      <c r="T119" s="11">
        <v>2</v>
      </c>
      <c r="U119" s="11">
        <v>2.240000000000001</v>
      </c>
      <c r="V119" s="11">
        <v>0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 t="str">
        <f>(Y119/2)*838350</f>
        <v>0</v>
      </c>
      <c r="AC119" s="15" t="str">
        <f>(Z119/3)*1956150</f>
        <v>0</v>
      </c>
      <c r="AD119" s="15" t="str">
        <f>AB119+AC119</f>
        <v>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40</v>
      </c>
      <c r="E120" s="7" t="s">
        <v>41</v>
      </c>
      <c r="F120" s="7" t="s">
        <v>257</v>
      </c>
      <c r="G120" s="7" t="s">
        <v>43</v>
      </c>
      <c r="H120" s="7" t="s">
        <v>44</v>
      </c>
      <c r="I120" s="11">
        <v>2</v>
      </c>
      <c r="J120" s="11">
        <v>3</v>
      </c>
      <c r="K120" s="11">
        <v>0</v>
      </c>
      <c r="L120" s="11">
        <v>3.87</v>
      </c>
      <c r="M120" s="11">
        <v>0.5</v>
      </c>
      <c r="N120" s="11">
        <v>0</v>
      </c>
      <c r="O120" s="11">
        <v>0</v>
      </c>
      <c r="P120" s="11">
        <v>0</v>
      </c>
      <c r="Q120" s="11">
        <v>4.37</v>
      </c>
      <c r="R120" s="11">
        <v>2.43</v>
      </c>
      <c r="S120" s="11">
        <v>6.800000000000001</v>
      </c>
      <c r="T120" s="11">
        <v>2</v>
      </c>
      <c r="U120" s="11">
        <v>3</v>
      </c>
      <c r="V120" s="11">
        <v>1.800000000000001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 t="str">
        <f>(Y120/2)*838350</f>
        <v>0</v>
      </c>
      <c r="AC120" s="15" t="str">
        <f>(Z120/3)*1956150</f>
        <v>0</v>
      </c>
      <c r="AD120" s="15" t="str">
        <f>AB120+AC120</f>
        <v>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55</v>
      </c>
      <c r="E121" s="7" t="s">
        <v>155</v>
      </c>
      <c r="F121" s="7" t="s">
        <v>253</v>
      </c>
      <c r="G121" s="7" t="s">
        <v>48</v>
      </c>
      <c r="H121" s="7" t="s">
        <v>44</v>
      </c>
      <c r="I121" s="11">
        <v>2</v>
      </c>
      <c r="J121" s="11">
        <v>3</v>
      </c>
      <c r="K121" s="11">
        <v>0</v>
      </c>
      <c r="L121" s="11">
        <v>0.89</v>
      </c>
      <c r="M121" s="11">
        <v>0</v>
      </c>
      <c r="N121" s="11">
        <v>0</v>
      </c>
      <c r="O121" s="11">
        <v>0</v>
      </c>
      <c r="P121" s="11">
        <v>0</v>
      </c>
      <c r="Q121" s="11">
        <v>0.89</v>
      </c>
      <c r="R121" s="11">
        <v>0.68</v>
      </c>
      <c r="S121" s="11">
        <v>1.57</v>
      </c>
      <c r="T121" s="11">
        <v>1.57</v>
      </c>
      <c r="U121" s="11">
        <v>0</v>
      </c>
      <c r="V121" s="11">
        <v>0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 t="str">
        <f>(Y121/2)*838350</f>
        <v>0</v>
      </c>
      <c r="AC121" s="15" t="str">
        <f>(Z121/3)*1956150</f>
        <v>0</v>
      </c>
      <c r="AD121" s="15" t="str">
        <f>AB121+AC121</f>
        <v>0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69</v>
      </c>
      <c r="E122" s="7" t="s">
        <v>155</v>
      </c>
      <c r="F122" s="7" t="s">
        <v>257</v>
      </c>
      <c r="G122" s="7" t="s">
        <v>43</v>
      </c>
      <c r="H122" s="7" t="s">
        <v>44</v>
      </c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 t="str">
        <f>(Y122/2)*838350</f>
        <v>0</v>
      </c>
      <c r="AC122" s="15" t="str">
        <f>(Z122/3)*1956150</f>
        <v>0</v>
      </c>
      <c r="AD122" s="15" t="str">
        <f>AB122+AC122</f>
        <v>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256</v>
      </c>
      <c r="E123" s="7" t="s">
        <v>83</v>
      </c>
      <c r="F123" s="7" t="s">
        <v>257</v>
      </c>
      <c r="G123" s="7" t="s">
        <v>43</v>
      </c>
      <c r="H123" s="7" t="s">
        <v>44</v>
      </c>
      <c r="I123" s="11">
        <v>2</v>
      </c>
      <c r="J123" s="11">
        <v>3</v>
      </c>
      <c r="K123" s="11">
        <v>0</v>
      </c>
      <c r="L123" s="11">
        <v>3.920000000000001</v>
      </c>
      <c r="M123" s="11">
        <v>0.08</v>
      </c>
      <c r="N123" s="11">
        <v>0</v>
      </c>
      <c r="O123" s="11">
        <v>0</v>
      </c>
      <c r="P123" s="11">
        <v>0</v>
      </c>
      <c r="Q123" s="11">
        <v>4.000000000000001</v>
      </c>
      <c r="R123" s="11">
        <v>2.44</v>
      </c>
      <c r="S123" s="11">
        <v>6.440000000000001</v>
      </c>
      <c r="T123" s="11">
        <v>2</v>
      </c>
      <c r="U123" s="11">
        <v>3</v>
      </c>
      <c r="V123" s="11">
        <v>1.440000000000001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 t="str">
        <f>(Y123/2)*838350</f>
        <v>0</v>
      </c>
      <c r="AC123" s="15" t="str">
        <f>(Z123/3)*1956150</f>
        <v>0</v>
      </c>
      <c r="AD123" s="15" t="str">
        <f>AB123+AC123</f>
        <v>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40</v>
      </c>
      <c r="E124" s="7" t="s">
        <v>47</v>
      </c>
      <c r="F124" s="7" t="s">
        <v>257</v>
      </c>
      <c r="G124" s="7" t="s">
        <v>43</v>
      </c>
      <c r="H124" s="7" t="s">
        <v>44</v>
      </c>
      <c r="I124" s="11">
        <v>2</v>
      </c>
      <c r="J124" s="11">
        <v>3</v>
      </c>
      <c r="K124" s="11">
        <v>0</v>
      </c>
      <c r="L124" s="11">
        <v>3.600000000000001</v>
      </c>
      <c r="M124" s="11">
        <v>0.17</v>
      </c>
      <c r="N124" s="11">
        <v>0</v>
      </c>
      <c r="O124" s="11">
        <v>0</v>
      </c>
      <c r="P124" s="11">
        <v>0</v>
      </c>
      <c r="Q124" s="11">
        <v>3.770000000000001</v>
      </c>
      <c r="R124" s="11">
        <v>1.79</v>
      </c>
      <c r="S124" s="11">
        <v>5.560000000000001</v>
      </c>
      <c r="T124" s="11">
        <v>2</v>
      </c>
      <c r="U124" s="11">
        <v>3</v>
      </c>
      <c r="V124" s="11">
        <v>0.5600000000000014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 t="str">
        <f>(Y124/2)*838350</f>
        <v>0</v>
      </c>
      <c r="AC124" s="15" t="str">
        <f>(Z124/3)*1956150</f>
        <v>0</v>
      </c>
      <c r="AD124" s="15" t="str">
        <f>AB124+AC124</f>
        <v>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301</v>
      </c>
      <c r="C125" s="10" t="s">
        <v>302</v>
      </c>
      <c r="D125" s="7" t="s">
        <v>122</v>
      </c>
      <c r="E125" s="7" t="s">
        <v>141</v>
      </c>
      <c r="F125" s="7" t="s">
        <v>253</v>
      </c>
      <c r="G125" s="7" t="s">
        <v>43</v>
      </c>
      <c r="H125" s="7" t="s">
        <v>44</v>
      </c>
      <c r="I125" s="11">
        <v>2</v>
      </c>
      <c r="J125" s="11">
        <v>3</v>
      </c>
      <c r="K125" s="11">
        <v>0</v>
      </c>
      <c r="L125" s="11">
        <v>3.560000000000002</v>
      </c>
      <c r="M125" s="11">
        <v>0.67</v>
      </c>
      <c r="N125" s="11">
        <v>0</v>
      </c>
      <c r="O125" s="11">
        <v>0</v>
      </c>
      <c r="P125" s="11">
        <v>0</v>
      </c>
      <c r="Q125" s="11">
        <v>4.230000000000002</v>
      </c>
      <c r="R125" s="11">
        <v>2.01</v>
      </c>
      <c r="S125" s="11">
        <v>6.240000000000002</v>
      </c>
      <c r="T125" s="11">
        <v>2</v>
      </c>
      <c r="U125" s="11">
        <v>3</v>
      </c>
      <c r="V125" s="11">
        <v>1.240000000000002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 t="str">
        <f>(Y125/2)*838350</f>
        <v>0</v>
      </c>
      <c r="AC125" s="15" t="str">
        <f>(Z125/3)*1956150</f>
        <v>0</v>
      </c>
      <c r="AD125" s="15" t="str">
        <f>AB125+AC125</f>
        <v>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303</v>
      </c>
      <c r="C126" s="10" t="s">
        <v>304</v>
      </c>
      <c r="D126" s="7" t="s">
        <v>232</v>
      </c>
      <c r="E126" s="7" t="s">
        <v>141</v>
      </c>
      <c r="F126" s="7" t="s">
        <v>253</v>
      </c>
      <c r="G126" s="7" t="s">
        <v>43</v>
      </c>
      <c r="H126" s="7" t="s">
        <v>44</v>
      </c>
      <c r="I126" s="11">
        <v>2</v>
      </c>
      <c r="J126" s="11">
        <v>3</v>
      </c>
      <c r="K126" s="11">
        <v>0</v>
      </c>
      <c r="L126" s="11">
        <v>4.510000000000002</v>
      </c>
      <c r="M126" s="11">
        <v>0.33</v>
      </c>
      <c r="N126" s="11">
        <v>0</v>
      </c>
      <c r="O126" s="11">
        <v>0</v>
      </c>
      <c r="P126" s="11">
        <v>0</v>
      </c>
      <c r="Q126" s="11">
        <v>4.840000000000002</v>
      </c>
      <c r="R126" s="11">
        <v>6.510000000000002</v>
      </c>
      <c r="S126" s="11">
        <v>11.35</v>
      </c>
      <c r="T126" s="11">
        <v>2</v>
      </c>
      <c r="U126" s="11">
        <v>3</v>
      </c>
      <c r="V126" s="11">
        <v>6.350000000000003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 t="str">
        <f>(Y126/2)*838350</f>
        <v>0</v>
      </c>
      <c r="AC126" s="15" t="str">
        <f>(Z126/3)*1956150</f>
        <v>0</v>
      </c>
      <c r="AD126" s="15" t="str">
        <f>AB126+AC126</f>
        <v>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305</v>
      </c>
      <c r="C127" s="10" t="s">
        <v>306</v>
      </c>
      <c r="D127" s="7" t="s">
        <v>256</v>
      </c>
      <c r="E127" s="7" t="s">
        <v>83</v>
      </c>
      <c r="F127" s="7" t="s">
        <v>257</v>
      </c>
      <c r="G127" s="7" t="s">
        <v>43</v>
      </c>
      <c r="H127" s="7" t="s">
        <v>44</v>
      </c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 t="str">
        <f>(Y127/2)*838350</f>
        <v>0</v>
      </c>
      <c r="AC127" s="15" t="str">
        <f>(Z127/3)*1956150</f>
        <v>0</v>
      </c>
      <c r="AD127" s="15" t="str">
        <f>AB127+AC127</f>
        <v>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307</v>
      </c>
      <c r="C128" s="10" t="s">
        <v>308</v>
      </c>
      <c r="D128" s="7" t="s">
        <v>55</v>
      </c>
      <c r="E128" s="7" t="s">
        <v>141</v>
      </c>
      <c r="F128" s="7" t="s">
        <v>253</v>
      </c>
      <c r="G128" s="7" t="s">
        <v>43</v>
      </c>
      <c r="H128" s="7" t="s">
        <v>44</v>
      </c>
      <c r="I128" s="11">
        <v>2</v>
      </c>
      <c r="J128" s="11">
        <v>3</v>
      </c>
      <c r="K128" s="11">
        <v>0</v>
      </c>
      <c r="L128" s="11">
        <v>5.730000000000003</v>
      </c>
      <c r="M128" s="11">
        <v>0.33</v>
      </c>
      <c r="N128" s="11">
        <v>0</v>
      </c>
      <c r="O128" s="11">
        <v>0</v>
      </c>
      <c r="P128" s="11">
        <v>0.17</v>
      </c>
      <c r="Q128" s="11">
        <v>6.230000000000003</v>
      </c>
      <c r="R128" s="11">
        <v>4.07</v>
      </c>
      <c r="S128" s="11">
        <v>10.3</v>
      </c>
      <c r="T128" s="11">
        <v>2</v>
      </c>
      <c r="U128" s="11">
        <v>3</v>
      </c>
      <c r="V128" s="11">
        <v>5.300000000000004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 t="str">
        <f>(Y128/2)*838350</f>
        <v>0</v>
      </c>
      <c r="AC128" s="15" t="str">
        <f>(Z128/3)*1956150</f>
        <v>0</v>
      </c>
      <c r="AD128" s="15" t="str">
        <f>AB128+AC128</f>
        <v>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309</v>
      </c>
      <c r="C129" s="10" t="s">
        <v>310</v>
      </c>
      <c r="D129" s="7" t="s">
        <v>40</v>
      </c>
      <c r="E129" s="7" t="s">
        <v>41</v>
      </c>
      <c r="F129" s="7" t="s">
        <v>257</v>
      </c>
      <c r="G129" s="7" t="s">
        <v>43</v>
      </c>
      <c r="H129" s="7" t="s">
        <v>44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 t="str">
        <f>(Y129/2)*838350</f>
        <v>0</v>
      </c>
      <c r="AC129" s="15" t="str">
        <f>(Z129/3)*1956150</f>
        <v>0</v>
      </c>
      <c r="AD129" s="15" t="str">
        <f>AB129+AC129</f>
        <v>0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311</v>
      </c>
      <c r="C130" s="10" t="s">
        <v>312</v>
      </c>
      <c r="D130" s="7" t="s">
        <v>40</v>
      </c>
      <c r="E130" s="7" t="s">
        <v>47</v>
      </c>
      <c r="F130" s="7" t="s">
        <v>257</v>
      </c>
      <c r="G130" s="7" t="s">
        <v>43</v>
      </c>
      <c r="H130" s="7" t="s">
        <v>44</v>
      </c>
      <c r="I130" s="11">
        <v>2</v>
      </c>
      <c r="J130" s="11">
        <v>3</v>
      </c>
      <c r="K130" s="11">
        <v>0</v>
      </c>
      <c r="L130" s="11">
        <v>1.86</v>
      </c>
      <c r="M130" s="11">
        <v>0</v>
      </c>
      <c r="N130" s="11">
        <v>0</v>
      </c>
      <c r="O130" s="11">
        <v>0</v>
      </c>
      <c r="P130" s="11">
        <v>0</v>
      </c>
      <c r="Q130" s="11">
        <v>1.86</v>
      </c>
      <c r="R130" s="11">
        <v>0.72</v>
      </c>
      <c r="S130" s="11">
        <v>2.58</v>
      </c>
      <c r="T130" s="11">
        <v>2</v>
      </c>
      <c r="U130" s="11">
        <v>0.5800000000000001</v>
      </c>
      <c r="V130" s="11">
        <v>0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 t="str">
        <f>(Y130/2)*838350</f>
        <v>0</v>
      </c>
      <c r="AC130" s="15" t="str">
        <f>(Z130/3)*1956150</f>
        <v>0</v>
      </c>
      <c r="AD130" s="15" t="str">
        <f>AB130+AC130</f>
        <v>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313</v>
      </c>
      <c r="C131" s="10" t="s">
        <v>314</v>
      </c>
      <c r="D131" s="7" t="s">
        <v>65</v>
      </c>
      <c r="E131" s="7" t="s">
        <v>59</v>
      </c>
      <c r="F131" s="7" t="s">
        <v>257</v>
      </c>
      <c r="G131" s="7" t="s">
        <v>43</v>
      </c>
      <c r="H131" s="7" t="s">
        <v>44</v>
      </c>
      <c r="I131" s="11">
        <v>2</v>
      </c>
      <c r="J131" s="11">
        <v>3</v>
      </c>
      <c r="K131" s="11">
        <v>0</v>
      </c>
      <c r="L131" s="11">
        <v>5.399999999999998</v>
      </c>
      <c r="M131" s="11">
        <v>0.8300000000000001</v>
      </c>
      <c r="N131" s="11">
        <v>0</v>
      </c>
      <c r="O131" s="11">
        <v>0</v>
      </c>
      <c r="P131" s="11">
        <v>0</v>
      </c>
      <c r="Q131" s="11">
        <v>6.229999999999998</v>
      </c>
      <c r="R131" s="11">
        <v>4.720000000000001</v>
      </c>
      <c r="S131" s="11">
        <v>10.95</v>
      </c>
      <c r="T131" s="11">
        <v>2</v>
      </c>
      <c r="U131" s="11">
        <v>3</v>
      </c>
      <c r="V131" s="11">
        <v>5.949999999999999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 t="str">
        <f>(Y131/2)*838350</f>
        <v>0</v>
      </c>
      <c r="AC131" s="15" t="str">
        <f>(Z131/3)*1956150</f>
        <v>0</v>
      </c>
      <c r="AD131" s="15" t="str">
        <f>AB131+AC131</f>
        <v>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315</v>
      </c>
      <c r="C132" s="10" t="s">
        <v>316</v>
      </c>
      <c r="D132" s="7" t="s">
        <v>256</v>
      </c>
      <c r="E132" s="7" t="s">
        <v>47</v>
      </c>
      <c r="F132" s="7" t="s">
        <v>257</v>
      </c>
      <c r="G132" s="7" t="s">
        <v>43</v>
      </c>
      <c r="H132" s="7" t="s">
        <v>44</v>
      </c>
      <c r="I132" s="11">
        <v>2</v>
      </c>
      <c r="J132" s="11">
        <v>3</v>
      </c>
      <c r="K132" s="11">
        <v>0</v>
      </c>
      <c r="L132" s="11">
        <v>4.870000000000001</v>
      </c>
      <c r="M132" s="11">
        <v>0.08</v>
      </c>
      <c r="N132" s="11">
        <v>0</v>
      </c>
      <c r="O132" s="11">
        <v>0</v>
      </c>
      <c r="P132" s="11">
        <v>0</v>
      </c>
      <c r="Q132" s="11">
        <v>4.950000000000001</v>
      </c>
      <c r="R132" s="11">
        <v>2.83</v>
      </c>
      <c r="S132" s="11">
        <v>7.780000000000001</v>
      </c>
      <c r="T132" s="11">
        <v>2</v>
      </c>
      <c r="U132" s="11">
        <v>3</v>
      </c>
      <c r="V132" s="11">
        <v>2.780000000000001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 t="str">
        <f>(Y132/2)*838350</f>
        <v>0</v>
      </c>
      <c r="AC132" s="15" t="str">
        <f>(Z132/3)*1956150</f>
        <v>0</v>
      </c>
      <c r="AD132" s="15" t="str">
        <f>AB132+AC132</f>
        <v>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317</v>
      </c>
      <c r="C133" s="10" t="s">
        <v>318</v>
      </c>
      <c r="D133" s="7" t="s">
        <v>232</v>
      </c>
      <c r="E133" s="7" t="s">
        <v>155</v>
      </c>
      <c r="F133" s="7" t="s">
        <v>257</v>
      </c>
      <c r="G133" s="7" t="s">
        <v>43</v>
      </c>
      <c r="H133" s="7" t="s">
        <v>44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 t="str">
        <f>(Y133/2)*838350</f>
        <v>0</v>
      </c>
      <c r="AC133" s="15" t="str">
        <f>(Z133/3)*1956150</f>
        <v>0</v>
      </c>
      <c r="AD133" s="15" t="str">
        <f>AB133+AC133</f>
        <v>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319</v>
      </c>
      <c r="C134" s="10" t="s">
        <v>320</v>
      </c>
      <c r="D134" s="7" t="s">
        <v>55</v>
      </c>
      <c r="E134" s="7" t="s">
        <v>155</v>
      </c>
      <c r="F134" s="7" t="s">
        <v>253</v>
      </c>
      <c r="G134" s="7" t="s">
        <v>43</v>
      </c>
      <c r="H134" s="7" t="s">
        <v>44</v>
      </c>
      <c r="I134" s="11">
        <v>2</v>
      </c>
      <c r="J134" s="11">
        <v>3</v>
      </c>
      <c r="K134" s="11">
        <v>0</v>
      </c>
      <c r="L134" s="11">
        <v>2.73</v>
      </c>
      <c r="M134" s="11">
        <v>0.33</v>
      </c>
      <c r="N134" s="11">
        <v>0</v>
      </c>
      <c r="O134" s="11">
        <v>0</v>
      </c>
      <c r="P134" s="11">
        <v>0</v>
      </c>
      <c r="Q134" s="11">
        <v>3.06</v>
      </c>
      <c r="R134" s="11">
        <v>4.49</v>
      </c>
      <c r="S134" s="11">
        <v>7.55</v>
      </c>
      <c r="T134" s="11">
        <v>2</v>
      </c>
      <c r="U134" s="11">
        <v>3</v>
      </c>
      <c r="V134" s="11">
        <v>2.55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 t="str">
        <f>(Y134/2)*838350</f>
        <v>0</v>
      </c>
      <c r="AC134" s="15" t="str">
        <f>(Z134/3)*1956150</f>
        <v>0</v>
      </c>
      <c r="AD134" s="15" t="str">
        <f>AB134+AC134</f>
        <v>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321</v>
      </c>
      <c r="C135" s="10" t="s">
        <v>322</v>
      </c>
      <c r="D135" s="7" t="s">
        <v>256</v>
      </c>
      <c r="E135" s="7" t="s">
        <v>141</v>
      </c>
      <c r="F135" s="7" t="s">
        <v>257</v>
      </c>
      <c r="G135" s="7" t="s">
        <v>43</v>
      </c>
      <c r="H135" s="7" t="s">
        <v>44</v>
      </c>
      <c r="I135" s="11">
        <v>2</v>
      </c>
      <c r="J135" s="11">
        <v>3</v>
      </c>
      <c r="K135" s="11">
        <v>0</v>
      </c>
      <c r="L135" s="11">
        <v>2.38</v>
      </c>
      <c r="M135" s="11">
        <v>0</v>
      </c>
      <c r="N135" s="11">
        <v>0</v>
      </c>
      <c r="O135" s="11">
        <v>0</v>
      </c>
      <c r="P135" s="11">
        <v>0</v>
      </c>
      <c r="Q135" s="11">
        <v>2.38</v>
      </c>
      <c r="R135" s="11">
        <v>1.04</v>
      </c>
      <c r="S135" s="11">
        <v>3.42</v>
      </c>
      <c r="T135" s="11">
        <v>2</v>
      </c>
      <c r="U135" s="11">
        <v>1.42</v>
      </c>
      <c r="V135" s="11">
        <v>0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 t="str">
        <f>(Y135/2)*838350</f>
        <v>0</v>
      </c>
      <c r="AC135" s="15" t="str">
        <f>(Z135/3)*1956150</f>
        <v>0</v>
      </c>
      <c r="AD135" s="15" t="str">
        <f>AB135+AC135</f>
        <v>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323</v>
      </c>
      <c r="C136" s="10" t="s">
        <v>324</v>
      </c>
      <c r="D136" s="7" t="s">
        <v>69</v>
      </c>
      <c r="E136" s="7" t="s">
        <v>155</v>
      </c>
      <c r="F136" s="7" t="s">
        <v>253</v>
      </c>
      <c r="G136" s="7" t="s">
        <v>43</v>
      </c>
      <c r="H136" s="7" t="s">
        <v>44</v>
      </c>
      <c r="I136" s="11">
        <v>2</v>
      </c>
      <c r="J136" s="11">
        <v>3</v>
      </c>
      <c r="K136" s="11">
        <v>0</v>
      </c>
      <c r="L136" s="11">
        <v>3.900000000000002</v>
      </c>
      <c r="M136" s="11">
        <v>0.33</v>
      </c>
      <c r="N136" s="11">
        <v>0</v>
      </c>
      <c r="O136" s="11">
        <v>0</v>
      </c>
      <c r="P136" s="11">
        <v>0</v>
      </c>
      <c r="Q136" s="11">
        <v>4.230000000000002</v>
      </c>
      <c r="R136" s="11">
        <v>1.7</v>
      </c>
      <c r="S136" s="11">
        <v>5.930000000000002</v>
      </c>
      <c r="T136" s="11">
        <v>2</v>
      </c>
      <c r="U136" s="11">
        <v>3</v>
      </c>
      <c r="V136" s="11">
        <v>0.9300000000000024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 t="str">
        <f>(Y136/2)*838350</f>
        <v>0</v>
      </c>
      <c r="AC136" s="15" t="str">
        <f>(Z136/3)*1956150</f>
        <v>0</v>
      </c>
      <c r="AD136" s="15" t="str">
        <f>AB136+AC136</f>
        <v>0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325</v>
      </c>
      <c r="C137" s="10" t="s">
        <v>326</v>
      </c>
      <c r="D137" s="7" t="s">
        <v>256</v>
      </c>
      <c r="E137" s="7" t="s">
        <v>155</v>
      </c>
      <c r="F137" s="7" t="s">
        <v>257</v>
      </c>
      <c r="G137" s="7" t="s">
        <v>43</v>
      </c>
      <c r="H137" s="7" t="s">
        <v>44</v>
      </c>
      <c r="I137" s="11">
        <v>2</v>
      </c>
      <c r="J137" s="11">
        <v>3</v>
      </c>
      <c r="K137" s="11">
        <v>0</v>
      </c>
      <c r="L137" s="11">
        <v>2.57</v>
      </c>
      <c r="M137" s="11">
        <v>0</v>
      </c>
      <c r="N137" s="11">
        <v>0</v>
      </c>
      <c r="O137" s="11">
        <v>0</v>
      </c>
      <c r="P137" s="11">
        <v>0</v>
      </c>
      <c r="Q137" s="11">
        <v>2.57</v>
      </c>
      <c r="R137" s="11">
        <v>1.69</v>
      </c>
      <c r="S137" s="11">
        <v>4.26</v>
      </c>
      <c r="T137" s="11">
        <v>2</v>
      </c>
      <c r="U137" s="11">
        <v>2.26</v>
      </c>
      <c r="V137" s="11">
        <v>0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 t="str">
        <f>(Y137/2)*838350</f>
        <v>0</v>
      </c>
      <c r="AC137" s="15" t="str">
        <f>(Z137/3)*1956150</f>
        <v>0</v>
      </c>
      <c r="AD137" s="15" t="str">
        <f>AB137+AC137</f>
        <v>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327</v>
      </c>
      <c r="C138" s="10" t="s">
        <v>328</v>
      </c>
      <c r="D138" s="7" t="s">
        <v>40</v>
      </c>
      <c r="E138" s="7" t="s">
        <v>41</v>
      </c>
      <c r="F138" s="7" t="s">
        <v>257</v>
      </c>
      <c r="G138" s="7" t="s">
        <v>43</v>
      </c>
      <c r="H138" s="7" t="s">
        <v>44</v>
      </c>
      <c r="I138" s="11">
        <v>2</v>
      </c>
      <c r="J138" s="11">
        <v>3</v>
      </c>
      <c r="K138" s="11">
        <v>0</v>
      </c>
      <c r="L138" s="11">
        <v>1.26</v>
      </c>
      <c r="M138" s="11">
        <v>0</v>
      </c>
      <c r="N138" s="11">
        <v>0</v>
      </c>
      <c r="O138" s="11">
        <v>0</v>
      </c>
      <c r="P138" s="11">
        <v>0</v>
      </c>
      <c r="Q138" s="11">
        <v>1.26</v>
      </c>
      <c r="R138" s="11">
        <v>0.44</v>
      </c>
      <c r="S138" s="11">
        <v>1.7</v>
      </c>
      <c r="T138" s="11">
        <v>1.7</v>
      </c>
      <c r="U138" s="11">
        <v>0</v>
      </c>
      <c r="V138" s="11">
        <v>0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 t="str">
        <f>(Y138/2)*838350</f>
        <v>0</v>
      </c>
      <c r="AC138" s="15" t="str">
        <f>(Z138/3)*1956150</f>
        <v>0</v>
      </c>
      <c r="AD138" s="15" t="str">
        <f>AB138+AC138</f>
        <v>0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69</v>
      </c>
      <c r="E139" s="7" t="s">
        <v>141</v>
      </c>
      <c r="F139" s="7" t="s">
        <v>257</v>
      </c>
      <c r="G139" s="7" t="s">
        <v>43</v>
      </c>
      <c r="H139" s="7" t="s">
        <v>44</v>
      </c>
      <c r="I139" s="11">
        <v>2</v>
      </c>
      <c r="J139" s="11">
        <v>3</v>
      </c>
      <c r="K139" s="11">
        <v>0</v>
      </c>
      <c r="L139" s="11">
        <v>1.98</v>
      </c>
      <c r="M139" s="11">
        <v>0</v>
      </c>
      <c r="N139" s="11">
        <v>0</v>
      </c>
      <c r="O139" s="11">
        <v>0</v>
      </c>
      <c r="P139" s="11">
        <v>0</v>
      </c>
      <c r="Q139" s="11">
        <v>1.98</v>
      </c>
      <c r="R139" s="11">
        <v>1.8</v>
      </c>
      <c r="S139" s="11">
        <v>3.779999999999999</v>
      </c>
      <c r="T139" s="11">
        <v>2</v>
      </c>
      <c r="U139" s="11">
        <v>1.779999999999999</v>
      </c>
      <c r="V139" s="11">
        <v>0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 t="str">
        <f>(Y139/2)*838350</f>
        <v>0</v>
      </c>
      <c r="AC139" s="15" t="str">
        <f>(Z139/3)*1956150</f>
        <v>0</v>
      </c>
      <c r="AD139" s="15" t="str">
        <f>AB139+AC139</f>
        <v>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40</v>
      </c>
      <c r="E140" s="7" t="s">
        <v>155</v>
      </c>
      <c r="F140" s="7" t="s">
        <v>257</v>
      </c>
      <c r="G140" s="7" t="s">
        <v>43</v>
      </c>
      <c r="H140" s="7" t="s">
        <v>44</v>
      </c>
      <c r="I140" s="11">
        <v>2</v>
      </c>
      <c r="J140" s="11">
        <v>3</v>
      </c>
      <c r="K140" s="11">
        <v>0</v>
      </c>
      <c r="L140" s="11">
        <v>1.95</v>
      </c>
      <c r="M140" s="11">
        <v>1</v>
      </c>
      <c r="N140" s="11">
        <v>0</v>
      </c>
      <c r="O140" s="11">
        <v>0</v>
      </c>
      <c r="P140" s="11">
        <v>0</v>
      </c>
      <c r="Q140" s="11">
        <v>2.950000000000001</v>
      </c>
      <c r="R140" s="11">
        <v>3.720000000000001</v>
      </c>
      <c r="S140" s="11">
        <v>6.670000000000002</v>
      </c>
      <c r="T140" s="11">
        <v>2</v>
      </c>
      <c r="U140" s="11">
        <v>3</v>
      </c>
      <c r="V140" s="11">
        <v>1.670000000000002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 t="str">
        <f>(Y140/2)*838350</f>
        <v>0</v>
      </c>
      <c r="AC140" s="15" t="str">
        <f>(Z140/3)*1956150</f>
        <v>0</v>
      </c>
      <c r="AD140" s="15" t="str">
        <f>AB140+AC140</f>
        <v>0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40</v>
      </c>
      <c r="E141" s="7" t="s">
        <v>47</v>
      </c>
      <c r="F141" s="7" t="s">
        <v>257</v>
      </c>
      <c r="G141" s="7" t="s">
        <v>43</v>
      </c>
      <c r="H141" s="7" t="s">
        <v>44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 t="str">
        <f>(Y141/2)*838350</f>
        <v>0</v>
      </c>
      <c r="AC141" s="15" t="str">
        <f>(Z141/3)*1956150</f>
        <v>0</v>
      </c>
      <c r="AD141" s="15" t="str">
        <f>AB141+AC141</f>
        <v>0</v>
      </c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232</v>
      </c>
      <c r="E142" s="7" t="s">
        <v>155</v>
      </c>
      <c r="F142" s="7" t="s">
        <v>253</v>
      </c>
      <c r="G142" s="7" t="s">
        <v>43</v>
      </c>
      <c r="H142" s="7"/>
      <c r="I142" s="11">
        <v>2</v>
      </c>
      <c r="J142" s="11">
        <v>3</v>
      </c>
      <c r="K142" s="11">
        <v>0</v>
      </c>
      <c r="L142" s="11">
        <v>5.849999999999999</v>
      </c>
      <c r="M142" s="11">
        <v>0.17</v>
      </c>
      <c r="N142" s="11">
        <v>0</v>
      </c>
      <c r="O142" s="11">
        <v>0</v>
      </c>
      <c r="P142" s="11">
        <v>0</v>
      </c>
      <c r="Q142" s="11">
        <v>6.019999999999998</v>
      </c>
      <c r="R142" s="11">
        <v>4.21</v>
      </c>
      <c r="S142" s="11">
        <v>10.23</v>
      </c>
      <c r="T142" s="11">
        <v>2</v>
      </c>
      <c r="U142" s="11">
        <v>3</v>
      </c>
      <c r="V142" s="11">
        <v>5.229999999999997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 t="str">
        <f>(Y142/2)*838350</f>
        <v>0</v>
      </c>
      <c r="AC142" s="15" t="str">
        <f>(Z142/3)*1956150</f>
        <v>0</v>
      </c>
      <c r="AD142" s="15" t="str">
        <f>AB142+AC142</f>
        <v>0</v>
      </c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40</v>
      </c>
      <c r="E143" s="7" t="s">
        <v>47</v>
      </c>
      <c r="F143" s="7" t="s">
        <v>257</v>
      </c>
      <c r="G143" s="7" t="s">
        <v>43</v>
      </c>
      <c r="H143" s="7" t="s">
        <v>44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 t="str">
        <f>(Y143/2)*838350</f>
        <v>0</v>
      </c>
      <c r="AC143" s="15" t="str">
        <f>(Z143/3)*1956150</f>
        <v>0</v>
      </c>
      <c r="AD143" s="15" t="str">
        <f>AB143+AC143</f>
        <v>0</v>
      </c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256</v>
      </c>
      <c r="E144" s="7" t="s">
        <v>141</v>
      </c>
      <c r="F144" s="7" t="s">
        <v>257</v>
      </c>
      <c r="G144" s="7" t="s">
        <v>43</v>
      </c>
      <c r="H144" s="7" t="s">
        <v>44</v>
      </c>
      <c r="I144" s="11">
        <v>2</v>
      </c>
      <c r="J144" s="11">
        <v>3</v>
      </c>
      <c r="K144" s="11">
        <v>0</v>
      </c>
      <c r="L144" s="11">
        <v>4.290000000000002</v>
      </c>
      <c r="M144" s="11">
        <v>0.16</v>
      </c>
      <c r="N144" s="11">
        <v>0</v>
      </c>
      <c r="O144" s="11">
        <v>0</v>
      </c>
      <c r="P144" s="11">
        <v>0</v>
      </c>
      <c r="Q144" s="11">
        <v>4.450000000000002</v>
      </c>
      <c r="R144" s="11">
        <v>3.19</v>
      </c>
      <c r="S144" s="11">
        <v>7.640000000000002</v>
      </c>
      <c r="T144" s="11">
        <v>2</v>
      </c>
      <c r="U144" s="11">
        <v>3</v>
      </c>
      <c r="V144" s="11">
        <v>2.640000000000002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 t="str">
        <f>(Y144/2)*838350</f>
        <v>0</v>
      </c>
      <c r="AC144" s="15" t="str">
        <f>(Z144/3)*1956150</f>
        <v>0</v>
      </c>
      <c r="AD144" s="15" t="str">
        <f>AB144+AC144</f>
        <v>0</v>
      </c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232</v>
      </c>
      <c r="E145" s="7" t="s">
        <v>47</v>
      </c>
      <c r="F145" s="7" t="s">
        <v>343</v>
      </c>
      <c r="G145" s="7" t="s">
        <v>43</v>
      </c>
      <c r="H145" s="7" t="s">
        <v>44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 t="str">
        <f>(Y145/2)*838350</f>
        <v>0</v>
      </c>
      <c r="AC145" s="15" t="str">
        <f>(Z145/3)*0</f>
        <v>0</v>
      </c>
      <c r="AD145" s="15" t="str">
        <f>AB145+AC145</f>
        <v>0</v>
      </c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344</v>
      </c>
      <c r="C146" s="10" t="s">
        <v>345</v>
      </c>
      <c r="D146" s="7" t="s">
        <v>69</v>
      </c>
      <c r="E146" s="7" t="s">
        <v>155</v>
      </c>
      <c r="F146" s="7" t="s">
        <v>257</v>
      </c>
      <c r="G146" s="7" t="s">
        <v>43</v>
      </c>
      <c r="H146" s="7" t="s">
        <v>44</v>
      </c>
      <c r="I146" s="11">
        <v>2</v>
      </c>
      <c r="J146" s="11">
        <v>3</v>
      </c>
      <c r="K146" s="11">
        <v>0</v>
      </c>
      <c r="L146" s="11">
        <v>4.110000000000001</v>
      </c>
      <c r="M146" s="11">
        <v>0</v>
      </c>
      <c r="N146" s="11">
        <v>0</v>
      </c>
      <c r="O146" s="11">
        <v>0</v>
      </c>
      <c r="P146" s="11">
        <v>0</v>
      </c>
      <c r="Q146" s="11">
        <v>4.110000000000001</v>
      </c>
      <c r="R146" s="11">
        <v>1.63</v>
      </c>
      <c r="S146" s="11">
        <v>5.740000000000001</v>
      </c>
      <c r="T146" s="11">
        <v>2</v>
      </c>
      <c r="U146" s="11">
        <v>3</v>
      </c>
      <c r="V146" s="11">
        <v>0.7400000000000011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 t="str">
        <f>(Y146/2)*838350</f>
        <v>0</v>
      </c>
      <c r="AC146" s="15" t="str">
        <f>(Z146/3)*1956150</f>
        <v>0</v>
      </c>
      <c r="AD146" s="15" t="str">
        <f>AB146+AC146</f>
        <v>0</v>
      </c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346</v>
      </c>
      <c r="C147" s="10" t="s">
        <v>347</v>
      </c>
      <c r="D147" s="7" t="s">
        <v>40</v>
      </c>
      <c r="E147" s="7" t="s">
        <v>59</v>
      </c>
      <c r="F147" s="7" t="s">
        <v>257</v>
      </c>
      <c r="G147" s="7" t="s">
        <v>43</v>
      </c>
      <c r="H147" s="7" t="s">
        <v>44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 t="str">
        <f>(Y147/2)*838350</f>
        <v>0</v>
      </c>
      <c r="AC147" s="15" t="str">
        <f>(Z147/3)*1956150</f>
        <v>0</v>
      </c>
      <c r="AD147" s="15" t="str">
        <f>AB147+AC147</f>
        <v>0</v>
      </c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348</v>
      </c>
      <c r="C148" s="10" t="s">
        <v>349</v>
      </c>
      <c r="D148" s="7" t="s">
        <v>40</v>
      </c>
      <c r="E148" s="7" t="s">
        <v>47</v>
      </c>
      <c r="F148" s="7" t="s">
        <v>257</v>
      </c>
      <c r="G148" s="7" t="s">
        <v>43</v>
      </c>
      <c r="H148" s="7" t="s">
        <v>44</v>
      </c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 t="str">
        <f>(Y148/2)*838350</f>
        <v>0</v>
      </c>
      <c r="AC148" s="15" t="str">
        <f>(Z148/3)*1956150</f>
        <v>0</v>
      </c>
      <c r="AD148" s="15" t="str">
        <f>AB148+AC148</f>
        <v>0</v>
      </c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350</v>
      </c>
      <c r="C149" s="10" t="s">
        <v>351</v>
      </c>
      <c r="D149" s="7" t="s">
        <v>51</v>
      </c>
      <c r="E149" s="7" t="s">
        <v>352</v>
      </c>
      <c r="F149" s="7" t="s">
        <v>257</v>
      </c>
      <c r="G149" s="7" t="s">
        <v>43</v>
      </c>
      <c r="H149" s="7" t="s">
        <v>44</v>
      </c>
      <c r="I149" s="11">
        <v>2</v>
      </c>
      <c r="J149" s="11">
        <v>3</v>
      </c>
      <c r="K149" s="11">
        <v>0</v>
      </c>
      <c r="L149" s="11">
        <v>1.13</v>
      </c>
      <c r="M149" s="11">
        <v>1.17</v>
      </c>
      <c r="N149" s="11">
        <v>0</v>
      </c>
      <c r="O149" s="11">
        <v>0</v>
      </c>
      <c r="P149" s="11">
        <v>0</v>
      </c>
      <c r="Q149" s="11">
        <v>2.3</v>
      </c>
      <c r="R149" s="11">
        <v>2.31</v>
      </c>
      <c r="S149" s="11">
        <v>4.609999999999999</v>
      </c>
      <c r="T149" s="11">
        <v>2</v>
      </c>
      <c r="U149" s="11">
        <v>2.609999999999999</v>
      </c>
      <c r="V149" s="11">
        <v>0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 t="str">
        <f>(Y149/2)*838350</f>
        <v>0</v>
      </c>
      <c r="AC149" s="15" t="str">
        <f>(Z149/3)*1956150</f>
        <v>0</v>
      </c>
      <c r="AD149" s="15" t="str">
        <f>AB149+AC149</f>
        <v>0</v>
      </c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353</v>
      </c>
      <c r="C150" s="10" t="s">
        <v>354</v>
      </c>
      <c r="D150" s="7" t="s">
        <v>69</v>
      </c>
      <c r="E150" s="7" t="s">
        <v>141</v>
      </c>
      <c r="F150" s="7" t="s">
        <v>257</v>
      </c>
      <c r="G150" s="7" t="s">
        <v>43</v>
      </c>
      <c r="H150" s="7" t="s">
        <v>44</v>
      </c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 t="str">
        <f>(Y150/2)*838350</f>
        <v>0</v>
      </c>
      <c r="AC150" s="15" t="str">
        <f>(Z150/3)*1956150</f>
        <v>0</v>
      </c>
      <c r="AD150" s="15" t="str">
        <f>AB150+AC150</f>
        <v>0</v>
      </c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355</v>
      </c>
      <c r="C151" s="10" t="s">
        <v>356</v>
      </c>
      <c r="D151" s="7" t="s">
        <v>69</v>
      </c>
      <c r="E151" s="7" t="s">
        <v>141</v>
      </c>
      <c r="F151" s="7" t="s">
        <v>253</v>
      </c>
      <c r="G151" s="7" t="s">
        <v>43</v>
      </c>
      <c r="H151" s="7" t="s">
        <v>44</v>
      </c>
      <c r="I151" s="11">
        <v>2</v>
      </c>
      <c r="J151" s="11">
        <v>3</v>
      </c>
      <c r="K151" s="11">
        <v>0</v>
      </c>
      <c r="L151" s="11">
        <v>0.17</v>
      </c>
      <c r="M151" s="11">
        <v>0.5</v>
      </c>
      <c r="N151" s="11">
        <v>0</v>
      </c>
      <c r="O151" s="11">
        <v>0</v>
      </c>
      <c r="P151" s="11">
        <v>0</v>
      </c>
      <c r="Q151" s="11">
        <v>0.67</v>
      </c>
      <c r="R151" s="11">
        <v>0.8300000000000001</v>
      </c>
      <c r="S151" s="11">
        <v>1.5</v>
      </c>
      <c r="T151" s="11">
        <v>1.5</v>
      </c>
      <c r="U151" s="11">
        <v>0</v>
      </c>
      <c r="V151" s="11">
        <v>0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 t="str">
        <f>(Y151/2)*838350</f>
        <v>0</v>
      </c>
      <c r="AC151" s="15" t="str">
        <f>(Z151/3)*1956150</f>
        <v>0</v>
      </c>
      <c r="AD151" s="15" t="str">
        <f>AB151+AC151</f>
        <v>0</v>
      </c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357</v>
      </c>
      <c r="C152" s="10" t="s">
        <v>358</v>
      </c>
      <c r="D152" s="7" t="s">
        <v>69</v>
      </c>
      <c r="E152" s="7" t="s">
        <v>47</v>
      </c>
      <c r="F152" s="7" t="s">
        <v>257</v>
      </c>
      <c r="G152" s="7" t="s">
        <v>43</v>
      </c>
      <c r="H152" s="7" t="s">
        <v>44</v>
      </c>
      <c r="I152" s="11">
        <v>2</v>
      </c>
      <c r="J152" s="11">
        <v>3</v>
      </c>
      <c r="K152" s="11">
        <v>0</v>
      </c>
      <c r="L152" s="11">
        <v>2.440000000000001</v>
      </c>
      <c r="M152" s="11">
        <v>0.34</v>
      </c>
      <c r="N152" s="11">
        <v>0</v>
      </c>
      <c r="O152" s="11">
        <v>0</v>
      </c>
      <c r="P152" s="11">
        <v>0</v>
      </c>
      <c r="Q152" s="11">
        <v>2.780000000000001</v>
      </c>
      <c r="R152" s="11">
        <v>1</v>
      </c>
      <c r="S152" s="11">
        <v>3.780000000000001</v>
      </c>
      <c r="T152" s="11">
        <v>2</v>
      </c>
      <c r="U152" s="11">
        <v>1.780000000000001</v>
      </c>
      <c r="V152" s="11">
        <v>0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 t="str">
        <f>(Y152/2)*838350</f>
        <v>0</v>
      </c>
      <c r="AC152" s="15" t="str">
        <f>(Z152/3)*1956150</f>
        <v>0</v>
      </c>
      <c r="AD152" s="15" t="str">
        <f>AB152+AC152</f>
        <v>0</v>
      </c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359</v>
      </c>
      <c r="C153" s="10" t="s">
        <v>360</v>
      </c>
      <c r="D153" s="7" t="s">
        <v>40</v>
      </c>
      <c r="E153" s="7" t="s">
        <v>83</v>
      </c>
      <c r="F153" s="7" t="s">
        <v>257</v>
      </c>
      <c r="G153" s="7" t="s">
        <v>43</v>
      </c>
      <c r="H153" s="7" t="s">
        <v>44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 t="str">
        <f>(Y153/2)*838350</f>
        <v>0</v>
      </c>
      <c r="AC153" s="15" t="str">
        <f>(Z153/3)*1956150</f>
        <v>0</v>
      </c>
      <c r="AD153" s="15" t="str">
        <f>AB153+AC153</f>
        <v>0</v>
      </c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361</v>
      </c>
      <c r="C154" s="10" t="s">
        <v>362</v>
      </c>
      <c r="D154" s="7" t="s">
        <v>256</v>
      </c>
      <c r="E154" s="7" t="s">
        <v>141</v>
      </c>
      <c r="F154" s="7" t="s">
        <v>257</v>
      </c>
      <c r="G154" s="7" t="s">
        <v>43</v>
      </c>
      <c r="H154" s="7" t="s">
        <v>44</v>
      </c>
      <c r="I154" s="11">
        <v>2</v>
      </c>
      <c r="J154" s="11">
        <v>3</v>
      </c>
      <c r="K154" s="11">
        <v>0</v>
      </c>
      <c r="L154" s="11">
        <v>5.119999999999999</v>
      </c>
      <c r="M154" s="11">
        <v>0.66</v>
      </c>
      <c r="N154" s="11">
        <v>0</v>
      </c>
      <c r="O154" s="11">
        <v>0</v>
      </c>
      <c r="P154" s="11">
        <v>0</v>
      </c>
      <c r="Q154" s="11">
        <v>5.779999999999999</v>
      </c>
      <c r="R154" s="11">
        <v>3.2</v>
      </c>
      <c r="S154" s="11">
        <v>8.98</v>
      </c>
      <c r="T154" s="11">
        <v>2</v>
      </c>
      <c r="U154" s="11">
        <v>3</v>
      </c>
      <c r="V154" s="11">
        <v>3.98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 t="str">
        <f>(Y154/2)*838350</f>
        <v>0</v>
      </c>
      <c r="AC154" s="15" t="str">
        <f>(Z154/3)*1956150</f>
        <v>0</v>
      </c>
      <c r="AD154" s="15" t="str">
        <f>AB154+AC154</f>
        <v>0</v>
      </c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363</v>
      </c>
      <c r="C155" s="10" t="s">
        <v>364</v>
      </c>
      <c r="D155" s="7" t="s">
        <v>40</v>
      </c>
      <c r="E155" s="7" t="s">
        <v>155</v>
      </c>
      <c r="F155" s="7" t="s">
        <v>257</v>
      </c>
      <c r="G155" s="7" t="s">
        <v>43</v>
      </c>
      <c r="H155" s="7" t="s">
        <v>44</v>
      </c>
      <c r="I155" s="11">
        <v>2</v>
      </c>
      <c r="J155" s="11">
        <v>3</v>
      </c>
      <c r="K155" s="11">
        <v>0</v>
      </c>
      <c r="L155" s="11">
        <v>1.92</v>
      </c>
      <c r="M155" s="11">
        <v>0</v>
      </c>
      <c r="N155" s="11">
        <v>0</v>
      </c>
      <c r="O155" s="11">
        <v>0</v>
      </c>
      <c r="P155" s="11">
        <v>0</v>
      </c>
      <c r="Q155" s="11">
        <v>1.92</v>
      </c>
      <c r="R155" s="11">
        <v>1.670000000000001</v>
      </c>
      <c r="S155" s="11">
        <v>3.590000000000001</v>
      </c>
      <c r="T155" s="11">
        <v>2</v>
      </c>
      <c r="U155" s="11">
        <v>1.590000000000001</v>
      </c>
      <c r="V155" s="11">
        <v>0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 t="str">
        <f>(Y155/2)*838350</f>
        <v>0</v>
      </c>
      <c r="AC155" s="15" t="str">
        <f>(Z155/3)*1956150</f>
        <v>0</v>
      </c>
      <c r="AD155" s="15" t="str">
        <f>AB155+AC155</f>
        <v>0</v>
      </c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365</v>
      </c>
      <c r="C156" s="10" t="s">
        <v>366</v>
      </c>
      <c r="D156" s="7" t="s">
        <v>40</v>
      </c>
      <c r="E156" s="7" t="s">
        <v>141</v>
      </c>
      <c r="F156" s="7" t="s">
        <v>257</v>
      </c>
      <c r="G156" s="7" t="s">
        <v>43</v>
      </c>
      <c r="H156" s="7" t="s">
        <v>44</v>
      </c>
      <c r="I156" s="11">
        <v>2</v>
      </c>
      <c r="J156" s="11">
        <v>3</v>
      </c>
      <c r="K156" s="11">
        <v>0</v>
      </c>
      <c r="L156" s="11">
        <v>2.7</v>
      </c>
      <c r="M156" s="11">
        <v>0</v>
      </c>
      <c r="N156" s="11">
        <v>0</v>
      </c>
      <c r="O156" s="11">
        <v>0</v>
      </c>
      <c r="P156" s="11">
        <v>0</v>
      </c>
      <c r="Q156" s="11">
        <v>2.7</v>
      </c>
      <c r="R156" s="11">
        <v>1.42</v>
      </c>
      <c r="S156" s="11">
        <v>4.12</v>
      </c>
      <c r="T156" s="11">
        <v>2</v>
      </c>
      <c r="U156" s="11">
        <v>2.12</v>
      </c>
      <c r="V156" s="11">
        <v>0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 t="str">
        <f>(Y156/2)*838350</f>
        <v>0</v>
      </c>
      <c r="AC156" s="15" t="str">
        <f>(Z156/3)*1956150</f>
        <v>0</v>
      </c>
      <c r="AD156" s="15" t="str">
        <f>AB156+AC156</f>
        <v>0</v>
      </c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367</v>
      </c>
      <c r="C157" s="10" t="s">
        <v>368</v>
      </c>
      <c r="D157" s="7" t="s">
        <v>40</v>
      </c>
      <c r="E157" s="7" t="s">
        <v>41</v>
      </c>
      <c r="F157" s="7" t="s">
        <v>257</v>
      </c>
      <c r="G157" s="7" t="s">
        <v>43</v>
      </c>
      <c r="H157" s="7" t="s">
        <v>44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 t="str">
        <f>(Y157/2)*838350</f>
        <v>0</v>
      </c>
      <c r="AC157" s="15" t="str">
        <f>(Z157/3)*1956150</f>
        <v>0</v>
      </c>
      <c r="AD157" s="15" t="str">
        <f>AB157+AC157</f>
        <v>0</v>
      </c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369</v>
      </c>
      <c r="C158" s="10" t="s">
        <v>370</v>
      </c>
      <c r="D158" s="7" t="s">
        <v>69</v>
      </c>
      <c r="E158" s="7" t="s">
        <v>155</v>
      </c>
      <c r="F158" s="7" t="s">
        <v>257</v>
      </c>
      <c r="G158" s="7" t="s">
        <v>43</v>
      </c>
      <c r="H158" s="7" t="s">
        <v>44</v>
      </c>
      <c r="I158" s="11">
        <v>2</v>
      </c>
      <c r="J158" s="11">
        <v>3</v>
      </c>
      <c r="K158" s="11">
        <v>0</v>
      </c>
      <c r="L158" s="11">
        <v>4.43</v>
      </c>
      <c r="M158" s="11">
        <v>0.17</v>
      </c>
      <c r="N158" s="11">
        <v>0</v>
      </c>
      <c r="O158" s="11">
        <v>0</v>
      </c>
      <c r="P158" s="11">
        <v>0</v>
      </c>
      <c r="Q158" s="11">
        <v>4.6</v>
      </c>
      <c r="R158" s="11">
        <v>1.51</v>
      </c>
      <c r="S158" s="11">
        <v>6.109999999999999</v>
      </c>
      <c r="T158" s="11">
        <v>2</v>
      </c>
      <c r="U158" s="11">
        <v>3</v>
      </c>
      <c r="V158" s="11">
        <v>1.109999999999999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 t="str">
        <f>(Y158/2)*838350</f>
        <v>0</v>
      </c>
      <c r="AC158" s="15" t="str">
        <f>(Z158/3)*1956150</f>
        <v>0</v>
      </c>
      <c r="AD158" s="15" t="str">
        <f>AB158+AC158</f>
        <v>0</v>
      </c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371</v>
      </c>
      <c r="C159" s="10" t="s">
        <v>372</v>
      </c>
      <c r="D159" s="7" t="s">
        <v>40</v>
      </c>
      <c r="E159" s="7" t="s">
        <v>141</v>
      </c>
      <c r="F159" s="7" t="s">
        <v>257</v>
      </c>
      <c r="G159" s="7" t="s">
        <v>43</v>
      </c>
      <c r="H159" s="7" t="s">
        <v>44</v>
      </c>
      <c r="I159" s="11">
        <v>2</v>
      </c>
      <c r="J159" s="11">
        <v>3</v>
      </c>
      <c r="K159" s="11">
        <v>0</v>
      </c>
      <c r="L159" s="11">
        <v>3.46</v>
      </c>
      <c r="M159" s="11">
        <v>0.25</v>
      </c>
      <c r="N159" s="11">
        <v>0</v>
      </c>
      <c r="O159" s="11">
        <v>0</v>
      </c>
      <c r="P159" s="11">
        <v>0</v>
      </c>
      <c r="Q159" s="11">
        <v>3.71</v>
      </c>
      <c r="R159" s="11">
        <v>1.4</v>
      </c>
      <c r="S159" s="11">
        <v>5.11</v>
      </c>
      <c r="T159" s="11">
        <v>2</v>
      </c>
      <c r="U159" s="11">
        <v>3</v>
      </c>
      <c r="V159" s="11">
        <v>0.1100000000000003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 t="str">
        <f>(Y159/2)*838350</f>
        <v>0</v>
      </c>
      <c r="AC159" s="15" t="str">
        <f>(Z159/3)*1956150</f>
        <v>0</v>
      </c>
      <c r="AD159" s="15" t="str">
        <f>AB159+AC159</f>
        <v>0</v>
      </c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373</v>
      </c>
      <c r="C160" s="10" t="s">
        <v>374</v>
      </c>
      <c r="D160" s="7" t="s">
        <v>69</v>
      </c>
      <c r="E160" s="7" t="s">
        <v>155</v>
      </c>
      <c r="F160" s="7" t="s">
        <v>257</v>
      </c>
      <c r="G160" s="7" t="s">
        <v>43</v>
      </c>
      <c r="H160" s="7" t="s">
        <v>44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 t="str">
        <f>(Y160/2)*838350</f>
        <v>0</v>
      </c>
      <c r="AC160" s="15" t="str">
        <f>(Z160/3)*1956150</f>
        <v>0</v>
      </c>
      <c r="AD160" s="15" t="str">
        <f>AB160+AC160</f>
        <v>0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375</v>
      </c>
      <c r="C161" s="10" t="s">
        <v>376</v>
      </c>
      <c r="D161" s="7" t="s">
        <v>69</v>
      </c>
      <c r="E161" s="7" t="s">
        <v>141</v>
      </c>
      <c r="F161" s="7" t="s">
        <v>257</v>
      </c>
      <c r="G161" s="7" t="s">
        <v>43</v>
      </c>
      <c r="H161" s="7" t="s">
        <v>44</v>
      </c>
      <c r="I161" s="11">
        <v>2</v>
      </c>
      <c r="J161" s="11">
        <v>3</v>
      </c>
      <c r="K161" s="11">
        <v>0</v>
      </c>
      <c r="L161" s="11">
        <v>4.38</v>
      </c>
      <c r="M161" s="11">
        <v>0.17</v>
      </c>
      <c r="N161" s="11">
        <v>0</v>
      </c>
      <c r="O161" s="11">
        <v>0</v>
      </c>
      <c r="P161" s="11">
        <v>0</v>
      </c>
      <c r="Q161" s="11">
        <v>4.55</v>
      </c>
      <c r="R161" s="11">
        <v>2.22</v>
      </c>
      <c r="S161" s="11">
        <v>6.77</v>
      </c>
      <c r="T161" s="11">
        <v>2</v>
      </c>
      <c r="U161" s="11">
        <v>3</v>
      </c>
      <c r="V161" s="11">
        <v>1.77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 t="str">
        <f>(Y161/2)*838350</f>
        <v>0</v>
      </c>
      <c r="AC161" s="15" t="str">
        <f>(Z161/3)*1956150</f>
        <v>0</v>
      </c>
      <c r="AD161" s="15" t="str">
        <f>AB161+AC161</f>
        <v>0</v>
      </c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377</v>
      </c>
      <c r="C162" s="10" t="s">
        <v>378</v>
      </c>
      <c r="D162" s="7" t="s">
        <v>40</v>
      </c>
      <c r="E162" s="7" t="s">
        <v>47</v>
      </c>
      <c r="F162" s="7" t="s">
        <v>257</v>
      </c>
      <c r="G162" s="7" t="s">
        <v>43</v>
      </c>
      <c r="H162" s="7" t="s">
        <v>44</v>
      </c>
      <c r="I162" s="11">
        <v>2</v>
      </c>
      <c r="J162" s="11">
        <v>3</v>
      </c>
      <c r="K162" s="11">
        <v>0</v>
      </c>
      <c r="L162" s="11">
        <v>2.86</v>
      </c>
      <c r="M162" s="11">
        <v>0</v>
      </c>
      <c r="N162" s="11">
        <v>0</v>
      </c>
      <c r="O162" s="11">
        <v>0</v>
      </c>
      <c r="P162" s="11">
        <v>0</v>
      </c>
      <c r="Q162" s="11">
        <v>2.86</v>
      </c>
      <c r="R162" s="11">
        <v>0.54</v>
      </c>
      <c r="S162" s="11">
        <v>3.4</v>
      </c>
      <c r="T162" s="11">
        <v>2</v>
      </c>
      <c r="U162" s="11">
        <v>1.4</v>
      </c>
      <c r="V162" s="11">
        <v>0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 t="str">
        <f>(Y162/2)*838350</f>
        <v>0</v>
      </c>
      <c r="AC162" s="15" t="str">
        <f>(Z162/3)*1956150</f>
        <v>0</v>
      </c>
      <c r="AD162" s="15" t="str">
        <f>AB162+AC162</f>
        <v>0</v>
      </c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379</v>
      </c>
      <c r="C163" s="10" t="s">
        <v>380</v>
      </c>
      <c r="D163" s="7" t="s">
        <v>112</v>
      </c>
      <c r="E163" s="7" t="s">
        <v>141</v>
      </c>
      <c r="F163" s="7"/>
      <c r="G163" s="7"/>
      <c r="H163" s="7"/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0</v>
      </c>
      <c r="X163" s="13">
        <v>0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 t="str">
        <f>(Y163/0)*0</f>
        <v>0</v>
      </c>
      <c r="AC163" s="15" t="str">
        <f>(Z163/0)*0</f>
        <v>0</v>
      </c>
      <c r="AD163" s="15" t="str">
        <f>AB163+AC163</f>
        <v>0</v>
      </c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381</v>
      </c>
      <c r="C167" s="16"/>
      <c r="D167" s="16"/>
      <c r="E167" s="16"/>
      <c r="F167" s="16"/>
      <c r="G167" s="16"/>
      <c r="H167" s="16"/>
      <c r="I167" s="16" t="s">
        <v>382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383</v>
      </c>
      <c r="C168" s="16"/>
      <c r="D168" s="16"/>
      <c r="E168" s="16"/>
      <c r="F168" s="16"/>
      <c r="G168" s="16"/>
      <c r="H168" s="16"/>
      <c r="I168" s="16" t="s">
        <v>384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385</v>
      </c>
      <c r="C173" s="16"/>
      <c r="D173" s="16"/>
      <c r="E173" s="16"/>
      <c r="F173" s="16"/>
      <c r="G173" s="16"/>
      <c r="H173" s="16"/>
      <c r="I173" s="16" t="s">
        <v>386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387</v>
      </c>
      <c r="C174" s="16"/>
      <c r="D174" s="16"/>
      <c r="E174" s="16"/>
      <c r="F174" s="16"/>
      <c r="G174" s="16"/>
      <c r="H174" s="16"/>
      <c r="I174" s="16" t="s">
        <v>387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2017-07-27T13:45:16+07:00</dcterms:created>
  <dcterms:modified xsi:type="dcterms:W3CDTF">2017-07-27T13:45:16+07:00</dcterms:modified>
  <dc:title>Untitled Spreadsheet</dc:title>
  <dc:description/>
  <dc:subject/>
  <cp:keywords/>
  <cp:category/>
</cp:coreProperties>
</file>