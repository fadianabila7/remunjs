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<sst xmlns="http://schemas.openxmlformats.org/spreadsheetml/2006/main" uniqueCount="129">
  <si>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</si>
  <si>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</si>
  <si>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</si>
  <si>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</si>
  <si>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</si>
  <si>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</si>
  <si>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</si>
  <si>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</si>
  <si>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</si>
  <si>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</si>
  <si>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</si>
  <si>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</si>
  <si>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</si>
  <si>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</si>
  <si>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</si>
  <si>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</si>
  <si>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</si>
  <si>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</si>
  <si>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</si>
  <si>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</si>
  <si>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</si>
  <si>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</si>
  <si>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</si>
  <si>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</si>
  <si>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</si>
  <si>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</si>
  <si>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</si>
  <si>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</si>
  <si>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</si>
  <si>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</si>
  <si>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</si>
  <si>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</si>
  <si>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</si>
  <si>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</si>
  <si>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</si>
  <si>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</si>
  <si>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</si>
  <si>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</si>
  <si>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</si>
  <si>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</si>
  <si>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</si>
  <si>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</si>
  <si>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</si>
  <si>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>S2</t>
  </si>
  <si>
    <t>Dekan A Gol. IV</t>
  </si>
  <si>
    <t>197802272003122002</t>
  </si>
  <si>
    <t>Dr. EMILDA FIRDAUS, SH.,MH</t>
  </si>
  <si>
    <t>S3</t>
  </si>
  <si>
    <t>Wakil Dekan III C Gol. III</t>
  </si>
  <si>
    <t>197311102008011018</t>
  </si>
  <si>
    <t>Dr. ERDIANTO, SH, M.Hum</t>
  </si>
  <si>
    <t>III/d</t>
  </si>
  <si>
    <t>Lektor Kepala Gol. III</t>
  </si>
  <si>
    <t>Ketua Lembaga Gol. IV</t>
  </si>
  <si>
    <t>197508032003121004</t>
  </si>
  <si>
    <t>Dr. FIRDAUS, SH, MH</t>
  </si>
  <si>
    <t>Wakil Dekan II A Gol. IV</t>
  </si>
  <si>
    <t>197803272006042001</t>
  </si>
  <si>
    <t>Dr. MARYATI BACHTIAR, SH, M.Kn</t>
  </si>
  <si>
    <t>Wakil Dekan I B Gol. IV</t>
  </si>
  <si>
    <t>197708282003122002</t>
  </si>
  <si>
    <t>GUSLIANA HB, SH.,M.Hum</t>
  </si>
  <si>
    <t>Belum ada jabatan struktural</t>
  </si>
  <si>
    <t>195701281996031001</t>
  </si>
  <si>
    <t>IKHSAN, SH, MH</t>
  </si>
  <si>
    <t>IV/b</t>
  </si>
  <si>
    <t>Wakil Dekan III A Gol. III</t>
  </si>
  <si>
    <t>197806022006042002</t>
  </si>
  <si>
    <t>MARIA MAYA LESTARI, SH, M.Sc, MH</t>
  </si>
  <si>
    <t>196703211993032002</t>
  </si>
  <si>
    <t>Mardalena Hanifah, SH. M.Hum</t>
  </si>
  <si>
    <t>198005052006042002</t>
  </si>
  <si>
    <t>RIKA LESTARI, SH, M.Hum</t>
  </si>
  <si>
    <t>Wakil Dekan I C Gol. IV</t>
  </si>
  <si>
    <t>197301012006041015</t>
  </si>
  <si>
    <t>DASROL, SH,MH.</t>
  </si>
  <si>
    <t>Lektor Gol. III</t>
  </si>
  <si>
    <t>Wakil Dekan I B Gol. III</t>
  </si>
  <si>
    <t>198212022008012008</t>
  </si>
  <si>
    <t>Dr. DESSY ARTINA, SH, MH</t>
  </si>
  <si>
    <t>III/b</t>
  </si>
  <si>
    <t>Koordinator Program Studi A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</si>
  <si>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</si>
  <si>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</si>
  <si>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</si>
  <si>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</si>
  <si>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</si>
  <si>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</si>
  <si>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</si>
  <si>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</si>
  <si>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</si>
  <si>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</si>
  <si>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</si>
  <si>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</si>
  <si>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</si>
  <si>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</si>
  <si>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</si>
  <si>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</si>
  <si>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</si>
  <si>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</si>
  <si>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</si>
  <si>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</si>
  <si>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</si>
  <si>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</si>
  <si>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</si>
  <si>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</si>
  <si>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</si>
  <si>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Wakil Direktur Pascasarjana Gol. III</t>
  </si>
  <si>
    <t>197201221999031002</t>
  </si>
  <si>
    <t>ZULFIKAR JAYAKUSUMA,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</si>
  <si>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</si>
  <si>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</si>
  <si>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</si>
  <si>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</si>
  <si>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</si>
  <si>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</si>
  <si>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</si>
  <si>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</si>
  <si>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</si>
  <si>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</si>
  <si>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</si>
  <si>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</si>
  <si>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Menyetujui,</t>
  </si>
  <si>
    <t>Palembang, 24 Juli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</si>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</sst>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left" vertical="bottom" textRotation="0" wrapText="true" shrinkToFit="false"/>
    </xf>
    <xf xfId="0" fontId="0" numFmtId="2" fillId="2" borderId="1" applyFont="0" applyNumberFormat="1" applyFill="1" applyBorder="1" applyAlignment="1">
      <alignment horizontal="left" vertical="bottom" textRotation="0" wrapText="true" shrinkToFit="false"/>
    </xf>
    <xf xfId="0" fontId="5" numFmtId="4" fillId="3" borderId="1" applyFont="1" applyNumberFormat="1" applyFill="1" applyBorder="1" applyAlignment="1">
      <alignment horizontal="left" vertical="bottom" textRotation="0" wrapText="true" shrinkToFit="false"/>
    </xf>
    <xf xfId="0" fontId="0" numFmtId="4" fillId="3" borderId="1" applyFont="0" applyNumberFormat="1" applyFill="1" applyBorder="1" applyAlignment="1">
      <alignment horizontal="left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d29cf6c7dc6e9ac99dafd5c9d2c6b4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4" t="s">
        <v>34</v>
      </c>
      <c r="AB10" s="16" t="s">
        <v>35</v>
      </c>
      <c r="AC10" s="16" t="s">
        <v>36</v>
      </c>
      <c r="AD10" s="16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11">
        <v>2</v>
      </c>
      <c r="J11" s="11">
        <v>3</v>
      </c>
      <c r="K11" s="11">
        <v>1.67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1.67</v>
      </c>
      <c r="R11" s="11">
        <v>21.29</v>
      </c>
      <c r="S11" s="11">
        <v>22.96</v>
      </c>
      <c r="T11" s="11">
        <v>2</v>
      </c>
      <c r="U11" s="11">
        <v>3</v>
      </c>
      <c r="V11" s="11">
        <v>17.96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5" t="str">
        <f>S11-SUM(Y11,Z11)</f>
        <v>0</v>
      </c>
      <c r="AB11" s="17" t="str">
        <f>(Y11/2)*5226550</f>
        <v>0</v>
      </c>
      <c r="AC11" s="17" t="str">
        <f>(Z11/3)*12805065</f>
        <v>0</v>
      </c>
      <c r="AD11" s="17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45</v>
      </c>
      <c r="C12" s="10" t="s">
        <v>46</v>
      </c>
      <c r="D12" s="7" t="s">
        <v>40</v>
      </c>
      <c r="E12" s="7" t="s">
        <v>41</v>
      </c>
      <c r="F12" s="7" t="s">
        <v>42</v>
      </c>
      <c r="G12" s="7" t="s">
        <v>47</v>
      </c>
      <c r="H12" s="7" t="s">
        <v>48</v>
      </c>
      <c r="I12" s="11">
        <v>2</v>
      </c>
      <c r="J12" s="11">
        <v>3</v>
      </c>
      <c r="K12" s="11">
        <v>1</v>
      </c>
      <c r="L12" s="11">
        <v>1.05</v>
      </c>
      <c r="M12" s="11">
        <v>0.17</v>
      </c>
      <c r="N12" s="11">
        <v>0</v>
      </c>
      <c r="O12" s="11">
        <v>0</v>
      </c>
      <c r="P12" s="11">
        <v>0</v>
      </c>
      <c r="Q12" s="11">
        <v>2.22</v>
      </c>
      <c r="R12" s="11">
        <v>29.86</v>
      </c>
      <c r="S12" s="11">
        <v>32.08</v>
      </c>
      <c r="T12" s="11">
        <v>2</v>
      </c>
      <c r="U12" s="11">
        <v>3</v>
      </c>
      <c r="V12" s="11">
        <v>27.08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5" t="str">
        <f>S12-SUM(Y12,Z12)</f>
        <v>0</v>
      </c>
      <c r="AB12" s="17" t="str">
        <f>(Y12/2)*3878175</f>
        <v>0</v>
      </c>
      <c r="AC12" s="17" t="str">
        <f>(Z12/3)*9139667</f>
        <v>0</v>
      </c>
      <c r="AD12" s="17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 t="s">
        <v>51</v>
      </c>
      <c r="F13" s="7" t="s">
        <v>52</v>
      </c>
      <c r="G13" s="7" t="s">
        <v>43</v>
      </c>
      <c r="H13" s="7" t="s">
        <v>53</v>
      </c>
      <c r="I13" s="11">
        <v>2</v>
      </c>
      <c r="J13" s="11">
        <v>3</v>
      </c>
      <c r="K13" s="11">
        <v>1.5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1.5</v>
      </c>
      <c r="R13" s="11">
        <v>27.43</v>
      </c>
      <c r="S13" s="11">
        <v>28.93</v>
      </c>
      <c r="T13" s="11">
        <v>2</v>
      </c>
      <c r="U13" s="11">
        <v>3</v>
      </c>
      <c r="V13" s="11">
        <v>23.93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5" t="str">
        <f>S13-SUM(Y13,Z13)</f>
        <v>0</v>
      </c>
      <c r="AB13" s="17" t="str">
        <f>(Y13/2)*4309100</f>
        <v>0</v>
      </c>
      <c r="AC13" s="17" t="str">
        <f>(Z13/3)*10054650</f>
        <v>0</v>
      </c>
      <c r="AD13" s="17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40</v>
      </c>
      <c r="E14" s="7" t="s">
        <v>51</v>
      </c>
      <c r="F14" s="7" t="s">
        <v>52</v>
      </c>
      <c r="G14" s="7" t="s">
        <v>43</v>
      </c>
      <c r="H14" s="7" t="s">
        <v>56</v>
      </c>
      <c r="I14" s="11">
        <v>2</v>
      </c>
      <c r="J14" s="11">
        <v>3</v>
      </c>
      <c r="K14" s="11">
        <v>1</v>
      </c>
      <c r="L14" s="11">
        <v>0.8200000000000001</v>
      </c>
      <c r="M14" s="11">
        <v>0.5</v>
      </c>
      <c r="N14" s="11">
        <v>0</v>
      </c>
      <c r="O14" s="11">
        <v>0</v>
      </c>
      <c r="P14" s="11">
        <v>0</v>
      </c>
      <c r="Q14" s="11">
        <v>2.32</v>
      </c>
      <c r="R14" s="11">
        <v>29.61</v>
      </c>
      <c r="S14" s="11">
        <v>31.93</v>
      </c>
      <c r="T14" s="11">
        <v>2</v>
      </c>
      <c r="U14" s="11">
        <v>3</v>
      </c>
      <c r="V14" s="11">
        <v>26.93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5" t="str">
        <f>S14-SUM(Y14,Z14)</f>
        <v>0</v>
      </c>
      <c r="AB14" s="17" t="str">
        <f>(Y14/2)*4309100</f>
        <v>0</v>
      </c>
      <c r="AC14" s="17" t="str">
        <f>(Z14/3)*10557383</f>
        <v>0</v>
      </c>
      <c r="AD14" s="17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41</v>
      </c>
      <c r="F15" s="7" t="s">
        <v>42</v>
      </c>
      <c r="G15" s="7" t="s">
        <v>47</v>
      </c>
      <c r="H15" s="7" t="s">
        <v>59</v>
      </c>
      <c r="I15" s="11">
        <v>2</v>
      </c>
      <c r="J15" s="11">
        <v>3</v>
      </c>
      <c r="K15" s="11">
        <v>1</v>
      </c>
      <c r="L15" s="11">
        <v>0</v>
      </c>
      <c r="M15" s="11">
        <v>0.67</v>
      </c>
      <c r="N15" s="11">
        <v>0</v>
      </c>
      <c r="O15" s="11">
        <v>0</v>
      </c>
      <c r="P15" s="11">
        <v>0</v>
      </c>
      <c r="Q15" s="11">
        <v>1.67</v>
      </c>
      <c r="R15" s="11">
        <v>35.07999999999999</v>
      </c>
      <c r="S15" s="11">
        <v>36.74999999999999</v>
      </c>
      <c r="T15" s="11">
        <v>2</v>
      </c>
      <c r="U15" s="11">
        <v>3</v>
      </c>
      <c r="V15" s="11">
        <v>31.74999999999999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5" t="str">
        <f>S15-SUM(Y15,Z15)</f>
        <v>0</v>
      </c>
      <c r="AB15" s="17" t="str">
        <f>(Y15/2)*4309100</f>
        <v>0</v>
      </c>
      <c r="AC15" s="17" t="str">
        <f>(Z15/3)*10255743</f>
        <v>0</v>
      </c>
      <c r="AD15" s="17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42</v>
      </c>
      <c r="G16" s="7" t="s">
        <v>43</v>
      </c>
      <c r="H16" s="7" t="s">
        <v>62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5" t="str">
        <f>S16-SUM(Y16,Z16)</f>
        <v>0</v>
      </c>
      <c r="AB16" s="17" t="str">
        <f>(Y16/2)*1585250</f>
        <v>0</v>
      </c>
      <c r="AC16" s="17" t="str">
        <f>(Z16/3)*3699000</f>
        <v>0</v>
      </c>
      <c r="AD16" s="17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 t="s">
        <v>43</v>
      </c>
      <c r="H17" s="7" t="s">
        <v>66</v>
      </c>
      <c r="I17" s="11">
        <v>2</v>
      </c>
      <c r="J17" s="11">
        <v>3</v>
      </c>
      <c r="K17" s="11">
        <v>1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10.12</v>
      </c>
      <c r="S17" s="11">
        <v>11.12</v>
      </c>
      <c r="T17" s="11">
        <v>2</v>
      </c>
      <c r="U17" s="11">
        <v>3</v>
      </c>
      <c r="V17" s="11">
        <v>6.120000000000001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5" t="str">
        <f>S17-SUM(Y17,Z17)</f>
        <v>0</v>
      </c>
      <c r="AB17" s="17" t="str">
        <f>(Y17/2)*3878175</f>
        <v>0</v>
      </c>
      <c r="AC17" s="17" t="str">
        <f>(Z17/3)*9320650</f>
        <v>0</v>
      </c>
      <c r="AD17" s="17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51</v>
      </c>
      <c r="F18" s="7" t="s">
        <v>52</v>
      </c>
      <c r="G18" s="7" t="s">
        <v>43</v>
      </c>
      <c r="H18" s="7" t="s">
        <v>62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5" t="str">
        <f>S18-SUM(Y18,Z18)</f>
        <v>0</v>
      </c>
      <c r="AB18" s="17" t="str">
        <f>(Y18/2)*1426725</f>
        <v>0</v>
      </c>
      <c r="AC18" s="17" t="str">
        <f>(Z18/3)*3329100</f>
        <v>0</v>
      </c>
      <c r="AD18" s="17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65</v>
      </c>
      <c r="F19" s="7" t="s">
        <v>42</v>
      </c>
      <c r="G19" s="7" t="s">
        <v>43</v>
      </c>
      <c r="H19" s="7" t="s">
        <v>62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5" t="str">
        <f>S19-SUM(Y19,Z19)</f>
        <v>0</v>
      </c>
      <c r="AB19" s="17" t="str">
        <f>(Y19/2)*1585250</f>
        <v>0</v>
      </c>
      <c r="AC19" s="17" t="str">
        <f>(Z19/3)*3699000</f>
        <v>0</v>
      </c>
      <c r="AD19" s="17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41</v>
      </c>
      <c r="F20" s="7" t="s">
        <v>42</v>
      </c>
      <c r="G20" s="7" t="s">
        <v>43</v>
      </c>
      <c r="H20" s="7" t="s">
        <v>73</v>
      </c>
      <c r="I20" s="11">
        <v>2</v>
      </c>
      <c r="J20" s="11">
        <v>3</v>
      </c>
      <c r="K20" s="11">
        <v>1</v>
      </c>
      <c r="L20" s="11">
        <v>0</v>
      </c>
      <c r="M20" s="11">
        <v>1.33</v>
      </c>
      <c r="N20" s="11">
        <v>0</v>
      </c>
      <c r="O20" s="11">
        <v>0</v>
      </c>
      <c r="P20" s="11">
        <v>0</v>
      </c>
      <c r="Q20" s="11">
        <v>2.33</v>
      </c>
      <c r="R20" s="11">
        <v>22.85</v>
      </c>
      <c r="S20" s="11">
        <v>25.18</v>
      </c>
      <c r="T20" s="11">
        <v>2</v>
      </c>
      <c r="U20" s="11">
        <v>3</v>
      </c>
      <c r="V20" s="11">
        <v>20.18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5" t="str">
        <f>S20-SUM(Y20,Z20)</f>
        <v>0</v>
      </c>
      <c r="AB20" s="17" t="str">
        <f>(Y20/2)*4309100</f>
        <v>0</v>
      </c>
      <c r="AC20" s="17" t="str">
        <f>(Z20/3)*10255743</f>
        <v>0</v>
      </c>
      <c r="AD20" s="17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51</v>
      </c>
      <c r="F21" s="7" t="s">
        <v>76</v>
      </c>
      <c r="G21" s="7" t="s">
        <v>43</v>
      </c>
      <c r="H21" s="7" t="s">
        <v>77</v>
      </c>
      <c r="I21" s="11">
        <v>2</v>
      </c>
      <c r="J21" s="11">
        <v>3</v>
      </c>
      <c r="K21" s="11">
        <v>1</v>
      </c>
      <c r="L21" s="11">
        <v>0</v>
      </c>
      <c r="M21" s="11">
        <v>0.67</v>
      </c>
      <c r="N21" s="11">
        <v>0</v>
      </c>
      <c r="O21" s="11">
        <v>0</v>
      </c>
      <c r="P21" s="11">
        <v>0</v>
      </c>
      <c r="Q21" s="11">
        <v>1.67</v>
      </c>
      <c r="R21" s="11">
        <v>41.16</v>
      </c>
      <c r="S21" s="11">
        <v>42.83000000000001</v>
      </c>
      <c r="T21" s="11">
        <v>2</v>
      </c>
      <c r="U21" s="11">
        <v>3</v>
      </c>
      <c r="V21" s="11">
        <v>37.83000000000001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5" t="str">
        <f>S21-SUM(Y21,Z21)</f>
        <v>0</v>
      </c>
      <c r="AB21" s="17" t="str">
        <f>(Y21/2)*3878175</f>
        <v>0</v>
      </c>
      <c r="AC21" s="17" t="str">
        <f>(Z21/3)*9230159</f>
        <v>0</v>
      </c>
      <c r="AD21" s="17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40</v>
      </c>
      <c r="E22" s="7" t="s">
        <v>80</v>
      </c>
      <c r="F22" s="7" t="s">
        <v>76</v>
      </c>
      <c r="G22" s="7" t="s">
        <v>47</v>
      </c>
      <c r="H22" s="7" t="s">
        <v>81</v>
      </c>
      <c r="I22" s="11">
        <v>2</v>
      </c>
      <c r="J22" s="11">
        <v>3</v>
      </c>
      <c r="K22" s="11">
        <v>1</v>
      </c>
      <c r="L22" s="11">
        <v>1.77</v>
      </c>
      <c r="M22" s="11">
        <v>0.17</v>
      </c>
      <c r="N22" s="11">
        <v>0</v>
      </c>
      <c r="O22" s="11">
        <v>0</v>
      </c>
      <c r="P22" s="11">
        <v>0</v>
      </c>
      <c r="Q22" s="11">
        <v>2.94</v>
      </c>
      <c r="R22" s="11">
        <v>38.73999999999999</v>
      </c>
      <c r="S22" s="11">
        <v>41.67999999999999</v>
      </c>
      <c r="T22" s="11">
        <v>2</v>
      </c>
      <c r="U22" s="11">
        <v>3</v>
      </c>
      <c r="V22" s="11">
        <v>36.67999999999999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5" t="str">
        <f>S22-SUM(Y22,Z22)</f>
        <v>0</v>
      </c>
      <c r="AB22" s="17" t="str">
        <f>(Y22/2)*1917975</f>
        <v>0</v>
      </c>
      <c r="AC22" s="17" t="str">
        <f>(Z22/3)*4699144</f>
        <v>0</v>
      </c>
      <c r="AD22" s="17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40</v>
      </c>
      <c r="E23" s="7" t="s">
        <v>51</v>
      </c>
      <c r="F23" s="7" t="s">
        <v>76</v>
      </c>
      <c r="G23" s="7" t="s">
        <v>47</v>
      </c>
      <c r="H23" s="7" t="s">
        <v>62</v>
      </c>
      <c r="I23" s="11">
        <v>2</v>
      </c>
      <c r="J23" s="11">
        <v>3</v>
      </c>
      <c r="K23" s="11">
        <v>0</v>
      </c>
      <c r="L23" s="11">
        <v>2.74</v>
      </c>
      <c r="M23" s="11">
        <v>0.33</v>
      </c>
      <c r="N23" s="11">
        <v>0</v>
      </c>
      <c r="O23" s="11">
        <v>0</v>
      </c>
      <c r="P23" s="11">
        <v>0</v>
      </c>
      <c r="Q23" s="11">
        <v>3.07</v>
      </c>
      <c r="R23" s="11">
        <v>39.38999999999999</v>
      </c>
      <c r="S23" s="11">
        <v>42.45999999999999</v>
      </c>
      <c r="T23" s="11">
        <v>2</v>
      </c>
      <c r="U23" s="11">
        <v>3</v>
      </c>
      <c r="V23" s="11">
        <v>37.45999999999999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5" t="str">
        <f>S23-SUM(Y23,Z23)</f>
        <v>0</v>
      </c>
      <c r="AB23" s="17" t="str">
        <f>(Y23/2)*1083825</f>
        <v>0</v>
      </c>
      <c r="AC23" s="17" t="str">
        <f>(Z23/3)*2529000</f>
        <v>0</v>
      </c>
      <c r="AD23" s="17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40</v>
      </c>
      <c r="E24" s="7" t="s">
        <v>86</v>
      </c>
      <c r="F24" s="7" t="s">
        <v>76</v>
      </c>
      <c r="G24" s="7" t="s">
        <v>47</v>
      </c>
      <c r="H24" s="7" t="s">
        <v>62</v>
      </c>
      <c r="I24" s="11">
        <v>2</v>
      </c>
      <c r="J24" s="11">
        <v>3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28.39</v>
      </c>
      <c r="S24" s="11">
        <v>28.39</v>
      </c>
      <c r="T24" s="11">
        <v>2</v>
      </c>
      <c r="U24" s="11">
        <v>3</v>
      </c>
      <c r="V24" s="11">
        <v>23.39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5" t="str">
        <f>S24-SUM(Y24,Z24)</f>
        <v>0</v>
      </c>
      <c r="AB24" s="17" t="str">
        <f>(Y24/2)*1083825</f>
        <v>0</v>
      </c>
      <c r="AC24" s="17" t="str">
        <f>(Z24/3)*2529000</f>
        <v>0</v>
      </c>
      <c r="AD24" s="17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40</v>
      </c>
      <c r="E25" s="7" t="s">
        <v>86</v>
      </c>
      <c r="F25" s="7" t="s">
        <v>76</v>
      </c>
      <c r="G25" s="7" t="s">
        <v>47</v>
      </c>
      <c r="H25" s="7" t="s">
        <v>53</v>
      </c>
      <c r="I25" s="11">
        <v>2</v>
      </c>
      <c r="J25" s="11">
        <v>3</v>
      </c>
      <c r="K25" s="11">
        <v>1.5</v>
      </c>
      <c r="L25" s="11">
        <v>1.11</v>
      </c>
      <c r="M25" s="11">
        <v>0</v>
      </c>
      <c r="N25" s="11">
        <v>0</v>
      </c>
      <c r="O25" s="11">
        <v>0</v>
      </c>
      <c r="P25" s="11">
        <v>0</v>
      </c>
      <c r="Q25" s="11">
        <v>2.61</v>
      </c>
      <c r="R25" s="11">
        <v>32.75</v>
      </c>
      <c r="S25" s="11">
        <v>35.36</v>
      </c>
      <c r="T25" s="11">
        <v>2</v>
      </c>
      <c r="U25" s="11">
        <v>3</v>
      </c>
      <c r="V25" s="11">
        <v>30.36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5" t="str">
        <f>S25-SUM(Y25,Z25)</f>
        <v>0</v>
      </c>
      <c r="AB25" s="17" t="str">
        <f>(Y25/2)*4309100</f>
        <v>0</v>
      </c>
      <c r="AC25" s="17" t="str">
        <f>(Z25/3)*10054650</f>
        <v>0</v>
      </c>
      <c r="AD25" s="17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40</v>
      </c>
      <c r="E26" s="7" t="s">
        <v>51</v>
      </c>
      <c r="F26" s="7" t="s">
        <v>76</v>
      </c>
      <c r="G26" s="7" t="s">
        <v>43</v>
      </c>
      <c r="H26" s="7" t="s">
        <v>77</v>
      </c>
      <c r="I26" s="11">
        <v>2</v>
      </c>
      <c r="J26" s="11">
        <v>3</v>
      </c>
      <c r="K26" s="11">
        <v>1</v>
      </c>
      <c r="L26" s="11">
        <v>0</v>
      </c>
      <c r="M26" s="11">
        <v>0.33</v>
      </c>
      <c r="N26" s="11">
        <v>0</v>
      </c>
      <c r="O26" s="11">
        <v>0</v>
      </c>
      <c r="P26" s="11">
        <v>0</v>
      </c>
      <c r="Q26" s="11">
        <v>1.33</v>
      </c>
      <c r="R26" s="11">
        <v>52.61999999999997</v>
      </c>
      <c r="S26" s="11">
        <v>53.94999999999997</v>
      </c>
      <c r="T26" s="11">
        <v>2</v>
      </c>
      <c r="U26" s="11">
        <v>3</v>
      </c>
      <c r="V26" s="11">
        <v>48.94999999999997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5" t="str">
        <f>S26-SUM(Y26,Z26)</f>
        <v>0</v>
      </c>
      <c r="AB26" s="17" t="str">
        <f>(Y26/2)*3878175</f>
        <v>0</v>
      </c>
      <c r="AC26" s="17" t="str">
        <f>(Z26/3)*9230159</f>
        <v>0</v>
      </c>
      <c r="AD26" s="17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51</v>
      </c>
      <c r="F27" s="7" t="s">
        <v>76</v>
      </c>
      <c r="G27" s="7" t="s">
        <v>43</v>
      </c>
      <c r="H27" s="7" t="s">
        <v>62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5" t="str">
        <f>S27-SUM(Y27,Z27)</f>
        <v>0</v>
      </c>
      <c r="AB27" s="17" t="str">
        <f>(Y27/2)*1083825</f>
        <v>0</v>
      </c>
      <c r="AC27" s="17" t="str">
        <f>(Z27/3)*2529000</f>
        <v>0</v>
      </c>
      <c r="AD27" s="17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40</v>
      </c>
      <c r="E28" s="7" t="s">
        <v>86</v>
      </c>
      <c r="F28" s="7" t="s">
        <v>76</v>
      </c>
      <c r="G28" s="7" t="s">
        <v>43</v>
      </c>
      <c r="H28" s="7" t="s">
        <v>81</v>
      </c>
      <c r="I28" s="11">
        <v>2</v>
      </c>
      <c r="J28" s="11">
        <v>3</v>
      </c>
      <c r="K28" s="11">
        <v>1</v>
      </c>
      <c r="L28" s="11">
        <v>0.9200000000000002</v>
      </c>
      <c r="M28" s="11">
        <v>0.51</v>
      </c>
      <c r="N28" s="11">
        <v>0</v>
      </c>
      <c r="O28" s="11">
        <v>0</v>
      </c>
      <c r="P28" s="11">
        <v>0</v>
      </c>
      <c r="Q28" s="11">
        <v>2.43</v>
      </c>
      <c r="R28" s="11">
        <v>38.99999999999998</v>
      </c>
      <c r="S28" s="11">
        <v>41.42999999999998</v>
      </c>
      <c r="T28" s="11">
        <v>2</v>
      </c>
      <c r="U28" s="11">
        <v>3</v>
      </c>
      <c r="V28" s="11">
        <v>36.42999999999998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5" t="str">
        <f>S28-SUM(Y28,Z28)</f>
        <v>0</v>
      </c>
      <c r="AB28" s="17" t="str">
        <f>(Y28/2)*1917975</f>
        <v>0</v>
      </c>
      <c r="AC28" s="17" t="str">
        <f>(Z28/3)*4699144</f>
        <v>0</v>
      </c>
      <c r="AD28" s="17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40</v>
      </c>
      <c r="E29" s="7" t="s">
        <v>51</v>
      </c>
      <c r="F29" s="7" t="s">
        <v>76</v>
      </c>
      <c r="G29" s="7" t="s">
        <v>43</v>
      </c>
      <c r="H29" s="7" t="s">
        <v>62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5" t="str">
        <f>S29-SUM(Y29,Z29)</f>
        <v>0</v>
      </c>
      <c r="AB29" s="17" t="str">
        <f>(Y29/2)*1083825</f>
        <v>0</v>
      </c>
      <c r="AC29" s="17" t="str">
        <f>(Z29/3)*2529000</f>
        <v>0</v>
      </c>
      <c r="AD29" s="17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51</v>
      </c>
      <c r="F30" s="7" t="s">
        <v>76</v>
      </c>
      <c r="G30" s="7" t="s">
        <v>43</v>
      </c>
      <c r="H30" s="7" t="s">
        <v>62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5" t="str">
        <f>S30-SUM(Y30,Z30)</f>
        <v>0</v>
      </c>
      <c r="AB30" s="17" t="str">
        <f>(Y30/2)*1083825</f>
        <v>0</v>
      </c>
      <c r="AC30" s="17" t="str">
        <f>(Z30/3)*2529000</f>
        <v>0</v>
      </c>
      <c r="AD30" s="17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80</v>
      </c>
      <c r="F31" s="7" t="s">
        <v>76</v>
      </c>
      <c r="G31" s="7" t="s">
        <v>43</v>
      </c>
      <c r="H31" s="7" t="s">
        <v>81</v>
      </c>
      <c r="I31" s="11">
        <v>2</v>
      </c>
      <c r="J31" s="11">
        <v>3</v>
      </c>
      <c r="K31" s="11">
        <v>1</v>
      </c>
      <c r="L31" s="11">
        <v>0.6000000000000001</v>
      </c>
      <c r="M31" s="11">
        <v>0.5</v>
      </c>
      <c r="N31" s="11">
        <v>0</v>
      </c>
      <c r="O31" s="11">
        <v>0</v>
      </c>
      <c r="P31" s="11">
        <v>0</v>
      </c>
      <c r="Q31" s="11">
        <v>2.1</v>
      </c>
      <c r="R31" s="11">
        <v>23.17000000000001</v>
      </c>
      <c r="S31" s="11">
        <v>25.27000000000001</v>
      </c>
      <c r="T31" s="11">
        <v>2</v>
      </c>
      <c r="U31" s="11">
        <v>3</v>
      </c>
      <c r="V31" s="11">
        <v>20.27000000000001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5" t="str">
        <f>S31-SUM(Y31,Z31)</f>
        <v>0</v>
      </c>
      <c r="AB31" s="17" t="str">
        <f>(Y31/2)*1917975</f>
        <v>0</v>
      </c>
      <c r="AC31" s="17" t="str">
        <f>(Z31/3)*4699144</f>
        <v>0</v>
      </c>
      <c r="AD31" s="17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80</v>
      </c>
      <c r="F32" s="7" t="s">
        <v>76</v>
      </c>
      <c r="G32" s="7" t="s">
        <v>43</v>
      </c>
      <c r="H32" s="7" t="s">
        <v>62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5" t="str">
        <f>S32-SUM(Y32,Z32)</f>
        <v>0</v>
      </c>
      <c r="AB32" s="17" t="str">
        <f>(Y32/2)*1083825</f>
        <v>0</v>
      </c>
      <c r="AC32" s="17" t="str">
        <f>(Z32/3)*2529000</f>
        <v>0</v>
      </c>
      <c r="AD32" s="17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86</v>
      </c>
      <c r="F33" s="7" t="s">
        <v>76</v>
      </c>
      <c r="G33" s="7" t="s">
        <v>43</v>
      </c>
      <c r="H33" s="7" t="s">
        <v>62</v>
      </c>
      <c r="I33" s="11">
        <v>2</v>
      </c>
      <c r="J33" s="11">
        <v>3</v>
      </c>
      <c r="K33" s="11">
        <v>0</v>
      </c>
      <c r="L33" s="11">
        <v>0</v>
      </c>
      <c r="M33" s="11">
        <v>0.51</v>
      </c>
      <c r="N33" s="11">
        <v>0</v>
      </c>
      <c r="O33" s="11">
        <v>0</v>
      </c>
      <c r="P33" s="11">
        <v>0</v>
      </c>
      <c r="Q33" s="11">
        <v>0.51</v>
      </c>
      <c r="R33" s="11">
        <v>34.51999999999998</v>
      </c>
      <c r="S33" s="11">
        <v>35.02999999999998</v>
      </c>
      <c r="T33" s="11">
        <v>2</v>
      </c>
      <c r="U33" s="11">
        <v>3</v>
      </c>
      <c r="V33" s="11">
        <v>30.02999999999998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5" t="str">
        <f>S33-SUM(Y33,Z33)</f>
        <v>0</v>
      </c>
      <c r="AB33" s="17" t="str">
        <f>(Y33/2)*1083825</f>
        <v>0</v>
      </c>
      <c r="AC33" s="17" t="str">
        <f>(Z33/3)*2529000</f>
        <v>0</v>
      </c>
      <c r="AD33" s="17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51</v>
      </c>
      <c r="F34" s="7" t="s">
        <v>76</v>
      </c>
      <c r="G34" s="7" t="s">
        <v>43</v>
      </c>
      <c r="H34" s="7" t="s">
        <v>107</v>
      </c>
      <c r="I34" s="11">
        <v>2</v>
      </c>
      <c r="J34" s="11">
        <v>3</v>
      </c>
      <c r="K34" s="11">
        <v>1</v>
      </c>
      <c r="L34" s="11">
        <v>1.21</v>
      </c>
      <c r="M34" s="11">
        <v>0.8400000000000001</v>
      </c>
      <c r="N34" s="11">
        <v>0</v>
      </c>
      <c r="O34" s="11">
        <v>0</v>
      </c>
      <c r="P34" s="11">
        <v>0</v>
      </c>
      <c r="Q34" s="11">
        <v>3.05</v>
      </c>
      <c r="R34" s="11">
        <v>34.46999999999999</v>
      </c>
      <c r="S34" s="11">
        <v>37.51999999999999</v>
      </c>
      <c r="T34" s="11">
        <v>2</v>
      </c>
      <c r="U34" s="11">
        <v>3</v>
      </c>
      <c r="V34" s="11">
        <v>32.51999999999999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5" t="str">
        <f>S34-SUM(Y34,Z34)</f>
        <v>0</v>
      </c>
      <c r="AB34" s="17" t="str">
        <f>(Y34/2)*2565750</f>
        <v>0</v>
      </c>
      <c r="AC34" s="17" t="str">
        <f>(Z34/3)*6286140</f>
        <v>0</v>
      </c>
      <c r="AD34" s="17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51</v>
      </c>
      <c r="F35" s="7" t="s">
        <v>76</v>
      </c>
      <c r="G35" s="7" t="s">
        <v>43</v>
      </c>
      <c r="H35" s="7" t="s">
        <v>62</v>
      </c>
      <c r="I35" s="11">
        <v>2</v>
      </c>
      <c r="J35" s="11">
        <v>3</v>
      </c>
      <c r="K35" s="11">
        <v>0</v>
      </c>
      <c r="L35" s="11">
        <v>0</v>
      </c>
      <c r="M35" s="11">
        <v>0.34</v>
      </c>
      <c r="N35" s="11">
        <v>0</v>
      </c>
      <c r="O35" s="11">
        <v>0</v>
      </c>
      <c r="P35" s="11">
        <v>0</v>
      </c>
      <c r="Q35" s="11">
        <v>0.34</v>
      </c>
      <c r="R35" s="11">
        <v>3.73</v>
      </c>
      <c r="S35" s="11">
        <v>4.069999999999999</v>
      </c>
      <c r="T35" s="11">
        <v>2</v>
      </c>
      <c r="U35" s="11">
        <v>2.069999999999999</v>
      </c>
      <c r="V35" s="11">
        <v>0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5" t="str">
        <f>S35-SUM(Y35,Z35)</f>
        <v>0</v>
      </c>
      <c r="AB35" s="17" t="str">
        <f>(Y35/2)*1083825</f>
        <v>0</v>
      </c>
      <c r="AC35" s="17" t="str">
        <f>(Z35/3)*2529000</f>
        <v>0</v>
      </c>
      <c r="AD35" s="17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80</v>
      </c>
      <c r="F36" s="7" t="s">
        <v>112</v>
      </c>
      <c r="G36" s="7" t="s">
        <v>43</v>
      </c>
      <c r="H36" s="7" t="s">
        <v>62</v>
      </c>
      <c r="I36" s="11">
        <v>2</v>
      </c>
      <c r="J36" s="11">
        <v>3</v>
      </c>
      <c r="K36" s="11">
        <v>0</v>
      </c>
      <c r="L36" s="11">
        <v>0.06</v>
      </c>
      <c r="M36" s="11">
        <v>0.34</v>
      </c>
      <c r="N36" s="11">
        <v>0</v>
      </c>
      <c r="O36" s="11">
        <v>0</v>
      </c>
      <c r="P36" s="11">
        <v>0</v>
      </c>
      <c r="Q36" s="11">
        <v>0.4</v>
      </c>
      <c r="R36" s="11">
        <v>22.62</v>
      </c>
      <c r="S36" s="11">
        <v>23.02</v>
      </c>
      <c r="T36" s="11">
        <v>2</v>
      </c>
      <c r="U36" s="11">
        <v>3</v>
      </c>
      <c r="V36" s="11">
        <v>18.02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5" t="str">
        <f>S36-SUM(Y36,Z36)</f>
        <v>0</v>
      </c>
      <c r="AB36" s="17" t="str">
        <f>(Y36/2)*838350</f>
        <v>0</v>
      </c>
      <c r="AC36" s="17" t="str">
        <f>(Z36/3)*1956150</f>
        <v>0</v>
      </c>
      <c r="AD36" s="17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40</v>
      </c>
      <c r="E37" s="7" t="s">
        <v>80</v>
      </c>
      <c r="F37" s="7" t="s">
        <v>112</v>
      </c>
      <c r="G37" s="7" t="s">
        <v>43</v>
      </c>
      <c r="H37" s="7" t="s">
        <v>62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5" t="str">
        <f>S37-SUM(Y37,Z37)</f>
        <v>0</v>
      </c>
      <c r="AB37" s="17" t="str">
        <f>(Y37/2)*838350</f>
        <v>0</v>
      </c>
      <c r="AC37" s="17" t="str">
        <f>(Z37/3)*1956150</f>
        <v>0</v>
      </c>
      <c r="AD37" s="17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80</v>
      </c>
      <c r="F38" s="7" t="s">
        <v>117</v>
      </c>
      <c r="G38" s="7" t="s">
        <v>43</v>
      </c>
      <c r="H38" s="7" t="s">
        <v>62</v>
      </c>
      <c r="I38" s="11">
        <v>2</v>
      </c>
      <c r="J38" s="11">
        <v>3</v>
      </c>
      <c r="K38" s="11">
        <v>0</v>
      </c>
      <c r="L38" s="11">
        <v>0</v>
      </c>
      <c r="M38" s="11">
        <v>0.67</v>
      </c>
      <c r="N38" s="11">
        <v>0</v>
      </c>
      <c r="O38" s="11">
        <v>0</v>
      </c>
      <c r="P38" s="11">
        <v>0</v>
      </c>
      <c r="Q38" s="11">
        <v>0.67</v>
      </c>
      <c r="R38" s="11">
        <v>25.23</v>
      </c>
      <c r="S38" s="11">
        <v>25.9</v>
      </c>
      <c r="T38" s="11">
        <v>2</v>
      </c>
      <c r="U38" s="11">
        <v>3</v>
      </c>
      <c r="V38" s="11">
        <v>20.9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5" t="str">
        <f>S38-SUM(Y38,Z38)</f>
        <v>0</v>
      </c>
      <c r="AB38" s="17" t="str">
        <f>(Y38/2)*838350</f>
        <v>0</v>
      </c>
      <c r="AC38" s="17" t="str">
        <f>(Z38/3)*1956150</f>
        <v>0</v>
      </c>
      <c r="AD38" s="17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80</v>
      </c>
      <c r="F39" s="7" t="s">
        <v>112</v>
      </c>
      <c r="G39" s="7" t="s">
        <v>43</v>
      </c>
      <c r="H39" s="7" t="s">
        <v>81</v>
      </c>
      <c r="I39" s="11">
        <v>2</v>
      </c>
      <c r="J39" s="11">
        <v>3</v>
      </c>
      <c r="K39" s="11">
        <v>1</v>
      </c>
      <c r="L39" s="11">
        <v>0.48</v>
      </c>
      <c r="M39" s="11">
        <v>0.17</v>
      </c>
      <c r="N39" s="11">
        <v>0</v>
      </c>
      <c r="O39" s="11">
        <v>0</v>
      </c>
      <c r="P39" s="11">
        <v>0</v>
      </c>
      <c r="Q39" s="11">
        <v>1.65</v>
      </c>
      <c r="R39" s="11">
        <v>25.48</v>
      </c>
      <c r="S39" s="11">
        <v>27.13</v>
      </c>
      <c r="T39" s="11">
        <v>2</v>
      </c>
      <c r="U39" s="11">
        <v>3</v>
      </c>
      <c r="V39" s="11">
        <v>22.13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5" t="str">
        <f>S39-SUM(Y39,Z39)</f>
        <v>0</v>
      </c>
      <c r="AB39" s="17" t="str">
        <f>(Y39/2)*1917975</f>
        <v>0</v>
      </c>
      <c r="AC39" s="17" t="str">
        <f>(Z39/3)*4699144</f>
        <v>0</v>
      </c>
      <c r="AD39" s="17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80</v>
      </c>
      <c r="F40" s="7" t="s">
        <v>112</v>
      </c>
      <c r="G40" s="7" t="s">
        <v>43</v>
      </c>
      <c r="H40" s="7" t="s">
        <v>62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5" t="str">
        <f>S40-SUM(Y40,Z40)</f>
        <v>0</v>
      </c>
      <c r="AB40" s="17" t="str">
        <f>(Y40/2)*838350</f>
        <v>0</v>
      </c>
      <c r="AC40" s="17" t="str">
        <f>(Z40/3)*1956150</f>
        <v>0</v>
      </c>
      <c r="AD40" s="17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8"/>
      <c r="B44" s="18" t="s">
        <v>122</v>
      </c>
      <c r="C44" s="18"/>
      <c r="D44" s="18"/>
      <c r="E44" s="18"/>
      <c r="F44" s="18"/>
      <c r="G44" s="18"/>
      <c r="H44" s="18"/>
      <c r="I44" s="18" t="s">
        <v>123</v>
      </c>
      <c r="J44" s="18"/>
      <c r="K44" s="18"/>
      <c r="L44" s="18"/>
      <c r="M44" s="18"/>
      <c r="N44" s="18"/>
      <c r="O44" s="18"/>
      <c r="P44" s="18"/>
      <c r="Q44" s="18"/>
    </row>
    <row r="45" spans="1:676">
      <c r="A45" s="18"/>
      <c r="B45" s="18" t="s">
        <v>124</v>
      </c>
      <c r="C45" s="18"/>
      <c r="D45" s="18"/>
      <c r="E45" s="18"/>
      <c r="F45" s="18"/>
      <c r="G45" s="18"/>
      <c r="H45" s="18"/>
      <c r="I45" s="18" t="s">
        <v>125</v>
      </c>
      <c r="J45" s="18"/>
      <c r="K45" s="18"/>
      <c r="L45" s="18"/>
      <c r="M45" s="18"/>
      <c r="N45" s="18"/>
      <c r="O45" s="18"/>
      <c r="P45" s="18"/>
      <c r="Q45" s="18"/>
    </row>
    <row r="46" spans="1:67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spans="1:676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spans="1:676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676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676">
      <c r="A50" s="18"/>
      <c r="B50" s="18" t="s">
        <v>126</v>
      </c>
      <c r="C50" s="18"/>
      <c r="D50" s="18"/>
      <c r="E50" s="18"/>
      <c r="F50" s="18"/>
      <c r="G50" s="18"/>
      <c r="H50" s="18"/>
      <c r="I50" s="18" t="s">
        <v>127</v>
      </c>
      <c r="J50" s="18"/>
      <c r="K50" s="18"/>
      <c r="L50" s="18"/>
      <c r="M50" s="18"/>
      <c r="N50" s="18"/>
      <c r="O50" s="18"/>
      <c r="P50" s="18"/>
      <c r="Q50" s="18"/>
    </row>
    <row r="51" spans="1:676">
      <c r="A51" s="18"/>
      <c r="B51" s="18" t="s">
        <v>128</v>
      </c>
      <c r="C51" s="18"/>
      <c r="D51" s="18"/>
      <c r="E51" s="18"/>
      <c r="F51" s="18"/>
      <c r="G51" s="18"/>
      <c r="H51" s="18"/>
      <c r="I51" s="18" t="s">
        <v>128</v>
      </c>
      <c r="J51" s="18"/>
      <c r="K51" s="18"/>
      <c r="L51" s="18"/>
      <c r="M51" s="18"/>
      <c r="N51" s="18"/>
      <c r="O51" s="18"/>
      <c r="P51" s="18"/>
      <c r="Q51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2017-07-24T10:12:47+07:00</dcterms:created>
  <dcterms:modified xsi:type="dcterms:W3CDTF">2017-07-24T10:12:47+07:00</dcterms:modified>
  <dc:title>Untitled Spreadsheet</dc:title>
  <dc:description/>
  <dc:subject/>
  <cp:keywords/>
  <cp:category/>
</cp:coreProperties>
</file>