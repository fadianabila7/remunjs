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<sst xmlns="http://schemas.openxmlformats.org/spreadsheetml/2006/main" uniqueCount="122">
  <si>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</si>
  <si>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</si>
  <si>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</si>
  <si>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</si>
  <si>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</si>
  <si>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</si>
  <si>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</si>
  <si>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</si>
  <si>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</si>
  <si>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</si>
  <si>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</si>
  <si>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</si>
  <si>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</si>
  <si>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</si>
  <si>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</si>
  <si>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</si>
  <si>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</si>
  <si>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</si>
  <si>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</si>
  <si>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</si>
  <si>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</si>
  <si>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</si>
  <si>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</si>
  <si>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</si>
  <si>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</si>
  <si>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</si>
  <si>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</si>
  <si>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</si>
  <si>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</si>
  <si>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</si>
  <si>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</si>
  <si>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</si>
  <si>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</si>
  <si>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</si>
  <si>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</si>
  <si>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</si>
  <si>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</si>
  <si>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</si>
  <si>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197603092002122002</t>
  </si>
  <si>
    <t>Dr. RENI ZULFITRI, M. Kep, Sp. Kom</t>
  </si>
  <si>
    <t>Ilmu Keperawatan</t>
  </si>
  <si>
    <t>III/d</t>
  </si>
  <si>
    <t>Lektor Gol. III</t>
  </si>
  <si>
    <t>Spesialis</t>
  </si>
  <si>
    <t>Belum ada jabatan struktural</t>
  </si>
  <si>
    <t>197008092001122001</t>
  </si>
  <si>
    <t>ERIKA, SKP, M.KEP, SP.MAT</t>
  </si>
  <si>
    <t>S2</t>
  </si>
  <si>
    <t>197202042002121002</t>
  </si>
  <si>
    <t>ERWIN, S.KP, M.KEP</t>
  </si>
  <si>
    <t>III/c</t>
  </si>
  <si>
    <t>197901052002122001</t>
  </si>
  <si>
    <t>JUNIAR ERNAWATI .S, MNg</t>
  </si>
  <si>
    <t>198001212003121002</t>
  </si>
  <si>
    <t>NS. BAYHAKI, M. Kep., Sp. KMB,. PhD</t>
  </si>
  <si>
    <t>S3</t>
  </si>
  <si>
    <t>Koordinator Program Studi A</t>
  </si>
  <si>
    <t>197707102006041001</t>
  </si>
  <si>
    <t>NS. DARWIN KARIM, M. Biomed</t>
  </si>
  <si>
    <t>III/b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</si>
  <si>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</si>
  <si>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</si>
  <si>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</si>
  <si>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</si>
  <si>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</si>
  <si>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</si>
  <si>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</si>
  <si>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</si>
  <si>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</si>
  <si>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</si>
  <si>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</si>
  <si>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</si>
  <si>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</si>
  <si>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</si>
  <si>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</si>
  <si>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</si>
  <si>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</si>
  <si>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</si>
  <si>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</si>
  <si>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</si>
  <si>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</si>
  <si>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</si>
  <si>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</si>
  <si>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</si>
  <si>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</si>
  <si>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</si>
  <si>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</si>
  <si>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</si>
  <si>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</si>
  <si>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</si>
  <si>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</si>
  <si>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</si>
  <si>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</si>
  <si>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</si>
  <si>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</si>
  <si>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</si>
  <si>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197301282005012003</t>
  </si>
  <si>
    <t>YESI HASNELI. N,S. KP, MNS</t>
  </si>
  <si>
    <t>197706122003122002</t>
  </si>
  <si>
    <t>NS. SRI WAHYUNI, M.KEP.,Sp.Kp.J</t>
  </si>
  <si>
    <t>Dosen belum punya Jabatan Gol. III</t>
  </si>
  <si>
    <t>197608102005012002</t>
  </si>
  <si>
    <t>NS.AGRINA, S.KEP</t>
  </si>
  <si>
    <t>198105202008122003</t>
  </si>
  <si>
    <t>Ns. Gamya Tri Utami, M. Kep</t>
  </si>
  <si>
    <t>III/a</t>
  </si>
  <si>
    <t>Asisten Ahli Gol. III</t>
  </si>
  <si>
    <t>198207152008122002</t>
  </si>
  <si>
    <t>Ns. HERLINA, M. Kep, Sp. Kom</t>
  </si>
  <si>
    <t>198006142012122002</t>
  </si>
  <si>
    <t>Ns. SOFIANA NURCHAYATI, M. Kep</t>
  </si>
  <si>
    <t>198509092014041001</t>
  </si>
  <si>
    <t>Ns. Safri, M. Kep, Sp. Kep. MB</t>
  </si>
  <si>
    <t>197212212002122001</t>
  </si>
  <si>
    <t>WIDIA LESTARI, M.Kep</t>
  </si>
  <si>
    <t>Menyetujui,</t>
  </si>
  <si>
    <t>Palembang, 2 Agustus 2017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</si>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</sst>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91bd79fddd2c5f928defe05f2e2a22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3"/>
  <sheetViews>
    <sheetView tabSelected="1" workbookViewId="0" showGridLines="true" showRowColHeaders="1">
      <selection activeCell="A46" sqref="A4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 t="s">
        <v>43</v>
      </c>
      <c r="H11" s="7" t="s">
        <v>44</v>
      </c>
      <c r="I11" s="11">
        <v>2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0.8</v>
      </c>
      <c r="Q11" s="11">
        <v>0.8</v>
      </c>
      <c r="R11" s="11">
        <v>0</v>
      </c>
      <c r="S11" s="11">
        <v>0.8</v>
      </c>
      <c r="T11" s="11">
        <v>0.8</v>
      </c>
      <c r="U11" s="11">
        <v>0</v>
      </c>
      <c r="V11" s="11">
        <v>0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 t="str">
        <f>(Y11/2)*1083825</f>
        <v>0</v>
      </c>
      <c r="AC11" s="15" t="str">
        <f>(Z11/3)*2529000</f>
        <v>0</v>
      </c>
      <c r="AD11" s="15" t="str">
        <f>AB11+AC11</f>
        <v>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45</v>
      </c>
      <c r="C12" s="10" t="s">
        <v>46</v>
      </c>
      <c r="D12" s="7" t="s">
        <v>40</v>
      </c>
      <c r="E12" s="7" t="s">
        <v>41</v>
      </c>
      <c r="F12" s="7" t="s">
        <v>42</v>
      </c>
      <c r="G12" s="7" t="s">
        <v>47</v>
      </c>
      <c r="H12" s="7" t="s">
        <v>44</v>
      </c>
      <c r="I12" s="11">
        <v>2</v>
      </c>
      <c r="J12" s="11">
        <v>3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 t="str">
        <f>(Y12/2)*1083825</f>
        <v>0</v>
      </c>
      <c r="AC12" s="15" t="str">
        <f>(Z12/3)*2529000</f>
        <v>0</v>
      </c>
      <c r="AD12" s="15" t="str">
        <f>AB12+AC12</f>
        <v>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42</v>
      </c>
      <c r="G13" s="7" t="s">
        <v>47</v>
      </c>
      <c r="H13" s="7" t="s">
        <v>44</v>
      </c>
      <c r="I13" s="11">
        <v>2</v>
      </c>
      <c r="J13" s="11">
        <v>3</v>
      </c>
      <c r="K13" s="11">
        <v>0</v>
      </c>
      <c r="L13" s="11">
        <v>0</v>
      </c>
      <c r="M13" s="11">
        <v>0.17</v>
      </c>
      <c r="N13" s="11">
        <v>0</v>
      </c>
      <c r="O13" s="11">
        <v>0</v>
      </c>
      <c r="P13" s="11">
        <v>0</v>
      </c>
      <c r="Q13" s="11">
        <v>0.17</v>
      </c>
      <c r="R13" s="11">
        <v>0</v>
      </c>
      <c r="S13" s="11">
        <v>0.17</v>
      </c>
      <c r="T13" s="11">
        <v>0.17</v>
      </c>
      <c r="U13" s="11">
        <v>0</v>
      </c>
      <c r="V13" s="11">
        <v>0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 t="str">
        <f>(Y13/2)*1083825</f>
        <v>0</v>
      </c>
      <c r="AC13" s="15" t="str">
        <f>(Z13/3)*2529000</f>
        <v>0</v>
      </c>
      <c r="AD13" s="15" t="str">
        <f>AB13+AC13</f>
        <v>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50</v>
      </c>
      <c r="F14" s="7" t="s">
        <v>42</v>
      </c>
      <c r="G14" s="7" t="s">
        <v>47</v>
      </c>
      <c r="H14" s="7" t="s">
        <v>44</v>
      </c>
      <c r="I14" s="11">
        <v>2</v>
      </c>
      <c r="J14" s="11">
        <v>3</v>
      </c>
      <c r="K14" s="11">
        <v>0</v>
      </c>
      <c r="L14" s="11">
        <v>0.17</v>
      </c>
      <c r="M14" s="11">
        <v>0.33</v>
      </c>
      <c r="N14" s="11">
        <v>0</v>
      </c>
      <c r="O14" s="11">
        <v>0</v>
      </c>
      <c r="P14" s="11">
        <v>0</v>
      </c>
      <c r="Q14" s="11">
        <v>0.5</v>
      </c>
      <c r="R14" s="11">
        <v>0</v>
      </c>
      <c r="S14" s="11">
        <v>0.5</v>
      </c>
      <c r="T14" s="11">
        <v>0.5</v>
      </c>
      <c r="U14" s="11">
        <v>0</v>
      </c>
      <c r="V14" s="11">
        <v>0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 t="str">
        <f>(Y14/2)*1083825</f>
        <v>0</v>
      </c>
      <c r="AC14" s="15" t="str">
        <f>(Z14/3)*2529000</f>
        <v>0</v>
      </c>
      <c r="AD14" s="15" t="str">
        <f>AB14+AC14</f>
        <v>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50</v>
      </c>
      <c r="F15" s="7" t="s">
        <v>42</v>
      </c>
      <c r="G15" s="7" t="s">
        <v>55</v>
      </c>
      <c r="H15" s="7" t="s">
        <v>56</v>
      </c>
      <c r="I15" s="11">
        <v>2</v>
      </c>
      <c r="J15" s="11">
        <v>3</v>
      </c>
      <c r="K15" s="11">
        <v>1</v>
      </c>
      <c r="L15" s="11">
        <v>0.12</v>
      </c>
      <c r="M15" s="11">
        <v>0.8400000000000001</v>
      </c>
      <c r="N15" s="11">
        <v>0</v>
      </c>
      <c r="O15" s="11">
        <v>0</v>
      </c>
      <c r="P15" s="11">
        <v>0</v>
      </c>
      <c r="Q15" s="11">
        <v>1.96</v>
      </c>
      <c r="R15" s="11">
        <v>0</v>
      </c>
      <c r="S15" s="11">
        <v>1.96</v>
      </c>
      <c r="T15" s="11">
        <v>1.96</v>
      </c>
      <c r="U15" s="11">
        <v>0</v>
      </c>
      <c r="V15" s="11">
        <v>0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 t="str">
        <f>(Y15/2)*1917975</f>
        <v>0</v>
      </c>
      <c r="AC15" s="15" t="str">
        <f>(Z15/3)*4699144</f>
        <v>0</v>
      </c>
      <c r="AD15" s="15" t="str">
        <f>AB15+AC15</f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59</v>
      </c>
      <c r="F16" s="7" t="s">
        <v>42</v>
      </c>
      <c r="G16" s="7" t="s">
        <v>47</v>
      </c>
      <c r="H16" s="7" t="s">
        <v>44</v>
      </c>
      <c r="I16" s="11">
        <v>2</v>
      </c>
      <c r="J16" s="11">
        <v>3</v>
      </c>
      <c r="K16" s="11">
        <v>0</v>
      </c>
      <c r="L16" s="11">
        <v>0</v>
      </c>
      <c r="M16" s="11">
        <v>0.5</v>
      </c>
      <c r="N16" s="11">
        <v>0</v>
      </c>
      <c r="O16" s="11">
        <v>0</v>
      </c>
      <c r="P16" s="11">
        <v>0</v>
      </c>
      <c r="Q16" s="11">
        <v>0.5</v>
      </c>
      <c r="R16" s="11">
        <v>0</v>
      </c>
      <c r="S16" s="11">
        <v>0.5</v>
      </c>
      <c r="T16" s="11">
        <v>0.5</v>
      </c>
      <c r="U16" s="11">
        <v>0</v>
      </c>
      <c r="V16" s="11">
        <v>0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 t="str">
        <f>(Y16/2)*1083825</f>
        <v>0</v>
      </c>
      <c r="AC16" s="15" t="str">
        <f>(Z16/3)*2529000</f>
        <v>0</v>
      </c>
      <c r="AD16" s="15" t="str">
        <f>AB16+AC16</f>
        <v>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50</v>
      </c>
      <c r="F17" s="7" t="s">
        <v>42</v>
      </c>
      <c r="G17" s="7" t="s">
        <v>43</v>
      </c>
      <c r="H17" s="7" t="s">
        <v>44</v>
      </c>
      <c r="I17" s="11">
        <v>2</v>
      </c>
      <c r="J17" s="11">
        <v>3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 t="str">
        <f>(Y17/2)*1083825</f>
        <v>0</v>
      </c>
      <c r="AC17" s="15" t="str">
        <f>(Z17/3)*2529000</f>
        <v>0</v>
      </c>
      <c r="AD17" s="15" t="str">
        <f>AB17+AC17</f>
        <v>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50</v>
      </c>
      <c r="F18" s="7" t="s">
        <v>42</v>
      </c>
      <c r="G18" s="7" t="s">
        <v>55</v>
      </c>
      <c r="H18" s="7" t="s">
        <v>44</v>
      </c>
      <c r="I18" s="11">
        <v>2</v>
      </c>
      <c r="J18" s="11">
        <v>3</v>
      </c>
      <c r="K18" s="11">
        <v>0</v>
      </c>
      <c r="L18" s="11">
        <v>0.17</v>
      </c>
      <c r="M18" s="11">
        <v>1.33</v>
      </c>
      <c r="N18" s="11">
        <v>0</v>
      </c>
      <c r="O18" s="11">
        <v>0</v>
      </c>
      <c r="P18" s="11">
        <v>0</v>
      </c>
      <c r="Q18" s="11">
        <v>1.5</v>
      </c>
      <c r="R18" s="11">
        <v>0</v>
      </c>
      <c r="S18" s="11">
        <v>1.5</v>
      </c>
      <c r="T18" s="11">
        <v>1.5</v>
      </c>
      <c r="U18" s="11">
        <v>0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 t="str">
        <f>(Y18/2)*1083825</f>
        <v>0</v>
      </c>
      <c r="AC18" s="15" t="str">
        <f>(Z18/3)*2529000</f>
        <v>0</v>
      </c>
      <c r="AD18" s="15" t="str">
        <f>AB18+AC18</f>
        <v>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59</v>
      </c>
      <c r="F19" s="7" t="s">
        <v>42</v>
      </c>
      <c r="G19" s="7" t="s">
        <v>43</v>
      </c>
      <c r="H19" s="7" t="s">
        <v>44</v>
      </c>
      <c r="I19" s="11">
        <v>2</v>
      </c>
      <c r="J19" s="11">
        <v>3</v>
      </c>
      <c r="K19" s="11">
        <v>0</v>
      </c>
      <c r="L19" s="11">
        <v>0</v>
      </c>
      <c r="M19" s="11">
        <v>0.8300000000000001</v>
      </c>
      <c r="N19" s="11">
        <v>0</v>
      </c>
      <c r="O19" s="11">
        <v>0.24</v>
      </c>
      <c r="P19" s="11">
        <v>0</v>
      </c>
      <c r="Q19" s="11">
        <v>1.07</v>
      </c>
      <c r="R19" s="11">
        <v>0</v>
      </c>
      <c r="S19" s="11">
        <v>1.07</v>
      </c>
      <c r="T19" s="11">
        <v>1.07</v>
      </c>
      <c r="U19" s="11">
        <v>0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 t="str">
        <f>(Y19/2)*1083825</f>
        <v>0</v>
      </c>
      <c r="AC19" s="15" t="str">
        <f>(Z19/3)*2529000</f>
        <v>0</v>
      </c>
      <c r="AD19" s="15" t="str">
        <f>AB19+AC19</f>
        <v>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66</v>
      </c>
      <c r="C20" s="10" t="s">
        <v>67</v>
      </c>
      <c r="D20" s="7" t="s">
        <v>40</v>
      </c>
      <c r="E20" s="7" t="s">
        <v>50</v>
      </c>
      <c r="F20" s="7" t="s">
        <v>42</v>
      </c>
      <c r="G20" s="7" t="s">
        <v>47</v>
      </c>
      <c r="H20" s="7" t="s">
        <v>44</v>
      </c>
      <c r="I20" s="11">
        <v>2</v>
      </c>
      <c r="J20" s="11">
        <v>3</v>
      </c>
      <c r="K20" s="11">
        <v>0</v>
      </c>
      <c r="L20" s="11">
        <v>0.17</v>
      </c>
      <c r="M20" s="11">
        <v>0.5</v>
      </c>
      <c r="N20" s="11">
        <v>0</v>
      </c>
      <c r="O20" s="11">
        <v>0</v>
      </c>
      <c r="P20" s="11">
        <v>0</v>
      </c>
      <c r="Q20" s="11">
        <v>0.67</v>
      </c>
      <c r="R20" s="11">
        <v>0</v>
      </c>
      <c r="S20" s="11">
        <v>0.67</v>
      </c>
      <c r="T20" s="11">
        <v>0.67</v>
      </c>
      <c r="U20" s="11">
        <v>0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 t="str">
        <f>(Y20/2)*1083825</f>
        <v>0</v>
      </c>
      <c r="AC20" s="15" t="str">
        <f>(Z20/3)*2529000</f>
        <v>0</v>
      </c>
      <c r="AD20" s="15" t="str">
        <f>AB20+AC20</f>
        <v>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68</v>
      </c>
      <c r="C21" s="10" t="s">
        <v>69</v>
      </c>
      <c r="D21" s="7" t="s">
        <v>40</v>
      </c>
      <c r="E21" s="7" t="s">
        <v>59</v>
      </c>
      <c r="F21" s="7" t="s">
        <v>42</v>
      </c>
      <c r="G21" s="7" t="s">
        <v>47</v>
      </c>
      <c r="H21" s="7" t="s">
        <v>44</v>
      </c>
      <c r="I21" s="11">
        <v>2</v>
      </c>
      <c r="J21" s="11">
        <v>3</v>
      </c>
      <c r="K21" s="11">
        <v>0</v>
      </c>
      <c r="L21" s="11">
        <v>0.17</v>
      </c>
      <c r="M21" s="11">
        <v>0.5</v>
      </c>
      <c r="N21" s="11">
        <v>0</v>
      </c>
      <c r="O21" s="11">
        <v>0.19</v>
      </c>
      <c r="P21" s="11">
        <v>0.8</v>
      </c>
      <c r="Q21" s="11">
        <v>1.66</v>
      </c>
      <c r="R21" s="11">
        <v>0</v>
      </c>
      <c r="S21" s="11">
        <v>1.66</v>
      </c>
      <c r="T21" s="11">
        <v>1.66</v>
      </c>
      <c r="U21" s="11">
        <v>0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 t="str">
        <f>(Y21/2)*1083825</f>
        <v>0</v>
      </c>
      <c r="AC21" s="15" t="str">
        <f>(Z21/3)*2529000</f>
        <v>0</v>
      </c>
      <c r="AD21" s="15" t="str">
        <f>AB21+AC21</f>
        <v>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70</v>
      </c>
      <c r="C22" s="10" t="s">
        <v>71</v>
      </c>
      <c r="D22" s="7" t="s">
        <v>40</v>
      </c>
      <c r="E22" s="7" t="s">
        <v>50</v>
      </c>
      <c r="F22" s="7" t="s">
        <v>42</v>
      </c>
      <c r="G22" s="7" t="s">
        <v>47</v>
      </c>
      <c r="H22" s="7" t="s">
        <v>44</v>
      </c>
      <c r="I22" s="11">
        <v>2</v>
      </c>
      <c r="J22" s="11">
        <v>3</v>
      </c>
      <c r="K22" s="11">
        <v>0</v>
      </c>
      <c r="L22" s="11">
        <v>0.17</v>
      </c>
      <c r="M22" s="11">
        <v>0.33</v>
      </c>
      <c r="N22" s="11">
        <v>0</v>
      </c>
      <c r="O22" s="11">
        <v>0</v>
      </c>
      <c r="P22" s="11">
        <v>0</v>
      </c>
      <c r="Q22" s="11">
        <v>0.5</v>
      </c>
      <c r="R22" s="11">
        <v>0</v>
      </c>
      <c r="S22" s="11">
        <v>0.5</v>
      </c>
      <c r="T22" s="11">
        <v>0.5</v>
      </c>
      <c r="U22" s="11">
        <v>0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 t="str">
        <f>(Y22/2)*1083825</f>
        <v>0</v>
      </c>
      <c r="AC22" s="15" t="str">
        <f>(Z22/3)*2529000</f>
        <v>0</v>
      </c>
      <c r="AD22" s="15" t="str">
        <f>AB22+AC22</f>
        <v>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72</v>
      </c>
      <c r="C23" s="10" t="s">
        <v>73</v>
      </c>
      <c r="D23" s="7" t="s">
        <v>40</v>
      </c>
      <c r="E23" s="7" t="s">
        <v>59</v>
      </c>
      <c r="F23" s="7" t="s">
        <v>42</v>
      </c>
      <c r="G23" s="7" t="s">
        <v>43</v>
      </c>
      <c r="H23" s="7" t="s">
        <v>44</v>
      </c>
      <c r="I23" s="11">
        <v>2</v>
      </c>
      <c r="J23" s="11">
        <v>3</v>
      </c>
      <c r="K23" s="11">
        <v>0</v>
      </c>
      <c r="L23" s="11">
        <v>0.17</v>
      </c>
      <c r="M23" s="11">
        <v>1</v>
      </c>
      <c r="N23" s="11">
        <v>0</v>
      </c>
      <c r="O23" s="11">
        <v>0</v>
      </c>
      <c r="P23" s="11">
        <v>0</v>
      </c>
      <c r="Q23" s="11">
        <v>1.17</v>
      </c>
      <c r="R23" s="11">
        <v>0</v>
      </c>
      <c r="S23" s="11">
        <v>1.17</v>
      </c>
      <c r="T23" s="11">
        <v>1.17</v>
      </c>
      <c r="U23" s="11">
        <v>0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 t="str">
        <f>(Y23/2)*1083825</f>
        <v>0</v>
      </c>
      <c r="AC23" s="15" t="str">
        <f>(Z23/3)*2529000</f>
        <v>0</v>
      </c>
      <c r="AD23" s="15" t="str">
        <f>AB23+AC23</f>
        <v>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74</v>
      </c>
      <c r="C24" s="10" t="s">
        <v>75</v>
      </c>
      <c r="D24" s="7" t="s">
        <v>40</v>
      </c>
      <c r="E24" s="7" t="s">
        <v>59</v>
      </c>
      <c r="F24" s="7" t="s">
        <v>42</v>
      </c>
      <c r="G24" s="7" t="s">
        <v>47</v>
      </c>
      <c r="H24" s="7" t="s">
        <v>44</v>
      </c>
      <c r="I24" s="11">
        <v>2</v>
      </c>
      <c r="J24" s="11">
        <v>3</v>
      </c>
      <c r="K24" s="11">
        <v>0</v>
      </c>
      <c r="L24" s="11">
        <v>0.17</v>
      </c>
      <c r="M24" s="11">
        <v>0</v>
      </c>
      <c r="N24" s="11">
        <v>0</v>
      </c>
      <c r="O24" s="11">
        <v>0</v>
      </c>
      <c r="P24" s="11">
        <v>0</v>
      </c>
      <c r="Q24" s="11">
        <v>0.17</v>
      </c>
      <c r="R24" s="11">
        <v>0</v>
      </c>
      <c r="S24" s="11">
        <v>0.17</v>
      </c>
      <c r="T24" s="11">
        <v>0.17</v>
      </c>
      <c r="U24" s="11">
        <v>0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 t="str">
        <f>(Y24/2)*1083825</f>
        <v>0</v>
      </c>
      <c r="AC24" s="15" t="str">
        <f>(Z24/3)*2529000</f>
        <v>0</v>
      </c>
      <c r="AD24" s="15" t="str">
        <f>AB24+AC24</f>
        <v>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76</v>
      </c>
      <c r="C25" s="10" t="s">
        <v>77</v>
      </c>
      <c r="D25" s="7" t="s">
        <v>40</v>
      </c>
      <c r="E25" s="7" t="s">
        <v>59</v>
      </c>
      <c r="F25" s="7" t="s">
        <v>42</v>
      </c>
      <c r="G25" s="7" t="s">
        <v>43</v>
      </c>
      <c r="H25" s="7" t="s">
        <v>44</v>
      </c>
      <c r="I25" s="11">
        <v>2</v>
      </c>
      <c r="J25" s="11">
        <v>3</v>
      </c>
      <c r="K25" s="11">
        <v>0</v>
      </c>
      <c r="L25" s="11">
        <v>0.17</v>
      </c>
      <c r="M25" s="11">
        <v>1.16</v>
      </c>
      <c r="N25" s="11">
        <v>0</v>
      </c>
      <c r="O25" s="11">
        <v>0</v>
      </c>
      <c r="P25" s="11">
        <v>0</v>
      </c>
      <c r="Q25" s="11">
        <v>1.33</v>
      </c>
      <c r="R25" s="11">
        <v>0</v>
      </c>
      <c r="S25" s="11">
        <v>1.33</v>
      </c>
      <c r="T25" s="11">
        <v>1.33</v>
      </c>
      <c r="U25" s="11">
        <v>0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 t="str">
        <f>(Y25/2)*1083825</f>
        <v>0</v>
      </c>
      <c r="AC25" s="15" t="str">
        <f>(Z25/3)*2529000</f>
        <v>0</v>
      </c>
      <c r="AD25" s="15" t="str">
        <f>AB25+AC25</f>
        <v>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78</v>
      </c>
      <c r="C26" s="10" t="s">
        <v>79</v>
      </c>
      <c r="D26" s="7" t="s">
        <v>40</v>
      </c>
      <c r="E26" s="7" t="s">
        <v>59</v>
      </c>
      <c r="F26" s="7" t="s">
        <v>42</v>
      </c>
      <c r="G26" s="7" t="s">
        <v>43</v>
      </c>
      <c r="H26" s="7" t="s">
        <v>44</v>
      </c>
      <c r="I26" s="11">
        <v>2</v>
      </c>
      <c r="J26" s="11">
        <v>3</v>
      </c>
      <c r="K26" s="11">
        <v>0</v>
      </c>
      <c r="L26" s="11">
        <v>0.17</v>
      </c>
      <c r="M26" s="11">
        <v>0.17</v>
      </c>
      <c r="N26" s="11">
        <v>0</v>
      </c>
      <c r="O26" s="11">
        <v>0</v>
      </c>
      <c r="P26" s="11">
        <v>0</v>
      </c>
      <c r="Q26" s="11">
        <v>0.34</v>
      </c>
      <c r="R26" s="11">
        <v>0</v>
      </c>
      <c r="S26" s="11">
        <v>0.34</v>
      </c>
      <c r="T26" s="11">
        <v>0.34</v>
      </c>
      <c r="U26" s="11">
        <v>0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 t="str">
        <f>(Y26/2)*1083825</f>
        <v>0</v>
      </c>
      <c r="AC26" s="15" t="str">
        <f>(Z26/3)*2529000</f>
        <v>0</v>
      </c>
      <c r="AD26" s="15" t="str">
        <f>AB26+AC26</f>
        <v>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80</v>
      </c>
      <c r="C27" s="10" t="s">
        <v>81</v>
      </c>
      <c r="D27" s="7" t="s">
        <v>40</v>
      </c>
      <c r="E27" s="7" t="s">
        <v>50</v>
      </c>
      <c r="F27" s="7" t="s">
        <v>42</v>
      </c>
      <c r="G27" s="7" t="s">
        <v>43</v>
      </c>
      <c r="H27" s="7" t="s">
        <v>44</v>
      </c>
      <c r="I27" s="11">
        <v>2</v>
      </c>
      <c r="J27" s="11">
        <v>3</v>
      </c>
      <c r="K27" s="11">
        <v>0</v>
      </c>
      <c r="L27" s="11">
        <v>0.17</v>
      </c>
      <c r="M27" s="11">
        <v>0.5</v>
      </c>
      <c r="N27" s="11">
        <v>0</v>
      </c>
      <c r="O27" s="11">
        <v>0.22</v>
      </c>
      <c r="P27" s="11">
        <v>0</v>
      </c>
      <c r="Q27" s="11">
        <v>0.89</v>
      </c>
      <c r="R27" s="11">
        <v>0</v>
      </c>
      <c r="S27" s="11">
        <v>0.89</v>
      </c>
      <c r="T27" s="11">
        <v>0.89</v>
      </c>
      <c r="U27" s="11">
        <v>0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 t="str">
        <f>(Y27/2)*1083825</f>
        <v>0</v>
      </c>
      <c r="AC27" s="15" t="str">
        <f>(Z27/3)*2529000</f>
        <v>0</v>
      </c>
      <c r="AD27" s="15" t="str">
        <f>AB27+AC27</f>
        <v>0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82</v>
      </c>
      <c r="C28" s="10" t="s">
        <v>83</v>
      </c>
      <c r="D28" s="7" t="s">
        <v>40</v>
      </c>
      <c r="E28" s="7" t="s">
        <v>59</v>
      </c>
      <c r="F28" s="7" t="s">
        <v>42</v>
      </c>
      <c r="G28" s="7" t="s">
        <v>43</v>
      </c>
      <c r="H28" s="7" t="s">
        <v>44</v>
      </c>
      <c r="I28" s="11">
        <v>2</v>
      </c>
      <c r="J28" s="11">
        <v>3</v>
      </c>
      <c r="K28" s="11">
        <v>0</v>
      </c>
      <c r="L28" s="11">
        <v>0.17</v>
      </c>
      <c r="M28" s="11">
        <v>0.17</v>
      </c>
      <c r="N28" s="11">
        <v>0</v>
      </c>
      <c r="O28" s="11">
        <v>0</v>
      </c>
      <c r="P28" s="11">
        <v>0</v>
      </c>
      <c r="Q28" s="11">
        <v>0.34</v>
      </c>
      <c r="R28" s="11">
        <v>0</v>
      </c>
      <c r="S28" s="11">
        <v>0.34</v>
      </c>
      <c r="T28" s="11">
        <v>0.34</v>
      </c>
      <c r="U28" s="11">
        <v>0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 t="str">
        <f>(Y28/2)*1083825</f>
        <v>0</v>
      </c>
      <c r="AC28" s="15" t="str">
        <f>(Z28/3)*2529000</f>
        <v>0</v>
      </c>
      <c r="AD28" s="15" t="str">
        <f>AB28+AC28</f>
        <v>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84</v>
      </c>
      <c r="C29" s="10" t="s">
        <v>85</v>
      </c>
      <c r="D29" s="7" t="s">
        <v>40</v>
      </c>
      <c r="E29" s="7" t="s">
        <v>41</v>
      </c>
      <c r="F29" s="7" t="s">
        <v>42</v>
      </c>
      <c r="G29" s="7" t="s">
        <v>43</v>
      </c>
      <c r="H29" s="7" t="s">
        <v>44</v>
      </c>
      <c r="I29" s="11">
        <v>2</v>
      </c>
      <c r="J29" s="11">
        <v>3</v>
      </c>
      <c r="K29" s="11">
        <v>0</v>
      </c>
      <c r="L29" s="11">
        <v>0.17</v>
      </c>
      <c r="M29" s="11">
        <v>1.34</v>
      </c>
      <c r="N29" s="11">
        <v>0</v>
      </c>
      <c r="O29" s="11">
        <v>0</v>
      </c>
      <c r="P29" s="11">
        <v>0.8</v>
      </c>
      <c r="Q29" s="11">
        <v>2.31</v>
      </c>
      <c r="R29" s="11">
        <v>0</v>
      </c>
      <c r="S29" s="11">
        <v>2.31</v>
      </c>
      <c r="T29" s="11">
        <v>2</v>
      </c>
      <c r="U29" s="11">
        <v>0.3100000000000001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 t="str">
        <f>(Y29/2)*1083825</f>
        <v>0</v>
      </c>
      <c r="AC29" s="15" t="str">
        <f>(Z29/3)*2529000</f>
        <v>0</v>
      </c>
      <c r="AD29" s="15" t="str">
        <f>AB29+AC29</f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86</v>
      </c>
      <c r="C30" s="10" t="s">
        <v>87</v>
      </c>
      <c r="D30" s="7" t="s">
        <v>40</v>
      </c>
      <c r="E30" s="7" t="s">
        <v>50</v>
      </c>
      <c r="F30" s="7" t="s">
        <v>42</v>
      </c>
      <c r="G30" s="7" t="s">
        <v>47</v>
      </c>
      <c r="H30" s="7" t="s">
        <v>44</v>
      </c>
      <c r="I30" s="11">
        <v>2</v>
      </c>
      <c r="J30" s="11">
        <v>3</v>
      </c>
      <c r="K30" s="11">
        <v>0</v>
      </c>
      <c r="L30" s="11">
        <v>0.17</v>
      </c>
      <c r="M30" s="11">
        <v>0.17</v>
      </c>
      <c r="N30" s="11">
        <v>0</v>
      </c>
      <c r="O30" s="11">
        <v>0</v>
      </c>
      <c r="P30" s="11">
        <v>0</v>
      </c>
      <c r="Q30" s="11">
        <v>0.34</v>
      </c>
      <c r="R30" s="11">
        <v>0</v>
      </c>
      <c r="S30" s="11">
        <v>0.34</v>
      </c>
      <c r="T30" s="11">
        <v>0.34</v>
      </c>
      <c r="U30" s="11">
        <v>0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 t="str">
        <f>(Y30/2)*1083825</f>
        <v>0</v>
      </c>
      <c r="AC30" s="15" t="str">
        <f>(Z30/3)*2529000</f>
        <v>0</v>
      </c>
      <c r="AD30" s="15" t="str">
        <f>AB30+AC30</f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88</v>
      </c>
      <c r="C31" s="10" t="s">
        <v>89</v>
      </c>
      <c r="D31" s="7" t="s">
        <v>40</v>
      </c>
      <c r="E31" s="7" t="s">
        <v>59</v>
      </c>
      <c r="F31" s="7" t="s">
        <v>42</v>
      </c>
      <c r="G31" s="7" t="s">
        <v>47</v>
      </c>
      <c r="H31" s="7" t="s">
        <v>44</v>
      </c>
      <c r="I31" s="11">
        <v>2</v>
      </c>
      <c r="J31" s="11">
        <v>3</v>
      </c>
      <c r="K31" s="11">
        <v>0</v>
      </c>
      <c r="L31" s="11">
        <v>0</v>
      </c>
      <c r="M31" s="11">
        <v>0.33</v>
      </c>
      <c r="N31" s="11">
        <v>0</v>
      </c>
      <c r="O31" s="11">
        <v>0</v>
      </c>
      <c r="P31" s="11">
        <v>0</v>
      </c>
      <c r="Q31" s="11">
        <v>0.33</v>
      </c>
      <c r="R31" s="11">
        <v>0</v>
      </c>
      <c r="S31" s="11">
        <v>0.33</v>
      </c>
      <c r="T31" s="11">
        <v>0.33</v>
      </c>
      <c r="U31" s="11">
        <v>0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 t="str">
        <f>(Y31/2)*1083825</f>
        <v>0</v>
      </c>
      <c r="AC31" s="15" t="str">
        <f>(Z31/3)*2529000</f>
        <v>0</v>
      </c>
      <c r="AD31" s="15" t="str">
        <f>AB31+AC31</f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90</v>
      </c>
      <c r="C32" s="10" t="s">
        <v>91</v>
      </c>
      <c r="D32" s="7" t="s">
        <v>40</v>
      </c>
      <c r="E32" s="7" t="s">
        <v>50</v>
      </c>
      <c r="F32" s="7" t="s">
        <v>42</v>
      </c>
      <c r="G32" s="7" t="s">
        <v>47</v>
      </c>
      <c r="H32" s="7" t="s">
        <v>44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 t="str">
        <f>(Y32/2)*1083825</f>
        <v>0</v>
      </c>
      <c r="AC32" s="15" t="str">
        <f>(Z32/3)*2529000</f>
        <v>0</v>
      </c>
      <c r="AD32" s="15" t="str">
        <f>AB32+AC32</f>
        <v>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92</v>
      </c>
      <c r="C33" s="10" t="s">
        <v>93</v>
      </c>
      <c r="D33" s="7" t="s">
        <v>40</v>
      </c>
      <c r="E33" s="7" t="s">
        <v>50</v>
      </c>
      <c r="F33" s="7" t="s">
        <v>42</v>
      </c>
      <c r="G33" s="7" t="s">
        <v>47</v>
      </c>
      <c r="H33" s="7" t="s">
        <v>44</v>
      </c>
      <c r="I33" s="11">
        <v>2</v>
      </c>
      <c r="J33" s="11">
        <v>3</v>
      </c>
      <c r="K33" s="11">
        <v>0</v>
      </c>
      <c r="L33" s="11">
        <v>0.17</v>
      </c>
      <c r="M33" s="11">
        <v>0.17</v>
      </c>
      <c r="N33" s="11">
        <v>0</v>
      </c>
      <c r="O33" s="11">
        <v>0</v>
      </c>
      <c r="P33" s="11">
        <v>0</v>
      </c>
      <c r="Q33" s="11">
        <v>0.34</v>
      </c>
      <c r="R33" s="11">
        <v>0</v>
      </c>
      <c r="S33" s="11">
        <v>0.34</v>
      </c>
      <c r="T33" s="11">
        <v>0.34</v>
      </c>
      <c r="U33" s="11">
        <v>0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 t="str">
        <f>(Y33/2)*1083825</f>
        <v>0</v>
      </c>
      <c r="AC33" s="15" t="str">
        <f>(Z33/3)*2529000</f>
        <v>0</v>
      </c>
      <c r="AD33" s="15" t="str">
        <f>AB33+AC33</f>
        <v>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94</v>
      </c>
      <c r="C34" s="10" t="s">
        <v>95</v>
      </c>
      <c r="D34" s="7" t="s">
        <v>40</v>
      </c>
      <c r="E34" s="7" t="s">
        <v>50</v>
      </c>
      <c r="F34" s="7" t="s">
        <v>42</v>
      </c>
      <c r="G34" s="7" t="s">
        <v>55</v>
      </c>
      <c r="H34" s="7" t="s">
        <v>44</v>
      </c>
      <c r="I34" s="11">
        <v>2</v>
      </c>
      <c r="J34" s="11">
        <v>3</v>
      </c>
      <c r="K34" s="11">
        <v>0</v>
      </c>
      <c r="L34" s="11">
        <v>0</v>
      </c>
      <c r="M34" s="11">
        <v>1.82</v>
      </c>
      <c r="N34" s="11">
        <v>0</v>
      </c>
      <c r="O34" s="11">
        <v>0</v>
      </c>
      <c r="P34" s="11">
        <v>0.8</v>
      </c>
      <c r="Q34" s="11">
        <v>2.62</v>
      </c>
      <c r="R34" s="11">
        <v>0</v>
      </c>
      <c r="S34" s="11">
        <v>2.62</v>
      </c>
      <c r="T34" s="11">
        <v>2</v>
      </c>
      <c r="U34" s="11">
        <v>0.6200000000000001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 t="str">
        <f>(Y34/2)*1083825</f>
        <v>0</v>
      </c>
      <c r="AC34" s="15" t="str">
        <f>(Z34/3)*2529000</f>
        <v>0</v>
      </c>
      <c r="AD34" s="15" t="str">
        <f>AB34+AC34</f>
        <v>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96</v>
      </c>
      <c r="C35" s="10" t="s">
        <v>97</v>
      </c>
      <c r="D35" s="7" t="s">
        <v>40</v>
      </c>
      <c r="E35" s="7" t="s">
        <v>50</v>
      </c>
      <c r="F35" s="7" t="s">
        <v>42</v>
      </c>
      <c r="G35" s="7" t="s">
        <v>47</v>
      </c>
      <c r="H35" s="7" t="s">
        <v>44</v>
      </c>
      <c r="I35" s="11">
        <v>2</v>
      </c>
      <c r="J35" s="11">
        <v>3</v>
      </c>
      <c r="K35" s="11">
        <v>0</v>
      </c>
      <c r="L35" s="11">
        <v>0</v>
      </c>
      <c r="M35" s="11">
        <v>0.8400000000000001</v>
      </c>
      <c r="N35" s="11">
        <v>0</v>
      </c>
      <c r="O35" s="11">
        <v>0</v>
      </c>
      <c r="P35" s="11">
        <v>0</v>
      </c>
      <c r="Q35" s="11">
        <v>0.8400000000000001</v>
      </c>
      <c r="R35" s="11">
        <v>0</v>
      </c>
      <c r="S35" s="11">
        <v>0.8400000000000001</v>
      </c>
      <c r="T35" s="11">
        <v>0.8400000000000001</v>
      </c>
      <c r="U35" s="11">
        <v>0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 t="str">
        <f>(Y35/2)*1083825</f>
        <v>0</v>
      </c>
      <c r="AC35" s="15" t="str">
        <f>(Z35/3)*2529000</f>
        <v>0</v>
      </c>
      <c r="AD35" s="15" t="str">
        <f>AB35+AC35</f>
        <v>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98</v>
      </c>
      <c r="C36" s="10" t="s">
        <v>99</v>
      </c>
      <c r="D36" s="7" t="s">
        <v>40</v>
      </c>
      <c r="E36" s="7" t="s">
        <v>50</v>
      </c>
      <c r="F36" s="7" t="s">
        <v>100</v>
      </c>
      <c r="G36" s="7" t="s">
        <v>47</v>
      </c>
      <c r="H36" s="7" t="s">
        <v>44</v>
      </c>
      <c r="I36" s="11">
        <v>2</v>
      </c>
      <c r="J36" s="11">
        <v>3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 t="str">
        <f>(Y36/2)*838350</f>
        <v>0</v>
      </c>
      <c r="AC36" s="15" t="str">
        <f>(Z36/3)*1956150</f>
        <v>0</v>
      </c>
      <c r="AD36" s="15" t="str">
        <f>AB36+AC36</f>
        <v>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101</v>
      </c>
      <c r="C37" s="10" t="s">
        <v>102</v>
      </c>
      <c r="D37" s="7" t="s">
        <v>40</v>
      </c>
      <c r="E37" s="7" t="s">
        <v>50</v>
      </c>
      <c r="F37" s="7" t="s">
        <v>100</v>
      </c>
      <c r="G37" s="7" t="s">
        <v>47</v>
      </c>
      <c r="H37" s="7" t="s">
        <v>44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 t="str">
        <f>(Y37/2)*838350</f>
        <v>0</v>
      </c>
      <c r="AC37" s="15" t="str">
        <f>(Z37/3)*1956150</f>
        <v>0</v>
      </c>
      <c r="AD37" s="15" t="str">
        <f>AB37+AC37</f>
        <v>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103</v>
      </c>
      <c r="C38" s="10" t="s">
        <v>104</v>
      </c>
      <c r="D38" s="7" t="s">
        <v>40</v>
      </c>
      <c r="E38" s="7" t="s">
        <v>105</v>
      </c>
      <c r="F38" s="7" t="s">
        <v>106</v>
      </c>
      <c r="G38" s="7" t="s">
        <v>47</v>
      </c>
      <c r="H38" s="7" t="s">
        <v>44</v>
      </c>
      <c r="I38" s="11">
        <v>2</v>
      </c>
      <c r="J38" s="11">
        <v>3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 t="str">
        <f>(Y38/2)*838350</f>
        <v>0</v>
      </c>
      <c r="AC38" s="15" t="str">
        <f>(Z38/3)*1956150</f>
        <v>0</v>
      </c>
      <c r="AD38" s="15" t="str">
        <f>AB38+AC38</f>
        <v>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107</v>
      </c>
      <c r="C39" s="10" t="s">
        <v>108</v>
      </c>
      <c r="D39" s="7" t="s">
        <v>40</v>
      </c>
      <c r="E39" s="7" t="s">
        <v>105</v>
      </c>
      <c r="F39" s="7" t="s">
        <v>106</v>
      </c>
      <c r="G39" s="7" t="s">
        <v>43</v>
      </c>
      <c r="H39" s="7" t="s">
        <v>44</v>
      </c>
      <c r="I39" s="11">
        <v>2</v>
      </c>
      <c r="J39" s="11">
        <v>3</v>
      </c>
      <c r="K39" s="11">
        <v>0</v>
      </c>
      <c r="L39" s="11">
        <v>0.17</v>
      </c>
      <c r="M39" s="11">
        <v>0.33</v>
      </c>
      <c r="N39" s="11">
        <v>0</v>
      </c>
      <c r="O39" s="11">
        <v>0</v>
      </c>
      <c r="P39" s="11">
        <v>0</v>
      </c>
      <c r="Q39" s="11">
        <v>0.5</v>
      </c>
      <c r="R39" s="11">
        <v>0</v>
      </c>
      <c r="S39" s="11">
        <v>0.5</v>
      </c>
      <c r="T39" s="11">
        <v>0.5</v>
      </c>
      <c r="U39" s="11">
        <v>0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 t="str">
        <f>(Y39/2)*838350</f>
        <v>0</v>
      </c>
      <c r="AC39" s="15" t="str">
        <f>(Z39/3)*1956150</f>
        <v>0</v>
      </c>
      <c r="AD39" s="15" t="str">
        <f>AB39+AC39</f>
        <v>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109</v>
      </c>
      <c r="C40" s="10" t="s">
        <v>110</v>
      </c>
      <c r="D40" s="7" t="s">
        <v>40</v>
      </c>
      <c r="E40" s="7" t="s">
        <v>59</v>
      </c>
      <c r="F40" s="7" t="s">
        <v>100</v>
      </c>
      <c r="G40" s="7" t="s">
        <v>47</v>
      </c>
      <c r="H40" s="7" t="s">
        <v>44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0.8</v>
      </c>
      <c r="Q40" s="11">
        <v>0.8</v>
      </c>
      <c r="R40" s="11">
        <v>0</v>
      </c>
      <c r="S40" s="11">
        <v>0.8</v>
      </c>
      <c r="T40" s="11">
        <v>0.8</v>
      </c>
      <c r="U40" s="11">
        <v>0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 t="str">
        <f>(Y40/2)*838350</f>
        <v>0</v>
      </c>
      <c r="AC40" s="15" t="str">
        <f>(Z40/3)*1956150</f>
        <v>0</v>
      </c>
      <c r="AD40" s="15" t="str">
        <f>AB40+AC40</f>
        <v>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111</v>
      </c>
      <c r="C41" s="10" t="s">
        <v>112</v>
      </c>
      <c r="D41" s="7" t="s">
        <v>40</v>
      </c>
      <c r="E41" s="7" t="s">
        <v>59</v>
      </c>
      <c r="F41" s="7" t="s">
        <v>106</v>
      </c>
      <c r="G41" s="7" t="s">
        <v>43</v>
      </c>
      <c r="H41" s="7" t="s">
        <v>44</v>
      </c>
      <c r="I41" s="11">
        <v>2</v>
      </c>
      <c r="J41" s="11">
        <v>3</v>
      </c>
      <c r="K41" s="11">
        <v>0</v>
      </c>
      <c r="L41" s="11">
        <v>0</v>
      </c>
      <c r="M41" s="11">
        <v>0.67</v>
      </c>
      <c r="N41" s="11">
        <v>0</v>
      </c>
      <c r="O41" s="11">
        <v>0.11</v>
      </c>
      <c r="P41" s="11">
        <v>0</v>
      </c>
      <c r="Q41" s="11">
        <v>0.78</v>
      </c>
      <c r="R41" s="11">
        <v>0</v>
      </c>
      <c r="S41" s="11">
        <v>0.78</v>
      </c>
      <c r="T41" s="11">
        <v>0.78</v>
      </c>
      <c r="U41" s="11">
        <v>0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 t="str">
        <f>(Y41/2)*838350</f>
        <v>0</v>
      </c>
      <c r="AC41" s="15" t="str">
        <f>(Z41/3)*1956150</f>
        <v>0</v>
      </c>
      <c r="AD41" s="15" t="str">
        <f>AB41+AC41</f>
        <v>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113</v>
      </c>
      <c r="C42" s="10" t="s">
        <v>114</v>
      </c>
      <c r="D42" s="7" t="s">
        <v>40</v>
      </c>
      <c r="E42" s="7" t="s">
        <v>41</v>
      </c>
      <c r="F42" s="7" t="s">
        <v>100</v>
      </c>
      <c r="G42" s="7" t="s">
        <v>47</v>
      </c>
      <c r="H42" s="7" t="s">
        <v>44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 t="str">
        <f>(Y42/2)*838350</f>
        <v>0</v>
      </c>
      <c r="AC42" s="15" t="str">
        <f>(Z42/3)*1956150</f>
        <v>0</v>
      </c>
      <c r="AD42" s="15" t="str">
        <f>AB42+AC42</f>
        <v>0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6" spans="1:676">
      <c r="A46" s="16"/>
      <c r="B46" s="16" t="s">
        <v>115</v>
      </c>
      <c r="C46" s="16"/>
      <c r="D46" s="16"/>
      <c r="E46" s="16"/>
      <c r="F46" s="16"/>
      <c r="G46" s="16"/>
      <c r="H46" s="16"/>
      <c r="I46" s="16" t="s">
        <v>116</v>
      </c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 t="s">
        <v>117</v>
      </c>
      <c r="C47" s="16"/>
      <c r="D47" s="16"/>
      <c r="E47" s="16"/>
      <c r="F47" s="16"/>
      <c r="G47" s="16"/>
      <c r="H47" s="16"/>
      <c r="I47" s="16" t="s">
        <v>118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119</v>
      </c>
      <c r="C52" s="16"/>
      <c r="D52" s="16"/>
      <c r="E52" s="16"/>
      <c r="F52" s="16"/>
      <c r="G52" s="16"/>
      <c r="H52" s="16"/>
      <c r="I52" s="16" t="s">
        <v>120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121</v>
      </c>
      <c r="C53" s="16"/>
      <c r="D53" s="16"/>
      <c r="E53" s="16"/>
      <c r="F53" s="16"/>
      <c r="G53" s="16"/>
      <c r="H53" s="16"/>
      <c r="I53" s="16" t="s">
        <v>121</v>
      </c>
      <c r="J53" s="16"/>
      <c r="K53" s="16"/>
      <c r="L53" s="16"/>
      <c r="M53" s="16"/>
      <c r="N53" s="16"/>
      <c r="O53" s="16"/>
      <c r="P53" s="16"/>
      <c r="Q5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2017-08-02T09:32:32+07:00</dcterms:created>
  <dcterms:modified xsi:type="dcterms:W3CDTF">2017-08-02T09:32:32+07:00</dcterms:modified>
  <dc:title>Untitled Spreadsheet</dc:title>
  <dc:description/>
  <dc:subject/>
  <cp:keywords/>
  <cp:category/>
</cp:coreProperties>
</file>