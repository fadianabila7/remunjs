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<sst xmlns="http://schemas.openxmlformats.org/spreadsheetml/2006/main" uniqueCount="127">
  <si>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</si>
  <si>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</si>
  <si>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</si>
  <si>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</si>
  <si>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</si>
  <si>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</si>
  <si>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</si>
  <si>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</si>
  <si>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</si>
  <si>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</si>
  <si>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</si>
  <si>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</si>
  <si>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</si>
  <si>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</si>
  <si>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</si>
  <si>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</si>
  <si>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</si>
  <si>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</si>
  <si>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</si>
  <si>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</si>
  <si>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</si>
  <si>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</si>
  <si>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</si>
  <si>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</si>
  <si>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</si>
  <si>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</si>
  <si>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</si>
  <si>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</si>
  <si>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</si>
  <si>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</si>
  <si>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</si>
  <si>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</si>
  <si>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</si>
  <si>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</si>
  <si>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</si>
  <si>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</si>
  <si>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</si>
  <si>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</si>
  <si>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</si>
  <si>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DODI HARYONO, SHI,SH,MH</t>
  </si>
  <si>
    <t>Ilmu Hukum</t>
  </si>
  <si>
    <t>IV/a</t>
  </si>
  <si>
    <t>Lektor Kepala Gol. IV</t>
  </si>
  <si>
    <t>S2</t>
  </si>
  <si>
    <t xml:space="preserve">Dekan B Gol. IV </t>
  </si>
  <si>
    <t>197802272003122002</t>
  </si>
  <si>
    <t>Dr. EMILDA FIRDAUS, SH.,MH</t>
  </si>
  <si>
    <t>S3</t>
  </si>
  <si>
    <t>Kepala Bagian FH</t>
  </si>
  <si>
    <t>197311102008011018</t>
  </si>
  <si>
    <t>Dr. ERDIANTO, SH, M.Hum</t>
  </si>
  <si>
    <t>III/d</t>
  </si>
  <si>
    <t>Lektor Kepala Gol. III</t>
  </si>
  <si>
    <t>Koordinator Program Studi B</t>
  </si>
  <si>
    <t>197508032003121004</t>
  </si>
  <si>
    <t>Dr. FIRDAUS, SH, MH</t>
  </si>
  <si>
    <t>Wakil Dekan I B Gol. III</t>
  </si>
  <si>
    <t>197803272006042001</t>
  </si>
  <si>
    <t>Dr. MARYATI BACHTIAR, SH, M.Kn</t>
  </si>
  <si>
    <t>Wakil Dekan II B Gol. IV</t>
  </si>
  <si>
    <t>197708282003122002</t>
  </si>
  <si>
    <t>GUSLIANA HB, SH.,M.Hum</t>
  </si>
  <si>
    <t>Belum ada jabatan struktural</t>
  </si>
  <si>
    <t>195701281996031001</t>
  </si>
  <si>
    <t>IKHSAN, SH, MH</t>
  </si>
  <si>
    <t>IV/b</t>
  </si>
  <si>
    <t>Kepala UPT, Direktur RS Pendidikan, Ketua SPI dan BPU</t>
  </si>
  <si>
    <t>197806022006042002</t>
  </si>
  <si>
    <t>MARIA MAYA LESTARI, SH, M.Sc, MH</t>
  </si>
  <si>
    <t>196703211993032002</t>
  </si>
  <si>
    <t>Mardalena Hanifah, SH. M.Hum</t>
  </si>
  <si>
    <t>198005052006042002</t>
  </si>
  <si>
    <t>RIKA LESTARI, SH, M.Hum</t>
  </si>
  <si>
    <t>Wakil Dekan III B Gol. IV</t>
  </si>
  <si>
    <t>197301012006041015</t>
  </si>
  <si>
    <t>DASROL, SH,MH.</t>
  </si>
  <si>
    <t>Lektor Gol. III</t>
  </si>
  <si>
    <t>198212022008012008</t>
  </si>
  <si>
    <t>Dr. DESSY ARTINA, SH, MH</t>
  </si>
  <si>
    <t>III/b</t>
  </si>
  <si>
    <t>Sekretaris SPI, BPU, Bagian FK dan Bagian FH</t>
  </si>
  <si>
    <t>197609062003122001</t>
  </si>
  <si>
    <t>Dr. EVI DELIANA HZ, SH.,LL.M</t>
  </si>
  <si>
    <t>197905252006042001</t>
  </si>
  <si>
    <t>Dr. HAYATUL ISMI, SH, MH</t>
  </si>
  <si>
    <t>III/c</t>
  </si>
  <si>
    <t>198103132008011010</t>
  </si>
  <si>
    <t>Dr. MEXSASAI INDRA, SH, MH</t>
  </si>
  <si>
    <t>197507112008121002</t>
  </si>
  <si>
    <t>ERDIANSYAH, SH, MH</t>
  </si>
  <si>
    <t>198006162008121003</t>
  </si>
  <si>
    <t>JUNAIDI, SH, MH</t>
  </si>
  <si>
    <t>198106092008012018</t>
  </si>
  <si>
    <t>LEDY DIANA, SH, MH</t>
  </si>
  <si>
    <t>197905152008011016</t>
  </si>
  <si>
    <t>MUKHLIS. R,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</si>
  <si>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</si>
  <si>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</si>
  <si>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</si>
  <si>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</si>
  <si>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</si>
  <si>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</si>
  <si>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</si>
  <si>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</si>
  <si>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</si>
  <si>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</si>
  <si>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197201221999031002</t>
  </si>
  <si>
    <t>ZULFIKAR JAYAKUSUMA, SH, MH</t>
  </si>
  <si>
    <t>198604102014042001</t>
  </si>
  <si>
    <t>ADI TIARAPUTRI, SH, MH</t>
  </si>
  <si>
    <t>Asisten Ahli Gol. III</t>
  </si>
  <si>
    <t>198303162008121002</t>
  </si>
  <si>
    <t>DAVIT RAHMADAN, SH,MH</t>
  </si>
  <si>
    <t>198411232015042001</t>
  </si>
  <si>
    <t>ELMAYANTI, SH., MH.</t>
  </si>
  <si>
    <t>Dosen belum punya Jabatan Gol. III</t>
  </si>
  <si>
    <t>198107062014042001</t>
  </si>
  <si>
    <t>FERAWATI, SH, MH</t>
  </si>
  <si>
    <t>198607282014041001</t>
  </si>
  <si>
    <t>HENGKI FIRMANDA.S, SH, LL.M</t>
  </si>
  <si>
    <t>Menyetujui,</t>
  </si>
  <si>
    <t>Palembang, 27 Juli 2017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</si>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</sst>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cea5000848f94bcf2fb3897890eec6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1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 t="s">
        <v>43</v>
      </c>
      <c r="H11" s="7" t="s">
        <v>44</v>
      </c>
      <c r="I11" s="11">
        <v>2</v>
      </c>
      <c r="J11" s="11">
        <v>3</v>
      </c>
      <c r="K11" s="11">
        <v>1.67</v>
      </c>
      <c r="L11" s="11">
        <v>0.8300000000000001</v>
      </c>
      <c r="M11" s="11">
        <v>0</v>
      </c>
      <c r="N11" s="11">
        <v>0</v>
      </c>
      <c r="O11" s="11">
        <v>0.8600000000000001</v>
      </c>
      <c r="P11" s="11">
        <v>0</v>
      </c>
      <c r="Q11" s="11">
        <v>3.36</v>
      </c>
      <c r="R11" s="11">
        <v>16.94</v>
      </c>
      <c r="S11" s="11">
        <v>20.3</v>
      </c>
      <c r="T11" s="11">
        <v>2</v>
      </c>
      <c r="U11" s="11">
        <v>3</v>
      </c>
      <c r="V11" s="11">
        <v>15.3</v>
      </c>
      <c r="W11" s="13">
        <v>10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 t="str">
        <f>(Y11/2)*5226550</f>
        <v>0</v>
      </c>
      <c r="AC11" s="15" t="str">
        <f>(Z11/3)*12561159</f>
        <v>0</v>
      </c>
      <c r="AD11" s="15" t="str">
        <f>AB11+AC11</f>
        <v>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45</v>
      </c>
      <c r="C12" s="10" t="s">
        <v>46</v>
      </c>
      <c r="D12" s="7" t="s">
        <v>40</v>
      </c>
      <c r="E12" s="7" t="s">
        <v>41</v>
      </c>
      <c r="F12" s="7" t="s">
        <v>42</v>
      </c>
      <c r="G12" s="7" t="s">
        <v>47</v>
      </c>
      <c r="H12" s="7" t="s">
        <v>48</v>
      </c>
      <c r="I12" s="11">
        <v>2</v>
      </c>
      <c r="J12" s="11">
        <v>3</v>
      </c>
      <c r="K12" s="11">
        <v>1.33</v>
      </c>
      <c r="L12" s="11">
        <v>4.329999999999999</v>
      </c>
      <c r="M12" s="11">
        <v>0.17</v>
      </c>
      <c r="N12" s="11">
        <v>0</v>
      </c>
      <c r="O12" s="11">
        <v>0.54</v>
      </c>
      <c r="P12" s="11">
        <v>0</v>
      </c>
      <c r="Q12" s="11">
        <v>6.369999999999999</v>
      </c>
      <c r="R12" s="11">
        <v>22.62</v>
      </c>
      <c r="S12" s="11">
        <v>28.98999999999999</v>
      </c>
      <c r="T12" s="11">
        <v>2</v>
      </c>
      <c r="U12" s="11">
        <v>3</v>
      </c>
      <c r="V12" s="11">
        <v>23.98999999999999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 t="str">
        <f>(Y12/2)*2131100</f>
        <v>0</v>
      </c>
      <c r="AC12" s="15" t="str">
        <f>(Z12/3)*4972650</f>
        <v>0</v>
      </c>
      <c r="AD12" s="15" t="str">
        <f>AB12+AC12</f>
        <v>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40</v>
      </c>
      <c r="E13" s="7" t="s">
        <v>51</v>
      </c>
      <c r="F13" s="7" t="s">
        <v>52</v>
      </c>
      <c r="G13" s="7" t="s">
        <v>43</v>
      </c>
      <c r="H13" s="7" t="s">
        <v>53</v>
      </c>
      <c r="I13" s="11">
        <v>2</v>
      </c>
      <c r="J13" s="11">
        <v>3</v>
      </c>
      <c r="K13" s="11">
        <v>1</v>
      </c>
      <c r="L13" s="11">
        <v>3.830000000000002</v>
      </c>
      <c r="M13" s="11">
        <v>0</v>
      </c>
      <c r="N13" s="11">
        <v>0</v>
      </c>
      <c r="O13" s="11">
        <v>0.36</v>
      </c>
      <c r="P13" s="11">
        <v>0.83</v>
      </c>
      <c r="Q13" s="11">
        <v>6.020000000000002</v>
      </c>
      <c r="R13" s="11">
        <v>26.14</v>
      </c>
      <c r="S13" s="11">
        <v>32.16</v>
      </c>
      <c r="T13" s="11">
        <v>2</v>
      </c>
      <c r="U13" s="11">
        <v>3</v>
      </c>
      <c r="V13" s="11">
        <v>27.16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 t="str">
        <f>(Y13/2)*1917975</f>
        <v>0</v>
      </c>
      <c r="AC13" s="15" t="str">
        <f>(Z13/3)*4609636</f>
        <v>0</v>
      </c>
      <c r="AD13" s="15" t="str">
        <f>AB13+AC13</f>
        <v>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40</v>
      </c>
      <c r="E14" s="7" t="s">
        <v>51</v>
      </c>
      <c r="F14" s="7" t="s">
        <v>52</v>
      </c>
      <c r="G14" s="7" t="s">
        <v>43</v>
      </c>
      <c r="H14" s="7" t="s">
        <v>56</v>
      </c>
      <c r="I14" s="11">
        <v>2</v>
      </c>
      <c r="J14" s="11">
        <v>3</v>
      </c>
      <c r="K14" s="11">
        <v>1</v>
      </c>
      <c r="L14" s="11">
        <v>8.439999999999998</v>
      </c>
      <c r="M14" s="11">
        <v>0.5</v>
      </c>
      <c r="N14" s="11">
        <v>0</v>
      </c>
      <c r="O14" s="11">
        <v>0.6</v>
      </c>
      <c r="P14" s="11">
        <v>0.83</v>
      </c>
      <c r="Q14" s="11">
        <v>11.37</v>
      </c>
      <c r="R14" s="11">
        <v>28.12</v>
      </c>
      <c r="S14" s="11">
        <v>39.48999999999999</v>
      </c>
      <c r="T14" s="11">
        <v>2</v>
      </c>
      <c r="U14" s="11">
        <v>3</v>
      </c>
      <c r="V14" s="11">
        <v>34.48999999999999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 t="str">
        <f>(Y14/2)*3878175</f>
        <v>0</v>
      </c>
      <c r="AC14" s="15" t="str">
        <f>(Z14/3)*9230159</f>
        <v>0</v>
      </c>
      <c r="AD14" s="15" t="str">
        <f>AB14+AC14</f>
        <v>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41</v>
      </c>
      <c r="F15" s="7" t="s">
        <v>42</v>
      </c>
      <c r="G15" s="7" t="s">
        <v>47</v>
      </c>
      <c r="H15" s="7" t="s">
        <v>59</v>
      </c>
      <c r="I15" s="11">
        <v>2</v>
      </c>
      <c r="J15" s="11">
        <v>3</v>
      </c>
      <c r="K15" s="11">
        <v>1</v>
      </c>
      <c r="L15" s="11">
        <v>7.179999999999999</v>
      </c>
      <c r="M15" s="11">
        <v>1</v>
      </c>
      <c r="N15" s="11">
        <v>0</v>
      </c>
      <c r="O15" s="11">
        <v>0.3</v>
      </c>
      <c r="P15" s="11">
        <v>0</v>
      </c>
      <c r="Q15" s="11">
        <v>9.479999999999999</v>
      </c>
      <c r="R15" s="11">
        <v>34.39999999999999</v>
      </c>
      <c r="S15" s="11">
        <v>43.87999999999999</v>
      </c>
      <c r="T15" s="11">
        <v>2</v>
      </c>
      <c r="U15" s="11">
        <v>3</v>
      </c>
      <c r="V15" s="11">
        <v>38.87999999999999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 t="str">
        <f>(Y15/2)*4309100</f>
        <v>0</v>
      </c>
      <c r="AC15" s="15" t="str">
        <f>(Z15/3)*10356290</f>
        <v>0</v>
      </c>
      <c r="AD15" s="15" t="str">
        <f>AB15+AC15</f>
        <v>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41</v>
      </c>
      <c r="F16" s="7" t="s">
        <v>42</v>
      </c>
      <c r="G16" s="7" t="s">
        <v>43</v>
      </c>
      <c r="H16" s="7" t="s">
        <v>62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 t="str">
        <f>(Y16/2)*1585250</f>
        <v>0</v>
      </c>
      <c r="AC16" s="15" t="str">
        <f>(Z16/3)*3699000</f>
        <v>0</v>
      </c>
      <c r="AD16" s="15" t="str">
        <f>AB16+AC16</f>
        <v>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 t="s">
        <v>43</v>
      </c>
      <c r="H17" s="7" t="s">
        <v>66</v>
      </c>
      <c r="I17" s="11">
        <v>2</v>
      </c>
      <c r="J17" s="11">
        <v>3</v>
      </c>
      <c r="K17" s="11">
        <v>1.33</v>
      </c>
      <c r="L17" s="11">
        <v>0</v>
      </c>
      <c r="M17" s="11">
        <v>0</v>
      </c>
      <c r="N17" s="11">
        <v>0</v>
      </c>
      <c r="O17" s="11">
        <v>0.18</v>
      </c>
      <c r="P17" s="11">
        <v>0</v>
      </c>
      <c r="Q17" s="11">
        <v>1.51</v>
      </c>
      <c r="R17" s="11">
        <v>9.440000000000001</v>
      </c>
      <c r="S17" s="11">
        <v>10.95</v>
      </c>
      <c r="T17" s="11">
        <v>2</v>
      </c>
      <c r="U17" s="11">
        <v>3</v>
      </c>
      <c r="V17" s="11">
        <v>5.950000000000001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 t="str">
        <f>(Y17/2)*2131100</f>
        <v>0</v>
      </c>
      <c r="AC17" s="15" t="str">
        <f>(Z17/3)*4972650</f>
        <v>0</v>
      </c>
      <c r="AD17" s="15" t="str">
        <f>AB17+AC17</f>
        <v>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40</v>
      </c>
      <c r="E18" s="7" t="s">
        <v>41</v>
      </c>
      <c r="F18" s="7" t="s">
        <v>42</v>
      </c>
      <c r="G18" s="7" t="s">
        <v>43</v>
      </c>
      <c r="H18" s="7" t="s">
        <v>62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 t="str">
        <f>(Y18/2)*1585250</f>
        <v>0</v>
      </c>
      <c r="AC18" s="15" t="str">
        <f>(Z18/3)*3699000</f>
        <v>0</v>
      </c>
      <c r="AD18" s="15" t="str">
        <f>AB18+AC18</f>
        <v>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40</v>
      </c>
      <c r="E19" s="7" t="s">
        <v>65</v>
      </c>
      <c r="F19" s="7" t="s">
        <v>42</v>
      </c>
      <c r="G19" s="7" t="s">
        <v>43</v>
      </c>
      <c r="H19" s="7" t="s">
        <v>62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 t="str">
        <f>(Y19/2)*1585250</f>
        <v>0</v>
      </c>
      <c r="AC19" s="15" t="str">
        <f>(Z19/3)*3699000</f>
        <v>0</v>
      </c>
      <c r="AD19" s="15" t="str">
        <f>AB19+AC19</f>
        <v>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40</v>
      </c>
      <c r="E20" s="7" t="s">
        <v>41</v>
      </c>
      <c r="F20" s="7" t="s">
        <v>42</v>
      </c>
      <c r="G20" s="7" t="s">
        <v>43</v>
      </c>
      <c r="H20" s="7" t="s">
        <v>73</v>
      </c>
      <c r="I20" s="11">
        <v>2</v>
      </c>
      <c r="J20" s="11">
        <v>3</v>
      </c>
      <c r="K20" s="11">
        <v>1</v>
      </c>
      <c r="L20" s="11">
        <v>1.37</v>
      </c>
      <c r="M20" s="11">
        <v>2.65</v>
      </c>
      <c r="N20" s="11">
        <v>0</v>
      </c>
      <c r="O20" s="11">
        <v>0.8600000000000001</v>
      </c>
      <c r="P20" s="11">
        <v>0</v>
      </c>
      <c r="Q20" s="11">
        <v>5.88</v>
      </c>
      <c r="R20" s="11">
        <v>20.14</v>
      </c>
      <c r="S20" s="11">
        <v>26.02</v>
      </c>
      <c r="T20" s="11">
        <v>2</v>
      </c>
      <c r="U20" s="11">
        <v>3</v>
      </c>
      <c r="V20" s="11">
        <v>21.02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 t="str">
        <f>(Y20/2)*4309100</f>
        <v>0</v>
      </c>
      <c r="AC20" s="15" t="str">
        <f>(Z20/3)*10155197</f>
        <v>0</v>
      </c>
      <c r="AD20" s="15" t="str">
        <f>AB20+AC20</f>
        <v>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51</v>
      </c>
      <c r="F21" s="7" t="s">
        <v>76</v>
      </c>
      <c r="G21" s="7" t="s">
        <v>43</v>
      </c>
      <c r="H21" s="7" t="s">
        <v>48</v>
      </c>
      <c r="I21" s="11">
        <v>2</v>
      </c>
      <c r="J21" s="11">
        <v>3</v>
      </c>
      <c r="K21" s="11">
        <v>1.33</v>
      </c>
      <c r="L21" s="11">
        <v>9.539999999999999</v>
      </c>
      <c r="M21" s="11">
        <v>0.67</v>
      </c>
      <c r="N21" s="11">
        <v>0</v>
      </c>
      <c r="O21" s="11">
        <v>0.48</v>
      </c>
      <c r="P21" s="11">
        <v>0</v>
      </c>
      <c r="Q21" s="11">
        <v>12.02</v>
      </c>
      <c r="R21" s="11">
        <v>43.74999999999999</v>
      </c>
      <c r="S21" s="11">
        <v>55.76999999999999</v>
      </c>
      <c r="T21" s="11">
        <v>2</v>
      </c>
      <c r="U21" s="11">
        <v>3</v>
      </c>
      <c r="V21" s="11">
        <v>50.76999999999999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 t="str">
        <f>(Y21/2)*1917975</f>
        <v>0</v>
      </c>
      <c r="AC21" s="15" t="str">
        <f>(Z21/3)*4475375</f>
        <v>0</v>
      </c>
      <c r="AD21" s="15" t="str">
        <f>AB21+AC21</f>
        <v>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79</v>
      </c>
      <c r="F22" s="7" t="s">
        <v>76</v>
      </c>
      <c r="G22" s="7" t="s">
        <v>47</v>
      </c>
      <c r="H22" s="7" t="s">
        <v>80</v>
      </c>
      <c r="I22" s="11">
        <v>2</v>
      </c>
      <c r="J22" s="11">
        <v>3</v>
      </c>
      <c r="K22" s="11">
        <v>0.67</v>
      </c>
      <c r="L22" s="11">
        <v>13.47999999999999</v>
      </c>
      <c r="M22" s="11">
        <v>0.5</v>
      </c>
      <c r="N22" s="11">
        <v>0</v>
      </c>
      <c r="O22" s="11">
        <v>0.54</v>
      </c>
      <c r="P22" s="11">
        <v>0</v>
      </c>
      <c r="Q22" s="11">
        <v>15.18999999999999</v>
      </c>
      <c r="R22" s="11">
        <v>31.08</v>
      </c>
      <c r="S22" s="11">
        <v>46.26999999999999</v>
      </c>
      <c r="T22" s="11">
        <v>2</v>
      </c>
      <c r="U22" s="11">
        <v>3</v>
      </c>
      <c r="V22" s="11">
        <v>41.26999999999999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 t="str">
        <f>(Y22/2)*1723125</f>
        <v>0</v>
      </c>
      <c r="AC22" s="15" t="str">
        <f>(Z22/3)*4101165</f>
        <v>0</v>
      </c>
      <c r="AD22" s="15" t="str">
        <f>AB22+AC22</f>
        <v>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51</v>
      </c>
      <c r="F23" s="7" t="s">
        <v>76</v>
      </c>
      <c r="G23" s="7" t="s">
        <v>47</v>
      </c>
      <c r="H23" s="7" t="s">
        <v>62</v>
      </c>
      <c r="I23" s="11">
        <v>2</v>
      </c>
      <c r="J23" s="11">
        <v>3</v>
      </c>
      <c r="K23" s="11">
        <v>0</v>
      </c>
      <c r="L23" s="11">
        <v>9.209999999999996</v>
      </c>
      <c r="M23" s="11">
        <v>0.66</v>
      </c>
      <c r="N23" s="11">
        <v>0</v>
      </c>
      <c r="O23" s="11">
        <v>0.36</v>
      </c>
      <c r="P23" s="11">
        <v>0</v>
      </c>
      <c r="Q23" s="11">
        <v>10.23</v>
      </c>
      <c r="R23" s="11">
        <v>31.93</v>
      </c>
      <c r="S23" s="11">
        <v>42.16</v>
      </c>
      <c r="T23" s="11">
        <v>2</v>
      </c>
      <c r="U23" s="11">
        <v>3</v>
      </c>
      <c r="V23" s="11">
        <v>37.16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 t="str">
        <f>(Y23/2)*1083825</f>
        <v>0</v>
      </c>
      <c r="AC23" s="15" t="str">
        <f>(Z23/3)*2529000</f>
        <v>0</v>
      </c>
      <c r="AD23" s="15" t="str">
        <f>AB23+AC23</f>
        <v>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40</v>
      </c>
      <c r="E24" s="7" t="s">
        <v>85</v>
      </c>
      <c r="F24" s="7" t="s">
        <v>76</v>
      </c>
      <c r="G24" s="7" t="s">
        <v>47</v>
      </c>
      <c r="H24" s="7" t="s">
        <v>62</v>
      </c>
      <c r="I24" s="11">
        <v>2</v>
      </c>
      <c r="J24" s="11">
        <v>3</v>
      </c>
      <c r="K24" s="11">
        <v>0</v>
      </c>
      <c r="L24" s="11">
        <v>11.3</v>
      </c>
      <c r="M24" s="11">
        <v>1</v>
      </c>
      <c r="N24" s="11">
        <v>0</v>
      </c>
      <c r="O24" s="11">
        <v>0.36</v>
      </c>
      <c r="P24" s="11">
        <v>0.8</v>
      </c>
      <c r="Q24" s="11">
        <v>13.46000000000001</v>
      </c>
      <c r="R24" s="11">
        <v>24.93999999999997</v>
      </c>
      <c r="S24" s="11">
        <v>38.39999999999998</v>
      </c>
      <c r="T24" s="11">
        <v>2</v>
      </c>
      <c r="U24" s="11">
        <v>3</v>
      </c>
      <c r="V24" s="11">
        <v>33.39999999999998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 t="str">
        <f>(Y24/2)*1083825</f>
        <v>0</v>
      </c>
      <c r="AC24" s="15" t="str">
        <f>(Z24/3)*2529000</f>
        <v>0</v>
      </c>
      <c r="AD24" s="15" t="str">
        <f>AB24+AC24</f>
        <v>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40</v>
      </c>
      <c r="E25" s="7" t="s">
        <v>85</v>
      </c>
      <c r="F25" s="7" t="s">
        <v>76</v>
      </c>
      <c r="G25" s="7" t="s">
        <v>47</v>
      </c>
      <c r="H25" s="7" t="s">
        <v>53</v>
      </c>
      <c r="I25" s="11">
        <v>2</v>
      </c>
      <c r="J25" s="11">
        <v>3</v>
      </c>
      <c r="K25" s="11">
        <v>1</v>
      </c>
      <c r="L25" s="11">
        <v>5.439999999999995</v>
      </c>
      <c r="M25" s="11">
        <v>0</v>
      </c>
      <c r="N25" s="11">
        <v>0</v>
      </c>
      <c r="O25" s="11">
        <v>0.48</v>
      </c>
      <c r="P25" s="11">
        <v>0.83</v>
      </c>
      <c r="Q25" s="11">
        <v>7.749999999999995</v>
      </c>
      <c r="R25" s="11">
        <v>21.29</v>
      </c>
      <c r="S25" s="11">
        <v>29.03999999999999</v>
      </c>
      <c r="T25" s="11">
        <v>2</v>
      </c>
      <c r="U25" s="11">
        <v>3</v>
      </c>
      <c r="V25" s="11">
        <v>24.03999999999999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 t="str">
        <f>(Y25/2)*1917975</f>
        <v>0</v>
      </c>
      <c r="AC25" s="15" t="str">
        <f>(Z25/3)*4609636</f>
        <v>0</v>
      </c>
      <c r="AD25" s="15" t="str">
        <f>AB25+AC25</f>
        <v>0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40</v>
      </c>
      <c r="E26" s="7" t="s">
        <v>51</v>
      </c>
      <c r="F26" s="7" t="s">
        <v>76</v>
      </c>
      <c r="G26" s="7" t="s">
        <v>43</v>
      </c>
      <c r="H26" s="7" t="s">
        <v>48</v>
      </c>
      <c r="I26" s="11">
        <v>2</v>
      </c>
      <c r="J26" s="11">
        <v>3</v>
      </c>
      <c r="K26" s="11">
        <v>1.33</v>
      </c>
      <c r="L26" s="11">
        <v>11.74999999999999</v>
      </c>
      <c r="M26" s="11">
        <v>0.33</v>
      </c>
      <c r="N26" s="11">
        <v>0</v>
      </c>
      <c r="O26" s="11">
        <v>0.42</v>
      </c>
      <c r="P26" s="11">
        <v>0</v>
      </c>
      <c r="Q26" s="11">
        <v>13.82999999999999</v>
      </c>
      <c r="R26" s="11">
        <v>37.36999999999998</v>
      </c>
      <c r="S26" s="11">
        <v>51.19999999999997</v>
      </c>
      <c r="T26" s="11">
        <v>2</v>
      </c>
      <c r="U26" s="11">
        <v>3</v>
      </c>
      <c r="V26" s="11">
        <v>46.19999999999997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 t="str">
        <f>(Y26/2)*1917975</f>
        <v>0</v>
      </c>
      <c r="AC26" s="15" t="str">
        <f>(Z26/3)*4475375</f>
        <v>0</v>
      </c>
      <c r="AD26" s="15" t="str">
        <f>AB26+AC26</f>
        <v>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40</v>
      </c>
      <c r="E27" s="7" t="s">
        <v>51</v>
      </c>
      <c r="F27" s="7" t="s">
        <v>76</v>
      </c>
      <c r="G27" s="7" t="s">
        <v>43</v>
      </c>
      <c r="H27" s="7" t="s">
        <v>62</v>
      </c>
      <c r="I27" s="11">
        <v>2</v>
      </c>
      <c r="J27" s="11">
        <v>3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 t="str">
        <f>(Y27/2)*1083825</f>
        <v>0</v>
      </c>
      <c r="AC27" s="15" t="str">
        <f>(Z27/3)*2529000</f>
        <v>0</v>
      </c>
      <c r="AD27" s="15" t="str">
        <f>AB27+AC27</f>
        <v>0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40</v>
      </c>
      <c r="E28" s="7" t="s">
        <v>85</v>
      </c>
      <c r="F28" s="7" t="s">
        <v>76</v>
      </c>
      <c r="G28" s="7" t="s">
        <v>43</v>
      </c>
      <c r="H28" s="7" t="s">
        <v>80</v>
      </c>
      <c r="I28" s="11">
        <v>2</v>
      </c>
      <c r="J28" s="11">
        <v>3</v>
      </c>
      <c r="K28" s="11">
        <v>0.67</v>
      </c>
      <c r="L28" s="11">
        <v>12.86999999999999</v>
      </c>
      <c r="M28" s="11">
        <v>1.26</v>
      </c>
      <c r="N28" s="11">
        <v>0</v>
      </c>
      <c r="O28" s="11">
        <v>0.54</v>
      </c>
      <c r="P28" s="11">
        <v>0</v>
      </c>
      <c r="Q28" s="11">
        <v>15.33999999999999</v>
      </c>
      <c r="R28" s="11">
        <v>21.77</v>
      </c>
      <c r="S28" s="11">
        <v>37.10999999999999</v>
      </c>
      <c r="T28" s="11">
        <v>2</v>
      </c>
      <c r="U28" s="11">
        <v>3</v>
      </c>
      <c r="V28" s="11">
        <v>32.10999999999999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 t="str">
        <f>(Y28/2)*1723125</f>
        <v>0</v>
      </c>
      <c r="AC28" s="15" t="str">
        <f>(Z28/3)*4101165</f>
        <v>0</v>
      </c>
      <c r="AD28" s="15" t="str">
        <f>AB28+AC28</f>
        <v>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40</v>
      </c>
      <c r="E29" s="7" t="s">
        <v>51</v>
      </c>
      <c r="F29" s="7" t="s">
        <v>76</v>
      </c>
      <c r="G29" s="7" t="s">
        <v>43</v>
      </c>
      <c r="H29" s="7" t="s">
        <v>62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 t="str">
        <f>(Y29/2)*1083825</f>
        <v>0</v>
      </c>
      <c r="AC29" s="15" t="str">
        <f>(Z29/3)*2529000</f>
        <v>0</v>
      </c>
      <c r="AD29" s="15" t="str">
        <f>AB29+AC29</f>
        <v>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51</v>
      </c>
      <c r="F30" s="7" t="s">
        <v>76</v>
      </c>
      <c r="G30" s="7" t="s">
        <v>43</v>
      </c>
      <c r="H30" s="7" t="s">
        <v>62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 t="str">
        <f>(Y30/2)*1083825</f>
        <v>0</v>
      </c>
      <c r="AC30" s="15" t="str">
        <f>(Z30/3)*2529000</f>
        <v>0</v>
      </c>
      <c r="AD30" s="15" t="str">
        <f>AB30+AC30</f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85</v>
      </c>
      <c r="F31" s="7" t="s">
        <v>76</v>
      </c>
      <c r="G31" s="7" t="s">
        <v>43</v>
      </c>
      <c r="H31" s="7" t="s">
        <v>80</v>
      </c>
      <c r="I31" s="11">
        <v>2</v>
      </c>
      <c r="J31" s="11">
        <v>3</v>
      </c>
      <c r="K31" s="11">
        <v>0.67</v>
      </c>
      <c r="L31" s="11">
        <v>10.82999999999999</v>
      </c>
      <c r="M31" s="11">
        <v>0.5</v>
      </c>
      <c r="N31" s="11">
        <v>0</v>
      </c>
      <c r="O31" s="11">
        <v>0.36</v>
      </c>
      <c r="P31" s="11">
        <v>0</v>
      </c>
      <c r="Q31" s="11">
        <v>12.35999999999999</v>
      </c>
      <c r="R31" s="11">
        <v>15.56</v>
      </c>
      <c r="S31" s="11">
        <v>27.91999999999999</v>
      </c>
      <c r="T31" s="11">
        <v>2</v>
      </c>
      <c r="U31" s="11">
        <v>3</v>
      </c>
      <c r="V31" s="11">
        <v>22.91999999999999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 t="str">
        <f>(Y31/2)*1723125</f>
        <v>0</v>
      </c>
      <c r="AC31" s="15" t="str">
        <f>(Z31/3)*4101165</f>
        <v>0</v>
      </c>
      <c r="AD31" s="15" t="str">
        <f>AB31+AC31</f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79</v>
      </c>
      <c r="F32" s="7" t="s">
        <v>76</v>
      </c>
      <c r="G32" s="7" t="s">
        <v>43</v>
      </c>
      <c r="H32" s="7" t="s">
        <v>62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 t="str">
        <f>(Y32/2)*1083825</f>
        <v>0</v>
      </c>
      <c r="AC32" s="15" t="str">
        <f>(Z32/3)*2529000</f>
        <v>0</v>
      </c>
      <c r="AD32" s="15" t="str">
        <f>AB32+AC32</f>
        <v>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85</v>
      </c>
      <c r="F33" s="7" t="s">
        <v>76</v>
      </c>
      <c r="G33" s="7" t="s">
        <v>43</v>
      </c>
      <c r="H33" s="7" t="s">
        <v>62</v>
      </c>
      <c r="I33" s="11">
        <v>2</v>
      </c>
      <c r="J33" s="11">
        <v>3</v>
      </c>
      <c r="K33" s="11">
        <v>0</v>
      </c>
      <c r="L33" s="11">
        <v>10.55999999999999</v>
      </c>
      <c r="M33" s="11">
        <v>1.01</v>
      </c>
      <c r="N33" s="11">
        <v>0</v>
      </c>
      <c r="O33" s="11">
        <v>0.18</v>
      </c>
      <c r="P33" s="11">
        <v>0.83</v>
      </c>
      <c r="Q33" s="11">
        <v>12.57999999999999</v>
      </c>
      <c r="R33" s="11">
        <v>23.43</v>
      </c>
      <c r="S33" s="11">
        <v>36.00999999999998</v>
      </c>
      <c r="T33" s="11">
        <v>2</v>
      </c>
      <c r="U33" s="11">
        <v>3</v>
      </c>
      <c r="V33" s="11">
        <v>31.00999999999998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 t="str">
        <f>(Y33/2)*1083825</f>
        <v>0</v>
      </c>
      <c r="AC33" s="15" t="str">
        <f>(Z33/3)*2529000</f>
        <v>0</v>
      </c>
      <c r="AD33" s="15" t="str">
        <f>AB33+AC33</f>
        <v>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51</v>
      </c>
      <c r="F34" s="7" t="s">
        <v>76</v>
      </c>
      <c r="G34" s="7" t="s">
        <v>43</v>
      </c>
      <c r="H34" s="7" t="s">
        <v>48</v>
      </c>
      <c r="I34" s="11">
        <v>2</v>
      </c>
      <c r="J34" s="11">
        <v>3</v>
      </c>
      <c r="K34" s="11">
        <v>1.33</v>
      </c>
      <c r="L34" s="11">
        <v>6.479999999999996</v>
      </c>
      <c r="M34" s="11">
        <v>0.8400000000000001</v>
      </c>
      <c r="N34" s="11">
        <v>0</v>
      </c>
      <c r="O34" s="11">
        <v>0.48</v>
      </c>
      <c r="P34" s="11">
        <v>0</v>
      </c>
      <c r="Q34" s="11">
        <v>9.129999999999995</v>
      </c>
      <c r="R34" s="11">
        <v>23.94</v>
      </c>
      <c r="S34" s="11">
        <v>33.06999999999999</v>
      </c>
      <c r="T34" s="11">
        <v>2</v>
      </c>
      <c r="U34" s="11">
        <v>3</v>
      </c>
      <c r="V34" s="11">
        <v>28.06999999999999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 t="str">
        <f>(Y34/2)*1917975</f>
        <v>0</v>
      </c>
      <c r="AC34" s="15" t="str">
        <f>(Z34/3)*4475375</f>
        <v>0</v>
      </c>
      <c r="AD34" s="15" t="str">
        <f>AB34+AC34</f>
        <v>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51</v>
      </c>
      <c r="F35" s="7" t="s">
        <v>76</v>
      </c>
      <c r="G35" s="7" t="s">
        <v>43</v>
      </c>
      <c r="H35" s="7" t="s">
        <v>62</v>
      </c>
      <c r="I35" s="11">
        <v>2</v>
      </c>
      <c r="J35" s="11">
        <v>3</v>
      </c>
      <c r="K35" s="11">
        <v>0</v>
      </c>
      <c r="L35" s="11">
        <v>2.16</v>
      </c>
      <c r="M35" s="11">
        <v>0.34</v>
      </c>
      <c r="N35" s="11">
        <v>0</v>
      </c>
      <c r="O35" s="11">
        <v>0</v>
      </c>
      <c r="P35" s="11">
        <v>0</v>
      </c>
      <c r="Q35" s="11">
        <v>2.5</v>
      </c>
      <c r="R35" s="11">
        <v>0.8899999999999999</v>
      </c>
      <c r="S35" s="11">
        <v>3.39</v>
      </c>
      <c r="T35" s="11">
        <v>2</v>
      </c>
      <c r="U35" s="11">
        <v>1.39</v>
      </c>
      <c r="V35" s="11">
        <v>0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 t="str">
        <f>(Y35/2)*1083825</f>
        <v>0</v>
      </c>
      <c r="AC35" s="15" t="str">
        <f>(Z35/3)*2529000</f>
        <v>0</v>
      </c>
      <c r="AD35" s="15" t="str">
        <f>AB35+AC35</f>
        <v>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79</v>
      </c>
      <c r="F36" s="7" t="s">
        <v>110</v>
      </c>
      <c r="G36" s="7" t="s">
        <v>43</v>
      </c>
      <c r="H36" s="7" t="s">
        <v>62</v>
      </c>
      <c r="I36" s="11">
        <v>2</v>
      </c>
      <c r="J36" s="11">
        <v>3</v>
      </c>
      <c r="K36" s="11">
        <v>0</v>
      </c>
      <c r="L36" s="11">
        <v>6.180000000000001</v>
      </c>
      <c r="M36" s="11">
        <v>1.16</v>
      </c>
      <c r="N36" s="11">
        <v>0</v>
      </c>
      <c r="O36" s="11">
        <v>0.18</v>
      </c>
      <c r="P36" s="11">
        <v>0</v>
      </c>
      <c r="Q36" s="11">
        <v>7.519999999999999</v>
      </c>
      <c r="R36" s="11">
        <v>16.99</v>
      </c>
      <c r="S36" s="11">
        <v>24.51</v>
      </c>
      <c r="T36" s="11">
        <v>2</v>
      </c>
      <c r="U36" s="11">
        <v>3</v>
      </c>
      <c r="V36" s="11">
        <v>19.51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 t="str">
        <f>(Y36/2)*838350</f>
        <v>0</v>
      </c>
      <c r="AC36" s="15" t="str">
        <f>(Z36/3)*1956150</f>
        <v>0</v>
      </c>
      <c r="AD36" s="15" t="str">
        <f>AB36+AC36</f>
        <v>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79</v>
      </c>
      <c r="F37" s="7" t="s">
        <v>110</v>
      </c>
      <c r="G37" s="7" t="s">
        <v>43</v>
      </c>
      <c r="H37" s="7" t="s">
        <v>62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 t="str">
        <f>(Y37/2)*838350</f>
        <v>0</v>
      </c>
      <c r="AC37" s="15" t="str">
        <f>(Z37/3)*1956150</f>
        <v>0</v>
      </c>
      <c r="AD37" s="15" t="str">
        <f>AB37+AC37</f>
        <v>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79</v>
      </c>
      <c r="F38" s="7" t="s">
        <v>115</v>
      </c>
      <c r="G38" s="7" t="s">
        <v>43</v>
      </c>
      <c r="H38" s="7" t="s">
        <v>62</v>
      </c>
      <c r="I38" s="11">
        <v>2</v>
      </c>
      <c r="J38" s="11">
        <v>3</v>
      </c>
      <c r="K38" s="11">
        <v>0</v>
      </c>
      <c r="L38" s="11">
        <v>7.439999999999998</v>
      </c>
      <c r="M38" s="11">
        <v>0.67</v>
      </c>
      <c r="N38" s="11">
        <v>0</v>
      </c>
      <c r="O38" s="11">
        <v>0.18</v>
      </c>
      <c r="P38" s="11">
        <v>0</v>
      </c>
      <c r="Q38" s="11">
        <v>8.289999999999997</v>
      </c>
      <c r="R38" s="11">
        <v>16.27</v>
      </c>
      <c r="S38" s="11">
        <v>24.56</v>
      </c>
      <c r="T38" s="11">
        <v>2</v>
      </c>
      <c r="U38" s="11">
        <v>3</v>
      </c>
      <c r="V38" s="11">
        <v>19.56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 t="str">
        <f>(Y38/2)*838350</f>
        <v>0</v>
      </c>
      <c r="AC38" s="15" t="str">
        <f>(Z38/3)*1956150</f>
        <v>0</v>
      </c>
      <c r="AD38" s="15" t="str">
        <f>AB38+AC38</f>
        <v>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79</v>
      </c>
      <c r="F39" s="7" t="s">
        <v>110</v>
      </c>
      <c r="G39" s="7" t="s">
        <v>43</v>
      </c>
      <c r="H39" s="7" t="s">
        <v>80</v>
      </c>
      <c r="I39" s="11">
        <v>2</v>
      </c>
      <c r="J39" s="11">
        <v>3</v>
      </c>
      <c r="K39" s="11">
        <v>0.67</v>
      </c>
      <c r="L39" s="11">
        <v>10.89</v>
      </c>
      <c r="M39" s="11">
        <v>0.17</v>
      </c>
      <c r="N39" s="11">
        <v>0</v>
      </c>
      <c r="O39" s="11">
        <v>0.54</v>
      </c>
      <c r="P39" s="11">
        <v>0</v>
      </c>
      <c r="Q39" s="11">
        <v>12.27</v>
      </c>
      <c r="R39" s="11">
        <v>25.84999999999999</v>
      </c>
      <c r="S39" s="11">
        <v>38.11999999999999</v>
      </c>
      <c r="T39" s="11">
        <v>2</v>
      </c>
      <c r="U39" s="11">
        <v>3</v>
      </c>
      <c r="V39" s="11">
        <v>33.11999999999999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 t="str">
        <f>(Y39/2)*1723125</f>
        <v>0</v>
      </c>
      <c r="AC39" s="15" t="str">
        <f>(Z39/3)*4101165</f>
        <v>0</v>
      </c>
      <c r="AD39" s="15" t="str">
        <f>AB39+AC39</f>
        <v>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79</v>
      </c>
      <c r="F40" s="7" t="s">
        <v>110</v>
      </c>
      <c r="G40" s="7" t="s">
        <v>43</v>
      </c>
      <c r="H40" s="7" t="s">
        <v>62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 t="str">
        <f>(Y40/2)*838350</f>
        <v>0</v>
      </c>
      <c r="AC40" s="15" t="str">
        <f>(Z40/3)*1956150</f>
        <v>0</v>
      </c>
      <c r="AD40" s="15" t="str">
        <f>AB40+AC40</f>
        <v>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4" spans="1:676">
      <c r="A44" s="16"/>
      <c r="B44" s="16" t="s">
        <v>120</v>
      </c>
      <c r="C44" s="16"/>
      <c r="D44" s="16"/>
      <c r="E44" s="16"/>
      <c r="F44" s="16"/>
      <c r="G44" s="16"/>
      <c r="H44" s="16"/>
      <c r="I44" s="16" t="s">
        <v>121</v>
      </c>
      <c r="J44" s="16"/>
      <c r="K44" s="16"/>
      <c r="L44" s="16"/>
      <c r="M44" s="16"/>
      <c r="N44" s="16"/>
      <c r="O44" s="16"/>
      <c r="P44" s="16"/>
      <c r="Q44" s="16"/>
    </row>
    <row r="45" spans="1:676">
      <c r="A45" s="16"/>
      <c r="B45" s="16" t="s">
        <v>122</v>
      </c>
      <c r="C45" s="16"/>
      <c r="D45" s="16"/>
      <c r="E45" s="16"/>
      <c r="F45" s="16"/>
      <c r="G45" s="16"/>
      <c r="H45" s="16"/>
      <c r="I45" s="16" t="s">
        <v>123</v>
      </c>
      <c r="J45" s="16"/>
      <c r="K45" s="16"/>
      <c r="L45" s="16"/>
      <c r="M45" s="16"/>
      <c r="N45" s="16"/>
      <c r="O45" s="16"/>
      <c r="P45" s="16"/>
      <c r="Q45" s="16"/>
    </row>
    <row r="46" spans="1:67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 t="s">
        <v>124</v>
      </c>
      <c r="C50" s="16"/>
      <c r="D50" s="16"/>
      <c r="E50" s="16"/>
      <c r="F50" s="16"/>
      <c r="G50" s="16"/>
      <c r="H50" s="16"/>
      <c r="I50" s="16" t="s">
        <v>125</v>
      </c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 t="s">
        <v>126</v>
      </c>
      <c r="C51" s="16"/>
      <c r="D51" s="16"/>
      <c r="E51" s="16"/>
      <c r="F51" s="16"/>
      <c r="G51" s="16"/>
      <c r="H51" s="16"/>
      <c r="I51" s="16" t="s">
        <v>126</v>
      </c>
      <c r="J51" s="16"/>
      <c r="K51" s="16"/>
      <c r="L51" s="16"/>
      <c r="M51" s="16"/>
      <c r="N51" s="16"/>
      <c r="O51" s="16"/>
      <c r="P51" s="16"/>
      <c r="Q5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2017-07-27T11:49:30+07:00</dcterms:created>
  <dcterms:modified xsi:type="dcterms:W3CDTF">2017-07-27T11:49:30+07:00</dcterms:modified>
  <dc:title>Untitled Spreadsheet</dc:title>
  <dc:description/>
  <dc:subject/>
  <cp:keywords/>
  <cp:category/>
</cp:coreProperties>
</file>