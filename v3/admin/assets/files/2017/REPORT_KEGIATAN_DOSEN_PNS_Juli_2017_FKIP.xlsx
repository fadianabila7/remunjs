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<sst xmlns="http://schemas.openxmlformats.org/spreadsheetml/2006/main" uniqueCount="490">
  <si>
    <t>KEMENTERIAN RISET, TEKNOLOGI DAN PENDIDIKAN TINGGI</t>
  </si>
  <si>
    <t>UNIVERSITAS RIAU</t>
  </si>
  <si>
    <t>FAKULTAS KEGURUAN DAN ILMU PENDIDIKAN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</si>
  <si>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</si>
  <si>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</si>
  <si>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</si>
  <si>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</si>
  <si>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</si>
  <si>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</si>
  <si>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</si>
  <si>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</si>
  <si>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</si>
  <si>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</si>
  <si>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</si>
  <si>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</si>
  <si>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</si>
  <si>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</si>
  <si>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</si>
  <si>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</si>
  <si>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</si>
  <si>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</si>
  <si>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</si>
  <si>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</si>
  <si>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</si>
  <si>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</si>
  <si>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</si>
  <si>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</si>
  <si>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</si>
  <si>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</si>
  <si>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</si>
  <si>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</si>
  <si>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</si>
  <si>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</si>
  <si>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</si>
  <si>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</si>
  <si>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</si>
  <si>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</si>
  <si>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</si>
  <si>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196008221990021002</t>
  </si>
  <si>
    <t>PROF. DR. ALMASDI SYAHZA, SE,MP</t>
  </si>
  <si>
    <t>Pendidikan Ekonomi</t>
  </si>
  <si>
    <t>IV/e</t>
  </si>
  <si>
    <t>Profesor</t>
  </si>
  <si>
    <t>Ketua Lembaga Tk. Universitas Gol. IV</t>
  </si>
  <si>
    <t>195404081986011001</t>
  </si>
  <si>
    <t>PROF. DR. AUZAR, M.S</t>
  </si>
  <si>
    <t>Pendidikan Bahasa Dan Sastra Indonesia</t>
  </si>
  <si>
    <t>IV/d</t>
  </si>
  <si>
    <t>Kepala Bagian FH</t>
  </si>
  <si>
    <t>196405211989031003</t>
  </si>
  <si>
    <t>PROF. DR. FIRDAUS (LIONG A HENG), M.SI</t>
  </si>
  <si>
    <t>Pendidikan Biologi</t>
  </si>
  <si>
    <t>Tidak ada jabatan struktural</t>
  </si>
  <si>
    <t>196010131986031002</t>
  </si>
  <si>
    <t>PROF. DR. M. NUR MUSTAFA, M.Pd</t>
  </si>
  <si>
    <t>Dekan A Gol. IV</t>
  </si>
  <si>
    <t>195206271979031002</t>
  </si>
  <si>
    <t>PROF. DR. ZULFAN SAAM, SU</t>
  </si>
  <si>
    <t>Bimbingan Konseling</t>
  </si>
  <si>
    <t>Wakil Direktur Pascasarjana Gol. IV</t>
  </si>
  <si>
    <t>195912121985031006</t>
  </si>
  <si>
    <t>PROF. DRS. H. ISJONI, M.SI, Ph.D</t>
  </si>
  <si>
    <t>Pendidikan Sejarah</t>
  </si>
  <si>
    <t>Koordinator Program Studi A</t>
  </si>
  <si>
    <t>196403271990021001</t>
  </si>
  <si>
    <t>PROF.DR. CASKA, M.SI</t>
  </si>
  <si>
    <t>IV/c</t>
  </si>
  <si>
    <t>Sekretaris Lembaga</t>
  </si>
  <si>
    <t>196808271995122001</t>
  </si>
  <si>
    <t>Prof. DR. HASNAH FAIZAH, AR, M.HUM</t>
  </si>
  <si>
    <t>196203031990022001</t>
  </si>
  <si>
    <t>Prof. DR. Hj. MAKHDALENA, SE, M.Si, AK</t>
  </si>
  <si>
    <t>196901201996031001</t>
  </si>
  <si>
    <t>Prof. DR. JIMMI COPRIADY, S.SI, M. Si</t>
  </si>
  <si>
    <t>Pendidikan Kimia</t>
  </si>
  <si>
    <t>195911061990031003</t>
  </si>
  <si>
    <t>DR. ASMADI MUHAMMAD NOER, M.Sc</t>
  </si>
  <si>
    <t>IV/a</t>
  </si>
  <si>
    <t>Lektor Kepala Gol. IV</t>
  </si>
  <si>
    <t>196210041986032002</t>
  </si>
  <si>
    <t>DR. ATMA MURNI, M.PD</t>
  </si>
  <si>
    <t>Pendidikan Matematika</t>
  </si>
  <si>
    <t>IV/b</t>
  </si>
  <si>
    <t>196801011994021006</t>
  </si>
  <si>
    <t>DR. AZHAR, S.PD, MT</t>
  </si>
  <si>
    <t>Pendidikan Fisika</t>
  </si>
  <si>
    <t>196810111993032001</t>
  </si>
  <si>
    <t>DR. CHARLINA, M.HUM</t>
  </si>
  <si>
    <t>196103171986011003</t>
  </si>
  <si>
    <t>DR. DAENG AYUB, M. Pd</t>
  </si>
  <si>
    <t>Pendidikan Luar Sekolah</t>
  </si>
  <si>
    <t>195403251981031004</t>
  </si>
  <si>
    <t>DR. EFFENDY GULTOM, MA</t>
  </si>
  <si>
    <t>Pendidikan Bahasa Inggris</t>
  </si>
  <si>
    <t>196312171990022001</t>
  </si>
  <si>
    <t>DR. ELIWARTI, M.App.Ling</t>
  </si>
  <si>
    <t>196403161991031013</t>
  </si>
  <si>
    <t>DR. ELMUSTIAN, MA</t>
  </si>
  <si>
    <t>196404271989032002</t>
  </si>
  <si>
    <t>DR. EVI SURYAWATI, M.PD</t>
  </si>
  <si>
    <t>Koordinator Program Studi B</t>
  </si>
  <si>
    <t>195510051981031009</t>
  </si>
  <si>
    <t>DR. FAKHRI RAS, M.ED</t>
  </si>
  <si>
    <t>Ketua Bagian FK</t>
  </si>
  <si>
    <t>196009101987031004</t>
  </si>
  <si>
    <t>DR. GIMIN, M.PD</t>
  </si>
  <si>
    <t>196712071999031001</t>
  </si>
  <si>
    <t>DR. GUSNARDI, SE, M.SI, AK</t>
  </si>
  <si>
    <t>196308121987032001</t>
  </si>
  <si>
    <t>DR. HADRIANA. M.Pd</t>
  </si>
  <si>
    <t>Sekretaris Jurusan A</t>
  </si>
  <si>
    <t>196606221991031005</t>
  </si>
  <si>
    <t>DR. HAMBALI, M.SI</t>
  </si>
  <si>
    <t>Pendidikan Pancasila Dan Kewarganegaraan</t>
  </si>
  <si>
    <t>197606182006042003</t>
  </si>
  <si>
    <t>DR. HENNY INDRAWATI, SP, MM</t>
  </si>
  <si>
    <t>III/d</t>
  </si>
  <si>
    <t>Lektor Kepala Gol. III</t>
  </si>
  <si>
    <t>196712011998021001</t>
  </si>
  <si>
    <t>DR. JISMULATIF, M.HUM</t>
  </si>
  <si>
    <t>196011121987031004</t>
  </si>
  <si>
    <t>DR. MAHDUM, M. Pd</t>
  </si>
  <si>
    <t>Wakil Dekan III A Gol. IV</t>
  </si>
  <si>
    <t>196110171987021001</t>
  </si>
  <si>
    <t>DR. NAHOR M. HUTAPEA, M. PD</t>
  </si>
  <si>
    <t>196310261986022001</t>
  </si>
  <si>
    <t>DR. PUTRI YUANITA, MEd</t>
  </si>
  <si>
    <t>196102031985032002</t>
  </si>
  <si>
    <t>DR. RR. SRI KARTIKOWATI, M.A</t>
  </si>
  <si>
    <t>195712311985031018</t>
  </si>
  <si>
    <t>DR. SAKDANUR NAS. MS</t>
  </si>
  <si>
    <t>196808291993081001</t>
  </si>
  <si>
    <t>DR. SEHATTA SARAGIH, M.PD</t>
  </si>
  <si>
    <t>195703091985031001</t>
  </si>
  <si>
    <t>DR. SUMARDI, M.SI</t>
  </si>
  <si>
    <t>196202091998031001</t>
  </si>
  <si>
    <t>DR. SUMARNO, M.PD</t>
  </si>
  <si>
    <t>196801131991031004</t>
  </si>
  <si>
    <t>DR. SUWONDO, M.SI</t>
  </si>
  <si>
    <t>196204171986031001</t>
  </si>
  <si>
    <t>DR. SYAFRIAL, M.Pd</t>
  </si>
  <si>
    <t>196509201989031001</t>
  </si>
  <si>
    <t>DR. WAN SAFII, M.SI</t>
  </si>
  <si>
    <t>Koordinator Program Studi C</t>
  </si>
  <si>
    <t>196306141986012001</t>
  </si>
  <si>
    <t>DR. YENITA ROZA, M.SC</t>
  </si>
  <si>
    <t>196101091993122001</t>
  </si>
  <si>
    <t>DR. YUSTINA, M.SI</t>
  </si>
  <si>
    <t>196506261990021001</t>
  </si>
  <si>
    <t>DR. ZULKARNAIN, M.PD</t>
  </si>
  <si>
    <t>196103021986012001</t>
  </si>
  <si>
    <t>DRA. ARMIS , M.PD</t>
  </si>
  <si>
    <t>195911291986032002</t>
  </si>
  <si>
    <t>DRA. ARNENTIS, MS</t>
  </si>
  <si>
    <t>196506051990022001</t>
  </si>
  <si>
    <t>DRA. ATNI PRAWATI, M.ED</t>
  </si>
  <si>
    <t>195809011984032003</t>
  </si>
  <si>
    <t>DRA. BEDRIATI IBRAHIM, M.SI</t>
  </si>
  <si>
    <t>196101011986032002</t>
  </si>
  <si>
    <t>DRA. BETTY HOLIWARNI, M.PD</t>
  </si>
  <si>
    <t>196803151992032001</t>
  </si>
  <si>
    <t>DRA. DARMAWATI, M.SI</t>
  </si>
  <si>
    <t>196212281986032001</t>
  </si>
  <si>
    <t>DRA. ERVIYENNI, M.PD</t>
  </si>
  <si>
    <t>196205271986032001</t>
  </si>
  <si>
    <t>DRA. HERDINI, M.SI</t>
  </si>
  <si>
    <t>195410161985032001</t>
  </si>
  <si>
    <t>DRA. HJ. DESTI IRJA, M.SI</t>
  </si>
  <si>
    <t>196302151988112001</t>
  </si>
  <si>
    <t>DRA. INDAH TRI PURWANTI, M.App.Ling</t>
  </si>
  <si>
    <t>196309101991032010</t>
  </si>
  <si>
    <t>DRA. IRDA SAYUTI, M.SI</t>
  </si>
  <si>
    <t>195412131989032001</t>
  </si>
  <si>
    <t>DRA. JALINUS, M.PD</t>
  </si>
  <si>
    <t>196312221989032002</t>
  </si>
  <si>
    <t>DRA. MARIANI NATALINA L.S., M.PD</t>
  </si>
  <si>
    <t>196205061986032001</t>
  </si>
  <si>
    <t>DRA. MITRI IRIANTI, M.Pd</t>
  </si>
  <si>
    <t>196212061987032001</t>
  </si>
  <si>
    <t>DRA. RINI DIAN ANGGRAINI</t>
  </si>
  <si>
    <t>196512201991032003</t>
  </si>
  <si>
    <t>DRA. SRI WULANDARI, M.SI</t>
  </si>
  <si>
    <t>196609011991032002</t>
  </si>
  <si>
    <t>DRA. SUSDA HELENI, M.PD</t>
  </si>
  <si>
    <t>196202091998102001</t>
  </si>
  <si>
    <t>DRA. SYOFIA DELFI, MA</t>
  </si>
  <si>
    <t>195908061989022001</t>
  </si>
  <si>
    <t>DRA. SYOFNI, M.PD</t>
  </si>
  <si>
    <t>196006021986032006</t>
  </si>
  <si>
    <t>DRA. TITI SOLFITRI, M.Ed</t>
  </si>
  <si>
    <t>196209091986012001</t>
  </si>
  <si>
    <t>DRA. TRI UMARI, M.SI</t>
  </si>
  <si>
    <t>195907191986102001</t>
  </si>
  <si>
    <t>DRA. YUSLIM FAUZIAH, MS</t>
  </si>
  <si>
    <t>196210011986032002</t>
  </si>
  <si>
    <t>DRA. ZULHELMI, M.PD</t>
  </si>
  <si>
    <t>195604241984031004</t>
  </si>
  <si>
    <t>DRS. ABDUL RAZAK, MPD</t>
  </si>
  <si>
    <t>196610021991031003</t>
  </si>
  <si>
    <t>DRS. ELFIS SUANTO, M.SI</t>
  </si>
  <si>
    <t>195906291987031002</t>
  </si>
  <si>
    <t>DRS. JOHNI AZMI, MS</t>
  </si>
  <si>
    <t>196806141997021001</t>
  </si>
  <si>
    <t>DRS. M. RAHMAD, M.SI</t>
  </si>
  <si>
    <t>195507061985031001</t>
  </si>
  <si>
    <t>DRS. NURSAL HAKIM, M,Pd</t>
  </si>
  <si>
    <t>196405071991031003</t>
  </si>
  <si>
    <t>DRS. NURSAL, M.SI</t>
  </si>
  <si>
    <t>195912111986011003</t>
  </si>
  <si>
    <t>DRS. R.ARLIZON, M.PD</t>
  </si>
  <si>
    <t>Ketua Jurusan A Gol. IV</t>
  </si>
  <si>
    <t>195406171985031002</t>
  </si>
  <si>
    <t>DRS. RIDWAN MELAY, M.HUM</t>
  </si>
  <si>
    <t>195811061986011002</t>
  </si>
  <si>
    <t>DRS. SAID SUHIL ACHMAD, M.PD</t>
  </si>
  <si>
    <t>195306031981031002</t>
  </si>
  <si>
    <t>DRS. WUSONO INDARTO, M.Pd</t>
  </si>
  <si>
    <t>Pendidikan Guru Pendidikan Anak Usia Dini</t>
  </si>
  <si>
    <t>196207231987021001</t>
  </si>
  <si>
    <t>DRS. ZUHDI, M. Pd</t>
  </si>
  <si>
    <t>195706041988111001</t>
  </si>
  <si>
    <t>DRS. ZUHRI. D, M.PD</t>
  </si>
  <si>
    <t>195912291985031004</t>
  </si>
  <si>
    <t>DRS. ZULKIFLI N. M.PD</t>
  </si>
  <si>
    <t>195706201983032001</t>
  </si>
  <si>
    <t>DRa. TITI MAIMUNATY, M.SI</t>
  </si>
  <si>
    <t>197312111998022001</t>
  </si>
  <si>
    <t>Dr. AZIZAHWATI, S.SI,M.SI</t>
  </si>
  <si>
    <t>196612311994032003</t>
  </si>
  <si>
    <t>Dr. ERNI, S.PD, M.HUM</t>
  </si>
  <si>
    <t>195708181983031003</t>
  </si>
  <si>
    <t>Dr. Fadly Azhar, Dipl., M.Ed</t>
  </si>
  <si>
    <t>197005151999031001</t>
  </si>
  <si>
    <t>Dr. Fakhruddin, S.Si, MT</t>
  </si>
  <si>
    <t>195912081986021002</t>
  </si>
  <si>
    <t>Dr. H. Suarman, M.Pd</t>
  </si>
  <si>
    <t>197204241999032002</t>
  </si>
  <si>
    <t>Dr. MARIA ERNA, S.SI,M.SI</t>
  </si>
  <si>
    <t>197204171998021002</t>
  </si>
  <si>
    <t>Dr. MUHAMMAD NASIR, S.SI, M.Kom</t>
  </si>
  <si>
    <t>196208311987111001</t>
  </si>
  <si>
    <t>Dr. Mangatur Sinaga, M. Hum</t>
  </si>
  <si>
    <t>197403221999031002</t>
  </si>
  <si>
    <t>Dr. NUR ISLAMI, S.SI,MT</t>
  </si>
  <si>
    <t>195909111984031002</t>
  </si>
  <si>
    <t>Dr. RADJAWALY USMAN RERY, MPD</t>
  </si>
  <si>
    <t>197305231998022001</t>
  </si>
  <si>
    <t>Dr. SUSILAWATI, S.SI,M.SI</t>
  </si>
  <si>
    <t>197102251998022001</t>
  </si>
  <si>
    <t>Dr. YENNITA, S.SI, M.SI</t>
  </si>
  <si>
    <t>196912311997021003</t>
  </si>
  <si>
    <t>Dr. ZULIRFAN, S.SI, M.SI</t>
  </si>
  <si>
    <t>Wakil Dekan I A Gol. IV</t>
  </si>
  <si>
    <t>195407181983022001</t>
  </si>
  <si>
    <t>Dra. Elva Yasmi Amran, M.Si</t>
  </si>
  <si>
    <t>196203191986032001</t>
  </si>
  <si>
    <t>Dra. Hj. Elni Yakub, M.S</t>
  </si>
  <si>
    <t>195712051983031001</t>
  </si>
  <si>
    <t>Drs. H. Aswandi Bahar.M. Lib</t>
  </si>
  <si>
    <t>196109011987021001</t>
  </si>
  <si>
    <t>Drs. Hendar Sudrajad, M. Pd</t>
  </si>
  <si>
    <t>196404071990021001</t>
  </si>
  <si>
    <t>Drs. Sakur, M. Ed</t>
  </si>
  <si>
    <t>195908101984101001</t>
  </si>
  <si>
    <t>Drs. Wilson, M. Si</t>
  </si>
  <si>
    <t>197208052000121001</t>
  </si>
  <si>
    <t>MUHAMMAD NOR, S.SI, MT</t>
  </si>
  <si>
    <t>196803011994032002</t>
  </si>
  <si>
    <t>RINA SELVA JOHAN, SE, MM</t>
  </si>
  <si>
    <t>197007301999032002</t>
  </si>
  <si>
    <t>Sri Erlinda, S.IP, M.Si</t>
  </si>
  <si>
    <t>197006131998021002</t>
  </si>
  <si>
    <t>Abdullah, S.Si, M.Si</t>
  </si>
  <si>
    <t>III/c</t>
  </si>
  <si>
    <t>Lektor Gol. III</t>
  </si>
  <si>
    <t>197312131998022001</t>
  </si>
  <si>
    <t>DESRI MARIA SUBAYAK, SS, M.Hum</t>
  </si>
  <si>
    <t>197506202008121002</t>
  </si>
  <si>
    <t>DR. AFRIANTO, M.ED</t>
  </si>
  <si>
    <t>III/b</t>
  </si>
  <si>
    <t>196504161990031005</t>
  </si>
  <si>
    <t>DR. DUDUNG BURHANUDDIN, M.PD</t>
  </si>
  <si>
    <t>196211091992032001</t>
  </si>
  <si>
    <t>DR. HJ. NOVITRI, M.App.L</t>
  </si>
  <si>
    <t>196201151987022001</t>
  </si>
  <si>
    <t>DR. MAIMUNAH, M.SI</t>
  </si>
  <si>
    <t>196309131989031002</t>
  </si>
  <si>
    <t>DR. MOCHAMAD YUSUF, MPD</t>
  </si>
  <si>
    <t>195209171976022001</t>
  </si>
  <si>
    <t>DR. RAIDA JOHAR, MA</t>
  </si>
  <si>
    <t>196207191986032002</t>
  </si>
  <si>
    <t>DR. RASMIWETTI, MS</t>
  </si>
  <si>
    <t>197401162000122001</t>
  </si>
  <si>
    <t>DR. ROZA LINDA, S.SI, M.SI</t>
  </si>
  <si>
    <t>196006251986012003</t>
  </si>
  <si>
    <t>DRA. GUSTIMAL W GAZALI</t>
  </si>
  <si>
    <t>Pendidikan Guru Sekolah Dasar</t>
  </si>
  <si>
    <t>196310201989031002</t>
  </si>
  <si>
    <t>DRS. GANI HARYANA, M.PD</t>
  </si>
  <si>
    <t>196411251990091001</t>
  </si>
  <si>
    <t>DRS. HENDRI PIDES, M.SI</t>
  </si>
  <si>
    <t>195608021980121001</t>
  </si>
  <si>
    <t>DRS. JASFAR JAS, M.PD</t>
  </si>
  <si>
    <t>Lektor Gol. IV</t>
  </si>
  <si>
    <t>Wakil Dekan II A Gol. IV</t>
  </si>
  <si>
    <t>196703152005011002</t>
  </si>
  <si>
    <t>DRS. KAMARUDDIN, M.Si</t>
  </si>
  <si>
    <t>Ketua Jurusan A Gol. III</t>
  </si>
  <si>
    <t>195512191980121001</t>
  </si>
  <si>
    <t>DRS. LAZIM. N, M.PD</t>
  </si>
  <si>
    <t>196107211988111002</t>
  </si>
  <si>
    <t>DRS. M. SYARFI, MA.DILP. IT</t>
  </si>
  <si>
    <t>195206121981031005</t>
  </si>
  <si>
    <t>DRS. MANGIHUT NABABAN</t>
  </si>
  <si>
    <t>195502041989031001</t>
  </si>
  <si>
    <t>DRS. MARZUKI, M.ED, MA</t>
  </si>
  <si>
    <t>196110121995021001</t>
  </si>
  <si>
    <t>DRS. MASYHUR, M.ED</t>
  </si>
  <si>
    <t>195910201985031002</t>
  </si>
  <si>
    <t>DRS. RAMADI, S.PD, M.Kes.AIFO</t>
  </si>
  <si>
    <t>Pendidikan Jasmani, Kesehatan Dan Rekreas</t>
  </si>
  <si>
    <t>195210151978021001</t>
  </si>
  <si>
    <t>DRS. SUDIRMAN A.RAKHMAN SADIAH,M.PD</t>
  </si>
  <si>
    <t>196104141989031002</t>
  </si>
  <si>
    <t>DRS. SUHERMI, M.PD</t>
  </si>
  <si>
    <t>196205121990031002</t>
  </si>
  <si>
    <t>DRS. SUPRIUSMAN, MA</t>
  </si>
  <si>
    <t>195912071986031003</t>
  </si>
  <si>
    <t>DRS. SYAHRILFUDDIN, M. Pd</t>
  </si>
  <si>
    <t>195510291983031002</t>
  </si>
  <si>
    <t>DRS. TUGIMAN, MS</t>
  </si>
  <si>
    <t>195506241985031001</t>
  </si>
  <si>
    <t>DRS. ZAHIRMAN, MH</t>
  </si>
  <si>
    <t>Ketua Lembaga Tk. Universitas Gol. III</t>
  </si>
  <si>
    <t>196506211991031004</t>
  </si>
  <si>
    <t>DRS. ZARIUL ANTOSA, M.SN</t>
  </si>
  <si>
    <t>197712232008011010</t>
  </si>
  <si>
    <t>Dr. HERMANDRA, S.PD, MA</t>
  </si>
  <si>
    <t>196804152008011013</t>
  </si>
  <si>
    <t>Dr. IMAM MAHADI, M. Sc</t>
  </si>
  <si>
    <t>197102022006042001</t>
  </si>
  <si>
    <t>Dr. IR. ZULFARINA, M.SI</t>
  </si>
  <si>
    <t>197207032006042002</t>
  </si>
  <si>
    <t>Dr. Kartini, S. Pd, M. Si</t>
  </si>
  <si>
    <t>197201071998022001</t>
  </si>
  <si>
    <t>Dr. RINI, S.SI, M.SI</t>
  </si>
  <si>
    <t>196909012008011006</t>
  </si>
  <si>
    <t>Dr. ZAINUR, S.PD, M.PD</t>
  </si>
  <si>
    <t>Pendidikan Kepelatihan Olahraga</t>
  </si>
  <si>
    <t>195902081987032002</t>
  </si>
  <si>
    <t>Dra. Hj. Elya Pebrita, M.Si</t>
  </si>
  <si>
    <t>195406221983032001</t>
  </si>
  <si>
    <t>Dra. Hj. Widiastuti, M. Pd</t>
  </si>
  <si>
    <t>195611161986012001</t>
  </si>
  <si>
    <t>Dra. Rosmawati. SS, M. Pd. Kons</t>
  </si>
  <si>
    <t>195304151985031002</t>
  </si>
  <si>
    <t>Drs. Saripin, M.Kes</t>
  </si>
  <si>
    <t>195603111983031001</t>
  </si>
  <si>
    <t>Drs. Slamet, M.Kes. Aifo</t>
  </si>
  <si>
    <t>196108031987031001</t>
  </si>
  <si>
    <t>Drs. Yuherdi, M. Pd</t>
  </si>
  <si>
    <t>198211202009121004</t>
  </si>
  <si>
    <t>EDDY NOVIANA, S.PD, M.PD</t>
  </si>
  <si>
    <t>198104252005012004</t>
  </si>
  <si>
    <t>FENNY TRISNAWATI, M. Si,.SE.AK</t>
  </si>
  <si>
    <t>198408292008121001</t>
  </si>
  <si>
    <t>HADI RUMADI, S.PD, M. Pd</t>
  </si>
  <si>
    <t>198003152008121001</t>
  </si>
  <si>
    <t>Hendri Marhadi, M. Pd</t>
  </si>
  <si>
    <t>197910132008121002</t>
  </si>
  <si>
    <t>MAHMUD ALPUSARI, M.PD</t>
  </si>
  <si>
    <t>198305182009121005</t>
  </si>
  <si>
    <t>OTANG KURNIAMAN, S.PD, M.PD</t>
  </si>
  <si>
    <t>197509092005011003</t>
  </si>
  <si>
    <t>RM. Riadi, SE, Ak, M. Si</t>
  </si>
  <si>
    <t>197911152008122001</t>
  </si>
  <si>
    <t>Ria Novianti, S. Pi, M. Pd</t>
  </si>
  <si>
    <t>197407032000122001</t>
  </si>
  <si>
    <t>SRI HARYATI, S.PD, M.SI</t>
  </si>
  <si>
    <t>198506022008121004</t>
  </si>
  <si>
    <t>SUPENTRI, S.PD, M. Pd</t>
  </si>
  <si>
    <t>III/a</t>
  </si>
  <si>
    <t>197905142006042001</t>
  </si>
  <si>
    <t>SYARIFAH NUR SIREGAR, S.SI, M. Si</t>
  </si>
  <si>
    <t>198510222015041001</t>
  </si>
  <si>
    <t>AGUS SULASTIO, S.Pd, M.Pd</t>
  </si>
  <si>
    <t>Dosen belum punya Jabatan Gol. III</t>
  </si>
  <si>
    <t>198109132008011011</t>
  </si>
  <si>
    <t>AHMAL, S.PD, M. Pd</t>
  </si>
  <si>
    <t>Dosen Tugas Belajar Gol. III</t>
  </si>
  <si>
    <t>197801012008121003</t>
  </si>
  <si>
    <t>ALIMANDAN, S.PD, M. Pd</t>
  </si>
  <si>
    <t>197910162008122002</t>
  </si>
  <si>
    <t>ARDIAH JUITA, M.PD</t>
  </si>
  <si>
    <t>Asisten Ahli Gol. III</t>
  </si>
  <si>
    <t>198501042015041001</t>
  </si>
  <si>
    <t>AREF VAI, S.Pd, M.Pd</t>
  </si>
  <si>
    <t>198011012006041004</t>
  </si>
  <si>
    <t>Asril,  S.Pd, M. Pd</t>
  </si>
  <si>
    <t>197506122008121003</t>
  </si>
  <si>
    <t>BUNARI, M.SI</t>
  </si>
  <si>
    <t>197409012006041002</t>
  </si>
  <si>
    <t>DARMADI, S.PD, M.SI</t>
  </si>
  <si>
    <t>197904162008122001</t>
  </si>
  <si>
    <t>DEVI RISMA, M.Si, Psi</t>
  </si>
  <si>
    <t>198503282015042001</t>
  </si>
  <si>
    <t>DINI BUDIANI, B.Eng, M.Ed</t>
  </si>
  <si>
    <t>Pendidikan Bahasa Jepang</t>
  </si>
  <si>
    <t>197607052009121002</t>
  </si>
  <si>
    <t>DR. DAVIQ CHAIRILSYAH, S.PI, M.PSI</t>
  </si>
  <si>
    <t>196704252014092001</t>
  </si>
  <si>
    <t>DR. RITA KURNIA, M. Ed</t>
  </si>
  <si>
    <t>196006051986112001</t>
  </si>
  <si>
    <t>DRA. RUMIRI ROTUA ARUAN, M.HUM</t>
  </si>
  <si>
    <t>196504211993031001</t>
  </si>
  <si>
    <t>DRS. AHMAD EDDISON, M.SI</t>
  </si>
  <si>
    <t xml:space="preserve">Dosen Tugas Belajar Gol. IV </t>
  </si>
  <si>
    <t>196905182008011006</t>
  </si>
  <si>
    <t>Dr. ARZA AIBONOTIKA, SS, M.SI</t>
  </si>
  <si>
    <t>196711241998021001</t>
  </si>
  <si>
    <t>Dr. DAHNIL SYAH, SS, M, A</t>
  </si>
  <si>
    <t>197304022000032002</t>
  </si>
  <si>
    <t>Dr. FITRA SUZANTI, S.SI, M.SI</t>
  </si>
  <si>
    <t>198402272009122002</t>
  </si>
  <si>
    <t>Dr. NENI HERMITA, S.PD, M.PD</t>
  </si>
  <si>
    <t>198901292014042001</t>
  </si>
  <si>
    <t>ELVRIN SEPTYANTI , S.Pd , M.Pd</t>
  </si>
  <si>
    <t>198402242010122005</t>
  </si>
  <si>
    <t>ENDA PUSPITASARI, S.PD, M.PD</t>
  </si>
  <si>
    <t>198302032010122004</t>
  </si>
  <si>
    <t>ERLISNAWATI, S.PD, M.PD</t>
  </si>
  <si>
    <t>196709171994032001</t>
  </si>
  <si>
    <t>FANGIANA SAFITRIDIAH, S.S, M.Ed</t>
  </si>
  <si>
    <t>198302072012121002</t>
  </si>
  <si>
    <t>FEBRIALISMANTO, S.Pd. M.Pd</t>
  </si>
  <si>
    <t>197404302014092001</t>
  </si>
  <si>
    <t>GUSLINDA, SPd, M. Pd</t>
  </si>
  <si>
    <t>197602022005012002</t>
  </si>
  <si>
    <t>HANA NIMASHITA, SS, M. Si</t>
  </si>
  <si>
    <t>197112152006041001</t>
  </si>
  <si>
    <t>HARDISEM SYABRUS, S.PD, MM</t>
  </si>
  <si>
    <t>198403222008121002</t>
  </si>
  <si>
    <t>HARYONO, S.PD, M. Pd</t>
  </si>
  <si>
    <t>197509242008121002</t>
  </si>
  <si>
    <t>HUKMI, M.HUM</t>
  </si>
  <si>
    <t>198004092008122002</t>
  </si>
  <si>
    <t>JESI ALEXANDER ALIM, M.PD</t>
  </si>
  <si>
    <t>197709112008011006</t>
  </si>
  <si>
    <t>JUMILI ARIANTO, S.PD, M.H</t>
  </si>
  <si>
    <t>198708172014041001</t>
  </si>
  <si>
    <t>KRISTI AGUST , M.Pd</t>
  </si>
  <si>
    <t>197206031999032003</t>
  </si>
  <si>
    <t>LENNY ANWAR S, S.Si, M.Si</t>
  </si>
  <si>
    <t>197810232010121002</t>
  </si>
  <si>
    <t>M.JAYA ADI PUTRA, S,SI, M.PD</t>
  </si>
  <si>
    <t>197303252014092002</t>
  </si>
  <si>
    <t>MARIA SAFRIYANTI, S.S</t>
  </si>
  <si>
    <t>197901102005012002</t>
  </si>
  <si>
    <t>MERRI SILVIA BASRI, S.S, M. Pd</t>
  </si>
  <si>
    <t>198806132015041001</t>
  </si>
  <si>
    <t>MUHAMMAD FENDRIK, S.Pd, M.Pd</t>
  </si>
  <si>
    <t>196902012001121001</t>
  </si>
  <si>
    <t>MUHAMMAD SAHAL, S.SI, M.SI</t>
  </si>
  <si>
    <t>198102052009041004</t>
  </si>
  <si>
    <t>MUHAMMAD SYAFI'I, S.Pd, M.P.d</t>
  </si>
  <si>
    <t>197106212010122001</t>
  </si>
  <si>
    <t>NURLITA, S.PD, M.PD</t>
  </si>
  <si>
    <t>197907122008122003</t>
  </si>
  <si>
    <t>Nana Rahayu, B. Com, M. Si</t>
  </si>
  <si>
    <t>198710112012122004</t>
  </si>
  <si>
    <t>Ni Putu Nitawijayanti, S. Pd, M. Pd</t>
  </si>
  <si>
    <t>198011122008122001</t>
  </si>
  <si>
    <t>SRI WAHYU WIDIATI, SS, M. Pd</t>
  </si>
  <si>
    <t>197704042005011004</t>
  </si>
  <si>
    <t>SYAHRIL, S.SI, MT</t>
  </si>
  <si>
    <t>198106112014042001</t>
  </si>
  <si>
    <t>YENI SOLFIAH, S.Pd , M.Pd</t>
  </si>
  <si>
    <t>198506222012121001</t>
  </si>
  <si>
    <t>ZETRA HAINUL PUTRA, S.Si, M.Sc</t>
  </si>
  <si>
    <t>197801012014091005</t>
  </si>
  <si>
    <t>ZUFRIADY, S.Sn, M. Pd</t>
  </si>
  <si>
    <t>197907022008122003</t>
  </si>
  <si>
    <t>ZULI LAILI ISNAINI, S.S, M.A</t>
  </si>
  <si>
    <t>Menyetujui,</t>
  </si>
  <si>
    <t>Pekanbaru, 26 Oktober 2017</t>
  </si>
  <si>
    <t>Wakil Dekan Bidang Akademik</t>
  </si>
  <si>
    <t>Admin Fakultas</t>
  </si>
  <si>
    <t>(..............................................)</t>
  </si>
  <si>
    <t>( Admin FKIP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</si>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</sst>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2219aefdc50d861bc2d7f45ed66cf3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218"/>
  <sheetViews>
    <sheetView tabSelected="1" workbookViewId="0" showGridLines="true" showRowColHeaders="1">
      <selection activeCell="A211" sqref="A21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1.5</v>
      </c>
      <c r="L11" s="11">
        <v>2.18</v>
      </c>
      <c r="M11" s="11">
        <v>1.83</v>
      </c>
      <c r="N11" s="11">
        <v>0</v>
      </c>
      <c r="O11" s="11">
        <v>0.78</v>
      </c>
      <c r="P11" s="11">
        <v>0</v>
      </c>
      <c r="Q11" s="11">
        <v>6.289999999999999</v>
      </c>
      <c r="R11" s="11">
        <v>38.05</v>
      </c>
      <c r="S11" s="11">
        <v>44.34</v>
      </c>
      <c r="T11" s="11">
        <v>2.67</v>
      </c>
      <c r="U11" s="11">
        <v>3</v>
      </c>
      <c r="V11" s="11">
        <v>38.66999999999999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0.83</v>
      </c>
      <c r="L12" s="11">
        <v>3.28</v>
      </c>
      <c r="M12" s="11">
        <v>0.67</v>
      </c>
      <c r="N12" s="11">
        <v>0</v>
      </c>
      <c r="O12" s="11">
        <v>0.18</v>
      </c>
      <c r="P12" s="11">
        <v>0</v>
      </c>
      <c r="Q12" s="11">
        <v>4.96</v>
      </c>
      <c r="R12" s="11">
        <v>22.3</v>
      </c>
      <c r="S12" s="11">
        <v>27.26</v>
      </c>
      <c r="T12" s="11">
        <v>2.67</v>
      </c>
      <c r="U12" s="11">
        <v>3</v>
      </c>
      <c r="V12" s="11">
        <v>21.59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47</v>
      </c>
      <c r="F13" s="7" t="s">
        <v>42</v>
      </c>
      <c r="G13" s="7"/>
      <c r="H13" s="7" t="s">
        <v>52</v>
      </c>
      <c r="I13" s="11">
        <v>2.67</v>
      </c>
      <c r="J13" s="11">
        <v>3</v>
      </c>
      <c r="K13" s="11">
        <v>0</v>
      </c>
      <c r="L13" s="11">
        <v>1.41</v>
      </c>
      <c r="M13" s="11">
        <v>1.65</v>
      </c>
      <c r="N13" s="11">
        <v>0</v>
      </c>
      <c r="O13" s="11">
        <v>0.18</v>
      </c>
      <c r="P13" s="11">
        <v>0</v>
      </c>
      <c r="Q13" s="11">
        <v>3.24</v>
      </c>
      <c r="R13" s="11">
        <v>32.45999999999999</v>
      </c>
      <c r="S13" s="11">
        <v>35.69999999999999</v>
      </c>
      <c r="T13" s="11">
        <v>2.67</v>
      </c>
      <c r="U13" s="11">
        <v>3</v>
      </c>
      <c r="V13" s="11">
        <v>30.02999999999999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46</v>
      </c>
      <c r="E14" s="7" t="s">
        <v>47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1.67</v>
      </c>
      <c r="L14" s="11">
        <v>2.719999999999999</v>
      </c>
      <c r="M14" s="11">
        <v>1.68</v>
      </c>
      <c r="N14" s="11">
        <v>0</v>
      </c>
      <c r="O14" s="11">
        <v>5.879999999999999</v>
      </c>
      <c r="P14" s="11">
        <v>0</v>
      </c>
      <c r="Q14" s="11">
        <v>11.95</v>
      </c>
      <c r="R14" s="11">
        <v>52.07999999999999</v>
      </c>
      <c r="S14" s="11">
        <v>64.02999999999999</v>
      </c>
      <c r="T14" s="11">
        <v>2.67</v>
      </c>
      <c r="U14" s="11">
        <v>3</v>
      </c>
      <c r="V14" s="11">
        <v>58.35999999999999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47</v>
      </c>
      <c r="F15" s="7" t="s">
        <v>42</v>
      </c>
      <c r="G15" s="7"/>
      <c r="H15" s="7" t="s">
        <v>59</v>
      </c>
      <c r="I15" s="11">
        <v>2.67</v>
      </c>
      <c r="J15" s="11">
        <v>3</v>
      </c>
      <c r="K15" s="11">
        <v>1.33</v>
      </c>
      <c r="L15" s="11">
        <v>7.43</v>
      </c>
      <c r="M15" s="11">
        <v>0.5</v>
      </c>
      <c r="N15" s="11">
        <v>0</v>
      </c>
      <c r="O15" s="11">
        <v>0</v>
      </c>
      <c r="P15" s="11">
        <v>0</v>
      </c>
      <c r="Q15" s="11">
        <v>9.26</v>
      </c>
      <c r="R15" s="11">
        <v>55.68</v>
      </c>
      <c r="S15" s="11">
        <v>64.94</v>
      </c>
      <c r="T15" s="11">
        <v>2.67</v>
      </c>
      <c r="U15" s="11">
        <v>3</v>
      </c>
      <c r="V15" s="11">
        <v>59.27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62</v>
      </c>
      <c r="E16" s="7" t="s">
        <v>41</v>
      </c>
      <c r="F16" s="7" t="s">
        <v>42</v>
      </c>
      <c r="G16" s="7"/>
      <c r="H16" s="7" t="s">
        <v>63</v>
      </c>
      <c r="I16" s="11">
        <v>2.67</v>
      </c>
      <c r="J16" s="11">
        <v>3</v>
      </c>
      <c r="K16" s="11">
        <v>0.95</v>
      </c>
      <c r="L16" s="11">
        <v>4.849999999999998</v>
      </c>
      <c r="M16" s="11">
        <v>0.8300000000000001</v>
      </c>
      <c r="N16" s="11">
        <v>0</v>
      </c>
      <c r="O16" s="11">
        <v>0</v>
      </c>
      <c r="P16" s="11">
        <v>0</v>
      </c>
      <c r="Q16" s="11">
        <v>6.629999999999998</v>
      </c>
      <c r="R16" s="11">
        <v>56.41999999999995</v>
      </c>
      <c r="S16" s="11">
        <v>63.04999999999995</v>
      </c>
      <c r="T16" s="11">
        <v>2.67</v>
      </c>
      <c r="U16" s="11">
        <v>3</v>
      </c>
      <c r="V16" s="11">
        <v>57.37999999999995</v>
      </c>
      <c r="W16" s="13">
        <v>18.69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40</v>
      </c>
      <c r="E17" s="7" t="s">
        <v>66</v>
      </c>
      <c r="F17" s="7" t="s">
        <v>42</v>
      </c>
      <c r="G17" s="7"/>
      <c r="H17" s="7" t="s">
        <v>67</v>
      </c>
      <c r="I17" s="11">
        <v>2.67</v>
      </c>
      <c r="J17" s="11">
        <v>3</v>
      </c>
      <c r="K17" s="11">
        <v>1.33</v>
      </c>
      <c r="L17" s="11">
        <v>4.169999999999999</v>
      </c>
      <c r="M17" s="11">
        <v>1.17</v>
      </c>
      <c r="N17" s="11">
        <v>0</v>
      </c>
      <c r="O17" s="11">
        <v>0.36</v>
      </c>
      <c r="P17" s="11">
        <v>0</v>
      </c>
      <c r="Q17" s="11">
        <v>7.03</v>
      </c>
      <c r="R17" s="11">
        <v>45.22</v>
      </c>
      <c r="S17" s="11">
        <v>52.25</v>
      </c>
      <c r="T17" s="11">
        <v>2.67</v>
      </c>
      <c r="U17" s="11">
        <v>3</v>
      </c>
      <c r="V17" s="11">
        <v>46.58</v>
      </c>
      <c r="W17" s="13">
        <v>18.69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68</v>
      </c>
      <c r="C18" s="10" t="s">
        <v>69</v>
      </c>
      <c r="D18" s="7" t="s">
        <v>46</v>
      </c>
      <c r="E18" s="7" t="s">
        <v>66</v>
      </c>
      <c r="F18" s="7" t="s">
        <v>42</v>
      </c>
      <c r="G18" s="7"/>
      <c r="H18" s="7"/>
      <c r="I18" s="11">
        <v>2.67</v>
      </c>
      <c r="J18" s="11">
        <v>3</v>
      </c>
      <c r="K18" s="11">
        <v>0</v>
      </c>
      <c r="L18" s="11">
        <v>4.899999999999998</v>
      </c>
      <c r="M18" s="11">
        <v>0.67</v>
      </c>
      <c r="N18" s="11">
        <v>0</v>
      </c>
      <c r="O18" s="11">
        <v>0.72</v>
      </c>
      <c r="P18" s="11">
        <v>0.8</v>
      </c>
      <c r="Q18" s="11">
        <v>7.089999999999996</v>
      </c>
      <c r="R18" s="11">
        <v>52.66999999999998</v>
      </c>
      <c r="S18" s="11">
        <v>59.75999999999998</v>
      </c>
      <c r="T18" s="11">
        <v>2.67</v>
      </c>
      <c r="U18" s="11">
        <v>3</v>
      </c>
      <c r="V18" s="11">
        <v>54.08999999999997</v>
      </c>
      <c r="W18" s="13">
        <v>18.69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66</v>
      </c>
      <c r="F19" s="7" t="s">
        <v>42</v>
      </c>
      <c r="G19" s="7"/>
      <c r="H19" s="7" t="s">
        <v>52</v>
      </c>
      <c r="I19" s="11">
        <v>2.67</v>
      </c>
      <c r="J19" s="11">
        <v>3</v>
      </c>
      <c r="K19" s="11">
        <v>0</v>
      </c>
      <c r="L19" s="11">
        <v>5.539999999999999</v>
      </c>
      <c r="M19" s="11">
        <v>0.16</v>
      </c>
      <c r="N19" s="11">
        <v>0</v>
      </c>
      <c r="O19" s="11">
        <v>0</v>
      </c>
      <c r="P19" s="11">
        <v>0</v>
      </c>
      <c r="Q19" s="11">
        <v>5.699999999999999</v>
      </c>
      <c r="R19" s="11">
        <v>38.17999999999999</v>
      </c>
      <c r="S19" s="11">
        <v>43.87999999999998</v>
      </c>
      <c r="T19" s="11">
        <v>2.67</v>
      </c>
      <c r="U19" s="11">
        <v>3</v>
      </c>
      <c r="V19" s="11">
        <v>38.20999999999998</v>
      </c>
      <c r="W19" s="13">
        <v>18.69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74</v>
      </c>
      <c r="E20" s="7" t="s">
        <v>66</v>
      </c>
      <c r="F20" s="7" t="s">
        <v>42</v>
      </c>
      <c r="G20" s="7"/>
      <c r="H20" s="7" t="s">
        <v>52</v>
      </c>
      <c r="I20" s="11">
        <v>2.67</v>
      </c>
      <c r="J20" s="11">
        <v>3</v>
      </c>
      <c r="K20" s="11">
        <v>0</v>
      </c>
      <c r="L20" s="11">
        <v>4.919999999999998</v>
      </c>
      <c r="M20" s="11">
        <v>1.01</v>
      </c>
      <c r="N20" s="11">
        <v>0</v>
      </c>
      <c r="O20" s="11">
        <v>0.6700000000000002</v>
      </c>
      <c r="P20" s="11">
        <v>0</v>
      </c>
      <c r="Q20" s="11">
        <v>6.599999999999996</v>
      </c>
      <c r="R20" s="11">
        <v>46.63999999999999</v>
      </c>
      <c r="S20" s="11">
        <v>53.23999999999998</v>
      </c>
      <c r="T20" s="11">
        <v>2.67</v>
      </c>
      <c r="U20" s="11">
        <v>3</v>
      </c>
      <c r="V20" s="11">
        <v>47.56999999999998</v>
      </c>
      <c r="W20" s="13">
        <v>18.69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74</v>
      </c>
      <c r="E21" s="7" t="s">
        <v>77</v>
      </c>
      <c r="F21" s="7" t="s">
        <v>78</v>
      </c>
      <c r="G21" s="7"/>
      <c r="H21" s="7" t="s">
        <v>52</v>
      </c>
      <c r="I21" s="11">
        <v>2</v>
      </c>
      <c r="J21" s="11">
        <v>3</v>
      </c>
      <c r="K21" s="11">
        <v>0</v>
      </c>
      <c r="L21" s="11">
        <v>1.93</v>
      </c>
      <c r="M21" s="11">
        <v>0.66</v>
      </c>
      <c r="N21" s="11">
        <v>0</v>
      </c>
      <c r="O21" s="11">
        <v>0.6599999999999999</v>
      </c>
      <c r="P21" s="11">
        <v>0</v>
      </c>
      <c r="Q21" s="11">
        <v>3.250000000000001</v>
      </c>
      <c r="R21" s="11">
        <v>19.13</v>
      </c>
      <c r="S21" s="11">
        <v>22.38</v>
      </c>
      <c r="T21" s="11">
        <v>2</v>
      </c>
      <c r="U21" s="11">
        <v>3</v>
      </c>
      <c r="V21" s="11">
        <v>17.38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81</v>
      </c>
      <c r="E22" s="7" t="s">
        <v>82</v>
      </c>
      <c r="F22" s="7" t="s">
        <v>78</v>
      </c>
      <c r="G22" s="7"/>
      <c r="H22" s="7" t="s">
        <v>52</v>
      </c>
      <c r="I22" s="11">
        <v>2</v>
      </c>
      <c r="J22" s="11">
        <v>3</v>
      </c>
      <c r="K22" s="11">
        <v>0</v>
      </c>
      <c r="L22" s="11">
        <v>1.19</v>
      </c>
      <c r="M22" s="11">
        <v>0.99</v>
      </c>
      <c r="N22" s="11">
        <v>0</v>
      </c>
      <c r="O22" s="11">
        <v>0</v>
      </c>
      <c r="P22" s="11">
        <v>0</v>
      </c>
      <c r="Q22" s="11">
        <v>2.180000000000001</v>
      </c>
      <c r="R22" s="11">
        <v>34.16999999999999</v>
      </c>
      <c r="S22" s="11">
        <v>36.34999999999999</v>
      </c>
      <c r="T22" s="11">
        <v>2</v>
      </c>
      <c r="U22" s="11">
        <v>3</v>
      </c>
      <c r="V22" s="11">
        <v>31.34999999999999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83</v>
      </c>
      <c r="C23" s="10" t="s">
        <v>84</v>
      </c>
      <c r="D23" s="7" t="s">
        <v>85</v>
      </c>
      <c r="E23" s="7" t="s">
        <v>77</v>
      </c>
      <c r="F23" s="7" t="s">
        <v>78</v>
      </c>
      <c r="G23" s="7"/>
      <c r="H23" s="7" t="s">
        <v>52</v>
      </c>
      <c r="I23" s="11">
        <v>2</v>
      </c>
      <c r="J23" s="11">
        <v>3</v>
      </c>
      <c r="K23" s="11">
        <v>0</v>
      </c>
      <c r="L23" s="11">
        <v>6.279999999999997</v>
      </c>
      <c r="M23" s="11">
        <v>0.8200000000000001</v>
      </c>
      <c r="N23" s="11">
        <v>0</v>
      </c>
      <c r="O23" s="11">
        <v>0</v>
      </c>
      <c r="P23" s="11">
        <v>0</v>
      </c>
      <c r="Q23" s="11">
        <v>7.099999999999997</v>
      </c>
      <c r="R23" s="11">
        <v>38.48999999999999</v>
      </c>
      <c r="S23" s="11">
        <v>45.58999999999999</v>
      </c>
      <c r="T23" s="11">
        <v>2</v>
      </c>
      <c r="U23" s="11">
        <v>3</v>
      </c>
      <c r="V23" s="11">
        <v>40.58999999999999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86</v>
      </c>
      <c r="C24" s="10" t="s">
        <v>87</v>
      </c>
      <c r="D24" s="7" t="s">
        <v>46</v>
      </c>
      <c r="E24" s="7" t="s">
        <v>77</v>
      </c>
      <c r="F24" s="7" t="s">
        <v>78</v>
      </c>
      <c r="G24" s="7"/>
      <c r="H24" s="7" t="s">
        <v>52</v>
      </c>
      <c r="I24" s="11">
        <v>2</v>
      </c>
      <c r="J24" s="11">
        <v>3</v>
      </c>
      <c r="K24" s="11">
        <v>0</v>
      </c>
      <c r="L24" s="11">
        <v>4.46</v>
      </c>
      <c r="M24" s="11">
        <v>0.92</v>
      </c>
      <c r="N24" s="11">
        <v>0</v>
      </c>
      <c r="O24" s="11">
        <v>0.79</v>
      </c>
      <c r="P24" s="11">
        <v>0</v>
      </c>
      <c r="Q24" s="11">
        <v>6.169999999999993</v>
      </c>
      <c r="R24" s="11">
        <v>39.86999999999999</v>
      </c>
      <c r="S24" s="11">
        <v>46.03999999999998</v>
      </c>
      <c r="T24" s="11">
        <v>2</v>
      </c>
      <c r="U24" s="11">
        <v>3</v>
      </c>
      <c r="V24" s="11">
        <v>41.03999999999998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90</v>
      </c>
      <c r="E25" s="7" t="s">
        <v>77</v>
      </c>
      <c r="F25" s="7" t="s">
        <v>78</v>
      </c>
      <c r="G25" s="7"/>
      <c r="H25" s="7" t="s">
        <v>52</v>
      </c>
      <c r="I25" s="11">
        <v>2</v>
      </c>
      <c r="J25" s="11">
        <v>3</v>
      </c>
      <c r="K25" s="11">
        <v>0</v>
      </c>
      <c r="L25" s="11">
        <v>3.369999999999999</v>
      </c>
      <c r="M25" s="11">
        <v>1.33</v>
      </c>
      <c r="N25" s="11">
        <v>0</v>
      </c>
      <c r="O25" s="11">
        <v>0.24</v>
      </c>
      <c r="P25" s="11">
        <v>0</v>
      </c>
      <c r="Q25" s="11">
        <v>4.94</v>
      </c>
      <c r="R25" s="11">
        <v>45.01999999999999</v>
      </c>
      <c r="S25" s="11">
        <v>49.95999999999999</v>
      </c>
      <c r="T25" s="11">
        <v>2</v>
      </c>
      <c r="U25" s="11">
        <v>3</v>
      </c>
      <c r="V25" s="11">
        <v>44.95999999999999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91</v>
      </c>
      <c r="C26" s="10" t="s">
        <v>92</v>
      </c>
      <c r="D26" s="7" t="s">
        <v>93</v>
      </c>
      <c r="E26" s="7" t="s">
        <v>82</v>
      </c>
      <c r="F26" s="7" t="s">
        <v>78</v>
      </c>
      <c r="G26" s="7"/>
      <c r="H26" s="7" t="s">
        <v>52</v>
      </c>
      <c r="I26" s="11">
        <v>2</v>
      </c>
      <c r="J26" s="11">
        <v>3</v>
      </c>
      <c r="K26" s="11">
        <v>0</v>
      </c>
      <c r="L26" s="11">
        <v>4.209999999999998</v>
      </c>
      <c r="M26" s="11">
        <v>0</v>
      </c>
      <c r="N26" s="11">
        <v>0</v>
      </c>
      <c r="O26" s="11">
        <v>0</v>
      </c>
      <c r="P26" s="11">
        <v>0</v>
      </c>
      <c r="Q26" s="11">
        <v>4.209999999999998</v>
      </c>
      <c r="R26" s="11">
        <v>33.99999999999999</v>
      </c>
      <c r="S26" s="11">
        <v>38.20999999999999</v>
      </c>
      <c r="T26" s="11">
        <v>2</v>
      </c>
      <c r="U26" s="11">
        <v>3</v>
      </c>
      <c r="V26" s="11">
        <v>33.20999999999999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94</v>
      </c>
      <c r="C27" s="10" t="s">
        <v>95</v>
      </c>
      <c r="D27" s="7" t="s">
        <v>93</v>
      </c>
      <c r="E27" s="7" t="s">
        <v>66</v>
      </c>
      <c r="F27" s="7" t="s">
        <v>78</v>
      </c>
      <c r="G27" s="7"/>
      <c r="H27" s="7" t="s">
        <v>52</v>
      </c>
      <c r="I27" s="11">
        <v>2</v>
      </c>
      <c r="J27" s="11">
        <v>3</v>
      </c>
      <c r="K27" s="11">
        <v>0</v>
      </c>
      <c r="L27" s="11">
        <v>4.649999999999996</v>
      </c>
      <c r="M27" s="11">
        <v>0.49</v>
      </c>
      <c r="N27" s="11">
        <v>0</v>
      </c>
      <c r="O27" s="11">
        <v>0.36</v>
      </c>
      <c r="P27" s="11">
        <v>0</v>
      </c>
      <c r="Q27" s="11">
        <v>5.499999999999996</v>
      </c>
      <c r="R27" s="11">
        <v>40.79999999999998</v>
      </c>
      <c r="S27" s="11">
        <v>46.29999999999998</v>
      </c>
      <c r="T27" s="11">
        <v>2</v>
      </c>
      <c r="U27" s="11">
        <v>3</v>
      </c>
      <c r="V27" s="11">
        <v>41.29999999999998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96</v>
      </c>
      <c r="C28" s="10" t="s">
        <v>97</v>
      </c>
      <c r="D28" s="7" t="s">
        <v>46</v>
      </c>
      <c r="E28" s="7" t="s">
        <v>66</v>
      </c>
      <c r="F28" s="7" t="s">
        <v>78</v>
      </c>
      <c r="G28" s="7"/>
      <c r="H28" s="7" t="s">
        <v>52</v>
      </c>
      <c r="I28" s="11">
        <v>2</v>
      </c>
      <c r="J28" s="11">
        <v>3</v>
      </c>
      <c r="K28" s="11">
        <v>0</v>
      </c>
      <c r="L28" s="11">
        <v>2.69</v>
      </c>
      <c r="M28" s="11">
        <v>0.8300000000000001</v>
      </c>
      <c r="N28" s="11">
        <v>0</v>
      </c>
      <c r="O28" s="11">
        <v>0.22</v>
      </c>
      <c r="P28" s="11">
        <v>0</v>
      </c>
      <c r="Q28" s="11">
        <v>3.740000000000001</v>
      </c>
      <c r="R28" s="11">
        <v>30.78</v>
      </c>
      <c r="S28" s="11">
        <v>34.52</v>
      </c>
      <c r="T28" s="11">
        <v>2</v>
      </c>
      <c r="U28" s="11">
        <v>3</v>
      </c>
      <c r="V28" s="11">
        <v>29.52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51</v>
      </c>
      <c r="E29" s="7" t="s">
        <v>77</v>
      </c>
      <c r="F29" s="7" t="s">
        <v>78</v>
      </c>
      <c r="G29" s="7"/>
      <c r="H29" s="7" t="s">
        <v>100</v>
      </c>
      <c r="I29" s="11">
        <v>2</v>
      </c>
      <c r="J29" s="11">
        <v>3</v>
      </c>
      <c r="K29" s="11">
        <v>0.95</v>
      </c>
      <c r="L29" s="11">
        <v>2.19</v>
      </c>
      <c r="M29" s="11">
        <v>0.5</v>
      </c>
      <c r="N29" s="11">
        <v>0</v>
      </c>
      <c r="O29" s="11">
        <v>3.68</v>
      </c>
      <c r="P29" s="11">
        <v>0</v>
      </c>
      <c r="Q29" s="11">
        <v>7.32</v>
      </c>
      <c r="R29" s="11">
        <v>34.45</v>
      </c>
      <c r="S29" s="11">
        <v>41.77</v>
      </c>
      <c r="T29" s="11">
        <v>2</v>
      </c>
      <c r="U29" s="11">
        <v>3</v>
      </c>
      <c r="V29" s="11">
        <v>36.77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101</v>
      </c>
      <c r="C30" s="10" t="s">
        <v>102</v>
      </c>
      <c r="D30" s="7" t="s">
        <v>93</v>
      </c>
      <c r="E30" s="7" t="s">
        <v>82</v>
      </c>
      <c r="F30" s="7" t="s">
        <v>78</v>
      </c>
      <c r="G30" s="7"/>
      <c r="H30" s="7" t="s">
        <v>103</v>
      </c>
      <c r="I30" s="11">
        <v>2</v>
      </c>
      <c r="J30" s="11">
        <v>3</v>
      </c>
      <c r="K30" s="11">
        <v>0.83</v>
      </c>
      <c r="L30" s="11">
        <v>3.929999999999999</v>
      </c>
      <c r="M30" s="11">
        <v>1.5</v>
      </c>
      <c r="N30" s="11">
        <v>0</v>
      </c>
      <c r="O30" s="11">
        <v>0.04</v>
      </c>
      <c r="P30" s="11">
        <v>0</v>
      </c>
      <c r="Q30" s="11">
        <v>6.299999999999999</v>
      </c>
      <c r="R30" s="11">
        <v>36.48</v>
      </c>
      <c r="S30" s="11">
        <v>42.77999999999999</v>
      </c>
      <c r="T30" s="11">
        <v>2</v>
      </c>
      <c r="U30" s="11">
        <v>3</v>
      </c>
      <c r="V30" s="11">
        <v>37.77999999999999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104</v>
      </c>
      <c r="C31" s="10" t="s">
        <v>105</v>
      </c>
      <c r="D31" s="7" t="s">
        <v>40</v>
      </c>
      <c r="E31" s="7" t="s">
        <v>82</v>
      </c>
      <c r="F31" s="7" t="s">
        <v>78</v>
      </c>
      <c r="G31" s="7"/>
      <c r="H31" s="7" t="s">
        <v>52</v>
      </c>
      <c r="I31" s="11">
        <v>2</v>
      </c>
      <c r="J31" s="11">
        <v>3</v>
      </c>
      <c r="K31" s="11">
        <v>0</v>
      </c>
      <c r="L31" s="11">
        <v>7.869999999999998</v>
      </c>
      <c r="M31" s="11">
        <v>0.75</v>
      </c>
      <c r="N31" s="11">
        <v>0</v>
      </c>
      <c r="O31" s="11">
        <v>0</v>
      </c>
      <c r="P31" s="11">
        <v>0</v>
      </c>
      <c r="Q31" s="11">
        <v>8.619999999999997</v>
      </c>
      <c r="R31" s="11">
        <v>58.13999999999996</v>
      </c>
      <c r="S31" s="11">
        <v>66.75999999999996</v>
      </c>
      <c r="T31" s="11">
        <v>2</v>
      </c>
      <c r="U31" s="11">
        <v>3</v>
      </c>
      <c r="V31" s="11">
        <v>61.75999999999996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106</v>
      </c>
      <c r="C32" s="10" t="s">
        <v>107</v>
      </c>
      <c r="D32" s="7" t="s">
        <v>40</v>
      </c>
      <c r="E32" s="7" t="s">
        <v>82</v>
      </c>
      <c r="F32" s="7" t="s">
        <v>78</v>
      </c>
      <c r="G32" s="7"/>
      <c r="H32" s="7" t="s">
        <v>52</v>
      </c>
      <c r="I32" s="11">
        <v>2</v>
      </c>
      <c r="J32" s="11">
        <v>3</v>
      </c>
      <c r="K32" s="11">
        <v>0</v>
      </c>
      <c r="L32" s="11">
        <v>3.319999999999999</v>
      </c>
      <c r="M32" s="11">
        <v>1.65</v>
      </c>
      <c r="N32" s="11">
        <v>0</v>
      </c>
      <c r="O32" s="11">
        <v>0.17</v>
      </c>
      <c r="P32" s="11">
        <v>0</v>
      </c>
      <c r="Q32" s="11">
        <v>5.14</v>
      </c>
      <c r="R32" s="11">
        <v>37.56999999999999</v>
      </c>
      <c r="S32" s="11">
        <v>42.70999999999999</v>
      </c>
      <c r="T32" s="11">
        <v>2</v>
      </c>
      <c r="U32" s="11">
        <v>3</v>
      </c>
      <c r="V32" s="11">
        <v>37.70999999999999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108</v>
      </c>
      <c r="C33" s="10" t="s">
        <v>109</v>
      </c>
      <c r="D33" s="7" t="s">
        <v>93</v>
      </c>
      <c r="E33" s="7" t="s">
        <v>77</v>
      </c>
      <c r="F33" s="7" t="s">
        <v>78</v>
      </c>
      <c r="G33" s="7"/>
      <c r="H33" s="7" t="s">
        <v>110</v>
      </c>
      <c r="I33" s="11">
        <v>2</v>
      </c>
      <c r="J33" s="11">
        <v>3</v>
      </c>
      <c r="K33" s="11">
        <v>0.95</v>
      </c>
      <c r="L33" s="11">
        <v>8.039999999999997</v>
      </c>
      <c r="M33" s="11">
        <v>0.66</v>
      </c>
      <c r="N33" s="11">
        <v>0</v>
      </c>
      <c r="O33" s="11">
        <v>0.04</v>
      </c>
      <c r="P33" s="11">
        <v>0</v>
      </c>
      <c r="Q33" s="11">
        <v>9.689999999999998</v>
      </c>
      <c r="R33" s="11">
        <v>45.42999999999999</v>
      </c>
      <c r="S33" s="11">
        <v>55.11999999999998</v>
      </c>
      <c r="T33" s="11">
        <v>2</v>
      </c>
      <c r="U33" s="11">
        <v>3</v>
      </c>
      <c r="V33" s="11">
        <v>50.11999999999998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111</v>
      </c>
      <c r="C34" s="10" t="s">
        <v>112</v>
      </c>
      <c r="D34" s="7" t="s">
        <v>113</v>
      </c>
      <c r="E34" s="7" t="s">
        <v>77</v>
      </c>
      <c r="F34" s="7" t="s">
        <v>78</v>
      </c>
      <c r="G34" s="7"/>
      <c r="H34" s="7" t="s">
        <v>52</v>
      </c>
      <c r="I34" s="11">
        <v>2</v>
      </c>
      <c r="J34" s="11">
        <v>3</v>
      </c>
      <c r="K34" s="11">
        <v>0</v>
      </c>
      <c r="L34" s="11">
        <v>3.559999999999999</v>
      </c>
      <c r="M34" s="11">
        <v>0</v>
      </c>
      <c r="N34" s="11">
        <v>0</v>
      </c>
      <c r="O34" s="11">
        <v>0</v>
      </c>
      <c r="P34" s="11">
        <v>0</v>
      </c>
      <c r="Q34" s="11">
        <v>3.559999999999999</v>
      </c>
      <c r="R34" s="11">
        <v>47.93999999999996</v>
      </c>
      <c r="S34" s="11">
        <v>51.49999999999996</v>
      </c>
      <c r="T34" s="11">
        <v>2</v>
      </c>
      <c r="U34" s="11">
        <v>3</v>
      </c>
      <c r="V34" s="11">
        <v>46.49999999999996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114</v>
      </c>
      <c r="C35" s="10" t="s">
        <v>115</v>
      </c>
      <c r="D35" s="7" t="s">
        <v>40</v>
      </c>
      <c r="E35" s="7" t="s">
        <v>116</v>
      </c>
      <c r="F35" s="7" t="s">
        <v>117</v>
      </c>
      <c r="G35" s="7"/>
      <c r="H35" s="7" t="s">
        <v>52</v>
      </c>
      <c r="I35" s="11">
        <v>2</v>
      </c>
      <c r="J35" s="11">
        <v>3</v>
      </c>
      <c r="K35" s="11">
        <v>0</v>
      </c>
      <c r="L35" s="11">
        <v>2.17</v>
      </c>
      <c r="M35" s="11">
        <v>1.33</v>
      </c>
      <c r="N35" s="11">
        <v>0</v>
      </c>
      <c r="O35" s="11">
        <v>0.8099999999999999</v>
      </c>
      <c r="P35" s="11">
        <v>0</v>
      </c>
      <c r="Q35" s="11">
        <v>4.31</v>
      </c>
      <c r="R35" s="11">
        <v>33.09</v>
      </c>
      <c r="S35" s="11">
        <v>37.4</v>
      </c>
      <c r="T35" s="11">
        <v>2</v>
      </c>
      <c r="U35" s="11">
        <v>3</v>
      </c>
      <c r="V35" s="11">
        <v>32.4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118</v>
      </c>
      <c r="C36" s="10" t="s">
        <v>119</v>
      </c>
      <c r="D36" s="7" t="s">
        <v>93</v>
      </c>
      <c r="E36" s="7" t="s">
        <v>77</v>
      </c>
      <c r="F36" s="7" t="s">
        <v>78</v>
      </c>
      <c r="G36" s="7"/>
      <c r="H36" s="7" t="s">
        <v>52</v>
      </c>
      <c r="I36" s="11">
        <v>2</v>
      </c>
      <c r="J36" s="11">
        <v>3</v>
      </c>
      <c r="K36" s="11">
        <v>0</v>
      </c>
      <c r="L36" s="11">
        <v>2.28</v>
      </c>
      <c r="M36" s="11">
        <v>0.66</v>
      </c>
      <c r="N36" s="11">
        <v>0</v>
      </c>
      <c r="O36" s="11">
        <v>0.36</v>
      </c>
      <c r="P36" s="11">
        <v>0</v>
      </c>
      <c r="Q36" s="11">
        <v>3.299999999999999</v>
      </c>
      <c r="R36" s="11">
        <v>37.79999999999999</v>
      </c>
      <c r="S36" s="11">
        <v>41.09999999999999</v>
      </c>
      <c r="T36" s="11">
        <v>2</v>
      </c>
      <c r="U36" s="11">
        <v>3</v>
      </c>
      <c r="V36" s="11">
        <v>36.09999999999999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120</v>
      </c>
      <c r="C37" s="10" t="s">
        <v>121</v>
      </c>
      <c r="D37" s="7" t="s">
        <v>93</v>
      </c>
      <c r="E37" s="7" t="s">
        <v>82</v>
      </c>
      <c r="F37" s="7" t="s">
        <v>78</v>
      </c>
      <c r="G37" s="7"/>
      <c r="H37" s="7" t="s">
        <v>122</v>
      </c>
      <c r="I37" s="11">
        <v>2</v>
      </c>
      <c r="J37" s="11">
        <v>3</v>
      </c>
      <c r="K37" s="11">
        <v>1.33</v>
      </c>
      <c r="L37" s="11">
        <v>3.069999999999999</v>
      </c>
      <c r="M37" s="11">
        <v>1</v>
      </c>
      <c r="N37" s="11">
        <v>0</v>
      </c>
      <c r="O37" s="11">
        <v>1.2</v>
      </c>
      <c r="P37" s="11">
        <v>0</v>
      </c>
      <c r="Q37" s="11">
        <v>6.6</v>
      </c>
      <c r="R37" s="11">
        <v>52.63</v>
      </c>
      <c r="S37" s="11">
        <v>59.23</v>
      </c>
      <c r="T37" s="11">
        <v>2</v>
      </c>
      <c r="U37" s="11">
        <v>3</v>
      </c>
      <c r="V37" s="11">
        <v>54.23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123</v>
      </c>
      <c r="C38" s="10" t="s">
        <v>124</v>
      </c>
      <c r="D38" s="7" t="s">
        <v>81</v>
      </c>
      <c r="E38" s="7" t="s">
        <v>77</v>
      </c>
      <c r="F38" s="7" t="s">
        <v>78</v>
      </c>
      <c r="G38" s="7"/>
      <c r="H38" s="7" t="s">
        <v>52</v>
      </c>
      <c r="I38" s="11">
        <v>2</v>
      </c>
      <c r="J38" s="11">
        <v>3</v>
      </c>
      <c r="K38" s="11">
        <v>0</v>
      </c>
      <c r="L38" s="11">
        <v>1.590000000000001</v>
      </c>
      <c r="M38" s="11">
        <v>0.42</v>
      </c>
      <c r="N38" s="11">
        <v>0</v>
      </c>
      <c r="O38" s="11">
        <v>0.24</v>
      </c>
      <c r="P38" s="11">
        <v>0</v>
      </c>
      <c r="Q38" s="11">
        <v>2.250000000000001</v>
      </c>
      <c r="R38" s="11">
        <v>29.2</v>
      </c>
      <c r="S38" s="11">
        <v>31.45</v>
      </c>
      <c r="T38" s="11">
        <v>2</v>
      </c>
      <c r="U38" s="11">
        <v>3</v>
      </c>
      <c r="V38" s="11">
        <v>26.45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125</v>
      </c>
      <c r="C39" s="10" t="s">
        <v>126</v>
      </c>
      <c r="D39" s="7" t="s">
        <v>81</v>
      </c>
      <c r="E39" s="7" t="s">
        <v>66</v>
      </c>
      <c r="F39" s="7" t="s">
        <v>78</v>
      </c>
      <c r="G39" s="7"/>
      <c r="H39" s="7" t="s">
        <v>52</v>
      </c>
      <c r="I39" s="11">
        <v>2</v>
      </c>
      <c r="J39" s="11">
        <v>3</v>
      </c>
      <c r="K39" s="11">
        <v>0</v>
      </c>
      <c r="L39" s="11">
        <v>1.39</v>
      </c>
      <c r="M39" s="11">
        <v>0.5</v>
      </c>
      <c r="N39" s="11">
        <v>0</v>
      </c>
      <c r="O39" s="11">
        <v>0.16</v>
      </c>
      <c r="P39" s="11">
        <v>0</v>
      </c>
      <c r="Q39" s="11">
        <v>2.05</v>
      </c>
      <c r="R39" s="11">
        <v>29.57999999999999</v>
      </c>
      <c r="S39" s="11">
        <v>31.63</v>
      </c>
      <c r="T39" s="11">
        <v>2</v>
      </c>
      <c r="U39" s="11">
        <v>3</v>
      </c>
      <c r="V39" s="11">
        <v>26.63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127</v>
      </c>
      <c r="C40" s="10" t="s">
        <v>128</v>
      </c>
      <c r="D40" s="7" t="s">
        <v>40</v>
      </c>
      <c r="E40" s="7" t="s">
        <v>77</v>
      </c>
      <c r="F40" s="7" t="s">
        <v>78</v>
      </c>
      <c r="G40" s="7"/>
      <c r="H40" s="7" t="s">
        <v>52</v>
      </c>
      <c r="I40" s="11">
        <v>2</v>
      </c>
      <c r="J40" s="11">
        <v>3</v>
      </c>
      <c r="K40" s="11">
        <v>0</v>
      </c>
      <c r="L40" s="11">
        <v>8.519999999999998</v>
      </c>
      <c r="M40" s="11">
        <v>0.9900000000000001</v>
      </c>
      <c r="N40" s="11">
        <v>0</v>
      </c>
      <c r="O40" s="11">
        <v>0.1</v>
      </c>
      <c r="P40" s="11">
        <v>0</v>
      </c>
      <c r="Q40" s="11">
        <v>9.609999999999998</v>
      </c>
      <c r="R40" s="11">
        <v>44.27000000000001</v>
      </c>
      <c r="S40" s="11">
        <v>53.88000000000001</v>
      </c>
      <c r="T40" s="11">
        <v>2</v>
      </c>
      <c r="U40" s="11">
        <v>3</v>
      </c>
      <c r="V40" s="11">
        <v>48.88000000000001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129</v>
      </c>
      <c r="C41" s="10" t="s">
        <v>130</v>
      </c>
      <c r="D41" s="7" t="s">
        <v>40</v>
      </c>
      <c r="E41" s="7" t="s">
        <v>77</v>
      </c>
      <c r="F41" s="7" t="s">
        <v>78</v>
      </c>
      <c r="G41" s="7"/>
      <c r="H41" s="7" t="s">
        <v>52</v>
      </c>
      <c r="I41" s="11">
        <v>2</v>
      </c>
      <c r="J41" s="11">
        <v>3</v>
      </c>
      <c r="K41" s="11">
        <v>0</v>
      </c>
      <c r="L41" s="11">
        <v>0.67</v>
      </c>
      <c r="M41" s="11">
        <v>0.33</v>
      </c>
      <c r="N41" s="11">
        <v>0</v>
      </c>
      <c r="O41" s="11">
        <v>0</v>
      </c>
      <c r="P41" s="11">
        <v>0</v>
      </c>
      <c r="Q41" s="11">
        <v>1</v>
      </c>
      <c r="R41" s="11">
        <v>11.62</v>
      </c>
      <c r="S41" s="11">
        <v>12.62</v>
      </c>
      <c r="T41" s="11">
        <v>2</v>
      </c>
      <c r="U41" s="11">
        <v>3</v>
      </c>
      <c r="V41" s="11">
        <v>7.620000000000005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131</v>
      </c>
      <c r="C42" s="10" t="s">
        <v>132</v>
      </c>
      <c r="D42" s="7" t="s">
        <v>81</v>
      </c>
      <c r="E42" s="7" t="s">
        <v>66</v>
      </c>
      <c r="F42" s="7" t="s">
        <v>78</v>
      </c>
      <c r="G42" s="7"/>
      <c r="H42" s="7" t="s">
        <v>52</v>
      </c>
      <c r="I42" s="11">
        <v>2</v>
      </c>
      <c r="J42" s="11">
        <v>3</v>
      </c>
      <c r="K42" s="11">
        <v>0</v>
      </c>
      <c r="L42" s="11">
        <v>2.27</v>
      </c>
      <c r="M42" s="11">
        <v>1</v>
      </c>
      <c r="N42" s="11">
        <v>0</v>
      </c>
      <c r="O42" s="11">
        <v>0</v>
      </c>
      <c r="P42" s="11">
        <v>0</v>
      </c>
      <c r="Q42" s="11">
        <v>3.27</v>
      </c>
      <c r="R42" s="11">
        <v>31.48</v>
      </c>
      <c r="S42" s="11">
        <v>34.75000000000001</v>
      </c>
      <c r="T42" s="11">
        <v>2</v>
      </c>
      <c r="U42" s="11">
        <v>3</v>
      </c>
      <c r="V42" s="11">
        <v>29.75000000000001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133</v>
      </c>
      <c r="C43" s="10" t="s">
        <v>134</v>
      </c>
      <c r="D43" s="7" t="s">
        <v>90</v>
      </c>
      <c r="E43" s="7" t="s">
        <v>77</v>
      </c>
      <c r="F43" s="7" t="s">
        <v>78</v>
      </c>
      <c r="G43" s="7"/>
      <c r="H43" s="7" t="s">
        <v>52</v>
      </c>
      <c r="I43" s="11">
        <v>2</v>
      </c>
      <c r="J43" s="11">
        <v>3</v>
      </c>
      <c r="K43" s="11">
        <v>0</v>
      </c>
      <c r="L43" s="11">
        <v>1.55</v>
      </c>
      <c r="M43" s="11">
        <v>0.5</v>
      </c>
      <c r="N43" s="11">
        <v>0</v>
      </c>
      <c r="O43" s="11">
        <v>0</v>
      </c>
      <c r="P43" s="11">
        <v>0</v>
      </c>
      <c r="Q43" s="11">
        <v>2.05</v>
      </c>
      <c r="R43" s="11">
        <v>31.79</v>
      </c>
      <c r="S43" s="11">
        <v>33.84</v>
      </c>
      <c r="T43" s="11">
        <v>2</v>
      </c>
      <c r="U43" s="11">
        <v>3</v>
      </c>
      <c r="V43" s="11">
        <v>28.84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135</v>
      </c>
      <c r="C44" s="10" t="s">
        <v>136</v>
      </c>
      <c r="D44" s="7" t="s">
        <v>40</v>
      </c>
      <c r="E44" s="7" t="s">
        <v>82</v>
      </c>
      <c r="F44" s="7" t="s">
        <v>78</v>
      </c>
      <c r="G44" s="7"/>
      <c r="H44" s="7" t="s">
        <v>110</v>
      </c>
      <c r="I44" s="11">
        <v>2</v>
      </c>
      <c r="J44" s="11">
        <v>3</v>
      </c>
      <c r="K44" s="11">
        <v>0.95</v>
      </c>
      <c r="L44" s="11">
        <v>4.009999999999999</v>
      </c>
      <c r="M44" s="11">
        <v>1.34</v>
      </c>
      <c r="N44" s="11">
        <v>0</v>
      </c>
      <c r="O44" s="11">
        <v>0.8400000000000001</v>
      </c>
      <c r="P44" s="11">
        <v>0</v>
      </c>
      <c r="Q44" s="11">
        <v>7.139999999999999</v>
      </c>
      <c r="R44" s="11">
        <v>48.41999999999999</v>
      </c>
      <c r="S44" s="11">
        <v>55.55999999999999</v>
      </c>
      <c r="T44" s="11">
        <v>2</v>
      </c>
      <c r="U44" s="11">
        <v>3</v>
      </c>
      <c r="V44" s="11">
        <v>50.55999999999999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137</v>
      </c>
      <c r="C45" s="10" t="s">
        <v>138</v>
      </c>
      <c r="D45" s="7" t="s">
        <v>51</v>
      </c>
      <c r="E45" s="7" t="s">
        <v>82</v>
      </c>
      <c r="F45" s="7" t="s">
        <v>78</v>
      </c>
      <c r="G45" s="7"/>
      <c r="H45" s="7" t="s">
        <v>52</v>
      </c>
      <c r="I45" s="11">
        <v>2</v>
      </c>
      <c r="J45" s="11">
        <v>3</v>
      </c>
      <c r="K45" s="11">
        <v>0</v>
      </c>
      <c r="L45" s="11">
        <v>0.9900000000000002</v>
      </c>
      <c r="M45" s="11">
        <v>2.74</v>
      </c>
      <c r="N45" s="11">
        <v>0</v>
      </c>
      <c r="O45" s="11">
        <v>0.18</v>
      </c>
      <c r="P45" s="11">
        <v>0</v>
      </c>
      <c r="Q45" s="11">
        <v>3.91</v>
      </c>
      <c r="R45" s="11">
        <v>27.64</v>
      </c>
      <c r="S45" s="11">
        <v>31.55</v>
      </c>
      <c r="T45" s="11">
        <v>2</v>
      </c>
      <c r="U45" s="11">
        <v>3</v>
      </c>
      <c r="V45" s="11">
        <v>26.55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139</v>
      </c>
      <c r="C46" s="10" t="s">
        <v>140</v>
      </c>
      <c r="D46" s="7" t="s">
        <v>46</v>
      </c>
      <c r="E46" s="7" t="s">
        <v>77</v>
      </c>
      <c r="F46" s="7" t="s">
        <v>78</v>
      </c>
      <c r="G46" s="7"/>
      <c r="H46" s="7" t="s">
        <v>52</v>
      </c>
      <c r="I46" s="11">
        <v>2</v>
      </c>
      <c r="J46" s="11">
        <v>3</v>
      </c>
      <c r="K46" s="11">
        <v>0</v>
      </c>
      <c r="L46" s="11">
        <v>1.980000000000001</v>
      </c>
      <c r="M46" s="11">
        <v>0.5</v>
      </c>
      <c r="N46" s="11">
        <v>0</v>
      </c>
      <c r="O46" s="11">
        <v>0.16</v>
      </c>
      <c r="P46" s="11">
        <v>0</v>
      </c>
      <c r="Q46" s="11">
        <v>2.640000000000001</v>
      </c>
      <c r="R46" s="11">
        <v>21.22</v>
      </c>
      <c r="S46" s="11">
        <v>23.86</v>
      </c>
      <c r="T46" s="11">
        <v>2</v>
      </c>
      <c r="U46" s="11">
        <v>3</v>
      </c>
      <c r="V46" s="11">
        <v>18.86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141</v>
      </c>
      <c r="C47" s="10" t="s">
        <v>142</v>
      </c>
      <c r="D47" s="7" t="s">
        <v>51</v>
      </c>
      <c r="E47" s="7" t="s">
        <v>77</v>
      </c>
      <c r="F47" s="7" t="s">
        <v>78</v>
      </c>
      <c r="G47" s="7"/>
      <c r="H47" s="7" t="s">
        <v>143</v>
      </c>
      <c r="I47" s="11">
        <v>2</v>
      </c>
      <c r="J47" s="11">
        <v>3</v>
      </c>
      <c r="K47" s="11">
        <v>0.95</v>
      </c>
      <c r="L47" s="11">
        <v>0.9400000000000004</v>
      </c>
      <c r="M47" s="11">
        <v>1.41</v>
      </c>
      <c r="N47" s="11">
        <v>0</v>
      </c>
      <c r="O47" s="11">
        <v>3.24</v>
      </c>
      <c r="P47" s="11">
        <v>0</v>
      </c>
      <c r="Q47" s="11">
        <v>6.54</v>
      </c>
      <c r="R47" s="11">
        <v>30.22</v>
      </c>
      <c r="S47" s="11">
        <v>36.76</v>
      </c>
      <c r="T47" s="11">
        <v>2</v>
      </c>
      <c r="U47" s="11">
        <v>3</v>
      </c>
      <c r="V47" s="11">
        <v>31.76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144</v>
      </c>
      <c r="C48" s="10" t="s">
        <v>145</v>
      </c>
      <c r="D48" s="7" t="s">
        <v>81</v>
      </c>
      <c r="E48" s="7" t="s">
        <v>77</v>
      </c>
      <c r="F48" s="7" t="s">
        <v>78</v>
      </c>
      <c r="G48" s="7"/>
      <c r="H48" s="7" t="s">
        <v>143</v>
      </c>
      <c r="I48" s="11">
        <v>2</v>
      </c>
      <c r="J48" s="11">
        <v>3</v>
      </c>
      <c r="K48" s="11">
        <v>0.95</v>
      </c>
      <c r="L48" s="11">
        <v>0.92</v>
      </c>
      <c r="M48" s="11">
        <v>1.33</v>
      </c>
      <c r="N48" s="11">
        <v>0</v>
      </c>
      <c r="O48" s="11">
        <v>0.6400000000000001</v>
      </c>
      <c r="P48" s="11">
        <v>0</v>
      </c>
      <c r="Q48" s="11">
        <v>3.84</v>
      </c>
      <c r="R48" s="11">
        <v>27.19</v>
      </c>
      <c r="S48" s="11">
        <v>31.03</v>
      </c>
      <c r="T48" s="11">
        <v>2</v>
      </c>
      <c r="U48" s="11">
        <v>3</v>
      </c>
      <c r="V48" s="11">
        <v>26.03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146</v>
      </c>
      <c r="C49" s="10" t="s">
        <v>147</v>
      </c>
      <c r="D49" s="7" t="s">
        <v>51</v>
      </c>
      <c r="E49" s="7" t="s">
        <v>66</v>
      </c>
      <c r="F49" s="7" t="s">
        <v>78</v>
      </c>
      <c r="G49" s="7"/>
      <c r="H49" s="7" t="s">
        <v>52</v>
      </c>
      <c r="I49" s="11">
        <v>2</v>
      </c>
      <c r="J49" s="11">
        <v>3</v>
      </c>
      <c r="K49" s="11">
        <v>0</v>
      </c>
      <c r="L49" s="11">
        <v>1.28</v>
      </c>
      <c r="M49" s="11">
        <v>1.16</v>
      </c>
      <c r="N49" s="11">
        <v>0</v>
      </c>
      <c r="O49" s="11">
        <v>0.58</v>
      </c>
      <c r="P49" s="11">
        <v>0.8</v>
      </c>
      <c r="Q49" s="11">
        <v>3.820000000000001</v>
      </c>
      <c r="R49" s="11">
        <v>29.45</v>
      </c>
      <c r="S49" s="11">
        <v>33.27</v>
      </c>
      <c r="T49" s="11">
        <v>2</v>
      </c>
      <c r="U49" s="11">
        <v>3</v>
      </c>
      <c r="V49" s="11">
        <v>28.27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148</v>
      </c>
      <c r="C50" s="10" t="s">
        <v>149</v>
      </c>
      <c r="D50" s="7" t="s">
        <v>81</v>
      </c>
      <c r="E50" s="7" t="s">
        <v>82</v>
      </c>
      <c r="F50" s="7" t="s">
        <v>78</v>
      </c>
      <c r="G50" s="7"/>
      <c r="H50" s="7" t="s">
        <v>52</v>
      </c>
      <c r="I50" s="11">
        <v>2</v>
      </c>
      <c r="J50" s="11">
        <v>3</v>
      </c>
      <c r="K50" s="11">
        <v>0</v>
      </c>
      <c r="L50" s="11">
        <v>2.19</v>
      </c>
      <c r="M50" s="11">
        <v>1.16</v>
      </c>
      <c r="N50" s="11">
        <v>0</v>
      </c>
      <c r="O50" s="11">
        <v>0.2</v>
      </c>
      <c r="P50" s="11">
        <v>1</v>
      </c>
      <c r="Q50" s="11">
        <v>4.55</v>
      </c>
      <c r="R50" s="11">
        <v>38.25000000000001</v>
      </c>
      <c r="S50" s="11">
        <v>42.8</v>
      </c>
      <c r="T50" s="11">
        <v>2</v>
      </c>
      <c r="U50" s="11">
        <v>3</v>
      </c>
      <c r="V50" s="11">
        <v>37.8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150</v>
      </c>
      <c r="C51" s="10" t="s">
        <v>151</v>
      </c>
      <c r="D51" s="7" t="s">
        <v>81</v>
      </c>
      <c r="E51" s="7" t="s">
        <v>66</v>
      </c>
      <c r="F51" s="7" t="s">
        <v>78</v>
      </c>
      <c r="G51" s="7"/>
      <c r="H51" s="7" t="s">
        <v>52</v>
      </c>
      <c r="I51" s="11">
        <v>2</v>
      </c>
      <c r="J51" s="11">
        <v>3</v>
      </c>
      <c r="K51" s="11">
        <v>0</v>
      </c>
      <c r="L51" s="11">
        <v>2.76</v>
      </c>
      <c r="M51" s="11">
        <v>0.8400000000000001</v>
      </c>
      <c r="N51" s="11">
        <v>0</v>
      </c>
      <c r="O51" s="11">
        <v>0</v>
      </c>
      <c r="P51" s="11">
        <v>0</v>
      </c>
      <c r="Q51" s="11">
        <v>3.6</v>
      </c>
      <c r="R51" s="11">
        <v>29.75</v>
      </c>
      <c r="S51" s="11">
        <v>33.35</v>
      </c>
      <c r="T51" s="11">
        <v>2</v>
      </c>
      <c r="U51" s="11">
        <v>3</v>
      </c>
      <c r="V51" s="11">
        <v>28.35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152</v>
      </c>
      <c r="C52" s="10" t="s">
        <v>153</v>
      </c>
      <c r="D52" s="7" t="s">
        <v>51</v>
      </c>
      <c r="E52" s="7" t="s">
        <v>82</v>
      </c>
      <c r="F52" s="7" t="s">
        <v>78</v>
      </c>
      <c r="G52" s="7"/>
      <c r="H52" s="7" t="s">
        <v>52</v>
      </c>
      <c r="I52" s="11">
        <v>2</v>
      </c>
      <c r="J52" s="11">
        <v>3</v>
      </c>
      <c r="K52" s="11">
        <v>0</v>
      </c>
      <c r="L52" s="11">
        <v>2.12</v>
      </c>
      <c r="M52" s="11">
        <v>0.42</v>
      </c>
      <c r="N52" s="11">
        <v>0</v>
      </c>
      <c r="O52" s="11">
        <v>0.36</v>
      </c>
      <c r="P52" s="11">
        <v>0</v>
      </c>
      <c r="Q52" s="11">
        <v>2.9</v>
      </c>
      <c r="R52" s="11">
        <v>27.33</v>
      </c>
      <c r="S52" s="11">
        <v>30.23</v>
      </c>
      <c r="T52" s="11">
        <v>2</v>
      </c>
      <c r="U52" s="11">
        <v>3</v>
      </c>
      <c r="V52" s="11">
        <v>25.23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154</v>
      </c>
      <c r="C53" s="10" t="s">
        <v>155</v>
      </c>
      <c r="D53" s="7" t="s">
        <v>93</v>
      </c>
      <c r="E53" s="7" t="s">
        <v>82</v>
      </c>
      <c r="F53" s="7" t="s">
        <v>78</v>
      </c>
      <c r="G53" s="7"/>
      <c r="H53" s="7" t="s">
        <v>52</v>
      </c>
      <c r="I53" s="11">
        <v>2</v>
      </c>
      <c r="J53" s="11">
        <v>3</v>
      </c>
      <c r="K53" s="11">
        <v>0</v>
      </c>
      <c r="L53" s="11">
        <v>1.38</v>
      </c>
      <c r="M53" s="11">
        <v>0.8200000000000001</v>
      </c>
      <c r="N53" s="11">
        <v>0</v>
      </c>
      <c r="O53" s="11">
        <v>0</v>
      </c>
      <c r="P53" s="11">
        <v>0</v>
      </c>
      <c r="Q53" s="11">
        <v>2.2</v>
      </c>
      <c r="R53" s="11">
        <v>24.16</v>
      </c>
      <c r="S53" s="11">
        <v>26.36</v>
      </c>
      <c r="T53" s="11">
        <v>2</v>
      </c>
      <c r="U53" s="11">
        <v>3</v>
      </c>
      <c r="V53" s="11">
        <v>21.36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156</v>
      </c>
      <c r="C54" s="10" t="s">
        <v>157</v>
      </c>
      <c r="D54" s="7" t="s">
        <v>62</v>
      </c>
      <c r="E54" s="7" t="s">
        <v>66</v>
      </c>
      <c r="F54" s="7" t="s">
        <v>78</v>
      </c>
      <c r="G54" s="7"/>
      <c r="H54" s="7" t="s">
        <v>52</v>
      </c>
      <c r="I54" s="11">
        <v>2</v>
      </c>
      <c r="J54" s="11">
        <v>3</v>
      </c>
      <c r="K54" s="11">
        <v>0</v>
      </c>
      <c r="L54" s="11">
        <v>2.62</v>
      </c>
      <c r="M54" s="11">
        <v>0</v>
      </c>
      <c r="N54" s="11">
        <v>0</v>
      </c>
      <c r="O54" s="11">
        <v>0.12</v>
      </c>
      <c r="P54" s="11">
        <v>0</v>
      </c>
      <c r="Q54" s="11">
        <v>2.74</v>
      </c>
      <c r="R54" s="11">
        <v>26.25</v>
      </c>
      <c r="S54" s="11">
        <v>28.99</v>
      </c>
      <c r="T54" s="11">
        <v>2</v>
      </c>
      <c r="U54" s="11">
        <v>3</v>
      </c>
      <c r="V54" s="11">
        <v>23.99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158</v>
      </c>
      <c r="C55" s="10" t="s">
        <v>159</v>
      </c>
      <c r="D55" s="7" t="s">
        <v>74</v>
      </c>
      <c r="E55" s="7" t="s">
        <v>82</v>
      </c>
      <c r="F55" s="7" t="s">
        <v>78</v>
      </c>
      <c r="G55" s="7"/>
      <c r="H55" s="7" t="s">
        <v>52</v>
      </c>
      <c r="I55" s="11">
        <v>2</v>
      </c>
      <c r="J55" s="11">
        <v>3</v>
      </c>
      <c r="K55" s="11">
        <v>0</v>
      </c>
      <c r="L55" s="11">
        <v>3.860000000000001</v>
      </c>
      <c r="M55" s="11">
        <v>1.17</v>
      </c>
      <c r="N55" s="11">
        <v>0</v>
      </c>
      <c r="O55" s="11">
        <v>0.9200000000000004</v>
      </c>
      <c r="P55" s="11">
        <v>0</v>
      </c>
      <c r="Q55" s="11">
        <v>5.950000000000001</v>
      </c>
      <c r="R55" s="11">
        <v>17.1</v>
      </c>
      <c r="S55" s="11">
        <v>23.05</v>
      </c>
      <c r="T55" s="11">
        <v>2</v>
      </c>
      <c r="U55" s="11">
        <v>3</v>
      </c>
      <c r="V55" s="11">
        <v>18.05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160</v>
      </c>
      <c r="C56" s="10" t="s">
        <v>161</v>
      </c>
      <c r="D56" s="7" t="s">
        <v>51</v>
      </c>
      <c r="E56" s="7" t="s">
        <v>77</v>
      </c>
      <c r="F56" s="7" t="s">
        <v>78</v>
      </c>
      <c r="G56" s="7"/>
      <c r="H56" s="7" t="s">
        <v>52</v>
      </c>
      <c r="I56" s="11">
        <v>2</v>
      </c>
      <c r="J56" s="11">
        <v>3</v>
      </c>
      <c r="K56" s="11">
        <v>0</v>
      </c>
      <c r="L56" s="11">
        <v>1.91</v>
      </c>
      <c r="M56" s="11">
        <v>0.74</v>
      </c>
      <c r="N56" s="11">
        <v>0</v>
      </c>
      <c r="O56" s="11">
        <v>0.22</v>
      </c>
      <c r="P56" s="11">
        <v>0</v>
      </c>
      <c r="Q56" s="11">
        <v>2.87</v>
      </c>
      <c r="R56" s="11">
        <v>29.15</v>
      </c>
      <c r="S56" s="11">
        <v>32.02</v>
      </c>
      <c r="T56" s="11">
        <v>2</v>
      </c>
      <c r="U56" s="11">
        <v>3</v>
      </c>
      <c r="V56" s="11">
        <v>27.02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162</v>
      </c>
      <c r="C57" s="10" t="s">
        <v>163</v>
      </c>
      <c r="D57" s="7" t="s">
        <v>74</v>
      </c>
      <c r="E57" s="7" t="s">
        <v>77</v>
      </c>
      <c r="F57" s="7" t="s">
        <v>78</v>
      </c>
      <c r="G57" s="7"/>
      <c r="H57" s="7" t="s">
        <v>52</v>
      </c>
      <c r="I57" s="11">
        <v>2</v>
      </c>
      <c r="J57" s="11">
        <v>3</v>
      </c>
      <c r="K57" s="11">
        <v>0</v>
      </c>
      <c r="L57" s="11">
        <v>2.01</v>
      </c>
      <c r="M57" s="11">
        <v>0.8400000000000001</v>
      </c>
      <c r="N57" s="11">
        <v>0</v>
      </c>
      <c r="O57" s="11">
        <v>0.32</v>
      </c>
      <c r="P57" s="11">
        <v>0</v>
      </c>
      <c r="Q57" s="11">
        <v>3.17</v>
      </c>
      <c r="R57" s="11">
        <v>18.88</v>
      </c>
      <c r="S57" s="11">
        <v>22.05</v>
      </c>
      <c r="T57" s="11">
        <v>2</v>
      </c>
      <c r="U57" s="11">
        <v>3</v>
      </c>
      <c r="V57" s="11">
        <v>17.05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164</v>
      </c>
      <c r="C58" s="10" t="s">
        <v>165</v>
      </c>
      <c r="D58" s="7" t="s">
        <v>74</v>
      </c>
      <c r="E58" s="7" t="s">
        <v>77</v>
      </c>
      <c r="F58" s="7" t="s">
        <v>78</v>
      </c>
      <c r="G58" s="7"/>
      <c r="H58" s="7" t="s">
        <v>52</v>
      </c>
      <c r="I58" s="11">
        <v>2</v>
      </c>
      <c r="J58" s="11">
        <v>3</v>
      </c>
      <c r="K58" s="11">
        <v>0</v>
      </c>
      <c r="L58" s="11">
        <v>3.73</v>
      </c>
      <c r="M58" s="11">
        <v>1.17</v>
      </c>
      <c r="N58" s="11">
        <v>0</v>
      </c>
      <c r="O58" s="11">
        <v>0.44</v>
      </c>
      <c r="P58" s="11">
        <v>0</v>
      </c>
      <c r="Q58" s="11">
        <v>5.340000000000001</v>
      </c>
      <c r="R58" s="11">
        <v>36.17999999999999</v>
      </c>
      <c r="S58" s="11">
        <v>41.52</v>
      </c>
      <c r="T58" s="11">
        <v>2</v>
      </c>
      <c r="U58" s="11">
        <v>3</v>
      </c>
      <c r="V58" s="11">
        <v>36.52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166</v>
      </c>
      <c r="C59" s="10" t="s">
        <v>167</v>
      </c>
      <c r="D59" s="7" t="s">
        <v>90</v>
      </c>
      <c r="E59" s="7" t="s">
        <v>77</v>
      </c>
      <c r="F59" s="7" t="s">
        <v>78</v>
      </c>
      <c r="G59" s="7"/>
      <c r="H59" s="7" t="s">
        <v>52</v>
      </c>
      <c r="I59" s="11">
        <v>2</v>
      </c>
      <c r="J59" s="11">
        <v>3</v>
      </c>
      <c r="K59" s="11">
        <v>0</v>
      </c>
      <c r="L59" s="11">
        <v>1.47</v>
      </c>
      <c r="M59" s="11">
        <v>0.67</v>
      </c>
      <c r="N59" s="11">
        <v>0</v>
      </c>
      <c r="O59" s="11">
        <v>0</v>
      </c>
      <c r="P59" s="11">
        <v>0</v>
      </c>
      <c r="Q59" s="11">
        <v>2.14</v>
      </c>
      <c r="R59" s="11">
        <v>17.34</v>
      </c>
      <c r="S59" s="11">
        <v>19.48</v>
      </c>
      <c r="T59" s="11">
        <v>2</v>
      </c>
      <c r="U59" s="11">
        <v>3</v>
      </c>
      <c r="V59" s="11">
        <v>14.48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168</v>
      </c>
      <c r="C60" s="10" t="s">
        <v>169</v>
      </c>
      <c r="D60" s="7" t="s">
        <v>93</v>
      </c>
      <c r="E60" s="7" t="s">
        <v>82</v>
      </c>
      <c r="F60" s="7" t="s">
        <v>78</v>
      </c>
      <c r="G60" s="7"/>
      <c r="H60" s="7" t="s">
        <v>52</v>
      </c>
      <c r="I60" s="11">
        <v>2</v>
      </c>
      <c r="J60" s="11">
        <v>3</v>
      </c>
      <c r="K60" s="11">
        <v>0</v>
      </c>
      <c r="L60" s="11">
        <v>0.06</v>
      </c>
      <c r="M60" s="11">
        <v>0</v>
      </c>
      <c r="N60" s="11">
        <v>0</v>
      </c>
      <c r="O60" s="11">
        <v>0</v>
      </c>
      <c r="P60" s="11">
        <v>0</v>
      </c>
      <c r="Q60" s="11">
        <v>0.06</v>
      </c>
      <c r="R60" s="11">
        <v>0</v>
      </c>
      <c r="S60" s="11">
        <v>0.06</v>
      </c>
      <c r="T60" s="11">
        <v>0.06</v>
      </c>
      <c r="U60" s="11">
        <v>0</v>
      </c>
      <c r="V60" s="11">
        <v>0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170</v>
      </c>
      <c r="C61" s="10" t="s">
        <v>171</v>
      </c>
      <c r="D61" s="7" t="s">
        <v>51</v>
      </c>
      <c r="E61" s="7" t="s">
        <v>77</v>
      </c>
      <c r="F61" s="7" t="s">
        <v>78</v>
      </c>
      <c r="G61" s="7"/>
      <c r="H61" s="7" t="s">
        <v>52</v>
      </c>
      <c r="I61" s="11">
        <v>2</v>
      </c>
      <c r="J61" s="11">
        <v>3</v>
      </c>
      <c r="K61" s="11">
        <v>0</v>
      </c>
      <c r="L61" s="11">
        <v>1.79</v>
      </c>
      <c r="M61" s="11">
        <v>0.5</v>
      </c>
      <c r="N61" s="11">
        <v>0</v>
      </c>
      <c r="O61" s="11">
        <v>0.6599999999999999</v>
      </c>
      <c r="P61" s="11">
        <v>0</v>
      </c>
      <c r="Q61" s="11">
        <v>2.95</v>
      </c>
      <c r="R61" s="11">
        <v>20.84</v>
      </c>
      <c r="S61" s="11">
        <v>23.79</v>
      </c>
      <c r="T61" s="11">
        <v>2</v>
      </c>
      <c r="U61" s="11">
        <v>3</v>
      </c>
      <c r="V61" s="11">
        <v>18.79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172</v>
      </c>
      <c r="C62" s="10" t="s">
        <v>173</v>
      </c>
      <c r="D62" s="7" t="s">
        <v>81</v>
      </c>
      <c r="E62" s="7" t="s">
        <v>77</v>
      </c>
      <c r="F62" s="7" t="s">
        <v>78</v>
      </c>
      <c r="G62" s="7"/>
      <c r="H62" s="7" t="s">
        <v>52</v>
      </c>
      <c r="I62" s="11">
        <v>2</v>
      </c>
      <c r="J62" s="11">
        <v>3</v>
      </c>
      <c r="K62" s="11">
        <v>0</v>
      </c>
      <c r="L62" s="11">
        <v>2.68</v>
      </c>
      <c r="M62" s="11">
        <v>0.8300000000000001</v>
      </c>
      <c r="N62" s="11">
        <v>0</v>
      </c>
      <c r="O62" s="11">
        <v>0.4400000000000001</v>
      </c>
      <c r="P62" s="11">
        <v>0</v>
      </c>
      <c r="Q62" s="11">
        <v>3.95</v>
      </c>
      <c r="R62" s="11">
        <v>24.43000000000001</v>
      </c>
      <c r="S62" s="11">
        <v>28.38000000000001</v>
      </c>
      <c r="T62" s="11">
        <v>2</v>
      </c>
      <c r="U62" s="11">
        <v>3</v>
      </c>
      <c r="V62" s="11">
        <v>23.38000000000001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51</v>
      </c>
      <c r="E63" s="7" t="s">
        <v>77</v>
      </c>
      <c r="F63" s="7" t="s">
        <v>78</v>
      </c>
      <c r="G63" s="7"/>
      <c r="H63" s="7" t="s">
        <v>52</v>
      </c>
      <c r="I63" s="11">
        <v>2</v>
      </c>
      <c r="J63" s="11">
        <v>3</v>
      </c>
      <c r="K63" s="11">
        <v>0</v>
      </c>
      <c r="L63" s="11">
        <v>2.54</v>
      </c>
      <c r="M63" s="11">
        <v>0.33</v>
      </c>
      <c r="N63" s="11">
        <v>0</v>
      </c>
      <c r="O63" s="11">
        <v>0.8</v>
      </c>
      <c r="P63" s="11">
        <v>0</v>
      </c>
      <c r="Q63" s="11">
        <v>3.67</v>
      </c>
      <c r="R63" s="11">
        <v>24.83</v>
      </c>
      <c r="S63" s="11">
        <v>28.5</v>
      </c>
      <c r="T63" s="11">
        <v>2</v>
      </c>
      <c r="U63" s="11">
        <v>3</v>
      </c>
      <c r="V63" s="11">
        <v>23.5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176</v>
      </c>
      <c r="C64" s="10" t="s">
        <v>177</v>
      </c>
      <c r="D64" s="7" t="s">
        <v>85</v>
      </c>
      <c r="E64" s="7" t="s">
        <v>66</v>
      </c>
      <c r="F64" s="7" t="s">
        <v>78</v>
      </c>
      <c r="G64" s="7"/>
      <c r="H64" s="7" t="s">
        <v>52</v>
      </c>
      <c r="I64" s="11">
        <v>2</v>
      </c>
      <c r="J64" s="11">
        <v>3</v>
      </c>
      <c r="K64" s="11">
        <v>0</v>
      </c>
      <c r="L64" s="11">
        <v>3.180000000000001</v>
      </c>
      <c r="M64" s="11">
        <v>1.16</v>
      </c>
      <c r="N64" s="11">
        <v>0</v>
      </c>
      <c r="O64" s="11">
        <v>0.82</v>
      </c>
      <c r="P64" s="11">
        <v>0</v>
      </c>
      <c r="Q64" s="11">
        <v>5.160000000000001</v>
      </c>
      <c r="R64" s="11">
        <v>35.54</v>
      </c>
      <c r="S64" s="11">
        <v>40.7</v>
      </c>
      <c r="T64" s="11">
        <v>2</v>
      </c>
      <c r="U64" s="11">
        <v>3</v>
      </c>
      <c r="V64" s="11">
        <v>35.7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81</v>
      </c>
      <c r="E65" s="7" t="s">
        <v>82</v>
      </c>
      <c r="F65" s="7" t="s">
        <v>78</v>
      </c>
      <c r="G65" s="7"/>
      <c r="H65" s="7" t="s">
        <v>52</v>
      </c>
      <c r="I65" s="11">
        <v>2</v>
      </c>
      <c r="J65" s="11">
        <v>3</v>
      </c>
      <c r="K65" s="11">
        <v>0</v>
      </c>
      <c r="L65" s="11">
        <v>2.32</v>
      </c>
      <c r="M65" s="11">
        <v>0.5</v>
      </c>
      <c r="N65" s="11">
        <v>0</v>
      </c>
      <c r="O65" s="11">
        <v>0.7400000000000001</v>
      </c>
      <c r="P65" s="11">
        <v>0</v>
      </c>
      <c r="Q65" s="11">
        <v>3.56</v>
      </c>
      <c r="R65" s="11">
        <v>29.15000000000001</v>
      </c>
      <c r="S65" s="11">
        <v>32.71000000000001</v>
      </c>
      <c r="T65" s="11">
        <v>2</v>
      </c>
      <c r="U65" s="11">
        <v>3</v>
      </c>
      <c r="V65" s="11">
        <v>27.71000000000001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51</v>
      </c>
      <c r="E66" s="7" t="s">
        <v>77</v>
      </c>
      <c r="F66" s="7" t="s">
        <v>78</v>
      </c>
      <c r="G66" s="7"/>
      <c r="H66" s="7" t="s">
        <v>52</v>
      </c>
      <c r="I66" s="11">
        <v>2</v>
      </c>
      <c r="J66" s="11">
        <v>3</v>
      </c>
      <c r="K66" s="11">
        <v>0</v>
      </c>
      <c r="L66" s="11">
        <v>0.8900000000000001</v>
      </c>
      <c r="M66" s="11">
        <v>0.99</v>
      </c>
      <c r="N66" s="11">
        <v>0</v>
      </c>
      <c r="O66" s="11">
        <v>0.18</v>
      </c>
      <c r="P66" s="11">
        <v>0</v>
      </c>
      <c r="Q66" s="11">
        <v>2.060000000000001</v>
      </c>
      <c r="R66" s="11">
        <v>31.17999999999999</v>
      </c>
      <c r="S66" s="11">
        <v>33.23999999999999</v>
      </c>
      <c r="T66" s="11">
        <v>2</v>
      </c>
      <c r="U66" s="11">
        <v>3</v>
      </c>
      <c r="V66" s="11">
        <v>28.23999999999999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81</v>
      </c>
      <c r="E67" s="7" t="s">
        <v>82</v>
      </c>
      <c r="F67" s="7" t="s">
        <v>78</v>
      </c>
      <c r="G67" s="7"/>
      <c r="H67" s="7" t="s">
        <v>52</v>
      </c>
      <c r="I67" s="11">
        <v>2</v>
      </c>
      <c r="J67" s="11">
        <v>3</v>
      </c>
      <c r="K67" s="11">
        <v>0</v>
      </c>
      <c r="L67" s="11">
        <v>3.07</v>
      </c>
      <c r="M67" s="11">
        <v>0.58</v>
      </c>
      <c r="N67" s="11">
        <v>0</v>
      </c>
      <c r="O67" s="11">
        <v>0.2</v>
      </c>
      <c r="P67" s="11">
        <v>0</v>
      </c>
      <c r="Q67" s="11">
        <v>3.850000000000001</v>
      </c>
      <c r="R67" s="11">
        <v>26.99000000000001</v>
      </c>
      <c r="S67" s="11">
        <v>30.84000000000001</v>
      </c>
      <c r="T67" s="11">
        <v>2</v>
      </c>
      <c r="U67" s="11">
        <v>3</v>
      </c>
      <c r="V67" s="11">
        <v>25.84000000000001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93</v>
      </c>
      <c r="E68" s="7" t="s">
        <v>77</v>
      </c>
      <c r="F68" s="7" t="s">
        <v>78</v>
      </c>
      <c r="G68" s="7"/>
      <c r="H68" s="7" t="s">
        <v>52</v>
      </c>
      <c r="I68" s="11">
        <v>2</v>
      </c>
      <c r="J68" s="11">
        <v>3</v>
      </c>
      <c r="K68" s="11">
        <v>0</v>
      </c>
      <c r="L68" s="11">
        <v>4.759999999999998</v>
      </c>
      <c r="M68" s="11">
        <v>0.41</v>
      </c>
      <c r="N68" s="11">
        <v>0</v>
      </c>
      <c r="O68" s="11">
        <v>0.02</v>
      </c>
      <c r="P68" s="11">
        <v>0</v>
      </c>
      <c r="Q68" s="11">
        <v>5.189999999999998</v>
      </c>
      <c r="R68" s="11">
        <v>37.84</v>
      </c>
      <c r="S68" s="11">
        <v>43.02999999999999</v>
      </c>
      <c r="T68" s="11">
        <v>2</v>
      </c>
      <c r="U68" s="11">
        <v>3</v>
      </c>
      <c r="V68" s="11">
        <v>38.02999999999999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81</v>
      </c>
      <c r="E69" s="7" t="s">
        <v>82</v>
      </c>
      <c r="F69" s="7" t="s">
        <v>78</v>
      </c>
      <c r="G69" s="7"/>
      <c r="H69" s="7" t="s">
        <v>52</v>
      </c>
      <c r="I69" s="11">
        <v>2</v>
      </c>
      <c r="J69" s="11">
        <v>3</v>
      </c>
      <c r="K69" s="11">
        <v>0</v>
      </c>
      <c r="L69" s="11">
        <v>1.42</v>
      </c>
      <c r="M69" s="11">
        <v>0.5</v>
      </c>
      <c r="N69" s="11">
        <v>0</v>
      </c>
      <c r="O69" s="11">
        <v>0.32</v>
      </c>
      <c r="P69" s="11">
        <v>0</v>
      </c>
      <c r="Q69" s="11">
        <v>2.24</v>
      </c>
      <c r="R69" s="11">
        <v>26.18000000000001</v>
      </c>
      <c r="S69" s="11">
        <v>28.42000000000001</v>
      </c>
      <c r="T69" s="11">
        <v>2</v>
      </c>
      <c r="U69" s="11">
        <v>3</v>
      </c>
      <c r="V69" s="11">
        <v>23.42000000000001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81</v>
      </c>
      <c r="E70" s="7" t="s">
        <v>82</v>
      </c>
      <c r="F70" s="7" t="s">
        <v>78</v>
      </c>
      <c r="G70" s="7"/>
      <c r="H70" s="7" t="s">
        <v>67</v>
      </c>
      <c r="I70" s="11">
        <v>2</v>
      </c>
      <c r="J70" s="11">
        <v>3</v>
      </c>
      <c r="K70" s="11">
        <v>1.33</v>
      </c>
      <c r="L70" s="11">
        <v>1.86</v>
      </c>
      <c r="M70" s="11">
        <v>0.42</v>
      </c>
      <c r="N70" s="11">
        <v>0</v>
      </c>
      <c r="O70" s="11">
        <v>0.48</v>
      </c>
      <c r="P70" s="11">
        <v>0.83</v>
      </c>
      <c r="Q70" s="11">
        <v>4.92</v>
      </c>
      <c r="R70" s="11">
        <v>39.82</v>
      </c>
      <c r="S70" s="11">
        <v>44.74</v>
      </c>
      <c r="T70" s="11">
        <v>2</v>
      </c>
      <c r="U70" s="11">
        <v>3</v>
      </c>
      <c r="V70" s="11">
        <v>39.74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58</v>
      </c>
      <c r="E71" s="7"/>
      <c r="F71" s="7" t="s">
        <v>78</v>
      </c>
      <c r="G71" s="7"/>
      <c r="H71" s="7" t="s">
        <v>52</v>
      </c>
      <c r="I71" s="11">
        <v>2</v>
      </c>
      <c r="J71" s="11">
        <v>3</v>
      </c>
      <c r="K71" s="11">
        <v>0</v>
      </c>
      <c r="L71" s="11">
        <v>3.579999999999999</v>
      </c>
      <c r="M71" s="11">
        <v>1.16</v>
      </c>
      <c r="N71" s="11">
        <v>0</v>
      </c>
      <c r="O71" s="11">
        <v>0</v>
      </c>
      <c r="P71" s="11">
        <v>0</v>
      </c>
      <c r="Q71" s="11">
        <v>4.739999999999999</v>
      </c>
      <c r="R71" s="11">
        <v>30.64</v>
      </c>
      <c r="S71" s="11">
        <v>35.38</v>
      </c>
      <c r="T71" s="11">
        <v>2</v>
      </c>
      <c r="U71" s="11">
        <v>3</v>
      </c>
      <c r="V71" s="11">
        <v>30.38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51</v>
      </c>
      <c r="E72" s="7" t="s">
        <v>77</v>
      </c>
      <c r="F72" s="7" t="s">
        <v>78</v>
      </c>
      <c r="G72" s="7"/>
      <c r="H72" s="7" t="s">
        <v>52</v>
      </c>
      <c r="I72" s="11">
        <v>2</v>
      </c>
      <c r="J72" s="11">
        <v>3</v>
      </c>
      <c r="K72" s="11">
        <v>0</v>
      </c>
      <c r="L72" s="11">
        <v>1.730000000000001</v>
      </c>
      <c r="M72" s="11">
        <v>0.5</v>
      </c>
      <c r="N72" s="11">
        <v>0</v>
      </c>
      <c r="O72" s="11">
        <v>0.2</v>
      </c>
      <c r="P72" s="11">
        <v>0</v>
      </c>
      <c r="Q72" s="11">
        <v>2.430000000000001</v>
      </c>
      <c r="R72" s="11">
        <v>19.48</v>
      </c>
      <c r="S72" s="11">
        <v>21.91</v>
      </c>
      <c r="T72" s="11">
        <v>2</v>
      </c>
      <c r="U72" s="11">
        <v>3</v>
      </c>
      <c r="V72" s="11">
        <v>16.91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85</v>
      </c>
      <c r="E73" s="7" t="s">
        <v>82</v>
      </c>
      <c r="F73" s="7" t="s">
        <v>117</v>
      </c>
      <c r="G73" s="7"/>
      <c r="H73" s="7" t="s">
        <v>52</v>
      </c>
      <c r="I73" s="11">
        <v>2</v>
      </c>
      <c r="J73" s="11">
        <v>3</v>
      </c>
      <c r="K73" s="11">
        <v>0</v>
      </c>
      <c r="L73" s="11">
        <v>3.240000000000001</v>
      </c>
      <c r="M73" s="11">
        <v>1.17</v>
      </c>
      <c r="N73" s="11">
        <v>0</v>
      </c>
      <c r="O73" s="11">
        <v>0.4</v>
      </c>
      <c r="P73" s="11">
        <v>0</v>
      </c>
      <c r="Q73" s="11">
        <v>4.81</v>
      </c>
      <c r="R73" s="11">
        <v>25.21</v>
      </c>
      <c r="S73" s="11">
        <v>30.02</v>
      </c>
      <c r="T73" s="11">
        <v>2</v>
      </c>
      <c r="U73" s="11">
        <v>3</v>
      </c>
      <c r="V73" s="11">
        <v>25.02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46</v>
      </c>
      <c r="E74" s="7" t="s">
        <v>77</v>
      </c>
      <c r="F74" s="7" t="s">
        <v>78</v>
      </c>
      <c r="G74" s="7"/>
      <c r="H74" s="7" t="s">
        <v>52</v>
      </c>
      <c r="I74" s="11">
        <v>2</v>
      </c>
      <c r="J74" s="11">
        <v>3</v>
      </c>
      <c r="K74" s="11">
        <v>0</v>
      </c>
      <c r="L74" s="11">
        <v>1.810000000000001</v>
      </c>
      <c r="M74" s="11">
        <v>0.5</v>
      </c>
      <c r="N74" s="11">
        <v>0</v>
      </c>
      <c r="O74" s="11">
        <v>0.18</v>
      </c>
      <c r="P74" s="11">
        <v>0</v>
      </c>
      <c r="Q74" s="11">
        <v>2.490000000000001</v>
      </c>
      <c r="R74" s="11">
        <v>25.46</v>
      </c>
      <c r="S74" s="11">
        <v>27.95</v>
      </c>
      <c r="T74" s="11">
        <v>2</v>
      </c>
      <c r="U74" s="11">
        <v>3</v>
      </c>
      <c r="V74" s="11">
        <v>22.95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81</v>
      </c>
      <c r="E75" s="7" t="s">
        <v>82</v>
      </c>
      <c r="F75" s="7" t="s">
        <v>78</v>
      </c>
      <c r="G75" s="7"/>
      <c r="H75" s="7" t="s">
        <v>52</v>
      </c>
      <c r="I75" s="11">
        <v>2</v>
      </c>
      <c r="J75" s="11">
        <v>3</v>
      </c>
      <c r="K75" s="11">
        <v>0</v>
      </c>
      <c r="L75" s="11">
        <v>0.54</v>
      </c>
      <c r="M75" s="11">
        <v>0.58</v>
      </c>
      <c r="N75" s="11">
        <v>0</v>
      </c>
      <c r="O75" s="11">
        <v>0.06</v>
      </c>
      <c r="P75" s="11">
        <v>0</v>
      </c>
      <c r="Q75" s="11">
        <v>1.18</v>
      </c>
      <c r="R75" s="11">
        <v>13.78</v>
      </c>
      <c r="S75" s="11">
        <v>14.96</v>
      </c>
      <c r="T75" s="11">
        <v>2</v>
      </c>
      <c r="U75" s="11">
        <v>3</v>
      </c>
      <c r="V75" s="11">
        <v>9.960000000000001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74</v>
      </c>
      <c r="E76" s="7" t="s">
        <v>82</v>
      </c>
      <c r="F76" s="7" t="s">
        <v>78</v>
      </c>
      <c r="G76" s="7"/>
      <c r="H76" s="7"/>
      <c r="I76" s="11">
        <v>2</v>
      </c>
      <c r="J76" s="11">
        <v>3</v>
      </c>
      <c r="K76" s="11">
        <v>0</v>
      </c>
      <c r="L76" s="11">
        <v>1.62</v>
      </c>
      <c r="M76" s="11">
        <v>0.25</v>
      </c>
      <c r="N76" s="11">
        <v>0</v>
      </c>
      <c r="O76" s="11">
        <v>0.18</v>
      </c>
      <c r="P76" s="11">
        <v>0</v>
      </c>
      <c r="Q76" s="11">
        <v>2.050000000000001</v>
      </c>
      <c r="R76" s="11">
        <v>20.64</v>
      </c>
      <c r="S76" s="11">
        <v>22.69</v>
      </c>
      <c r="T76" s="11">
        <v>2</v>
      </c>
      <c r="U76" s="11">
        <v>3</v>
      </c>
      <c r="V76" s="11">
        <v>17.69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85</v>
      </c>
      <c r="E77" s="7" t="s">
        <v>77</v>
      </c>
      <c r="F77" s="7" t="s">
        <v>78</v>
      </c>
      <c r="G77" s="7"/>
      <c r="H77" s="7" t="s">
        <v>52</v>
      </c>
      <c r="I77" s="11">
        <v>2</v>
      </c>
      <c r="J77" s="11">
        <v>3</v>
      </c>
      <c r="K77" s="11">
        <v>0</v>
      </c>
      <c r="L77" s="11">
        <v>2.51</v>
      </c>
      <c r="M77" s="11">
        <v>0.5</v>
      </c>
      <c r="N77" s="11">
        <v>0</v>
      </c>
      <c r="O77" s="11">
        <v>0</v>
      </c>
      <c r="P77" s="11">
        <v>0</v>
      </c>
      <c r="Q77" s="11">
        <v>3.01</v>
      </c>
      <c r="R77" s="11">
        <v>25.53000000000001</v>
      </c>
      <c r="S77" s="11">
        <v>28.54000000000001</v>
      </c>
      <c r="T77" s="11">
        <v>2</v>
      </c>
      <c r="U77" s="11">
        <v>3</v>
      </c>
      <c r="V77" s="11">
        <v>23.54000000000001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46</v>
      </c>
      <c r="E78" s="7" t="s">
        <v>77</v>
      </c>
      <c r="F78" s="7" t="s">
        <v>78</v>
      </c>
      <c r="G78" s="7"/>
      <c r="H78" s="7" t="s">
        <v>52</v>
      </c>
      <c r="I78" s="11">
        <v>2</v>
      </c>
      <c r="J78" s="11">
        <v>3</v>
      </c>
      <c r="K78" s="11">
        <v>0</v>
      </c>
      <c r="L78" s="11">
        <v>1.540000000000001</v>
      </c>
      <c r="M78" s="11">
        <v>0.34</v>
      </c>
      <c r="N78" s="11">
        <v>0</v>
      </c>
      <c r="O78" s="11">
        <v>0.18</v>
      </c>
      <c r="P78" s="11">
        <v>0</v>
      </c>
      <c r="Q78" s="11">
        <v>2.06</v>
      </c>
      <c r="R78" s="11">
        <v>19.63</v>
      </c>
      <c r="S78" s="11">
        <v>21.69</v>
      </c>
      <c r="T78" s="11">
        <v>2</v>
      </c>
      <c r="U78" s="11">
        <v>3</v>
      </c>
      <c r="V78" s="11">
        <v>16.69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51</v>
      </c>
      <c r="E79" s="7" t="s">
        <v>77</v>
      </c>
      <c r="F79" s="7" t="s">
        <v>78</v>
      </c>
      <c r="G79" s="7"/>
      <c r="H79" s="7" t="s">
        <v>52</v>
      </c>
      <c r="I79" s="11">
        <v>2</v>
      </c>
      <c r="J79" s="11">
        <v>3</v>
      </c>
      <c r="K79" s="11">
        <v>0</v>
      </c>
      <c r="L79" s="11">
        <v>1.44</v>
      </c>
      <c r="M79" s="11">
        <v>1</v>
      </c>
      <c r="N79" s="11">
        <v>0</v>
      </c>
      <c r="O79" s="11">
        <v>0.18</v>
      </c>
      <c r="P79" s="11">
        <v>0</v>
      </c>
      <c r="Q79" s="11">
        <v>2.620000000000001</v>
      </c>
      <c r="R79" s="11">
        <v>28.12</v>
      </c>
      <c r="S79" s="11">
        <v>30.74</v>
      </c>
      <c r="T79" s="11">
        <v>2</v>
      </c>
      <c r="U79" s="11">
        <v>3</v>
      </c>
      <c r="V79" s="11">
        <v>25.74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58</v>
      </c>
      <c r="E80" s="7" t="s">
        <v>77</v>
      </c>
      <c r="F80" s="7" t="s">
        <v>78</v>
      </c>
      <c r="G80" s="7"/>
      <c r="H80" s="7" t="s">
        <v>210</v>
      </c>
      <c r="I80" s="11">
        <v>2</v>
      </c>
      <c r="J80" s="11">
        <v>3</v>
      </c>
      <c r="K80" s="11">
        <v>1</v>
      </c>
      <c r="L80" s="11">
        <v>3.829999999999999</v>
      </c>
      <c r="M80" s="11">
        <v>0.8300000000000001</v>
      </c>
      <c r="N80" s="11">
        <v>0</v>
      </c>
      <c r="O80" s="11">
        <v>0</v>
      </c>
      <c r="P80" s="11">
        <v>0</v>
      </c>
      <c r="Q80" s="11">
        <v>5.659999999999999</v>
      </c>
      <c r="R80" s="11">
        <v>38.81999999999999</v>
      </c>
      <c r="S80" s="11">
        <v>44.47999999999998</v>
      </c>
      <c r="T80" s="11">
        <v>2</v>
      </c>
      <c r="U80" s="11">
        <v>3</v>
      </c>
      <c r="V80" s="11">
        <v>39.47999999999998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62</v>
      </c>
      <c r="E81" s="7" t="s">
        <v>77</v>
      </c>
      <c r="F81" s="7" t="s">
        <v>78</v>
      </c>
      <c r="G81" s="7"/>
      <c r="H81" s="7" t="s">
        <v>52</v>
      </c>
      <c r="I81" s="11">
        <v>2</v>
      </c>
      <c r="J81" s="11">
        <v>3</v>
      </c>
      <c r="K81" s="11">
        <v>0</v>
      </c>
      <c r="L81" s="11">
        <v>2.23</v>
      </c>
      <c r="M81" s="11">
        <v>0.16</v>
      </c>
      <c r="N81" s="11">
        <v>0</v>
      </c>
      <c r="O81" s="11">
        <v>0.6</v>
      </c>
      <c r="P81" s="11">
        <v>0</v>
      </c>
      <c r="Q81" s="11">
        <v>2.99</v>
      </c>
      <c r="R81" s="11">
        <v>22.04</v>
      </c>
      <c r="S81" s="11">
        <v>25.03</v>
      </c>
      <c r="T81" s="11">
        <v>2</v>
      </c>
      <c r="U81" s="11">
        <v>3</v>
      </c>
      <c r="V81" s="11">
        <v>20.03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90</v>
      </c>
      <c r="E82" s="7" t="s">
        <v>77</v>
      </c>
      <c r="F82" s="7" t="s">
        <v>78</v>
      </c>
      <c r="G82" s="7"/>
      <c r="H82" s="7" t="s">
        <v>52</v>
      </c>
      <c r="I82" s="11">
        <v>2</v>
      </c>
      <c r="J82" s="11">
        <v>3</v>
      </c>
      <c r="K82" s="11">
        <v>0</v>
      </c>
      <c r="L82" s="11">
        <v>0.65</v>
      </c>
      <c r="M82" s="11">
        <v>0.17</v>
      </c>
      <c r="N82" s="11">
        <v>0</v>
      </c>
      <c r="O82" s="11">
        <v>0</v>
      </c>
      <c r="P82" s="11">
        <v>0</v>
      </c>
      <c r="Q82" s="11">
        <v>0.8199999999999998</v>
      </c>
      <c r="R82" s="11">
        <v>17.98</v>
      </c>
      <c r="S82" s="11">
        <v>18.8</v>
      </c>
      <c r="T82" s="11">
        <v>2</v>
      </c>
      <c r="U82" s="11">
        <v>3</v>
      </c>
      <c r="V82" s="11">
        <v>13.8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217</v>
      </c>
      <c r="E83" s="7" t="s">
        <v>77</v>
      </c>
      <c r="F83" s="7" t="s">
        <v>78</v>
      </c>
      <c r="G83" s="7"/>
      <c r="H83" s="7" t="s">
        <v>52</v>
      </c>
      <c r="I83" s="11">
        <v>2</v>
      </c>
      <c r="J83" s="11">
        <v>3</v>
      </c>
      <c r="K83" s="11">
        <v>0</v>
      </c>
      <c r="L83" s="11">
        <v>1.51</v>
      </c>
      <c r="M83" s="11">
        <v>0.33</v>
      </c>
      <c r="N83" s="11">
        <v>0</v>
      </c>
      <c r="O83" s="11">
        <v>0</v>
      </c>
      <c r="P83" s="11">
        <v>0</v>
      </c>
      <c r="Q83" s="11">
        <v>1.84</v>
      </c>
      <c r="R83" s="11">
        <v>26.72999999999999</v>
      </c>
      <c r="S83" s="11">
        <v>28.56999999999999</v>
      </c>
      <c r="T83" s="11">
        <v>2</v>
      </c>
      <c r="U83" s="11">
        <v>3</v>
      </c>
      <c r="V83" s="11">
        <v>23.56999999999999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85</v>
      </c>
      <c r="E84" s="7" t="s">
        <v>77</v>
      </c>
      <c r="F84" s="7" t="s">
        <v>78</v>
      </c>
      <c r="G84" s="7"/>
      <c r="H84" s="7" t="s">
        <v>52</v>
      </c>
      <c r="I84" s="11">
        <v>2</v>
      </c>
      <c r="J84" s="11">
        <v>3</v>
      </c>
      <c r="K84" s="11">
        <v>0</v>
      </c>
      <c r="L84" s="11">
        <v>2.300000000000001</v>
      </c>
      <c r="M84" s="11">
        <v>0.51</v>
      </c>
      <c r="N84" s="11">
        <v>0</v>
      </c>
      <c r="O84" s="11">
        <v>0</v>
      </c>
      <c r="P84" s="11">
        <v>0</v>
      </c>
      <c r="Q84" s="11">
        <v>2.81</v>
      </c>
      <c r="R84" s="11">
        <v>25.01000000000001</v>
      </c>
      <c r="S84" s="11">
        <v>27.82000000000001</v>
      </c>
      <c r="T84" s="11">
        <v>2</v>
      </c>
      <c r="U84" s="11">
        <v>3</v>
      </c>
      <c r="V84" s="11">
        <v>22.82000000000001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81</v>
      </c>
      <c r="E85" s="7" t="s">
        <v>82</v>
      </c>
      <c r="F85" s="7" t="s">
        <v>78</v>
      </c>
      <c r="G85" s="7"/>
      <c r="H85" s="7" t="s">
        <v>210</v>
      </c>
      <c r="I85" s="11">
        <v>2</v>
      </c>
      <c r="J85" s="11">
        <v>3</v>
      </c>
      <c r="K85" s="11">
        <v>1</v>
      </c>
      <c r="L85" s="11">
        <v>2.39</v>
      </c>
      <c r="M85" s="11">
        <v>0.75</v>
      </c>
      <c r="N85" s="11">
        <v>0</v>
      </c>
      <c r="O85" s="11">
        <v>0.26</v>
      </c>
      <c r="P85" s="11">
        <v>0</v>
      </c>
      <c r="Q85" s="11">
        <v>4.399999999999999</v>
      </c>
      <c r="R85" s="11">
        <v>27.54</v>
      </c>
      <c r="S85" s="11">
        <v>31.94</v>
      </c>
      <c r="T85" s="11">
        <v>2</v>
      </c>
      <c r="U85" s="11">
        <v>3</v>
      </c>
      <c r="V85" s="11">
        <v>26.94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217</v>
      </c>
      <c r="E86" s="7" t="s">
        <v>77</v>
      </c>
      <c r="F86" s="7" t="s">
        <v>78</v>
      </c>
      <c r="G86" s="7"/>
      <c r="H86" s="7" t="s">
        <v>52</v>
      </c>
      <c r="I86" s="11">
        <v>2</v>
      </c>
      <c r="J86" s="11">
        <v>3</v>
      </c>
      <c r="K86" s="11">
        <v>0</v>
      </c>
      <c r="L86" s="11">
        <v>2.45</v>
      </c>
      <c r="M86" s="11">
        <v>0.8300000000000001</v>
      </c>
      <c r="N86" s="11">
        <v>0</v>
      </c>
      <c r="O86" s="11">
        <v>0</v>
      </c>
      <c r="P86" s="11">
        <v>0</v>
      </c>
      <c r="Q86" s="11">
        <v>3.28</v>
      </c>
      <c r="R86" s="11">
        <v>29.11999999999999</v>
      </c>
      <c r="S86" s="11">
        <v>32.39999999999999</v>
      </c>
      <c r="T86" s="11">
        <v>2</v>
      </c>
      <c r="U86" s="11">
        <v>3</v>
      </c>
      <c r="V86" s="11">
        <v>27.39999999999999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90</v>
      </c>
      <c r="E87" s="7" t="s">
        <v>77</v>
      </c>
      <c r="F87" s="7" t="s">
        <v>78</v>
      </c>
      <c r="G87" s="7"/>
      <c r="H87" s="7" t="s">
        <v>52</v>
      </c>
      <c r="I87" s="11">
        <v>2</v>
      </c>
      <c r="J87" s="11">
        <v>3</v>
      </c>
      <c r="K87" s="11">
        <v>0</v>
      </c>
      <c r="L87" s="11">
        <v>1.84</v>
      </c>
      <c r="M87" s="11">
        <v>0.67</v>
      </c>
      <c r="N87" s="11">
        <v>0</v>
      </c>
      <c r="O87" s="11">
        <v>0</v>
      </c>
      <c r="P87" s="11">
        <v>0</v>
      </c>
      <c r="Q87" s="11">
        <v>2.51</v>
      </c>
      <c r="R87" s="11">
        <v>24.53</v>
      </c>
      <c r="S87" s="11">
        <v>27.04</v>
      </c>
      <c r="T87" s="11">
        <v>2</v>
      </c>
      <c r="U87" s="11">
        <v>3</v>
      </c>
      <c r="V87" s="11">
        <v>22.04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85</v>
      </c>
      <c r="E88" s="7" t="s">
        <v>77</v>
      </c>
      <c r="F88" s="7" t="s">
        <v>78</v>
      </c>
      <c r="G88" s="7"/>
      <c r="H88" s="7" t="s">
        <v>52</v>
      </c>
      <c r="I88" s="11">
        <v>2</v>
      </c>
      <c r="J88" s="11">
        <v>3</v>
      </c>
      <c r="K88" s="11">
        <v>0</v>
      </c>
      <c r="L88" s="11">
        <v>1.820000000000001</v>
      </c>
      <c r="M88" s="11">
        <v>0.58</v>
      </c>
      <c r="N88" s="11">
        <v>0</v>
      </c>
      <c r="O88" s="11">
        <v>0.22</v>
      </c>
      <c r="P88" s="11">
        <v>0</v>
      </c>
      <c r="Q88" s="11">
        <v>2.620000000000001</v>
      </c>
      <c r="R88" s="11">
        <v>23.03</v>
      </c>
      <c r="S88" s="11">
        <v>25.65</v>
      </c>
      <c r="T88" s="11">
        <v>2</v>
      </c>
      <c r="U88" s="11">
        <v>3</v>
      </c>
      <c r="V88" s="11">
        <v>20.65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93</v>
      </c>
      <c r="E89" s="7" t="s">
        <v>77</v>
      </c>
      <c r="F89" s="7" t="s">
        <v>78</v>
      </c>
      <c r="G89" s="7"/>
      <c r="H89" s="7" t="s">
        <v>52</v>
      </c>
      <c r="I89" s="11">
        <v>2</v>
      </c>
      <c r="J89" s="11">
        <v>3</v>
      </c>
      <c r="K89" s="11">
        <v>0</v>
      </c>
      <c r="L89" s="11">
        <v>3.659999999999999</v>
      </c>
      <c r="M89" s="11">
        <v>0.41</v>
      </c>
      <c r="N89" s="11">
        <v>0</v>
      </c>
      <c r="O89" s="11">
        <v>0.08</v>
      </c>
      <c r="P89" s="11">
        <v>0</v>
      </c>
      <c r="Q89" s="11">
        <v>4.149999999999999</v>
      </c>
      <c r="R89" s="11">
        <v>36.00999999999999</v>
      </c>
      <c r="S89" s="11">
        <v>40.15999999999999</v>
      </c>
      <c r="T89" s="11">
        <v>2</v>
      </c>
      <c r="U89" s="11">
        <v>3</v>
      </c>
      <c r="V89" s="11">
        <v>35.15999999999999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93</v>
      </c>
      <c r="E90" s="7" t="s">
        <v>66</v>
      </c>
      <c r="F90" s="7" t="s">
        <v>78</v>
      </c>
      <c r="G90" s="7"/>
      <c r="H90" s="7" t="s">
        <v>100</v>
      </c>
      <c r="I90" s="11">
        <v>2</v>
      </c>
      <c r="J90" s="11">
        <v>3</v>
      </c>
      <c r="K90" s="11">
        <v>0.95</v>
      </c>
      <c r="L90" s="11">
        <v>5.799999999999997</v>
      </c>
      <c r="M90" s="11">
        <v>0.5</v>
      </c>
      <c r="N90" s="11">
        <v>0</v>
      </c>
      <c r="O90" s="11">
        <v>0.17</v>
      </c>
      <c r="P90" s="11">
        <v>0</v>
      </c>
      <c r="Q90" s="11">
        <v>7.419999999999997</v>
      </c>
      <c r="R90" s="11">
        <v>50.61999999999997</v>
      </c>
      <c r="S90" s="11">
        <v>58.03999999999996</v>
      </c>
      <c r="T90" s="11">
        <v>2</v>
      </c>
      <c r="U90" s="11">
        <v>3</v>
      </c>
      <c r="V90" s="11">
        <v>53.03999999999996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85</v>
      </c>
      <c r="E91" s="7" t="s">
        <v>77</v>
      </c>
      <c r="F91" s="7" t="s">
        <v>78</v>
      </c>
      <c r="G91" s="7"/>
      <c r="H91" s="7" t="s">
        <v>100</v>
      </c>
      <c r="I91" s="11">
        <v>2</v>
      </c>
      <c r="J91" s="11">
        <v>3</v>
      </c>
      <c r="K91" s="11">
        <v>0.95</v>
      </c>
      <c r="L91" s="11">
        <v>3.140000000000001</v>
      </c>
      <c r="M91" s="11">
        <v>0.8400000000000001</v>
      </c>
      <c r="N91" s="11">
        <v>0</v>
      </c>
      <c r="O91" s="11">
        <v>0</v>
      </c>
      <c r="P91" s="11">
        <v>0</v>
      </c>
      <c r="Q91" s="11">
        <v>4.930000000000001</v>
      </c>
      <c r="R91" s="11">
        <v>33.31</v>
      </c>
      <c r="S91" s="11">
        <v>38.24</v>
      </c>
      <c r="T91" s="11">
        <v>2</v>
      </c>
      <c r="U91" s="11">
        <v>3</v>
      </c>
      <c r="V91" s="11">
        <v>33.24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40</v>
      </c>
      <c r="E92" s="7" t="s">
        <v>82</v>
      </c>
      <c r="F92" s="7" t="s">
        <v>78</v>
      </c>
      <c r="G92" s="7"/>
      <c r="H92" s="7" t="s">
        <v>100</v>
      </c>
      <c r="I92" s="11">
        <v>2</v>
      </c>
      <c r="J92" s="11">
        <v>3</v>
      </c>
      <c r="K92" s="11">
        <v>0.95</v>
      </c>
      <c r="L92" s="11">
        <v>2.33</v>
      </c>
      <c r="M92" s="11">
        <v>1</v>
      </c>
      <c r="N92" s="11">
        <v>0</v>
      </c>
      <c r="O92" s="11">
        <v>3.96</v>
      </c>
      <c r="P92" s="11">
        <v>0</v>
      </c>
      <c r="Q92" s="11">
        <v>8.239999999999998</v>
      </c>
      <c r="R92" s="11">
        <v>31.98</v>
      </c>
      <c r="S92" s="11">
        <v>40.22</v>
      </c>
      <c r="T92" s="11">
        <v>2</v>
      </c>
      <c r="U92" s="11">
        <v>3</v>
      </c>
      <c r="V92" s="11">
        <v>35.22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74</v>
      </c>
      <c r="E93" s="7" t="s">
        <v>77</v>
      </c>
      <c r="F93" s="7" t="s">
        <v>78</v>
      </c>
      <c r="G93" s="7"/>
      <c r="H93" s="7" t="s">
        <v>143</v>
      </c>
      <c r="I93" s="11">
        <v>2</v>
      </c>
      <c r="J93" s="11">
        <v>3</v>
      </c>
      <c r="K93" s="11">
        <v>0.95</v>
      </c>
      <c r="L93" s="11">
        <v>2.490000000000001</v>
      </c>
      <c r="M93" s="11">
        <v>0.5</v>
      </c>
      <c r="N93" s="11">
        <v>0</v>
      </c>
      <c r="O93" s="11">
        <v>3.98</v>
      </c>
      <c r="P93" s="11">
        <v>0</v>
      </c>
      <c r="Q93" s="11">
        <v>7.920000000000001</v>
      </c>
      <c r="R93" s="11">
        <v>30.73</v>
      </c>
      <c r="S93" s="11">
        <v>38.65</v>
      </c>
      <c r="T93" s="11">
        <v>2</v>
      </c>
      <c r="U93" s="11">
        <v>3</v>
      </c>
      <c r="V93" s="11">
        <v>33.65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85</v>
      </c>
      <c r="E94" s="7" t="s">
        <v>66</v>
      </c>
      <c r="F94" s="7" t="s">
        <v>78</v>
      </c>
      <c r="G94" s="7"/>
      <c r="H94" s="7" t="s">
        <v>52</v>
      </c>
      <c r="I94" s="11">
        <v>2</v>
      </c>
      <c r="J94" s="11">
        <v>3</v>
      </c>
      <c r="K94" s="11">
        <v>0</v>
      </c>
      <c r="L94" s="11">
        <v>1.37</v>
      </c>
      <c r="M94" s="11">
        <v>0.33</v>
      </c>
      <c r="N94" s="11">
        <v>0</v>
      </c>
      <c r="O94" s="11">
        <v>0.18</v>
      </c>
      <c r="P94" s="11">
        <v>0</v>
      </c>
      <c r="Q94" s="11">
        <v>1.88</v>
      </c>
      <c r="R94" s="11">
        <v>34.22999999999999</v>
      </c>
      <c r="S94" s="11">
        <v>36.10999999999999</v>
      </c>
      <c r="T94" s="11">
        <v>2</v>
      </c>
      <c r="U94" s="11">
        <v>3</v>
      </c>
      <c r="V94" s="11">
        <v>31.10999999999999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46</v>
      </c>
      <c r="E95" s="7" t="s">
        <v>82</v>
      </c>
      <c r="F95" s="7" t="s">
        <v>78</v>
      </c>
      <c r="G95" s="7"/>
      <c r="H95" s="7" t="s">
        <v>100</v>
      </c>
      <c r="I95" s="11">
        <v>2</v>
      </c>
      <c r="J95" s="11">
        <v>3</v>
      </c>
      <c r="K95" s="11">
        <v>0.95</v>
      </c>
      <c r="L95" s="11">
        <v>3.710000000000001</v>
      </c>
      <c r="M95" s="11">
        <v>0.8400000000000001</v>
      </c>
      <c r="N95" s="11">
        <v>0</v>
      </c>
      <c r="O95" s="11">
        <v>0.5</v>
      </c>
      <c r="P95" s="11">
        <v>0</v>
      </c>
      <c r="Q95" s="11">
        <v>6.000000000000001</v>
      </c>
      <c r="R95" s="11">
        <v>30.28</v>
      </c>
      <c r="S95" s="11">
        <v>36.28</v>
      </c>
      <c r="T95" s="11">
        <v>2</v>
      </c>
      <c r="U95" s="11">
        <v>3</v>
      </c>
      <c r="V95" s="11">
        <v>31.28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85</v>
      </c>
      <c r="E96" s="7" t="s">
        <v>116</v>
      </c>
      <c r="F96" s="7" t="s">
        <v>117</v>
      </c>
      <c r="G96" s="7"/>
      <c r="H96" s="7" t="s">
        <v>143</v>
      </c>
      <c r="I96" s="11">
        <v>2</v>
      </c>
      <c r="J96" s="11">
        <v>3</v>
      </c>
      <c r="K96" s="11">
        <v>0.95</v>
      </c>
      <c r="L96" s="11">
        <v>1.46</v>
      </c>
      <c r="M96" s="11">
        <v>1.24</v>
      </c>
      <c r="N96" s="11">
        <v>0</v>
      </c>
      <c r="O96" s="11">
        <v>0.44</v>
      </c>
      <c r="P96" s="11">
        <v>0</v>
      </c>
      <c r="Q96" s="11">
        <v>4.09</v>
      </c>
      <c r="R96" s="11">
        <v>29.71</v>
      </c>
      <c r="S96" s="11">
        <v>33.8</v>
      </c>
      <c r="T96" s="11">
        <v>2</v>
      </c>
      <c r="U96" s="11">
        <v>3</v>
      </c>
      <c r="V96" s="11">
        <v>28.8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74</v>
      </c>
      <c r="E97" s="7" t="s">
        <v>77</v>
      </c>
      <c r="F97" s="7" t="s">
        <v>78</v>
      </c>
      <c r="G97" s="7"/>
      <c r="H97" s="7" t="s">
        <v>52</v>
      </c>
      <c r="I97" s="11">
        <v>2</v>
      </c>
      <c r="J97" s="11">
        <v>3</v>
      </c>
      <c r="K97" s="11">
        <v>0</v>
      </c>
      <c r="L97" s="11">
        <v>3.66</v>
      </c>
      <c r="M97" s="11">
        <v>1</v>
      </c>
      <c r="N97" s="11">
        <v>0</v>
      </c>
      <c r="O97" s="11">
        <v>0.52</v>
      </c>
      <c r="P97" s="11">
        <v>0</v>
      </c>
      <c r="Q97" s="11">
        <v>5.179999999999998</v>
      </c>
      <c r="R97" s="11">
        <v>35.94999999999999</v>
      </c>
      <c r="S97" s="11">
        <v>41.12999999999999</v>
      </c>
      <c r="T97" s="11">
        <v>2</v>
      </c>
      <c r="U97" s="11">
        <v>3</v>
      </c>
      <c r="V97" s="11">
        <v>36.12999999999999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74</v>
      </c>
      <c r="E98" s="7" t="s">
        <v>77</v>
      </c>
      <c r="F98" s="7" t="s">
        <v>78</v>
      </c>
      <c r="G98" s="7"/>
      <c r="H98" s="7" t="s">
        <v>52</v>
      </c>
      <c r="I98" s="11">
        <v>2</v>
      </c>
      <c r="J98" s="11">
        <v>3</v>
      </c>
      <c r="K98" s="11">
        <v>0</v>
      </c>
      <c r="L98" s="11">
        <v>3.380000000000001</v>
      </c>
      <c r="M98" s="11">
        <v>0.8300000000000001</v>
      </c>
      <c r="N98" s="11">
        <v>0</v>
      </c>
      <c r="O98" s="11">
        <v>0.6799999999999999</v>
      </c>
      <c r="P98" s="11">
        <v>0</v>
      </c>
      <c r="Q98" s="11">
        <v>4.890000000000001</v>
      </c>
      <c r="R98" s="11">
        <v>31.60999999999999</v>
      </c>
      <c r="S98" s="11">
        <v>36.49999999999999</v>
      </c>
      <c r="T98" s="11">
        <v>2</v>
      </c>
      <c r="U98" s="11">
        <v>3</v>
      </c>
      <c r="V98" s="11">
        <v>31.49999999999999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85</v>
      </c>
      <c r="E99" s="7" t="s">
        <v>77</v>
      </c>
      <c r="F99" s="7" t="s">
        <v>78</v>
      </c>
      <c r="G99" s="7"/>
      <c r="H99" s="7" t="s">
        <v>52</v>
      </c>
      <c r="I99" s="11">
        <v>2</v>
      </c>
      <c r="J99" s="11">
        <v>3</v>
      </c>
      <c r="K99" s="11">
        <v>0</v>
      </c>
      <c r="L99" s="11">
        <v>2.470000000000001</v>
      </c>
      <c r="M99" s="11">
        <v>0.8200000000000001</v>
      </c>
      <c r="N99" s="11">
        <v>0</v>
      </c>
      <c r="O99" s="11">
        <v>0.6000000000000001</v>
      </c>
      <c r="P99" s="11">
        <v>0</v>
      </c>
      <c r="Q99" s="11">
        <v>3.890000000000001</v>
      </c>
      <c r="R99" s="11">
        <v>26.59999999999999</v>
      </c>
      <c r="S99" s="11">
        <v>30.48999999999999</v>
      </c>
      <c r="T99" s="11">
        <v>2</v>
      </c>
      <c r="U99" s="11">
        <v>3</v>
      </c>
      <c r="V99" s="11">
        <v>25.48999999999999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85</v>
      </c>
      <c r="E100" s="7" t="s">
        <v>82</v>
      </c>
      <c r="F100" s="7" t="s">
        <v>78</v>
      </c>
      <c r="G100" s="7"/>
      <c r="H100" s="7" t="s">
        <v>252</v>
      </c>
      <c r="I100" s="11">
        <v>2</v>
      </c>
      <c r="J100" s="11">
        <v>3</v>
      </c>
      <c r="K100" s="11">
        <v>1.33</v>
      </c>
      <c r="L100" s="11">
        <v>1.45</v>
      </c>
      <c r="M100" s="11">
        <v>0.67</v>
      </c>
      <c r="N100" s="11">
        <v>0</v>
      </c>
      <c r="O100" s="11">
        <v>5.629999999999999</v>
      </c>
      <c r="P100" s="11">
        <v>0</v>
      </c>
      <c r="Q100" s="11">
        <v>9.08</v>
      </c>
      <c r="R100" s="11">
        <v>38.64000000000001</v>
      </c>
      <c r="S100" s="11">
        <v>47.72000000000001</v>
      </c>
      <c r="T100" s="11">
        <v>2</v>
      </c>
      <c r="U100" s="11">
        <v>3</v>
      </c>
      <c r="V100" s="11">
        <v>42.72000000000001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74</v>
      </c>
      <c r="E101" s="7" t="s">
        <v>77</v>
      </c>
      <c r="F101" s="7" t="s">
        <v>78</v>
      </c>
      <c r="G101" s="7"/>
      <c r="H101" s="7" t="s">
        <v>52</v>
      </c>
      <c r="I101" s="11">
        <v>2</v>
      </c>
      <c r="J101" s="11">
        <v>3</v>
      </c>
      <c r="K101" s="11">
        <v>0</v>
      </c>
      <c r="L101" s="11">
        <v>3.200000000000001</v>
      </c>
      <c r="M101" s="11">
        <v>0.8300000000000001</v>
      </c>
      <c r="N101" s="11">
        <v>0</v>
      </c>
      <c r="O101" s="11">
        <v>0.26</v>
      </c>
      <c r="P101" s="11">
        <v>0</v>
      </c>
      <c r="Q101" s="11">
        <v>4.290000000000001</v>
      </c>
      <c r="R101" s="11">
        <v>22.52</v>
      </c>
      <c r="S101" s="11">
        <v>26.81</v>
      </c>
      <c r="T101" s="11">
        <v>2</v>
      </c>
      <c r="U101" s="11">
        <v>3</v>
      </c>
      <c r="V101" s="11">
        <v>21.81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58</v>
      </c>
      <c r="E102" s="7" t="s">
        <v>77</v>
      </c>
      <c r="F102" s="7" t="s">
        <v>78</v>
      </c>
      <c r="G102" s="7"/>
      <c r="H102" s="7" t="s">
        <v>52</v>
      </c>
      <c r="I102" s="11">
        <v>2</v>
      </c>
      <c r="J102" s="11">
        <v>3</v>
      </c>
      <c r="K102" s="11">
        <v>0</v>
      </c>
      <c r="L102" s="11">
        <v>4.73</v>
      </c>
      <c r="M102" s="11">
        <v>0.67</v>
      </c>
      <c r="N102" s="11">
        <v>0</v>
      </c>
      <c r="O102" s="11">
        <v>0</v>
      </c>
      <c r="P102" s="11">
        <v>0</v>
      </c>
      <c r="Q102" s="11">
        <v>5.4</v>
      </c>
      <c r="R102" s="11">
        <v>29.93999999999999</v>
      </c>
      <c r="S102" s="11">
        <v>35.34</v>
      </c>
      <c r="T102" s="11">
        <v>2</v>
      </c>
      <c r="U102" s="11">
        <v>3</v>
      </c>
      <c r="V102" s="11">
        <v>30.34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90</v>
      </c>
      <c r="E103" s="7" t="s">
        <v>77</v>
      </c>
      <c r="F103" s="7" t="s">
        <v>78</v>
      </c>
      <c r="G103" s="7"/>
      <c r="H103" s="7" t="s">
        <v>143</v>
      </c>
      <c r="I103" s="11">
        <v>2</v>
      </c>
      <c r="J103" s="11">
        <v>3</v>
      </c>
      <c r="K103" s="11">
        <v>0.95</v>
      </c>
      <c r="L103" s="11">
        <v>0.8300000000000001</v>
      </c>
      <c r="M103" s="11">
        <v>0.8400000000000001</v>
      </c>
      <c r="N103" s="11">
        <v>0</v>
      </c>
      <c r="O103" s="11">
        <v>0</v>
      </c>
      <c r="P103" s="11">
        <v>0</v>
      </c>
      <c r="Q103" s="11">
        <v>2.62</v>
      </c>
      <c r="R103" s="11">
        <v>24.09000000000001</v>
      </c>
      <c r="S103" s="11">
        <v>26.71000000000001</v>
      </c>
      <c r="T103" s="11">
        <v>2</v>
      </c>
      <c r="U103" s="11">
        <v>3</v>
      </c>
      <c r="V103" s="11">
        <v>21.71000000000001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85</v>
      </c>
      <c r="E104" s="7" t="s">
        <v>77</v>
      </c>
      <c r="F104" s="7" t="s">
        <v>78</v>
      </c>
      <c r="G104" s="7"/>
      <c r="H104" s="7" t="s">
        <v>52</v>
      </c>
      <c r="I104" s="11">
        <v>2</v>
      </c>
      <c r="J104" s="11">
        <v>3</v>
      </c>
      <c r="K104" s="11">
        <v>0</v>
      </c>
      <c r="L104" s="11">
        <v>2.300000000000001</v>
      </c>
      <c r="M104" s="11">
        <v>0.9900000000000001</v>
      </c>
      <c r="N104" s="11">
        <v>0</v>
      </c>
      <c r="O104" s="11">
        <v>0</v>
      </c>
      <c r="P104" s="11">
        <v>0</v>
      </c>
      <c r="Q104" s="11">
        <v>3.290000000000001</v>
      </c>
      <c r="R104" s="11">
        <v>22.47</v>
      </c>
      <c r="S104" s="11">
        <v>25.76000000000001</v>
      </c>
      <c r="T104" s="11">
        <v>2</v>
      </c>
      <c r="U104" s="11">
        <v>3</v>
      </c>
      <c r="V104" s="11">
        <v>20.76000000000001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81</v>
      </c>
      <c r="E105" s="7" t="s">
        <v>116</v>
      </c>
      <c r="F105" s="7" t="s">
        <v>117</v>
      </c>
      <c r="G105" s="7"/>
      <c r="H105" s="7" t="s">
        <v>52</v>
      </c>
      <c r="I105" s="11">
        <v>2</v>
      </c>
      <c r="J105" s="11">
        <v>3</v>
      </c>
      <c r="K105" s="11">
        <v>0</v>
      </c>
      <c r="L105" s="11">
        <v>2.350000000000001</v>
      </c>
      <c r="M105" s="11">
        <v>0.8400000000000001</v>
      </c>
      <c r="N105" s="11">
        <v>0</v>
      </c>
      <c r="O105" s="11">
        <v>0.42</v>
      </c>
      <c r="P105" s="11">
        <v>0</v>
      </c>
      <c r="Q105" s="11">
        <v>3.61</v>
      </c>
      <c r="R105" s="11">
        <v>26.89</v>
      </c>
      <c r="S105" s="11">
        <v>30.5</v>
      </c>
      <c r="T105" s="11">
        <v>2</v>
      </c>
      <c r="U105" s="11">
        <v>3</v>
      </c>
      <c r="V105" s="11">
        <v>25.5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90</v>
      </c>
      <c r="E106" s="7" t="s">
        <v>77</v>
      </c>
      <c r="F106" s="7" t="s">
        <v>78</v>
      </c>
      <c r="G106" s="7"/>
      <c r="H106" s="7" t="s">
        <v>52</v>
      </c>
      <c r="I106" s="11">
        <v>2</v>
      </c>
      <c r="J106" s="11">
        <v>3</v>
      </c>
      <c r="K106" s="11">
        <v>0</v>
      </c>
      <c r="L106" s="11">
        <v>1.25</v>
      </c>
      <c r="M106" s="11">
        <v>0</v>
      </c>
      <c r="N106" s="11">
        <v>0</v>
      </c>
      <c r="O106" s="11">
        <v>0</v>
      </c>
      <c r="P106" s="11">
        <v>0</v>
      </c>
      <c r="Q106" s="11">
        <v>1.25</v>
      </c>
      <c r="R106" s="11">
        <v>26.27</v>
      </c>
      <c r="S106" s="11">
        <v>27.52</v>
      </c>
      <c r="T106" s="11">
        <v>2</v>
      </c>
      <c r="U106" s="11">
        <v>3</v>
      </c>
      <c r="V106" s="11">
        <v>22.52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85</v>
      </c>
      <c r="E107" s="7" t="s">
        <v>77</v>
      </c>
      <c r="F107" s="7" t="s">
        <v>78</v>
      </c>
      <c r="G107" s="7"/>
      <c r="H107" s="7" t="s">
        <v>52</v>
      </c>
      <c r="I107" s="11">
        <v>2</v>
      </c>
      <c r="J107" s="11">
        <v>3</v>
      </c>
      <c r="K107" s="11">
        <v>0</v>
      </c>
      <c r="L107" s="11">
        <v>1.73</v>
      </c>
      <c r="M107" s="11">
        <v>1</v>
      </c>
      <c r="N107" s="11">
        <v>0</v>
      </c>
      <c r="O107" s="11">
        <v>0.42</v>
      </c>
      <c r="P107" s="11">
        <v>0</v>
      </c>
      <c r="Q107" s="11">
        <v>3.15</v>
      </c>
      <c r="R107" s="11">
        <v>23.31</v>
      </c>
      <c r="S107" s="11">
        <v>26.46</v>
      </c>
      <c r="T107" s="11">
        <v>2</v>
      </c>
      <c r="U107" s="11">
        <v>3</v>
      </c>
      <c r="V107" s="11">
        <v>21.46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40</v>
      </c>
      <c r="E108" s="7" t="s">
        <v>77</v>
      </c>
      <c r="F108" s="7" t="s">
        <v>78</v>
      </c>
      <c r="G108" s="7"/>
      <c r="H108" s="7" t="s">
        <v>52</v>
      </c>
      <c r="I108" s="11">
        <v>2</v>
      </c>
      <c r="J108" s="11">
        <v>3</v>
      </c>
      <c r="K108" s="11">
        <v>0</v>
      </c>
      <c r="L108" s="11">
        <v>1.53</v>
      </c>
      <c r="M108" s="11">
        <v>0.34</v>
      </c>
      <c r="N108" s="11">
        <v>0</v>
      </c>
      <c r="O108" s="11">
        <v>0.17</v>
      </c>
      <c r="P108" s="11">
        <v>0</v>
      </c>
      <c r="Q108" s="11">
        <v>2.04</v>
      </c>
      <c r="R108" s="11">
        <v>20.51</v>
      </c>
      <c r="S108" s="11">
        <v>22.55</v>
      </c>
      <c r="T108" s="11">
        <v>2</v>
      </c>
      <c r="U108" s="11">
        <v>3</v>
      </c>
      <c r="V108" s="11">
        <v>17.55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113</v>
      </c>
      <c r="E109" s="7" t="s">
        <v>77</v>
      </c>
      <c r="F109" s="7" t="s">
        <v>78</v>
      </c>
      <c r="G109" s="7"/>
      <c r="H109" s="7" t="s">
        <v>100</v>
      </c>
      <c r="I109" s="11">
        <v>2</v>
      </c>
      <c r="J109" s="11">
        <v>3</v>
      </c>
      <c r="K109" s="11">
        <v>0.95</v>
      </c>
      <c r="L109" s="11">
        <v>3.7</v>
      </c>
      <c r="M109" s="11">
        <v>0.8300000000000001</v>
      </c>
      <c r="N109" s="11">
        <v>0</v>
      </c>
      <c r="O109" s="11">
        <v>0</v>
      </c>
      <c r="P109" s="11">
        <v>0</v>
      </c>
      <c r="Q109" s="11">
        <v>5.48</v>
      </c>
      <c r="R109" s="11">
        <v>45.20999999999999</v>
      </c>
      <c r="S109" s="11">
        <v>50.68999999999998</v>
      </c>
      <c r="T109" s="11">
        <v>2</v>
      </c>
      <c r="U109" s="11">
        <v>3</v>
      </c>
      <c r="V109" s="11">
        <v>45.68999999999998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74</v>
      </c>
      <c r="E110" s="7" t="s">
        <v>273</v>
      </c>
      <c r="F110" s="7" t="s">
        <v>274</v>
      </c>
      <c r="G110" s="7"/>
      <c r="H110" s="7" t="s">
        <v>100</v>
      </c>
      <c r="I110" s="11">
        <v>2</v>
      </c>
      <c r="J110" s="11">
        <v>3</v>
      </c>
      <c r="K110" s="11">
        <v>0.95</v>
      </c>
      <c r="L110" s="11">
        <v>1.690000000000001</v>
      </c>
      <c r="M110" s="11">
        <v>1.01</v>
      </c>
      <c r="N110" s="11">
        <v>0</v>
      </c>
      <c r="O110" s="11">
        <v>0.24</v>
      </c>
      <c r="P110" s="11">
        <v>0</v>
      </c>
      <c r="Q110" s="11">
        <v>3.890000000000001</v>
      </c>
      <c r="R110" s="11">
        <v>33.62</v>
      </c>
      <c r="S110" s="11">
        <v>37.51000000000001</v>
      </c>
      <c r="T110" s="11">
        <v>2</v>
      </c>
      <c r="U110" s="11">
        <v>3</v>
      </c>
      <c r="V110" s="11">
        <v>32.51000000000001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93</v>
      </c>
      <c r="E111" s="7" t="s">
        <v>273</v>
      </c>
      <c r="F111" s="7" t="s">
        <v>274</v>
      </c>
      <c r="G111" s="7"/>
      <c r="H111" s="7" t="s">
        <v>52</v>
      </c>
      <c r="I111" s="11">
        <v>2</v>
      </c>
      <c r="J111" s="11">
        <v>3</v>
      </c>
      <c r="K111" s="11">
        <v>0</v>
      </c>
      <c r="L111" s="11">
        <v>0.51</v>
      </c>
      <c r="M111" s="11">
        <v>0.17</v>
      </c>
      <c r="N111" s="11">
        <v>0</v>
      </c>
      <c r="O111" s="11">
        <v>0</v>
      </c>
      <c r="P111" s="11">
        <v>0</v>
      </c>
      <c r="Q111" s="11">
        <v>0.68</v>
      </c>
      <c r="R111" s="11">
        <v>10.68</v>
      </c>
      <c r="S111" s="11">
        <v>11.36</v>
      </c>
      <c r="T111" s="11">
        <v>2</v>
      </c>
      <c r="U111" s="11">
        <v>3</v>
      </c>
      <c r="V111" s="11">
        <v>6.360000000000003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93</v>
      </c>
      <c r="E112" s="7" t="s">
        <v>279</v>
      </c>
      <c r="F112" s="7" t="s">
        <v>274</v>
      </c>
      <c r="G112" s="7"/>
      <c r="H112" s="7" t="s">
        <v>52</v>
      </c>
      <c r="I112" s="11">
        <v>2</v>
      </c>
      <c r="J112" s="11">
        <v>3</v>
      </c>
      <c r="K112" s="11">
        <v>0</v>
      </c>
      <c r="L112" s="11">
        <v>2.93</v>
      </c>
      <c r="M112" s="11">
        <v>0.41</v>
      </c>
      <c r="N112" s="11">
        <v>0</v>
      </c>
      <c r="O112" s="11">
        <v>0.54</v>
      </c>
      <c r="P112" s="11">
        <v>0</v>
      </c>
      <c r="Q112" s="11">
        <v>3.88</v>
      </c>
      <c r="R112" s="11">
        <v>29.81</v>
      </c>
      <c r="S112" s="11">
        <v>33.69</v>
      </c>
      <c r="T112" s="11">
        <v>2</v>
      </c>
      <c r="U112" s="11">
        <v>3</v>
      </c>
      <c r="V112" s="11">
        <v>28.69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46</v>
      </c>
      <c r="E113" s="7" t="s">
        <v>273</v>
      </c>
      <c r="F113" s="7" t="s">
        <v>274</v>
      </c>
      <c r="G113" s="7"/>
      <c r="H113" s="7" t="s">
        <v>52</v>
      </c>
      <c r="I113" s="11">
        <v>2</v>
      </c>
      <c r="J113" s="11">
        <v>3</v>
      </c>
      <c r="K113" s="11">
        <v>0</v>
      </c>
      <c r="L113" s="11">
        <v>2.34</v>
      </c>
      <c r="M113" s="11">
        <v>0.34</v>
      </c>
      <c r="N113" s="11">
        <v>0</v>
      </c>
      <c r="O113" s="11">
        <v>0.18</v>
      </c>
      <c r="P113" s="11">
        <v>0</v>
      </c>
      <c r="Q113" s="11">
        <v>2.86</v>
      </c>
      <c r="R113" s="11">
        <v>21.21</v>
      </c>
      <c r="S113" s="11">
        <v>24.07</v>
      </c>
      <c r="T113" s="11">
        <v>2</v>
      </c>
      <c r="U113" s="11">
        <v>3</v>
      </c>
      <c r="V113" s="11">
        <v>19.07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93</v>
      </c>
      <c r="E114" s="7" t="s">
        <v>273</v>
      </c>
      <c r="F114" s="7" t="s">
        <v>274</v>
      </c>
      <c r="G114" s="7"/>
      <c r="H114" s="7" t="s">
        <v>52</v>
      </c>
      <c r="I114" s="11">
        <v>2</v>
      </c>
      <c r="J114" s="11">
        <v>3</v>
      </c>
      <c r="K114" s="11">
        <v>0</v>
      </c>
      <c r="L114" s="11">
        <v>2.75</v>
      </c>
      <c r="M114" s="11">
        <v>0.25</v>
      </c>
      <c r="N114" s="11">
        <v>0</v>
      </c>
      <c r="O114" s="11">
        <v>0.36</v>
      </c>
      <c r="P114" s="11">
        <v>0</v>
      </c>
      <c r="Q114" s="11">
        <v>3.359999999999999</v>
      </c>
      <c r="R114" s="11">
        <v>26.18000000000001</v>
      </c>
      <c r="S114" s="11">
        <v>29.54000000000001</v>
      </c>
      <c r="T114" s="11">
        <v>2</v>
      </c>
      <c r="U114" s="11">
        <v>3</v>
      </c>
      <c r="V114" s="11">
        <v>24.54000000000001</v>
      </c>
      <c r="W114" s="13">
        <v>14</v>
      </c>
      <c r="X114" s="13">
        <v>21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81</v>
      </c>
      <c r="E115" s="7" t="s">
        <v>273</v>
      </c>
      <c r="F115" s="7" t="s">
        <v>274</v>
      </c>
      <c r="G115" s="7"/>
      <c r="H115" s="7" t="s">
        <v>52</v>
      </c>
      <c r="I115" s="11">
        <v>2</v>
      </c>
      <c r="J115" s="11">
        <v>3</v>
      </c>
      <c r="K115" s="11">
        <v>0</v>
      </c>
      <c r="L115" s="11">
        <v>0.12</v>
      </c>
      <c r="M115" s="11">
        <v>1.08</v>
      </c>
      <c r="N115" s="11">
        <v>0</v>
      </c>
      <c r="O115" s="11">
        <v>0</v>
      </c>
      <c r="P115" s="11">
        <v>0</v>
      </c>
      <c r="Q115" s="11">
        <v>1.2</v>
      </c>
      <c r="R115" s="11">
        <v>26.14</v>
      </c>
      <c r="S115" s="11">
        <v>27.34</v>
      </c>
      <c r="T115" s="11">
        <v>2</v>
      </c>
      <c r="U115" s="11">
        <v>3</v>
      </c>
      <c r="V115" s="11">
        <v>22.34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40</v>
      </c>
      <c r="E116" s="7" t="s">
        <v>273</v>
      </c>
      <c r="F116" s="7" t="s">
        <v>274</v>
      </c>
      <c r="G116" s="7"/>
      <c r="H116" s="7" t="s">
        <v>52</v>
      </c>
      <c r="I116" s="11">
        <v>2</v>
      </c>
      <c r="J116" s="11">
        <v>3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93</v>
      </c>
      <c r="E117" s="7" t="s">
        <v>273</v>
      </c>
      <c r="F117" s="7" t="s">
        <v>274</v>
      </c>
      <c r="G117" s="7"/>
      <c r="H117" s="7" t="s">
        <v>52</v>
      </c>
      <c r="I117" s="11">
        <v>2</v>
      </c>
      <c r="J117" s="11">
        <v>3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0.18</v>
      </c>
      <c r="S117" s="11">
        <v>0.18</v>
      </c>
      <c r="T117" s="11">
        <v>0.18</v>
      </c>
      <c r="U117" s="11">
        <v>0</v>
      </c>
      <c r="V117" s="11">
        <v>0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74</v>
      </c>
      <c r="E118" s="7" t="s">
        <v>116</v>
      </c>
      <c r="F118" s="7" t="s">
        <v>274</v>
      </c>
      <c r="G118" s="7"/>
      <c r="H118" s="7" t="s">
        <v>52</v>
      </c>
      <c r="I118" s="11">
        <v>2</v>
      </c>
      <c r="J118" s="11">
        <v>3</v>
      </c>
      <c r="K118" s="11">
        <v>0</v>
      </c>
      <c r="L118" s="11">
        <v>1.810000000000001</v>
      </c>
      <c r="M118" s="11">
        <v>0.8400000000000001</v>
      </c>
      <c r="N118" s="11">
        <v>0</v>
      </c>
      <c r="O118" s="11">
        <v>0.6599999999999999</v>
      </c>
      <c r="P118" s="11">
        <v>0</v>
      </c>
      <c r="Q118" s="11">
        <v>3.31</v>
      </c>
      <c r="R118" s="11">
        <v>32.21</v>
      </c>
      <c r="S118" s="11">
        <v>35.52</v>
      </c>
      <c r="T118" s="11">
        <v>2</v>
      </c>
      <c r="U118" s="11">
        <v>3</v>
      </c>
      <c r="V118" s="11">
        <v>30.52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74</v>
      </c>
      <c r="E119" s="7" t="s">
        <v>116</v>
      </c>
      <c r="F119" s="7" t="s">
        <v>274</v>
      </c>
      <c r="G119" s="7"/>
      <c r="H119" s="7" t="s">
        <v>110</v>
      </c>
      <c r="I119" s="11">
        <v>2</v>
      </c>
      <c r="J119" s="11">
        <v>3</v>
      </c>
      <c r="K119" s="11">
        <v>0.95</v>
      </c>
      <c r="L119" s="11">
        <v>2.100000000000001</v>
      </c>
      <c r="M119" s="11">
        <v>0.67</v>
      </c>
      <c r="N119" s="11">
        <v>0</v>
      </c>
      <c r="O119" s="11">
        <v>1.52</v>
      </c>
      <c r="P119" s="11">
        <v>0</v>
      </c>
      <c r="Q119" s="11">
        <v>5.240000000000001</v>
      </c>
      <c r="R119" s="11">
        <v>30.38</v>
      </c>
      <c r="S119" s="11">
        <v>35.62</v>
      </c>
      <c r="T119" s="11">
        <v>2</v>
      </c>
      <c r="U119" s="11">
        <v>3</v>
      </c>
      <c r="V119" s="11">
        <v>30.62</v>
      </c>
      <c r="W119" s="13">
        <v>14</v>
      </c>
      <c r="X119" s="13">
        <v>21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296</v>
      </c>
      <c r="E120" s="7" t="s">
        <v>273</v>
      </c>
      <c r="F120" s="7" t="s">
        <v>274</v>
      </c>
      <c r="G120" s="7"/>
      <c r="H120" s="7" t="s">
        <v>52</v>
      </c>
      <c r="I120" s="11">
        <v>2</v>
      </c>
      <c r="J120" s="11">
        <v>3</v>
      </c>
      <c r="K120" s="11">
        <v>0</v>
      </c>
      <c r="L120" s="11">
        <v>1.47</v>
      </c>
      <c r="M120" s="11">
        <v>0.58</v>
      </c>
      <c r="N120" s="11">
        <v>0</v>
      </c>
      <c r="O120" s="11">
        <v>0</v>
      </c>
      <c r="P120" s="11">
        <v>0</v>
      </c>
      <c r="Q120" s="11">
        <v>2.05</v>
      </c>
      <c r="R120" s="11">
        <v>24.31</v>
      </c>
      <c r="S120" s="11">
        <v>26.36</v>
      </c>
      <c r="T120" s="11">
        <v>2</v>
      </c>
      <c r="U120" s="11">
        <v>3</v>
      </c>
      <c r="V120" s="11">
        <v>21.36</v>
      </c>
      <c r="W120" s="13">
        <v>14</v>
      </c>
      <c r="X120" s="13">
        <v>21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297</v>
      </c>
      <c r="C121" s="10" t="s">
        <v>298</v>
      </c>
      <c r="D121" s="7" t="s">
        <v>40</v>
      </c>
      <c r="E121" s="7" t="s">
        <v>116</v>
      </c>
      <c r="F121" s="7" t="s">
        <v>274</v>
      </c>
      <c r="G121" s="7"/>
      <c r="H121" s="7" t="s">
        <v>52</v>
      </c>
      <c r="I121" s="11">
        <v>2</v>
      </c>
      <c r="J121" s="11">
        <v>3</v>
      </c>
      <c r="K121" s="11">
        <v>0</v>
      </c>
      <c r="L121" s="11">
        <v>1.7</v>
      </c>
      <c r="M121" s="11">
        <v>1.32</v>
      </c>
      <c r="N121" s="11">
        <v>0</v>
      </c>
      <c r="O121" s="11">
        <v>0</v>
      </c>
      <c r="P121" s="11">
        <v>0</v>
      </c>
      <c r="Q121" s="11">
        <v>3.02</v>
      </c>
      <c r="R121" s="11">
        <v>21.48</v>
      </c>
      <c r="S121" s="11">
        <v>24.5</v>
      </c>
      <c r="T121" s="11">
        <v>2</v>
      </c>
      <c r="U121" s="11">
        <v>3</v>
      </c>
      <c r="V121" s="11">
        <v>19.5</v>
      </c>
      <c r="W121" s="13">
        <v>14</v>
      </c>
      <c r="X121" s="13">
        <v>21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40</v>
      </c>
      <c r="E122" s="7" t="s">
        <v>273</v>
      </c>
      <c r="F122" s="7" t="s">
        <v>274</v>
      </c>
      <c r="G122" s="7"/>
      <c r="H122" s="7" t="s">
        <v>52</v>
      </c>
      <c r="I122" s="11">
        <v>2</v>
      </c>
      <c r="J122" s="11">
        <v>3</v>
      </c>
      <c r="K122" s="11">
        <v>0</v>
      </c>
      <c r="L122" s="11">
        <v>2.21</v>
      </c>
      <c r="M122" s="11">
        <v>0.34</v>
      </c>
      <c r="N122" s="11">
        <v>0</v>
      </c>
      <c r="O122" s="11">
        <v>0</v>
      </c>
      <c r="P122" s="11">
        <v>0</v>
      </c>
      <c r="Q122" s="11">
        <v>2.549999999999999</v>
      </c>
      <c r="R122" s="11">
        <v>26.01000000000001</v>
      </c>
      <c r="S122" s="11">
        <v>28.56000000000001</v>
      </c>
      <c r="T122" s="11">
        <v>2</v>
      </c>
      <c r="U122" s="11">
        <v>3</v>
      </c>
      <c r="V122" s="11">
        <v>23.56000000000001</v>
      </c>
      <c r="W122" s="13">
        <v>14</v>
      </c>
      <c r="X122" s="13">
        <v>21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90</v>
      </c>
      <c r="E123" s="7" t="s">
        <v>82</v>
      </c>
      <c r="F123" s="7" t="s">
        <v>303</v>
      </c>
      <c r="G123" s="7"/>
      <c r="H123" s="7" t="s">
        <v>304</v>
      </c>
      <c r="I123" s="11">
        <v>2</v>
      </c>
      <c r="J123" s="11">
        <v>3</v>
      </c>
      <c r="K123" s="11">
        <v>1.33</v>
      </c>
      <c r="L123" s="11">
        <v>0.7999999999999999</v>
      </c>
      <c r="M123" s="11">
        <v>0.8300000000000001</v>
      </c>
      <c r="N123" s="11">
        <v>0</v>
      </c>
      <c r="O123" s="11">
        <v>1.2</v>
      </c>
      <c r="P123" s="11">
        <v>0</v>
      </c>
      <c r="Q123" s="11">
        <v>4.16</v>
      </c>
      <c r="R123" s="11">
        <v>31.31000000000001</v>
      </c>
      <c r="S123" s="11">
        <v>35.47000000000001</v>
      </c>
      <c r="T123" s="11">
        <v>2</v>
      </c>
      <c r="U123" s="11">
        <v>3</v>
      </c>
      <c r="V123" s="11">
        <v>30.47000000000001</v>
      </c>
      <c r="W123" s="13">
        <v>14</v>
      </c>
      <c r="X123" s="13">
        <v>21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305</v>
      </c>
      <c r="C124" s="10" t="s">
        <v>306</v>
      </c>
      <c r="D124" s="7" t="s">
        <v>62</v>
      </c>
      <c r="E124" s="7" t="s">
        <v>116</v>
      </c>
      <c r="F124" s="7" t="s">
        <v>274</v>
      </c>
      <c r="G124" s="7"/>
      <c r="H124" s="7" t="s">
        <v>307</v>
      </c>
      <c r="I124" s="11">
        <v>2</v>
      </c>
      <c r="J124" s="11">
        <v>3</v>
      </c>
      <c r="K124" s="11">
        <v>1</v>
      </c>
      <c r="L124" s="11">
        <v>1.42</v>
      </c>
      <c r="M124" s="11">
        <v>0.66</v>
      </c>
      <c r="N124" s="11">
        <v>0</v>
      </c>
      <c r="O124" s="11">
        <v>0</v>
      </c>
      <c r="P124" s="11">
        <v>0</v>
      </c>
      <c r="Q124" s="11">
        <v>3.08</v>
      </c>
      <c r="R124" s="11">
        <v>24.07</v>
      </c>
      <c r="S124" s="11">
        <v>27.15</v>
      </c>
      <c r="T124" s="11">
        <v>2</v>
      </c>
      <c r="U124" s="11">
        <v>3</v>
      </c>
      <c r="V124" s="11">
        <v>22.15</v>
      </c>
      <c r="W124" s="13">
        <v>14</v>
      </c>
      <c r="X124" s="13">
        <v>21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308</v>
      </c>
      <c r="C125" s="10" t="s">
        <v>309</v>
      </c>
      <c r="D125" s="7" t="s">
        <v>296</v>
      </c>
      <c r="E125" s="7" t="s">
        <v>273</v>
      </c>
      <c r="F125" s="7" t="s">
        <v>274</v>
      </c>
      <c r="G125" s="7"/>
      <c r="H125" s="7" t="s">
        <v>52</v>
      </c>
      <c r="I125" s="11">
        <v>2</v>
      </c>
      <c r="J125" s="11">
        <v>3</v>
      </c>
      <c r="K125" s="11">
        <v>0</v>
      </c>
      <c r="L125" s="11">
        <v>2.42</v>
      </c>
      <c r="M125" s="11">
        <v>0.17</v>
      </c>
      <c r="N125" s="11">
        <v>0</v>
      </c>
      <c r="O125" s="11">
        <v>0</v>
      </c>
      <c r="P125" s="11">
        <v>0</v>
      </c>
      <c r="Q125" s="11">
        <v>2.59</v>
      </c>
      <c r="R125" s="11">
        <v>29.98999999999999</v>
      </c>
      <c r="S125" s="11">
        <v>32.57999999999999</v>
      </c>
      <c r="T125" s="11">
        <v>2</v>
      </c>
      <c r="U125" s="11">
        <v>3</v>
      </c>
      <c r="V125" s="11">
        <v>27.57999999999999</v>
      </c>
      <c r="W125" s="13">
        <v>14</v>
      </c>
      <c r="X125" s="13">
        <v>21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310</v>
      </c>
      <c r="C126" s="10" t="s">
        <v>311</v>
      </c>
      <c r="D126" s="7" t="s">
        <v>93</v>
      </c>
      <c r="E126" s="7" t="s">
        <v>273</v>
      </c>
      <c r="F126" s="7" t="s">
        <v>274</v>
      </c>
      <c r="G126" s="7"/>
      <c r="H126" s="7" t="s">
        <v>52</v>
      </c>
      <c r="I126" s="11">
        <v>2</v>
      </c>
      <c r="J126" s="11">
        <v>3</v>
      </c>
      <c r="K126" s="11">
        <v>0</v>
      </c>
      <c r="L126" s="11">
        <v>1.949999999999999</v>
      </c>
      <c r="M126" s="11">
        <v>1.01</v>
      </c>
      <c r="N126" s="11">
        <v>0</v>
      </c>
      <c r="O126" s="11">
        <v>0</v>
      </c>
      <c r="P126" s="11">
        <v>0</v>
      </c>
      <c r="Q126" s="11">
        <v>2.96</v>
      </c>
      <c r="R126" s="11">
        <v>25.18</v>
      </c>
      <c r="S126" s="11">
        <v>28.14</v>
      </c>
      <c r="T126" s="11">
        <v>2</v>
      </c>
      <c r="U126" s="11">
        <v>3</v>
      </c>
      <c r="V126" s="11">
        <v>23.14</v>
      </c>
      <c r="W126" s="13">
        <v>14</v>
      </c>
      <c r="X126" s="13">
        <v>21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312</v>
      </c>
      <c r="C127" s="10" t="s">
        <v>313</v>
      </c>
      <c r="D127" s="7" t="s">
        <v>93</v>
      </c>
      <c r="E127" s="7" t="s">
        <v>273</v>
      </c>
      <c r="F127" s="7" t="s">
        <v>274</v>
      </c>
      <c r="G127" s="7"/>
      <c r="H127" s="7" t="s">
        <v>52</v>
      </c>
      <c r="I127" s="11">
        <v>2</v>
      </c>
      <c r="J127" s="11">
        <v>3</v>
      </c>
      <c r="K127" s="11">
        <v>0</v>
      </c>
      <c r="L127" s="11">
        <v>1.08</v>
      </c>
      <c r="M127" s="11">
        <v>0</v>
      </c>
      <c r="N127" s="11">
        <v>0</v>
      </c>
      <c r="O127" s="11">
        <v>0</v>
      </c>
      <c r="P127" s="11">
        <v>0</v>
      </c>
      <c r="Q127" s="11">
        <v>1.08</v>
      </c>
      <c r="R127" s="11">
        <v>10.18</v>
      </c>
      <c r="S127" s="11">
        <v>11.26</v>
      </c>
      <c r="T127" s="11">
        <v>2</v>
      </c>
      <c r="U127" s="11">
        <v>3</v>
      </c>
      <c r="V127" s="11">
        <v>6.260000000000003</v>
      </c>
      <c r="W127" s="13">
        <v>14</v>
      </c>
      <c r="X127" s="13">
        <v>21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314</v>
      </c>
      <c r="C128" s="10" t="s">
        <v>315</v>
      </c>
      <c r="D128" s="7" t="s">
        <v>93</v>
      </c>
      <c r="E128" s="7" t="s">
        <v>273</v>
      </c>
      <c r="F128" s="7" t="s">
        <v>274</v>
      </c>
      <c r="G128" s="7"/>
      <c r="H128" s="7" t="s">
        <v>52</v>
      </c>
      <c r="I128" s="11">
        <v>2</v>
      </c>
      <c r="J128" s="11">
        <v>3</v>
      </c>
      <c r="K128" s="11">
        <v>0</v>
      </c>
      <c r="L128" s="11">
        <v>3.649999999999999</v>
      </c>
      <c r="M128" s="11">
        <v>0.08</v>
      </c>
      <c r="N128" s="11">
        <v>0</v>
      </c>
      <c r="O128" s="11">
        <v>0.36</v>
      </c>
      <c r="P128" s="11">
        <v>0</v>
      </c>
      <c r="Q128" s="11">
        <v>4.09</v>
      </c>
      <c r="R128" s="11">
        <v>26.78</v>
      </c>
      <c r="S128" s="11">
        <v>30.87</v>
      </c>
      <c r="T128" s="11">
        <v>2</v>
      </c>
      <c r="U128" s="11">
        <v>3</v>
      </c>
      <c r="V128" s="11">
        <v>25.87</v>
      </c>
      <c r="W128" s="13">
        <v>14</v>
      </c>
      <c r="X128" s="13">
        <v>21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316</v>
      </c>
      <c r="C129" s="10" t="s">
        <v>317</v>
      </c>
      <c r="D129" s="7" t="s">
        <v>93</v>
      </c>
      <c r="E129" s="7" t="s">
        <v>273</v>
      </c>
      <c r="F129" s="7" t="s">
        <v>274</v>
      </c>
      <c r="G129" s="7"/>
      <c r="H129" s="7" t="s">
        <v>52</v>
      </c>
      <c r="I129" s="11">
        <v>2</v>
      </c>
      <c r="J129" s="11">
        <v>3</v>
      </c>
      <c r="K129" s="11">
        <v>0</v>
      </c>
      <c r="L129" s="11">
        <v>2.69</v>
      </c>
      <c r="M129" s="11">
        <v>0.8400000000000001</v>
      </c>
      <c r="N129" s="11">
        <v>0</v>
      </c>
      <c r="O129" s="11">
        <v>0.2</v>
      </c>
      <c r="P129" s="11">
        <v>0</v>
      </c>
      <c r="Q129" s="11">
        <v>3.730000000000001</v>
      </c>
      <c r="R129" s="11">
        <v>27.99999999999999</v>
      </c>
      <c r="S129" s="11">
        <v>31.72999999999999</v>
      </c>
      <c r="T129" s="11">
        <v>2</v>
      </c>
      <c r="U129" s="11">
        <v>3</v>
      </c>
      <c r="V129" s="11">
        <v>26.72999999999999</v>
      </c>
      <c r="W129" s="13">
        <v>14</v>
      </c>
      <c r="X129" s="13">
        <v>21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318</v>
      </c>
      <c r="C130" s="10" t="s">
        <v>319</v>
      </c>
      <c r="D130" s="7" t="s">
        <v>320</v>
      </c>
      <c r="E130" s="7" t="s">
        <v>273</v>
      </c>
      <c r="F130" s="7" t="s">
        <v>274</v>
      </c>
      <c r="G130" s="7"/>
      <c r="H130" s="7" t="s">
        <v>307</v>
      </c>
      <c r="I130" s="11">
        <v>2</v>
      </c>
      <c r="J130" s="11">
        <v>3</v>
      </c>
      <c r="K130" s="11">
        <v>1</v>
      </c>
      <c r="L130" s="11">
        <v>6.17</v>
      </c>
      <c r="M130" s="11">
        <v>1.5</v>
      </c>
      <c r="N130" s="11">
        <v>0</v>
      </c>
      <c r="O130" s="11">
        <v>0.08</v>
      </c>
      <c r="P130" s="11">
        <v>0</v>
      </c>
      <c r="Q130" s="11">
        <v>8.749999999999998</v>
      </c>
      <c r="R130" s="11">
        <v>59.52999999999998</v>
      </c>
      <c r="S130" s="11">
        <v>68.27999999999997</v>
      </c>
      <c r="T130" s="11">
        <v>2</v>
      </c>
      <c r="U130" s="11">
        <v>3</v>
      </c>
      <c r="V130" s="11">
        <v>63.27999999999997</v>
      </c>
      <c r="W130" s="13">
        <v>14</v>
      </c>
      <c r="X130" s="13">
        <v>21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321</v>
      </c>
      <c r="C131" s="10" t="s">
        <v>322</v>
      </c>
      <c r="D131" s="7" t="s">
        <v>90</v>
      </c>
      <c r="E131" s="7" t="s">
        <v>82</v>
      </c>
      <c r="F131" s="7" t="s">
        <v>303</v>
      </c>
      <c r="G131" s="7"/>
      <c r="H131" s="7" t="s">
        <v>52</v>
      </c>
      <c r="I131" s="11">
        <v>2</v>
      </c>
      <c r="J131" s="11">
        <v>3</v>
      </c>
      <c r="K131" s="11">
        <v>0</v>
      </c>
      <c r="L131" s="11">
        <v>0.52</v>
      </c>
      <c r="M131" s="11">
        <v>0.34</v>
      </c>
      <c r="N131" s="11">
        <v>0</v>
      </c>
      <c r="O131" s="11">
        <v>0</v>
      </c>
      <c r="P131" s="11">
        <v>0</v>
      </c>
      <c r="Q131" s="11">
        <v>0.8600000000000001</v>
      </c>
      <c r="R131" s="11">
        <v>1.92</v>
      </c>
      <c r="S131" s="11">
        <v>2.78</v>
      </c>
      <c r="T131" s="11">
        <v>2</v>
      </c>
      <c r="U131" s="11">
        <v>0.7800000000000002</v>
      </c>
      <c r="V131" s="11">
        <v>0</v>
      </c>
      <c r="W131" s="13">
        <v>14</v>
      </c>
      <c r="X131" s="13">
        <v>21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323</v>
      </c>
      <c r="C132" s="10" t="s">
        <v>324</v>
      </c>
      <c r="D132" s="7" t="s">
        <v>81</v>
      </c>
      <c r="E132" s="7" t="s">
        <v>116</v>
      </c>
      <c r="F132" s="7" t="s">
        <v>274</v>
      </c>
      <c r="G132" s="7"/>
      <c r="H132" s="7" t="s">
        <v>52</v>
      </c>
      <c r="I132" s="11">
        <v>2</v>
      </c>
      <c r="J132" s="11">
        <v>3</v>
      </c>
      <c r="K132" s="11">
        <v>0</v>
      </c>
      <c r="L132" s="11">
        <v>1.2</v>
      </c>
      <c r="M132" s="11">
        <v>0.8400000000000001</v>
      </c>
      <c r="N132" s="11">
        <v>0</v>
      </c>
      <c r="O132" s="11">
        <v>0</v>
      </c>
      <c r="P132" s="11">
        <v>0</v>
      </c>
      <c r="Q132" s="11">
        <v>2.04</v>
      </c>
      <c r="R132" s="11">
        <v>18.78</v>
      </c>
      <c r="S132" s="11">
        <v>20.82</v>
      </c>
      <c r="T132" s="11">
        <v>2</v>
      </c>
      <c r="U132" s="11">
        <v>3</v>
      </c>
      <c r="V132" s="11">
        <v>15.82</v>
      </c>
      <c r="W132" s="13">
        <v>14</v>
      </c>
      <c r="X132" s="13">
        <v>21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325</v>
      </c>
      <c r="C133" s="10" t="s">
        <v>326</v>
      </c>
      <c r="D133" s="7" t="s">
        <v>93</v>
      </c>
      <c r="E133" s="7" t="s">
        <v>273</v>
      </c>
      <c r="F133" s="7" t="s">
        <v>274</v>
      </c>
      <c r="G133" s="7"/>
      <c r="H133" s="7" t="s">
        <v>52</v>
      </c>
      <c r="I133" s="11">
        <v>2</v>
      </c>
      <c r="J133" s="11">
        <v>3</v>
      </c>
      <c r="K133" s="11">
        <v>0</v>
      </c>
      <c r="L133" s="11">
        <v>2.21</v>
      </c>
      <c r="M133" s="11">
        <v>0.34</v>
      </c>
      <c r="N133" s="11">
        <v>0</v>
      </c>
      <c r="O133" s="11">
        <v>0</v>
      </c>
      <c r="P133" s="11">
        <v>0</v>
      </c>
      <c r="Q133" s="11">
        <v>2.55</v>
      </c>
      <c r="R133" s="11">
        <v>21.32000000000001</v>
      </c>
      <c r="S133" s="11">
        <v>23.87000000000001</v>
      </c>
      <c r="T133" s="11">
        <v>2</v>
      </c>
      <c r="U133" s="11">
        <v>3</v>
      </c>
      <c r="V133" s="11">
        <v>18.87000000000001</v>
      </c>
      <c r="W133" s="13">
        <v>14</v>
      </c>
      <c r="X133" s="13">
        <v>21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327</v>
      </c>
      <c r="C134" s="10" t="s">
        <v>328</v>
      </c>
      <c r="D134" s="7" t="s">
        <v>296</v>
      </c>
      <c r="E134" s="7" t="s">
        <v>116</v>
      </c>
      <c r="F134" s="7" t="s">
        <v>274</v>
      </c>
      <c r="G134" s="7"/>
      <c r="H134" s="7" t="s">
        <v>52</v>
      </c>
      <c r="I134" s="11">
        <v>2</v>
      </c>
      <c r="J134" s="11">
        <v>3</v>
      </c>
      <c r="K134" s="11">
        <v>0</v>
      </c>
      <c r="L134" s="11">
        <v>0.25</v>
      </c>
      <c r="M134" s="11">
        <v>0.5</v>
      </c>
      <c r="N134" s="11">
        <v>0</v>
      </c>
      <c r="O134" s="11">
        <v>0</v>
      </c>
      <c r="P134" s="11">
        <v>0</v>
      </c>
      <c r="Q134" s="11">
        <v>0.75</v>
      </c>
      <c r="R134" s="11">
        <v>14.55</v>
      </c>
      <c r="S134" s="11">
        <v>15.3</v>
      </c>
      <c r="T134" s="11">
        <v>2</v>
      </c>
      <c r="U134" s="11">
        <v>3</v>
      </c>
      <c r="V134" s="11">
        <v>10.3</v>
      </c>
      <c r="W134" s="13">
        <v>14</v>
      </c>
      <c r="X134" s="13">
        <v>21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329</v>
      </c>
      <c r="C135" s="10" t="s">
        <v>330</v>
      </c>
      <c r="D135" s="7" t="s">
        <v>62</v>
      </c>
      <c r="E135" s="7" t="s">
        <v>273</v>
      </c>
      <c r="F135" s="7" t="s">
        <v>274</v>
      </c>
      <c r="G135" s="7"/>
      <c r="H135" s="7" t="s">
        <v>52</v>
      </c>
      <c r="I135" s="11">
        <v>2</v>
      </c>
      <c r="J135" s="11">
        <v>3</v>
      </c>
      <c r="K135" s="11">
        <v>0</v>
      </c>
      <c r="L135" s="11">
        <v>1.53</v>
      </c>
      <c r="M135" s="11">
        <v>0</v>
      </c>
      <c r="N135" s="11">
        <v>0</v>
      </c>
      <c r="O135" s="11">
        <v>0.6</v>
      </c>
      <c r="P135" s="11">
        <v>0</v>
      </c>
      <c r="Q135" s="11">
        <v>2.13</v>
      </c>
      <c r="R135" s="11">
        <v>21.07000000000001</v>
      </c>
      <c r="S135" s="11">
        <v>23.20000000000001</v>
      </c>
      <c r="T135" s="11">
        <v>2</v>
      </c>
      <c r="U135" s="11">
        <v>3</v>
      </c>
      <c r="V135" s="11">
        <v>18.20000000000001</v>
      </c>
      <c r="W135" s="13">
        <v>14</v>
      </c>
      <c r="X135" s="13">
        <v>21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331</v>
      </c>
      <c r="C136" s="10" t="s">
        <v>332</v>
      </c>
      <c r="D136" s="7" t="s">
        <v>113</v>
      </c>
      <c r="E136" s="7" t="s">
        <v>116</v>
      </c>
      <c r="F136" s="7" t="s">
        <v>274</v>
      </c>
      <c r="G136" s="7"/>
      <c r="H136" s="7" t="s">
        <v>333</v>
      </c>
      <c r="I136" s="11">
        <v>2</v>
      </c>
      <c r="J136" s="11">
        <v>3</v>
      </c>
      <c r="K136" s="11">
        <v>1.5</v>
      </c>
      <c r="L136" s="11">
        <v>2.5</v>
      </c>
      <c r="M136" s="11">
        <v>0.5</v>
      </c>
      <c r="N136" s="11">
        <v>0</v>
      </c>
      <c r="O136" s="11">
        <v>0</v>
      </c>
      <c r="P136" s="11">
        <v>0</v>
      </c>
      <c r="Q136" s="11">
        <v>4.5</v>
      </c>
      <c r="R136" s="11">
        <v>39.56000000000002</v>
      </c>
      <c r="S136" s="11">
        <v>44.06000000000002</v>
      </c>
      <c r="T136" s="11">
        <v>2</v>
      </c>
      <c r="U136" s="11">
        <v>3</v>
      </c>
      <c r="V136" s="11">
        <v>39.06000000000002</v>
      </c>
      <c r="W136" s="13">
        <v>14</v>
      </c>
      <c r="X136" s="13">
        <v>21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334</v>
      </c>
      <c r="C137" s="10" t="s">
        <v>335</v>
      </c>
      <c r="D137" s="7" t="s">
        <v>296</v>
      </c>
      <c r="E137" s="7" t="s">
        <v>116</v>
      </c>
      <c r="F137" s="7" t="s">
        <v>274</v>
      </c>
      <c r="G137" s="7"/>
      <c r="H137" s="7" t="s">
        <v>110</v>
      </c>
      <c r="I137" s="11">
        <v>2</v>
      </c>
      <c r="J137" s="11">
        <v>3</v>
      </c>
      <c r="K137" s="11">
        <v>0.95</v>
      </c>
      <c r="L137" s="11">
        <v>0.65</v>
      </c>
      <c r="M137" s="11">
        <v>0.66</v>
      </c>
      <c r="N137" s="11">
        <v>0</v>
      </c>
      <c r="O137" s="11">
        <v>0.54</v>
      </c>
      <c r="P137" s="11">
        <v>0</v>
      </c>
      <c r="Q137" s="11">
        <v>2.8</v>
      </c>
      <c r="R137" s="11">
        <v>27.05</v>
      </c>
      <c r="S137" s="11">
        <v>29.85</v>
      </c>
      <c r="T137" s="11">
        <v>2</v>
      </c>
      <c r="U137" s="11">
        <v>3</v>
      </c>
      <c r="V137" s="11">
        <v>24.85</v>
      </c>
      <c r="W137" s="13">
        <v>14</v>
      </c>
      <c r="X137" s="13">
        <v>21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336</v>
      </c>
      <c r="C138" s="10" t="s">
        <v>337</v>
      </c>
      <c r="D138" s="7" t="s">
        <v>46</v>
      </c>
      <c r="E138" s="7" t="s">
        <v>273</v>
      </c>
      <c r="F138" s="7" t="s">
        <v>274</v>
      </c>
      <c r="G138" s="7"/>
      <c r="H138" s="7" t="s">
        <v>307</v>
      </c>
      <c r="I138" s="11">
        <v>2</v>
      </c>
      <c r="J138" s="11">
        <v>3</v>
      </c>
      <c r="K138" s="11">
        <v>1</v>
      </c>
      <c r="L138" s="11">
        <v>2.990000000000001</v>
      </c>
      <c r="M138" s="11">
        <v>0.67</v>
      </c>
      <c r="N138" s="11">
        <v>0</v>
      </c>
      <c r="O138" s="11">
        <v>0.18</v>
      </c>
      <c r="P138" s="11">
        <v>0</v>
      </c>
      <c r="Q138" s="11">
        <v>4.840000000000002</v>
      </c>
      <c r="R138" s="11">
        <v>35.17999999999999</v>
      </c>
      <c r="S138" s="11">
        <v>40.02</v>
      </c>
      <c r="T138" s="11">
        <v>2</v>
      </c>
      <c r="U138" s="11">
        <v>3</v>
      </c>
      <c r="V138" s="11">
        <v>35.02</v>
      </c>
      <c r="W138" s="13">
        <v>14</v>
      </c>
      <c r="X138" s="13">
        <v>21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338</v>
      </c>
      <c r="C139" s="10" t="s">
        <v>339</v>
      </c>
      <c r="D139" s="7" t="s">
        <v>51</v>
      </c>
      <c r="E139" s="7" t="s">
        <v>273</v>
      </c>
      <c r="F139" s="7" t="s">
        <v>274</v>
      </c>
      <c r="G139" s="7"/>
      <c r="H139" s="7" t="s">
        <v>52</v>
      </c>
      <c r="I139" s="11">
        <v>2</v>
      </c>
      <c r="J139" s="11">
        <v>3</v>
      </c>
      <c r="K139" s="11">
        <v>0</v>
      </c>
      <c r="L139" s="11">
        <v>2.140000000000001</v>
      </c>
      <c r="M139" s="11">
        <v>0.49</v>
      </c>
      <c r="N139" s="11">
        <v>0</v>
      </c>
      <c r="O139" s="11">
        <v>0.7200000000000003</v>
      </c>
      <c r="P139" s="11">
        <v>0</v>
      </c>
      <c r="Q139" s="11">
        <v>3.350000000000001</v>
      </c>
      <c r="R139" s="11">
        <v>24.07</v>
      </c>
      <c r="S139" s="11">
        <v>27.42000000000001</v>
      </c>
      <c r="T139" s="11">
        <v>2</v>
      </c>
      <c r="U139" s="11">
        <v>3</v>
      </c>
      <c r="V139" s="11">
        <v>22.42000000000001</v>
      </c>
      <c r="W139" s="13">
        <v>14</v>
      </c>
      <c r="X139" s="13">
        <v>21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340</v>
      </c>
      <c r="C140" s="10" t="s">
        <v>341</v>
      </c>
      <c r="D140" s="7" t="s">
        <v>51</v>
      </c>
      <c r="E140" s="7" t="s">
        <v>273</v>
      </c>
      <c r="F140" s="7" t="s">
        <v>274</v>
      </c>
      <c r="G140" s="7"/>
      <c r="H140" s="7" t="s">
        <v>52</v>
      </c>
      <c r="I140" s="11">
        <v>2</v>
      </c>
      <c r="J140" s="11">
        <v>3</v>
      </c>
      <c r="K140" s="11">
        <v>0</v>
      </c>
      <c r="L140" s="11">
        <v>0</v>
      </c>
      <c r="M140" s="11">
        <v>0</v>
      </c>
      <c r="N140" s="11">
        <v>0</v>
      </c>
      <c r="O140" s="11">
        <v>0.72</v>
      </c>
      <c r="P140" s="11">
        <v>0</v>
      </c>
      <c r="Q140" s="11">
        <v>0.72</v>
      </c>
      <c r="R140" s="11">
        <v>0.48</v>
      </c>
      <c r="S140" s="11">
        <v>1.2</v>
      </c>
      <c r="T140" s="11">
        <v>1.2</v>
      </c>
      <c r="U140" s="11">
        <v>0</v>
      </c>
      <c r="V140" s="11">
        <v>0</v>
      </c>
      <c r="W140" s="13">
        <v>14</v>
      </c>
      <c r="X140" s="13">
        <v>21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342</v>
      </c>
      <c r="C141" s="10" t="s">
        <v>343</v>
      </c>
      <c r="D141" s="7" t="s">
        <v>81</v>
      </c>
      <c r="E141" s="7" t="s">
        <v>116</v>
      </c>
      <c r="F141" s="7" t="s">
        <v>274</v>
      </c>
      <c r="G141" s="7"/>
      <c r="H141" s="7" t="s">
        <v>100</v>
      </c>
      <c r="I141" s="11">
        <v>2</v>
      </c>
      <c r="J141" s="11">
        <v>3</v>
      </c>
      <c r="K141" s="11">
        <v>0.95</v>
      </c>
      <c r="L141" s="11">
        <v>1.98</v>
      </c>
      <c r="M141" s="11">
        <v>1</v>
      </c>
      <c r="N141" s="11">
        <v>0</v>
      </c>
      <c r="O141" s="11">
        <v>0.26</v>
      </c>
      <c r="P141" s="11">
        <v>0</v>
      </c>
      <c r="Q141" s="11">
        <v>4.19</v>
      </c>
      <c r="R141" s="11">
        <v>39.01000000000001</v>
      </c>
      <c r="S141" s="11">
        <v>43.2</v>
      </c>
      <c r="T141" s="11">
        <v>2</v>
      </c>
      <c r="U141" s="11">
        <v>3</v>
      </c>
      <c r="V141" s="11">
        <v>38.2</v>
      </c>
      <c r="W141" s="13">
        <v>14</v>
      </c>
      <c r="X141" s="13">
        <v>21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344</v>
      </c>
      <c r="C142" s="10" t="s">
        <v>345</v>
      </c>
      <c r="D142" s="7" t="s">
        <v>74</v>
      </c>
      <c r="E142" s="7" t="s">
        <v>116</v>
      </c>
      <c r="F142" s="7" t="s">
        <v>274</v>
      </c>
      <c r="G142" s="7"/>
      <c r="H142" s="7" t="s">
        <v>52</v>
      </c>
      <c r="I142" s="11">
        <v>2</v>
      </c>
      <c r="J142" s="11">
        <v>3</v>
      </c>
      <c r="K142" s="11">
        <v>0</v>
      </c>
      <c r="L142" s="11">
        <v>3.25</v>
      </c>
      <c r="M142" s="11">
        <v>1</v>
      </c>
      <c r="N142" s="11">
        <v>0</v>
      </c>
      <c r="O142" s="11">
        <v>0.4</v>
      </c>
      <c r="P142" s="11">
        <v>0</v>
      </c>
      <c r="Q142" s="11">
        <v>4.649999999999999</v>
      </c>
      <c r="R142" s="11">
        <v>39.3</v>
      </c>
      <c r="S142" s="11">
        <v>43.95</v>
      </c>
      <c r="T142" s="11">
        <v>2</v>
      </c>
      <c r="U142" s="11">
        <v>3</v>
      </c>
      <c r="V142" s="11">
        <v>38.95</v>
      </c>
      <c r="W142" s="13">
        <v>14</v>
      </c>
      <c r="X142" s="13">
        <v>21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346</v>
      </c>
      <c r="C143" s="10" t="s">
        <v>347</v>
      </c>
      <c r="D143" s="7" t="s">
        <v>348</v>
      </c>
      <c r="E143" s="7" t="s">
        <v>273</v>
      </c>
      <c r="F143" s="7" t="s">
        <v>274</v>
      </c>
      <c r="G143" s="7"/>
      <c r="H143" s="7" t="s">
        <v>52</v>
      </c>
      <c r="I143" s="11">
        <v>2</v>
      </c>
      <c r="J143" s="11">
        <v>3</v>
      </c>
      <c r="K143" s="11">
        <v>0</v>
      </c>
      <c r="L143" s="11">
        <v>0.3</v>
      </c>
      <c r="M143" s="11">
        <v>1.48</v>
      </c>
      <c r="N143" s="11">
        <v>0</v>
      </c>
      <c r="O143" s="11">
        <v>0</v>
      </c>
      <c r="P143" s="11">
        <v>0</v>
      </c>
      <c r="Q143" s="11">
        <v>1.78</v>
      </c>
      <c r="R143" s="11">
        <v>1.34</v>
      </c>
      <c r="S143" s="11">
        <v>3.120000000000001</v>
      </c>
      <c r="T143" s="11">
        <v>2</v>
      </c>
      <c r="U143" s="11">
        <v>1.120000000000001</v>
      </c>
      <c r="V143" s="11">
        <v>0</v>
      </c>
      <c r="W143" s="13">
        <v>14</v>
      </c>
      <c r="X143" s="13">
        <v>21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349</v>
      </c>
      <c r="C144" s="10" t="s">
        <v>350</v>
      </c>
      <c r="D144" s="7" t="s">
        <v>51</v>
      </c>
      <c r="E144" s="7" t="s">
        <v>116</v>
      </c>
      <c r="F144" s="7" t="s">
        <v>274</v>
      </c>
      <c r="G144" s="7"/>
      <c r="H144" s="7" t="s">
        <v>52</v>
      </c>
      <c r="I144" s="11">
        <v>2</v>
      </c>
      <c r="J144" s="11">
        <v>3</v>
      </c>
      <c r="K144" s="11">
        <v>0</v>
      </c>
      <c r="L144" s="11">
        <v>1.17</v>
      </c>
      <c r="M144" s="11">
        <v>0.5</v>
      </c>
      <c r="N144" s="11">
        <v>0</v>
      </c>
      <c r="O144" s="11">
        <v>0.2</v>
      </c>
      <c r="P144" s="11">
        <v>0</v>
      </c>
      <c r="Q144" s="11">
        <v>1.87</v>
      </c>
      <c r="R144" s="11">
        <v>21.24000000000001</v>
      </c>
      <c r="S144" s="11">
        <v>23.11000000000001</v>
      </c>
      <c r="T144" s="11">
        <v>2</v>
      </c>
      <c r="U144" s="11">
        <v>3</v>
      </c>
      <c r="V144" s="11">
        <v>18.11000000000001</v>
      </c>
      <c r="W144" s="13">
        <v>14</v>
      </c>
      <c r="X144" s="13">
        <v>21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351</v>
      </c>
      <c r="C145" s="10" t="s">
        <v>352</v>
      </c>
      <c r="D145" s="7" t="s">
        <v>90</v>
      </c>
      <c r="E145" s="7" t="s">
        <v>116</v>
      </c>
      <c r="F145" s="7" t="s">
        <v>274</v>
      </c>
      <c r="G145" s="7"/>
      <c r="H145" s="7" t="s">
        <v>52</v>
      </c>
      <c r="I145" s="11">
        <v>2</v>
      </c>
      <c r="J145" s="11">
        <v>3</v>
      </c>
      <c r="K145" s="11">
        <v>0</v>
      </c>
      <c r="L145" s="11">
        <v>1.74</v>
      </c>
      <c r="M145" s="11">
        <v>0.51</v>
      </c>
      <c r="N145" s="11">
        <v>0</v>
      </c>
      <c r="O145" s="11">
        <v>0</v>
      </c>
      <c r="P145" s="11">
        <v>0</v>
      </c>
      <c r="Q145" s="11">
        <v>2.25</v>
      </c>
      <c r="R145" s="11">
        <v>19.73</v>
      </c>
      <c r="S145" s="11">
        <v>21.98</v>
      </c>
      <c r="T145" s="11">
        <v>2</v>
      </c>
      <c r="U145" s="11">
        <v>3</v>
      </c>
      <c r="V145" s="11">
        <v>16.98</v>
      </c>
      <c r="W145" s="13">
        <v>14</v>
      </c>
      <c r="X145" s="13">
        <v>21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353</v>
      </c>
      <c r="C146" s="10" t="s">
        <v>354</v>
      </c>
      <c r="D146" s="7" t="s">
        <v>58</v>
      </c>
      <c r="E146" s="7" t="s">
        <v>116</v>
      </c>
      <c r="F146" s="7" t="s">
        <v>274</v>
      </c>
      <c r="G146" s="7"/>
      <c r="H146" s="7" t="s">
        <v>100</v>
      </c>
      <c r="I146" s="11">
        <v>2</v>
      </c>
      <c r="J146" s="11">
        <v>3</v>
      </c>
      <c r="K146" s="11">
        <v>0.95</v>
      </c>
      <c r="L146" s="11">
        <v>3.56</v>
      </c>
      <c r="M146" s="11">
        <v>0.8300000000000001</v>
      </c>
      <c r="N146" s="11">
        <v>0</v>
      </c>
      <c r="O146" s="11">
        <v>0</v>
      </c>
      <c r="P146" s="11">
        <v>0</v>
      </c>
      <c r="Q146" s="11">
        <v>5.34</v>
      </c>
      <c r="R146" s="11">
        <v>50.46999999999999</v>
      </c>
      <c r="S146" s="11">
        <v>55.80999999999999</v>
      </c>
      <c r="T146" s="11">
        <v>2</v>
      </c>
      <c r="U146" s="11">
        <v>3</v>
      </c>
      <c r="V146" s="11">
        <v>50.80999999999999</v>
      </c>
      <c r="W146" s="13">
        <v>14</v>
      </c>
      <c r="X146" s="13">
        <v>21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355</v>
      </c>
      <c r="C147" s="10" t="s">
        <v>356</v>
      </c>
      <c r="D147" s="7" t="s">
        <v>348</v>
      </c>
      <c r="E147" s="7" t="s">
        <v>273</v>
      </c>
      <c r="F147" s="7" t="s">
        <v>274</v>
      </c>
      <c r="G147" s="7"/>
      <c r="H147" s="7" t="s">
        <v>52</v>
      </c>
      <c r="I147" s="11">
        <v>2</v>
      </c>
      <c r="J147" s="11">
        <v>3</v>
      </c>
      <c r="K147" s="11">
        <v>0</v>
      </c>
      <c r="L147" s="11">
        <v>3.42</v>
      </c>
      <c r="M147" s="11">
        <v>0.99</v>
      </c>
      <c r="N147" s="11">
        <v>0</v>
      </c>
      <c r="O147" s="11">
        <v>0.08</v>
      </c>
      <c r="P147" s="11">
        <v>0</v>
      </c>
      <c r="Q147" s="11">
        <v>4.490000000000002</v>
      </c>
      <c r="R147" s="11">
        <v>38.3</v>
      </c>
      <c r="S147" s="11">
        <v>42.79</v>
      </c>
      <c r="T147" s="11">
        <v>2</v>
      </c>
      <c r="U147" s="11">
        <v>3</v>
      </c>
      <c r="V147" s="11">
        <v>37.79</v>
      </c>
      <c r="W147" s="13">
        <v>14</v>
      </c>
      <c r="X147" s="13">
        <v>21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357</v>
      </c>
      <c r="C148" s="10" t="s">
        <v>358</v>
      </c>
      <c r="D148" s="7" t="s">
        <v>320</v>
      </c>
      <c r="E148" s="7" t="s">
        <v>116</v>
      </c>
      <c r="F148" s="7" t="s">
        <v>274</v>
      </c>
      <c r="G148" s="7"/>
      <c r="H148" s="7" t="s">
        <v>52</v>
      </c>
      <c r="I148" s="11">
        <v>2</v>
      </c>
      <c r="J148" s="11">
        <v>3</v>
      </c>
      <c r="K148" s="11">
        <v>0</v>
      </c>
      <c r="L148" s="11">
        <v>4.610000000000001</v>
      </c>
      <c r="M148" s="11">
        <v>0.74</v>
      </c>
      <c r="N148" s="11">
        <v>0</v>
      </c>
      <c r="O148" s="11">
        <v>0</v>
      </c>
      <c r="P148" s="11">
        <v>0</v>
      </c>
      <c r="Q148" s="11">
        <v>5.350000000000001</v>
      </c>
      <c r="R148" s="11">
        <v>55.77999999999997</v>
      </c>
      <c r="S148" s="11">
        <v>61.12999999999997</v>
      </c>
      <c r="T148" s="11">
        <v>2</v>
      </c>
      <c r="U148" s="11">
        <v>3</v>
      </c>
      <c r="V148" s="11">
        <v>56.12999999999997</v>
      </c>
      <c r="W148" s="13">
        <v>14</v>
      </c>
      <c r="X148" s="13">
        <v>21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359</v>
      </c>
      <c r="C149" s="10" t="s">
        <v>360</v>
      </c>
      <c r="D149" s="7" t="s">
        <v>320</v>
      </c>
      <c r="E149" s="7" t="s">
        <v>273</v>
      </c>
      <c r="F149" s="7" t="s">
        <v>274</v>
      </c>
      <c r="G149" s="7"/>
      <c r="H149" s="7"/>
      <c r="I149" s="11">
        <v>2</v>
      </c>
      <c r="J149" s="11">
        <v>3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3">
        <v>14</v>
      </c>
      <c r="X149" s="13">
        <v>21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361</v>
      </c>
      <c r="C150" s="10" t="s">
        <v>362</v>
      </c>
      <c r="D150" s="7" t="s">
        <v>296</v>
      </c>
      <c r="E150" s="7" t="s">
        <v>273</v>
      </c>
      <c r="F150" s="7" t="s">
        <v>274</v>
      </c>
      <c r="G150" s="7"/>
      <c r="H150" s="7" t="s">
        <v>52</v>
      </c>
      <c r="I150" s="11">
        <v>2</v>
      </c>
      <c r="J150" s="11">
        <v>3</v>
      </c>
      <c r="K150" s="11">
        <v>0</v>
      </c>
      <c r="L150" s="11">
        <v>1.93</v>
      </c>
      <c r="M150" s="11">
        <v>0.67</v>
      </c>
      <c r="N150" s="11">
        <v>0</v>
      </c>
      <c r="O150" s="11">
        <v>0.43</v>
      </c>
      <c r="P150" s="11">
        <v>0</v>
      </c>
      <c r="Q150" s="11">
        <v>3.03</v>
      </c>
      <c r="R150" s="11">
        <v>38.85999999999996</v>
      </c>
      <c r="S150" s="11">
        <v>41.88999999999997</v>
      </c>
      <c r="T150" s="11">
        <v>2</v>
      </c>
      <c r="U150" s="11">
        <v>3</v>
      </c>
      <c r="V150" s="11">
        <v>36.88999999999997</v>
      </c>
      <c r="W150" s="13">
        <v>14</v>
      </c>
      <c r="X150" s="13">
        <v>21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363</v>
      </c>
      <c r="C151" s="10" t="s">
        <v>364</v>
      </c>
      <c r="D151" s="7" t="s">
        <v>40</v>
      </c>
      <c r="E151" s="7" t="s">
        <v>279</v>
      </c>
      <c r="F151" s="7" t="s">
        <v>274</v>
      </c>
      <c r="G151" s="7"/>
      <c r="H151" s="7" t="s">
        <v>52</v>
      </c>
      <c r="I151" s="11">
        <v>2</v>
      </c>
      <c r="J151" s="11">
        <v>3</v>
      </c>
      <c r="K151" s="11">
        <v>0</v>
      </c>
      <c r="L151" s="11">
        <v>3.559999999999999</v>
      </c>
      <c r="M151" s="11">
        <v>0.66</v>
      </c>
      <c r="N151" s="11">
        <v>0</v>
      </c>
      <c r="O151" s="11">
        <v>0.17</v>
      </c>
      <c r="P151" s="11">
        <v>0</v>
      </c>
      <c r="Q151" s="11">
        <v>4.389999999999999</v>
      </c>
      <c r="R151" s="11">
        <v>34.40999999999999</v>
      </c>
      <c r="S151" s="11">
        <v>38.79999999999999</v>
      </c>
      <c r="T151" s="11">
        <v>2</v>
      </c>
      <c r="U151" s="11">
        <v>3</v>
      </c>
      <c r="V151" s="11">
        <v>33.79999999999999</v>
      </c>
      <c r="W151" s="13">
        <v>14</v>
      </c>
      <c r="X151" s="13">
        <v>21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365</v>
      </c>
      <c r="C152" s="10" t="s">
        <v>366</v>
      </c>
      <c r="D152" s="7" t="s">
        <v>46</v>
      </c>
      <c r="E152" s="7" t="s">
        <v>279</v>
      </c>
      <c r="F152" s="7" t="s">
        <v>274</v>
      </c>
      <c r="G152" s="7"/>
      <c r="H152" s="7" t="s">
        <v>52</v>
      </c>
      <c r="I152" s="11">
        <v>2</v>
      </c>
      <c r="J152" s="11">
        <v>3</v>
      </c>
      <c r="K152" s="11">
        <v>0</v>
      </c>
      <c r="L152" s="11">
        <v>2.950000000000001</v>
      </c>
      <c r="M152" s="11">
        <v>0.67</v>
      </c>
      <c r="N152" s="11">
        <v>0</v>
      </c>
      <c r="O152" s="11">
        <v>0.6000000000000001</v>
      </c>
      <c r="P152" s="11">
        <v>0</v>
      </c>
      <c r="Q152" s="11">
        <v>4.220000000000001</v>
      </c>
      <c r="R152" s="11">
        <v>36.43999999999998</v>
      </c>
      <c r="S152" s="11">
        <v>40.65999999999998</v>
      </c>
      <c r="T152" s="11">
        <v>2</v>
      </c>
      <c r="U152" s="11">
        <v>3</v>
      </c>
      <c r="V152" s="11">
        <v>35.65999999999998</v>
      </c>
      <c r="W152" s="13">
        <v>14</v>
      </c>
      <c r="X152" s="13">
        <v>21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367</v>
      </c>
      <c r="C153" s="10" t="s">
        <v>368</v>
      </c>
      <c r="D153" s="7" t="s">
        <v>296</v>
      </c>
      <c r="E153" s="7" t="s">
        <v>273</v>
      </c>
      <c r="F153" s="7" t="s">
        <v>274</v>
      </c>
      <c r="G153" s="7"/>
      <c r="H153" s="7" t="s">
        <v>63</v>
      </c>
      <c r="I153" s="11">
        <v>2</v>
      </c>
      <c r="J153" s="11">
        <v>3</v>
      </c>
      <c r="K153" s="11">
        <v>0.95</v>
      </c>
      <c r="L153" s="11">
        <v>2.14</v>
      </c>
      <c r="M153" s="11">
        <v>0.66</v>
      </c>
      <c r="N153" s="11">
        <v>0</v>
      </c>
      <c r="O153" s="11">
        <v>0.3300000000000001</v>
      </c>
      <c r="P153" s="11">
        <v>0</v>
      </c>
      <c r="Q153" s="11">
        <v>4.08</v>
      </c>
      <c r="R153" s="11">
        <v>41.20999999999999</v>
      </c>
      <c r="S153" s="11">
        <v>45.28999999999999</v>
      </c>
      <c r="T153" s="11">
        <v>2</v>
      </c>
      <c r="U153" s="11">
        <v>3</v>
      </c>
      <c r="V153" s="11">
        <v>40.28999999999999</v>
      </c>
      <c r="W153" s="13">
        <v>14</v>
      </c>
      <c r="X153" s="13">
        <v>21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369</v>
      </c>
      <c r="C154" s="10" t="s">
        <v>370</v>
      </c>
      <c r="D154" s="7" t="s">
        <v>296</v>
      </c>
      <c r="E154" s="7" t="s">
        <v>273</v>
      </c>
      <c r="F154" s="7" t="s">
        <v>274</v>
      </c>
      <c r="G154" s="7"/>
      <c r="H154" s="7" t="s">
        <v>52</v>
      </c>
      <c r="I154" s="11">
        <v>2</v>
      </c>
      <c r="J154" s="11">
        <v>3</v>
      </c>
      <c r="K154" s="11">
        <v>0</v>
      </c>
      <c r="L154" s="11">
        <v>1.78</v>
      </c>
      <c r="M154" s="11">
        <v>0.33</v>
      </c>
      <c r="N154" s="11">
        <v>0</v>
      </c>
      <c r="O154" s="11">
        <v>3.24</v>
      </c>
      <c r="P154" s="11">
        <v>0</v>
      </c>
      <c r="Q154" s="11">
        <v>5.35</v>
      </c>
      <c r="R154" s="11">
        <v>43.93999999999998</v>
      </c>
      <c r="S154" s="11">
        <v>49.28999999999998</v>
      </c>
      <c r="T154" s="11">
        <v>2</v>
      </c>
      <c r="U154" s="11">
        <v>3</v>
      </c>
      <c r="V154" s="11">
        <v>44.28999999999998</v>
      </c>
      <c r="W154" s="13">
        <v>14</v>
      </c>
      <c r="X154" s="13">
        <v>21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371</v>
      </c>
      <c r="C155" s="10" t="s">
        <v>372</v>
      </c>
      <c r="D155" s="7" t="s">
        <v>296</v>
      </c>
      <c r="E155" s="7" t="s">
        <v>273</v>
      </c>
      <c r="F155" s="7" t="s">
        <v>274</v>
      </c>
      <c r="G155" s="7"/>
      <c r="H155" s="7" t="s">
        <v>52</v>
      </c>
      <c r="I155" s="11">
        <v>2</v>
      </c>
      <c r="J155" s="11">
        <v>3</v>
      </c>
      <c r="K155" s="11">
        <v>0</v>
      </c>
      <c r="L155" s="11">
        <v>2.09</v>
      </c>
      <c r="M155" s="11">
        <v>0.67</v>
      </c>
      <c r="N155" s="11">
        <v>0</v>
      </c>
      <c r="O155" s="11">
        <v>0.21</v>
      </c>
      <c r="P155" s="11">
        <v>0</v>
      </c>
      <c r="Q155" s="11">
        <v>2.969999999999999</v>
      </c>
      <c r="R155" s="11">
        <v>49.59999999999998</v>
      </c>
      <c r="S155" s="11">
        <v>52.56999999999998</v>
      </c>
      <c r="T155" s="11">
        <v>2</v>
      </c>
      <c r="U155" s="11">
        <v>3</v>
      </c>
      <c r="V155" s="11">
        <v>47.56999999999998</v>
      </c>
      <c r="W155" s="13">
        <v>14</v>
      </c>
      <c r="X155" s="13">
        <v>21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373</v>
      </c>
      <c r="C156" s="10" t="s">
        <v>374</v>
      </c>
      <c r="D156" s="7" t="s">
        <v>40</v>
      </c>
      <c r="E156" s="7" t="s">
        <v>273</v>
      </c>
      <c r="F156" s="7" t="s">
        <v>274</v>
      </c>
      <c r="G156" s="7"/>
      <c r="H156" s="7" t="s">
        <v>63</v>
      </c>
      <c r="I156" s="11">
        <v>2</v>
      </c>
      <c r="J156" s="11">
        <v>3</v>
      </c>
      <c r="K156" s="11">
        <v>0.95</v>
      </c>
      <c r="L156" s="11">
        <v>0.8500000000000001</v>
      </c>
      <c r="M156" s="11">
        <v>1</v>
      </c>
      <c r="N156" s="11">
        <v>0</v>
      </c>
      <c r="O156" s="11">
        <v>2.95</v>
      </c>
      <c r="P156" s="11">
        <v>0</v>
      </c>
      <c r="Q156" s="11">
        <v>5.749999999999999</v>
      </c>
      <c r="R156" s="11">
        <v>29.78</v>
      </c>
      <c r="S156" s="11">
        <v>35.52999999999999</v>
      </c>
      <c r="T156" s="11">
        <v>2</v>
      </c>
      <c r="U156" s="11">
        <v>3</v>
      </c>
      <c r="V156" s="11">
        <v>30.52999999999999</v>
      </c>
      <c r="W156" s="13">
        <v>14</v>
      </c>
      <c r="X156" s="13">
        <v>21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375</v>
      </c>
      <c r="C157" s="10" t="s">
        <v>376</v>
      </c>
      <c r="D157" s="7" t="s">
        <v>217</v>
      </c>
      <c r="E157" s="7" t="s">
        <v>279</v>
      </c>
      <c r="F157" s="7" t="s">
        <v>274</v>
      </c>
      <c r="G157" s="7"/>
      <c r="H157" s="7" t="s">
        <v>100</v>
      </c>
      <c r="I157" s="11">
        <v>2</v>
      </c>
      <c r="J157" s="11">
        <v>3</v>
      </c>
      <c r="K157" s="11">
        <v>0.95</v>
      </c>
      <c r="L157" s="11">
        <v>1.82</v>
      </c>
      <c r="M157" s="11">
        <v>1</v>
      </c>
      <c r="N157" s="11">
        <v>0</v>
      </c>
      <c r="O157" s="11">
        <v>0.54</v>
      </c>
      <c r="P157" s="11">
        <v>0</v>
      </c>
      <c r="Q157" s="11">
        <v>4.31</v>
      </c>
      <c r="R157" s="11">
        <v>35.56</v>
      </c>
      <c r="S157" s="11">
        <v>39.87</v>
      </c>
      <c r="T157" s="11">
        <v>2</v>
      </c>
      <c r="U157" s="11">
        <v>3</v>
      </c>
      <c r="V157" s="11">
        <v>34.87</v>
      </c>
      <c r="W157" s="13">
        <v>14</v>
      </c>
      <c r="X157" s="13">
        <v>21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377</v>
      </c>
      <c r="C158" s="10" t="s">
        <v>378</v>
      </c>
      <c r="D158" s="7" t="s">
        <v>74</v>
      </c>
      <c r="E158" s="7" t="s">
        <v>116</v>
      </c>
      <c r="F158" s="7" t="s">
        <v>274</v>
      </c>
      <c r="G158" s="7"/>
      <c r="H158" s="7" t="s">
        <v>52</v>
      </c>
      <c r="I158" s="11">
        <v>2</v>
      </c>
      <c r="J158" s="11">
        <v>3</v>
      </c>
      <c r="K158" s="11">
        <v>0</v>
      </c>
      <c r="L158" s="11">
        <v>3.390000000000001</v>
      </c>
      <c r="M158" s="11">
        <v>1.17</v>
      </c>
      <c r="N158" s="11">
        <v>0</v>
      </c>
      <c r="O158" s="11">
        <v>0.2</v>
      </c>
      <c r="P158" s="11">
        <v>0</v>
      </c>
      <c r="Q158" s="11">
        <v>4.759999999999999</v>
      </c>
      <c r="R158" s="11">
        <v>32.8</v>
      </c>
      <c r="S158" s="11">
        <v>37.56</v>
      </c>
      <c r="T158" s="11">
        <v>2</v>
      </c>
      <c r="U158" s="11">
        <v>3</v>
      </c>
      <c r="V158" s="11">
        <v>32.56</v>
      </c>
      <c r="W158" s="13">
        <v>14</v>
      </c>
      <c r="X158" s="13">
        <v>21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379</v>
      </c>
      <c r="C159" s="10" t="s">
        <v>380</v>
      </c>
      <c r="D159" s="7" t="s">
        <v>113</v>
      </c>
      <c r="E159" s="7" t="s">
        <v>381</v>
      </c>
      <c r="F159" s="7" t="s">
        <v>274</v>
      </c>
      <c r="G159" s="7"/>
      <c r="H159" s="7" t="s">
        <v>52</v>
      </c>
      <c r="I159" s="11">
        <v>2</v>
      </c>
      <c r="J159" s="11">
        <v>3</v>
      </c>
      <c r="K159" s="11">
        <v>0</v>
      </c>
      <c r="L159" s="11">
        <v>2.84</v>
      </c>
      <c r="M159" s="11">
        <v>0.5</v>
      </c>
      <c r="N159" s="11">
        <v>0</v>
      </c>
      <c r="O159" s="11">
        <v>0</v>
      </c>
      <c r="P159" s="11">
        <v>0</v>
      </c>
      <c r="Q159" s="11">
        <v>3.339999999999999</v>
      </c>
      <c r="R159" s="11">
        <v>35.71999999999999</v>
      </c>
      <c r="S159" s="11">
        <v>39.05999999999999</v>
      </c>
      <c r="T159" s="11">
        <v>2</v>
      </c>
      <c r="U159" s="11">
        <v>3</v>
      </c>
      <c r="V159" s="11">
        <v>34.05999999999999</v>
      </c>
      <c r="W159" s="13">
        <v>14</v>
      </c>
      <c r="X159" s="13">
        <v>21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382</v>
      </c>
      <c r="C160" s="10" t="s">
        <v>383</v>
      </c>
      <c r="D160" s="7" t="s">
        <v>81</v>
      </c>
      <c r="E160" s="7" t="s">
        <v>381</v>
      </c>
      <c r="F160" s="7" t="s">
        <v>274</v>
      </c>
      <c r="G160" s="7"/>
      <c r="H160" s="7" t="s">
        <v>52</v>
      </c>
      <c r="I160" s="11">
        <v>2</v>
      </c>
      <c r="J160" s="11">
        <v>3</v>
      </c>
      <c r="K160" s="11">
        <v>0</v>
      </c>
      <c r="L160" s="11">
        <v>1.77</v>
      </c>
      <c r="M160" s="11">
        <v>0.8300000000000001</v>
      </c>
      <c r="N160" s="11">
        <v>0</v>
      </c>
      <c r="O160" s="11">
        <v>0</v>
      </c>
      <c r="P160" s="11">
        <v>0</v>
      </c>
      <c r="Q160" s="11">
        <v>2.6</v>
      </c>
      <c r="R160" s="11">
        <v>24.88</v>
      </c>
      <c r="S160" s="11">
        <v>27.48</v>
      </c>
      <c r="T160" s="11">
        <v>2</v>
      </c>
      <c r="U160" s="11">
        <v>3</v>
      </c>
      <c r="V160" s="11">
        <v>22.48</v>
      </c>
      <c r="W160" s="13">
        <v>14</v>
      </c>
      <c r="X160" s="13">
        <v>21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384</v>
      </c>
      <c r="C161" s="10" t="s">
        <v>385</v>
      </c>
      <c r="D161" s="7" t="s">
        <v>348</v>
      </c>
      <c r="E161" s="7" t="s">
        <v>279</v>
      </c>
      <c r="F161" s="7" t="s">
        <v>386</v>
      </c>
      <c r="G161" s="7"/>
      <c r="H161" s="7" t="s">
        <v>52</v>
      </c>
      <c r="I161" s="11">
        <v>2</v>
      </c>
      <c r="J161" s="11">
        <v>3</v>
      </c>
      <c r="K161" s="11">
        <v>0</v>
      </c>
      <c r="L161" s="11">
        <v>0.17</v>
      </c>
      <c r="M161" s="11">
        <v>0.9800000000000001</v>
      </c>
      <c r="N161" s="11">
        <v>0</v>
      </c>
      <c r="O161" s="11">
        <v>0</v>
      </c>
      <c r="P161" s="11">
        <v>0</v>
      </c>
      <c r="Q161" s="11">
        <v>1.15</v>
      </c>
      <c r="R161" s="11">
        <v>20.37</v>
      </c>
      <c r="S161" s="11">
        <v>21.52</v>
      </c>
      <c r="T161" s="11">
        <v>2</v>
      </c>
      <c r="U161" s="11">
        <v>3</v>
      </c>
      <c r="V161" s="11">
        <v>16.52</v>
      </c>
      <c r="W161" s="13">
        <v>14</v>
      </c>
      <c r="X161" s="13">
        <v>21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387</v>
      </c>
      <c r="C162" s="10" t="s">
        <v>388</v>
      </c>
      <c r="D162" s="7" t="s">
        <v>62</v>
      </c>
      <c r="E162" s="7" t="s">
        <v>279</v>
      </c>
      <c r="F162" s="7" t="s">
        <v>389</v>
      </c>
      <c r="G162" s="7"/>
      <c r="H162" s="7" t="s">
        <v>52</v>
      </c>
      <c r="I162" s="11">
        <v>2</v>
      </c>
      <c r="J162" s="11">
        <v>3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0.18</v>
      </c>
      <c r="S162" s="11">
        <v>0.18</v>
      </c>
      <c r="T162" s="11">
        <v>0.18</v>
      </c>
      <c r="U162" s="11">
        <v>0</v>
      </c>
      <c r="V162" s="11">
        <v>0</v>
      </c>
      <c r="W162" s="13">
        <v>14</v>
      </c>
      <c r="X162" s="13">
        <v>21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390</v>
      </c>
      <c r="C163" s="10" t="s">
        <v>391</v>
      </c>
      <c r="D163" s="7" t="s">
        <v>348</v>
      </c>
      <c r="E163" s="7" t="s">
        <v>381</v>
      </c>
      <c r="F163" s="7" t="s">
        <v>386</v>
      </c>
      <c r="G163" s="7"/>
      <c r="H163" s="7" t="s">
        <v>52</v>
      </c>
      <c r="I163" s="11">
        <v>2</v>
      </c>
      <c r="J163" s="11">
        <v>3</v>
      </c>
      <c r="K163" s="11">
        <v>0</v>
      </c>
      <c r="L163" s="11">
        <v>0</v>
      </c>
      <c r="M163" s="11">
        <v>0.08</v>
      </c>
      <c r="N163" s="11">
        <v>0</v>
      </c>
      <c r="O163" s="11">
        <v>0.06</v>
      </c>
      <c r="P163" s="11">
        <v>0</v>
      </c>
      <c r="Q163" s="11">
        <v>0.14</v>
      </c>
      <c r="R163" s="11">
        <v>25.96</v>
      </c>
      <c r="S163" s="11">
        <v>26.1</v>
      </c>
      <c r="T163" s="11">
        <v>2</v>
      </c>
      <c r="U163" s="11">
        <v>3</v>
      </c>
      <c r="V163" s="11">
        <v>21.1</v>
      </c>
      <c r="W163" s="13">
        <v>14</v>
      </c>
      <c r="X163" s="13">
        <v>21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392</v>
      </c>
      <c r="C164" s="10" t="s">
        <v>393</v>
      </c>
      <c r="D164" s="7" t="s">
        <v>320</v>
      </c>
      <c r="E164" s="7" t="s">
        <v>279</v>
      </c>
      <c r="F164" s="7" t="s">
        <v>394</v>
      </c>
      <c r="G164" s="7"/>
      <c r="H164" s="7" t="s">
        <v>110</v>
      </c>
      <c r="I164" s="11">
        <v>2</v>
      </c>
      <c r="J164" s="11">
        <v>3</v>
      </c>
      <c r="K164" s="11">
        <v>0.95</v>
      </c>
      <c r="L164" s="11">
        <v>4.44</v>
      </c>
      <c r="M164" s="11">
        <v>1.07</v>
      </c>
      <c r="N164" s="11">
        <v>0</v>
      </c>
      <c r="O164" s="11">
        <v>0</v>
      </c>
      <c r="P164" s="11">
        <v>0</v>
      </c>
      <c r="Q164" s="11">
        <v>6.460000000000001</v>
      </c>
      <c r="R164" s="11">
        <v>54.35999999999997</v>
      </c>
      <c r="S164" s="11">
        <v>60.81999999999997</v>
      </c>
      <c r="T164" s="11">
        <v>2</v>
      </c>
      <c r="U164" s="11">
        <v>3</v>
      </c>
      <c r="V164" s="11">
        <v>55.81999999999997</v>
      </c>
      <c r="W164" s="13">
        <v>14</v>
      </c>
      <c r="X164" s="13">
        <v>21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395</v>
      </c>
      <c r="C165" s="10" t="s">
        <v>396</v>
      </c>
      <c r="D165" s="7" t="s">
        <v>320</v>
      </c>
      <c r="E165" s="7" t="s">
        <v>279</v>
      </c>
      <c r="F165" s="7" t="s">
        <v>386</v>
      </c>
      <c r="G165" s="7"/>
      <c r="H165" s="7"/>
      <c r="I165" s="11">
        <v>2</v>
      </c>
      <c r="J165" s="11">
        <v>3</v>
      </c>
      <c r="K165" s="11">
        <v>0</v>
      </c>
      <c r="L165" s="11">
        <v>4.280000000000001</v>
      </c>
      <c r="M165" s="11">
        <v>0.51</v>
      </c>
      <c r="N165" s="11">
        <v>0</v>
      </c>
      <c r="O165" s="11">
        <v>0</v>
      </c>
      <c r="P165" s="11">
        <v>0</v>
      </c>
      <c r="Q165" s="11">
        <v>4.790000000000001</v>
      </c>
      <c r="R165" s="11">
        <v>38.56</v>
      </c>
      <c r="S165" s="11">
        <v>43.34999999999999</v>
      </c>
      <c r="T165" s="11">
        <v>2</v>
      </c>
      <c r="U165" s="11">
        <v>3</v>
      </c>
      <c r="V165" s="11">
        <v>38.34999999999999</v>
      </c>
      <c r="W165" s="13">
        <v>14</v>
      </c>
      <c r="X165" s="13">
        <v>21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397</v>
      </c>
      <c r="C166" s="10" t="s">
        <v>398</v>
      </c>
      <c r="D166" s="7" t="s">
        <v>62</v>
      </c>
      <c r="E166" s="7" t="s">
        <v>381</v>
      </c>
      <c r="F166" s="7" t="s">
        <v>386</v>
      </c>
      <c r="G166" s="7"/>
      <c r="H166" s="7" t="s">
        <v>100</v>
      </c>
      <c r="I166" s="11">
        <v>2</v>
      </c>
      <c r="J166" s="11">
        <v>3</v>
      </c>
      <c r="K166" s="11">
        <v>0.95</v>
      </c>
      <c r="L166" s="11">
        <v>0.4</v>
      </c>
      <c r="M166" s="11">
        <v>0.66</v>
      </c>
      <c r="N166" s="11">
        <v>0</v>
      </c>
      <c r="O166" s="11">
        <v>0</v>
      </c>
      <c r="P166" s="11">
        <v>0</v>
      </c>
      <c r="Q166" s="11">
        <v>2.01</v>
      </c>
      <c r="R166" s="11">
        <v>27.76</v>
      </c>
      <c r="S166" s="11">
        <v>29.77</v>
      </c>
      <c r="T166" s="11">
        <v>2</v>
      </c>
      <c r="U166" s="11">
        <v>3</v>
      </c>
      <c r="V166" s="11">
        <v>24.77</v>
      </c>
      <c r="W166" s="13">
        <v>14</v>
      </c>
      <c r="X166" s="13">
        <v>21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399</v>
      </c>
      <c r="C167" s="10" t="s">
        <v>400</v>
      </c>
      <c r="D167" s="7" t="s">
        <v>62</v>
      </c>
      <c r="E167" s="7" t="s">
        <v>279</v>
      </c>
      <c r="F167" s="7" t="s">
        <v>394</v>
      </c>
      <c r="G167" s="7"/>
      <c r="H167" s="7" t="s">
        <v>52</v>
      </c>
      <c r="I167" s="11">
        <v>2</v>
      </c>
      <c r="J167" s="11">
        <v>3</v>
      </c>
      <c r="K167" s="11">
        <v>0</v>
      </c>
      <c r="L167" s="11">
        <v>2.919999999999999</v>
      </c>
      <c r="M167" s="11">
        <v>0.49</v>
      </c>
      <c r="N167" s="11">
        <v>0</v>
      </c>
      <c r="O167" s="11">
        <v>0.04</v>
      </c>
      <c r="P167" s="11">
        <v>0</v>
      </c>
      <c r="Q167" s="11">
        <v>3.449999999999999</v>
      </c>
      <c r="R167" s="11">
        <v>37.54999999999998</v>
      </c>
      <c r="S167" s="11">
        <v>40.99999999999997</v>
      </c>
      <c r="T167" s="11">
        <v>2</v>
      </c>
      <c r="U167" s="11">
        <v>3</v>
      </c>
      <c r="V167" s="11">
        <v>35.99999999999997</v>
      </c>
      <c r="W167" s="13">
        <v>14</v>
      </c>
      <c r="X167" s="13">
        <v>21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401</v>
      </c>
      <c r="C168" s="10" t="s">
        <v>402</v>
      </c>
      <c r="D168" s="7" t="s">
        <v>51</v>
      </c>
      <c r="E168" s="7" t="s">
        <v>279</v>
      </c>
      <c r="F168" s="7" t="s">
        <v>394</v>
      </c>
      <c r="G168" s="7"/>
      <c r="H168" s="7" t="s">
        <v>52</v>
      </c>
      <c r="I168" s="11">
        <v>2</v>
      </c>
      <c r="J168" s="11">
        <v>3</v>
      </c>
      <c r="K168" s="11">
        <v>0</v>
      </c>
      <c r="L168" s="11">
        <v>0.41</v>
      </c>
      <c r="M168" s="11">
        <v>1.83</v>
      </c>
      <c r="N168" s="11">
        <v>0</v>
      </c>
      <c r="O168" s="11">
        <v>0.2</v>
      </c>
      <c r="P168" s="11">
        <v>0</v>
      </c>
      <c r="Q168" s="11">
        <v>2.44</v>
      </c>
      <c r="R168" s="11">
        <v>26.89</v>
      </c>
      <c r="S168" s="11">
        <v>29.33</v>
      </c>
      <c r="T168" s="11">
        <v>2</v>
      </c>
      <c r="U168" s="11">
        <v>3</v>
      </c>
      <c r="V168" s="11">
        <v>24.33</v>
      </c>
      <c r="W168" s="13">
        <v>14</v>
      </c>
      <c r="X168" s="13">
        <v>21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403</v>
      </c>
      <c r="C169" s="10" t="s">
        <v>404</v>
      </c>
      <c r="D169" s="7" t="s">
        <v>217</v>
      </c>
      <c r="E169" s="7" t="s">
        <v>279</v>
      </c>
      <c r="F169" s="7" t="s">
        <v>386</v>
      </c>
      <c r="G169" s="7"/>
      <c r="H169" s="7" t="s">
        <v>52</v>
      </c>
      <c r="I169" s="11">
        <v>2</v>
      </c>
      <c r="J169" s="11">
        <v>3</v>
      </c>
      <c r="K169" s="11">
        <v>0</v>
      </c>
      <c r="L169" s="11">
        <v>2.18</v>
      </c>
      <c r="M169" s="11">
        <v>0.8300000000000001</v>
      </c>
      <c r="N169" s="11">
        <v>0</v>
      </c>
      <c r="O169" s="11">
        <v>0</v>
      </c>
      <c r="P169" s="11">
        <v>0</v>
      </c>
      <c r="Q169" s="11">
        <v>3.009999999999999</v>
      </c>
      <c r="R169" s="11">
        <v>31.97999999999999</v>
      </c>
      <c r="S169" s="11">
        <v>34.98999999999999</v>
      </c>
      <c r="T169" s="11">
        <v>2</v>
      </c>
      <c r="U169" s="11">
        <v>3</v>
      </c>
      <c r="V169" s="11">
        <v>29.98999999999999</v>
      </c>
      <c r="W169" s="13">
        <v>14</v>
      </c>
      <c r="X169" s="13">
        <v>21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405</v>
      </c>
      <c r="C170" s="10" t="s">
        <v>406</v>
      </c>
      <c r="D170" s="7" t="s">
        <v>407</v>
      </c>
      <c r="E170" s="7" t="s">
        <v>279</v>
      </c>
      <c r="F170" s="7" t="s">
        <v>386</v>
      </c>
      <c r="G170" s="7"/>
      <c r="H170" s="7" t="s">
        <v>52</v>
      </c>
      <c r="I170" s="11">
        <v>2</v>
      </c>
      <c r="J170" s="11">
        <v>3</v>
      </c>
      <c r="K170" s="11">
        <v>0</v>
      </c>
      <c r="L170" s="11">
        <v>0</v>
      </c>
      <c r="M170" s="11">
        <v>0.34</v>
      </c>
      <c r="N170" s="11">
        <v>0</v>
      </c>
      <c r="O170" s="11">
        <v>0</v>
      </c>
      <c r="P170" s="11">
        <v>0</v>
      </c>
      <c r="Q170" s="11">
        <v>0.34</v>
      </c>
      <c r="R170" s="11">
        <v>22.47000000000001</v>
      </c>
      <c r="S170" s="11">
        <v>22.81000000000001</v>
      </c>
      <c r="T170" s="11">
        <v>2</v>
      </c>
      <c r="U170" s="11">
        <v>3</v>
      </c>
      <c r="V170" s="11">
        <v>17.81000000000001</v>
      </c>
      <c r="W170" s="13">
        <v>14</v>
      </c>
      <c r="X170" s="13">
        <v>21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408</v>
      </c>
      <c r="C171" s="10" t="s">
        <v>409</v>
      </c>
      <c r="D171" s="7" t="s">
        <v>217</v>
      </c>
      <c r="E171" s="7" t="s">
        <v>279</v>
      </c>
      <c r="F171" s="7" t="s">
        <v>394</v>
      </c>
      <c r="G171" s="7"/>
      <c r="H171" s="7" t="s">
        <v>52</v>
      </c>
      <c r="I171" s="11">
        <v>2</v>
      </c>
      <c r="J171" s="11">
        <v>3</v>
      </c>
      <c r="K171" s="11">
        <v>0</v>
      </c>
      <c r="L171" s="11">
        <v>3.919999999999999</v>
      </c>
      <c r="M171" s="11">
        <v>0.67</v>
      </c>
      <c r="N171" s="11">
        <v>0</v>
      </c>
      <c r="O171" s="11">
        <v>0</v>
      </c>
      <c r="P171" s="11">
        <v>0</v>
      </c>
      <c r="Q171" s="11">
        <v>4.59</v>
      </c>
      <c r="R171" s="11">
        <v>30.91</v>
      </c>
      <c r="S171" s="11">
        <v>35.5</v>
      </c>
      <c r="T171" s="11">
        <v>2</v>
      </c>
      <c r="U171" s="11">
        <v>3</v>
      </c>
      <c r="V171" s="11">
        <v>30.5</v>
      </c>
      <c r="W171" s="13">
        <v>14</v>
      </c>
      <c r="X171" s="13">
        <v>21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410</v>
      </c>
      <c r="C172" s="10" t="s">
        <v>411</v>
      </c>
      <c r="D172" s="7" t="s">
        <v>217</v>
      </c>
      <c r="E172" s="7" t="s">
        <v>381</v>
      </c>
      <c r="F172" s="7" t="s">
        <v>386</v>
      </c>
      <c r="G172" s="7"/>
      <c r="H172" s="7" t="s">
        <v>52</v>
      </c>
      <c r="I172" s="11">
        <v>2</v>
      </c>
      <c r="J172" s="11">
        <v>3</v>
      </c>
      <c r="K172" s="11">
        <v>0</v>
      </c>
      <c r="L172" s="11">
        <v>0.25</v>
      </c>
      <c r="M172" s="11">
        <v>0.67</v>
      </c>
      <c r="N172" s="11">
        <v>0</v>
      </c>
      <c r="O172" s="11">
        <v>0</v>
      </c>
      <c r="P172" s="11">
        <v>0</v>
      </c>
      <c r="Q172" s="11">
        <v>0.9200000000000002</v>
      </c>
      <c r="R172" s="11">
        <v>26.11999999999999</v>
      </c>
      <c r="S172" s="11">
        <v>27.04</v>
      </c>
      <c r="T172" s="11">
        <v>2</v>
      </c>
      <c r="U172" s="11">
        <v>3</v>
      </c>
      <c r="V172" s="11">
        <v>22.04</v>
      </c>
      <c r="W172" s="13">
        <v>14</v>
      </c>
      <c r="X172" s="13">
        <v>21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412</v>
      </c>
      <c r="C173" s="10" t="s">
        <v>413</v>
      </c>
      <c r="D173" s="7" t="s">
        <v>93</v>
      </c>
      <c r="E173" s="7" t="s">
        <v>82</v>
      </c>
      <c r="F173" s="7" t="s">
        <v>386</v>
      </c>
      <c r="G173" s="7"/>
      <c r="H173" s="7" t="s">
        <v>52</v>
      </c>
      <c r="I173" s="11">
        <v>2</v>
      </c>
      <c r="J173" s="11">
        <v>3</v>
      </c>
      <c r="K173" s="11">
        <v>0</v>
      </c>
      <c r="L173" s="11">
        <v>3.43</v>
      </c>
      <c r="M173" s="11">
        <v>0.66</v>
      </c>
      <c r="N173" s="11">
        <v>0</v>
      </c>
      <c r="O173" s="11">
        <v>0.16</v>
      </c>
      <c r="P173" s="11">
        <v>0</v>
      </c>
      <c r="Q173" s="11">
        <v>4.249999999999999</v>
      </c>
      <c r="R173" s="11">
        <v>33.47</v>
      </c>
      <c r="S173" s="11">
        <v>37.72</v>
      </c>
      <c r="T173" s="11">
        <v>2</v>
      </c>
      <c r="U173" s="11">
        <v>3</v>
      </c>
      <c r="V173" s="11">
        <v>32.72</v>
      </c>
      <c r="W173" s="13">
        <v>14</v>
      </c>
      <c r="X173" s="13">
        <v>21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414</v>
      </c>
      <c r="C174" s="10" t="s">
        <v>415</v>
      </c>
      <c r="D174" s="7" t="s">
        <v>113</v>
      </c>
      <c r="E174" s="7" t="s">
        <v>77</v>
      </c>
      <c r="F174" s="7" t="s">
        <v>416</v>
      </c>
      <c r="G174" s="7"/>
      <c r="H174" s="7" t="s">
        <v>52</v>
      </c>
      <c r="I174" s="11">
        <v>2</v>
      </c>
      <c r="J174" s="11">
        <v>3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0.42</v>
      </c>
      <c r="S174" s="11">
        <v>0.42</v>
      </c>
      <c r="T174" s="11">
        <v>0.42</v>
      </c>
      <c r="U174" s="11">
        <v>0</v>
      </c>
      <c r="V174" s="11">
        <v>0</v>
      </c>
      <c r="W174" s="13">
        <v>14</v>
      </c>
      <c r="X174" s="13">
        <v>21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417</v>
      </c>
      <c r="C175" s="10" t="s">
        <v>418</v>
      </c>
      <c r="D175" s="7" t="s">
        <v>407</v>
      </c>
      <c r="E175" s="7" t="s">
        <v>279</v>
      </c>
      <c r="F175" s="7" t="s">
        <v>394</v>
      </c>
      <c r="G175" s="7"/>
      <c r="H175" s="7" t="s">
        <v>52</v>
      </c>
      <c r="I175" s="11">
        <v>2</v>
      </c>
      <c r="J175" s="11">
        <v>3</v>
      </c>
      <c r="K175" s="11">
        <v>0</v>
      </c>
      <c r="L175" s="11">
        <v>2.06</v>
      </c>
      <c r="M175" s="11">
        <v>0.57</v>
      </c>
      <c r="N175" s="11">
        <v>0</v>
      </c>
      <c r="O175" s="11">
        <v>0.7000000000000001</v>
      </c>
      <c r="P175" s="11">
        <v>0</v>
      </c>
      <c r="Q175" s="11">
        <v>3.330000000000001</v>
      </c>
      <c r="R175" s="11">
        <v>23.42</v>
      </c>
      <c r="S175" s="11">
        <v>26.75</v>
      </c>
      <c r="T175" s="11">
        <v>2</v>
      </c>
      <c r="U175" s="11">
        <v>3</v>
      </c>
      <c r="V175" s="11">
        <v>21.75</v>
      </c>
      <c r="W175" s="13">
        <v>14</v>
      </c>
      <c r="X175" s="13">
        <v>21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419</v>
      </c>
      <c r="C176" s="10" t="s">
        <v>420</v>
      </c>
      <c r="D176" s="7" t="s">
        <v>93</v>
      </c>
      <c r="E176" s="7" t="s">
        <v>279</v>
      </c>
      <c r="F176" s="7" t="s">
        <v>394</v>
      </c>
      <c r="G176" s="7"/>
      <c r="H176" s="7" t="s">
        <v>52</v>
      </c>
      <c r="I176" s="11">
        <v>2</v>
      </c>
      <c r="J176" s="11">
        <v>3</v>
      </c>
      <c r="K176" s="11">
        <v>0</v>
      </c>
      <c r="L176" s="11">
        <v>1.08</v>
      </c>
      <c r="M176" s="11">
        <v>0.42</v>
      </c>
      <c r="N176" s="11">
        <v>0</v>
      </c>
      <c r="O176" s="11">
        <v>0.36</v>
      </c>
      <c r="P176" s="11">
        <v>0</v>
      </c>
      <c r="Q176" s="11">
        <v>1.86</v>
      </c>
      <c r="R176" s="11">
        <v>13.69000000000001</v>
      </c>
      <c r="S176" s="11">
        <v>15.55000000000001</v>
      </c>
      <c r="T176" s="11">
        <v>2</v>
      </c>
      <c r="U176" s="11">
        <v>3</v>
      </c>
      <c r="V176" s="11">
        <v>10.55000000000001</v>
      </c>
      <c r="W176" s="13">
        <v>14</v>
      </c>
      <c r="X176" s="13">
        <v>21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421</v>
      </c>
      <c r="C177" s="10" t="s">
        <v>422</v>
      </c>
      <c r="D177" s="7" t="s">
        <v>51</v>
      </c>
      <c r="E177" s="7" t="s">
        <v>279</v>
      </c>
      <c r="F177" s="7" t="s">
        <v>394</v>
      </c>
      <c r="G177" s="7"/>
      <c r="H177" s="7" t="s">
        <v>52</v>
      </c>
      <c r="I177" s="11">
        <v>2</v>
      </c>
      <c r="J177" s="11">
        <v>3</v>
      </c>
      <c r="K177" s="11">
        <v>0</v>
      </c>
      <c r="L177" s="11">
        <v>0</v>
      </c>
      <c r="M177" s="11">
        <v>0.08</v>
      </c>
      <c r="N177" s="11">
        <v>0</v>
      </c>
      <c r="O177" s="11">
        <v>0.18</v>
      </c>
      <c r="P177" s="11">
        <v>0</v>
      </c>
      <c r="Q177" s="11">
        <v>0.26</v>
      </c>
      <c r="R177" s="11">
        <v>10.15</v>
      </c>
      <c r="S177" s="11">
        <v>10.41</v>
      </c>
      <c r="T177" s="11">
        <v>2</v>
      </c>
      <c r="U177" s="11">
        <v>3</v>
      </c>
      <c r="V177" s="11">
        <v>5.410000000000002</v>
      </c>
      <c r="W177" s="13">
        <v>14</v>
      </c>
      <c r="X177" s="13">
        <v>21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423</v>
      </c>
      <c r="C178" s="10" t="s">
        <v>424</v>
      </c>
      <c r="D178" s="7" t="s">
        <v>296</v>
      </c>
      <c r="E178" s="7" t="s">
        <v>279</v>
      </c>
      <c r="F178" s="7" t="s">
        <v>394</v>
      </c>
      <c r="G178" s="7"/>
      <c r="H178" s="7" t="s">
        <v>52</v>
      </c>
      <c r="I178" s="11">
        <v>2</v>
      </c>
      <c r="J178" s="11">
        <v>3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3">
        <v>14</v>
      </c>
      <c r="X178" s="13">
        <v>21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79" spans="1:676">
      <c r="A179" s="7">
        <v>169</v>
      </c>
      <c r="B179" s="7" t="s">
        <v>425</v>
      </c>
      <c r="C179" s="10" t="s">
        <v>426</v>
      </c>
      <c r="D179" s="7" t="s">
        <v>46</v>
      </c>
      <c r="E179" s="7" t="s">
        <v>279</v>
      </c>
      <c r="F179" s="7" t="s">
        <v>386</v>
      </c>
      <c r="G179" s="7"/>
      <c r="H179" s="7" t="s">
        <v>52</v>
      </c>
      <c r="I179" s="11">
        <v>2</v>
      </c>
      <c r="J179" s="11">
        <v>3</v>
      </c>
      <c r="K179" s="11">
        <v>0</v>
      </c>
      <c r="L179" s="11">
        <v>0</v>
      </c>
      <c r="M179" s="11">
        <v>0.8400000000000001</v>
      </c>
      <c r="N179" s="11">
        <v>0</v>
      </c>
      <c r="O179" s="11">
        <v>0.18</v>
      </c>
      <c r="P179" s="11">
        <v>0</v>
      </c>
      <c r="Q179" s="11">
        <v>1.02</v>
      </c>
      <c r="R179" s="11">
        <v>24.31</v>
      </c>
      <c r="S179" s="11">
        <v>25.33</v>
      </c>
      <c r="T179" s="11">
        <v>2</v>
      </c>
      <c r="U179" s="11">
        <v>3</v>
      </c>
      <c r="V179" s="11">
        <v>20.33</v>
      </c>
      <c r="W179" s="13">
        <v>14</v>
      </c>
      <c r="X179" s="13">
        <v>21</v>
      </c>
      <c r="Y179" s="13" t="str">
        <f>MIN(W179,S179)</f>
        <v>0</v>
      </c>
      <c r="Z179" s="13" t="str">
        <f>MIN(X179,(S179-Y179))</f>
        <v>0</v>
      </c>
      <c r="AA179" s="13" t="str">
        <f>S179-SUM(Y179,Z179)</f>
        <v>0</v>
      </c>
      <c r="AB179" s="15"/>
      <c r="AC179" s="15"/>
      <c r="AD179" s="1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  <c r="VL179" s="5"/>
      <c r="VM179" s="5"/>
      <c r="VN179" s="5"/>
      <c r="VO179" s="5"/>
      <c r="VP179" s="5"/>
      <c r="VQ179" s="5"/>
      <c r="VR179" s="5"/>
      <c r="VS179" s="5"/>
      <c r="VT179" s="5"/>
      <c r="VU179" s="5"/>
      <c r="VV179" s="5"/>
      <c r="VW179" s="5"/>
      <c r="VX179" s="5"/>
      <c r="VY179" s="5"/>
      <c r="VZ179" s="5"/>
      <c r="WA179" s="5"/>
      <c r="WB179" s="5"/>
      <c r="WC179" s="5"/>
      <c r="WD179" s="5"/>
      <c r="WE179" s="5"/>
      <c r="WF179" s="5"/>
      <c r="WG179" s="5"/>
      <c r="WH179" s="5"/>
      <c r="WI179" s="5"/>
      <c r="WJ179" s="5"/>
      <c r="WK179" s="5"/>
      <c r="WL179" s="5"/>
      <c r="WM179" s="5"/>
      <c r="WN179" s="5"/>
      <c r="WO179" s="5"/>
      <c r="WP179" s="5"/>
      <c r="WQ179" s="5"/>
      <c r="WR179" s="5"/>
      <c r="WS179" s="5"/>
      <c r="WT179" s="5"/>
      <c r="WU179" s="5"/>
      <c r="WV179" s="5"/>
      <c r="WW179" s="5"/>
      <c r="WX179" s="5"/>
      <c r="WY179" s="5"/>
      <c r="WZ179" s="5"/>
      <c r="XA179" s="5"/>
      <c r="XB179" s="5"/>
      <c r="XC179" s="5"/>
      <c r="XD179" s="5"/>
      <c r="XE179" s="5"/>
      <c r="XF179" s="5"/>
      <c r="XG179" s="5"/>
      <c r="XH179" s="5"/>
      <c r="XI179" s="5"/>
      <c r="XJ179" s="5"/>
      <c r="XK179" s="5"/>
      <c r="XL179" s="5"/>
      <c r="XM179" s="5"/>
      <c r="XN179" s="5"/>
      <c r="XO179" s="5"/>
      <c r="XP179" s="5"/>
      <c r="XQ179" s="5"/>
      <c r="XR179" s="5"/>
      <c r="XS179" s="5"/>
      <c r="XT179" s="5"/>
      <c r="XU179" s="5"/>
      <c r="XV179" s="5"/>
      <c r="XW179" s="5"/>
      <c r="XX179" s="5"/>
      <c r="XY179" s="5"/>
      <c r="XZ179" s="5"/>
      <c r="YA179" s="5"/>
      <c r="YB179" s="5"/>
      <c r="YC179" s="5"/>
      <c r="YD179" s="5"/>
      <c r="YE179" s="5"/>
      <c r="YF179" s="5"/>
      <c r="YG179" s="5"/>
      <c r="YH179" s="5"/>
      <c r="YI179" s="5"/>
      <c r="YJ179" s="5"/>
      <c r="YK179" s="5"/>
      <c r="YL179" s="5"/>
      <c r="YM179" s="5"/>
      <c r="YN179" s="5"/>
      <c r="YO179" s="5"/>
      <c r="YP179" s="5"/>
      <c r="YQ179" s="5"/>
      <c r="YR179" s="5"/>
      <c r="YS179" s="5"/>
      <c r="YT179" s="5"/>
      <c r="YU179" s="5"/>
      <c r="YV179" s="5"/>
      <c r="YW179" s="5"/>
      <c r="YX179" s="5"/>
      <c r="YY179" s="5"/>
      <c r="YZ179" s="5"/>
    </row>
    <row r="180" spans="1:676">
      <c r="A180" s="7">
        <v>170</v>
      </c>
      <c r="B180" s="7" t="s">
        <v>427</v>
      </c>
      <c r="C180" s="10" t="s">
        <v>428</v>
      </c>
      <c r="D180" s="7" t="s">
        <v>217</v>
      </c>
      <c r="E180" s="7" t="s">
        <v>279</v>
      </c>
      <c r="F180" s="7" t="s">
        <v>394</v>
      </c>
      <c r="G180" s="7"/>
      <c r="H180" s="7" t="s">
        <v>52</v>
      </c>
      <c r="I180" s="11">
        <v>2</v>
      </c>
      <c r="J180" s="11">
        <v>3</v>
      </c>
      <c r="K180" s="11">
        <v>0</v>
      </c>
      <c r="L180" s="11">
        <v>1.86</v>
      </c>
      <c r="M180" s="11">
        <v>0.67</v>
      </c>
      <c r="N180" s="11">
        <v>0</v>
      </c>
      <c r="O180" s="11">
        <v>0</v>
      </c>
      <c r="P180" s="11">
        <v>0</v>
      </c>
      <c r="Q180" s="11">
        <v>2.53</v>
      </c>
      <c r="R180" s="11">
        <v>29.03999999999999</v>
      </c>
      <c r="S180" s="11">
        <v>31.56999999999999</v>
      </c>
      <c r="T180" s="11">
        <v>2</v>
      </c>
      <c r="U180" s="11">
        <v>3</v>
      </c>
      <c r="V180" s="11">
        <v>26.56999999999999</v>
      </c>
      <c r="W180" s="13">
        <v>14</v>
      </c>
      <c r="X180" s="13">
        <v>21</v>
      </c>
      <c r="Y180" s="13" t="str">
        <f>MIN(W180,S180)</f>
        <v>0</v>
      </c>
      <c r="Z180" s="13" t="str">
        <f>MIN(X180,(S180-Y180))</f>
        <v>0</v>
      </c>
      <c r="AA180" s="13" t="str">
        <f>S180-SUM(Y180,Z180)</f>
        <v>0</v>
      </c>
      <c r="AB180" s="15"/>
      <c r="AC180" s="15"/>
      <c r="AD180" s="1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  <c r="VL180" s="5"/>
      <c r="VM180" s="5"/>
      <c r="VN180" s="5"/>
      <c r="VO180" s="5"/>
      <c r="VP180" s="5"/>
      <c r="VQ180" s="5"/>
      <c r="VR180" s="5"/>
      <c r="VS180" s="5"/>
      <c r="VT180" s="5"/>
      <c r="VU180" s="5"/>
      <c r="VV180" s="5"/>
      <c r="VW180" s="5"/>
      <c r="VX180" s="5"/>
      <c r="VY180" s="5"/>
      <c r="VZ180" s="5"/>
      <c r="WA180" s="5"/>
      <c r="WB180" s="5"/>
      <c r="WC180" s="5"/>
      <c r="WD180" s="5"/>
      <c r="WE180" s="5"/>
      <c r="WF180" s="5"/>
      <c r="WG180" s="5"/>
      <c r="WH180" s="5"/>
      <c r="WI180" s="5"/>
      <c r="WJ180" s="5"/>
      <c r="WK180" s="5"/>
      <c r="WL180" s="5"/>
      <c r="WM180" s="5"/>
      <c r="WN180" s="5"/>
      <c r="WO180" s="5"/>
      <c r="WP180" s="5"/>
      <c r="WQ180" s="5"/>
      <c r="WR180" s="5"/>
      <c r="WS180" s="5"/>
      <c r="WT180" s="5"/>
      <c r="WU180" s="5"/>
      <c r="WV180" s="5"/>
      <c r="WW180" s="5"/>
      <c r="WX180" s="5"/>
      <c r="WY180" s="5"/>
      <c r="WZ180" s="5"/>
      <c r="XA180" s="5"/>
      <c r="XB180" s="5"/>
      <c r="XC180" s="5"/>
      <c r="XD180" s="5"/>
      <c r="XE180" s="5"/>
      <c r="XF180" s="5"/>
      <c r="XG180" s="5"/>
      <c r="XH180" s="5"/>
      <c r="XI180" s="5"/>
      <c r="XJ180" s="5"/>
      <c r="XK180" s="5"/>
      <c r="XL180" s="5"/>
      <c r="XM180" s="5"/>
      <c r="XN180" s="5"/>
      <c r="XO180" s="5"/>
      <c r="XP180" s="5"/>
      <c r="XQ180" s="5"/>
      <c r="XR180" s="5"/>
      <c r="XS180" s="5"/>
      <c r="XT180" s="5"/>
      <c r="XU180" s="5"/>
      <c r="XV180" s="5"/>
      <c r="XW180" s="5"/>
      <c r="XX180" s="5"/>
      <c r="XY180" s="5"/>
      <c r="XZ180" s="5"/>
      <c r="YA180" s="5"/>
      <c r="YB180" s="5"/>
      <c r="YC180" s="5"/>
      <c r="YD180" s="5"/>
      <c r="YE180" s="5"/>
      <c r="YF180" s="5"/>
      <c r="YG180" s="5"/>
      <c r="YH180" s="5"/>
      <c r="YI180" s="5"/>
      <c r="YJ180" s="5"/>
      <c r="YK180" s="5"/>
      <c r="YL180" s="5"/>
      <c r="YM180" s="5"/>
      <c r="YN180" s="5"/>
      <c r="YO180" s="5"/>
      <c r="YP180" s="5"/>
      <c r="YQ180" s="5"/>
      <c r="YR180" s="5"/>
      <c r="YS180" s="5"/>
      <c r="YT180" s="5"/>
      <c r="YU180" s="5"/>
      <c r="YV180" s="5"/>
      <c r="YW180" s="5"/>
      <c r="YX180" s="5"/>
      <c r="YY180" s="5"/>
      <c r="YZ180" s="5"/>
    </row>
    <row r="181" spans="1:676">
      <c r="A181" s="7">
        <v>171</v>
      </c>
      <c r="B181" s="7" t="s">
        <v>429</v>
      </c>
      <c r="C181" s="10" t="s">
        <v>430</v>
      </c>
      <c r="D181" s="7" t="s">
        <v>296</v>
      </c>
      <c r="E181" s="7" t="s">
        <v>273</v>
      </c>
      <c r="F181" s="7" t="s">
        <v>389</v>
      </c>
      <c r="G181" s="7"/>
      <c r="H181" s="7" t="s">
        <v>52</v>
      </c>
      <c r="I181" s="11">
        <v>2</v>
      </c>
      <c r="J181" s="11">
        <v>3</v>
      </c>
      <c r="K181" s="11">
        <v>0</v>
      </c>
      <c r="L181" s="11">
        <v>0</v>
      </c>
      <c r="M181" s="11">
        <v>0.17</v>
      </c>
      <c r="N181" s="11">
        <v>0</v>
      </c>
      <c r="O181" s="11">
        <v>0</v>
      </c>
      <c r="P181" s="11">
        <v>0</v>
      </c>
      <c r="Q181" s="11">
        <v>0.17</v>
      </c>
      <c r="R181" s="11">
        <v>0</v>
      </c>
      <c r="S181" s="11">
        <v>0.17</v>
      </c>
      <c r="T181" s="11">
        <v>0.17</v>
      </c>
      <c r="U181" s="11">
        <v>0</v>
      </c>
      <c r="V181" s="11">
        <v>0</v>
      </c>
      <c r="W181" s="13">
        <v>14</v>
      </c>
      <c r="X181" s="13">
        <v>21</v>
      </c>
      <c r="Y181" s="13" t="str">
        <f>MIN(W181,S181)</f>
        <v>0</v>
      </c>
      <c r="Z181" s="13" t="str">
        <f>MIN(X181,(S181-Y181))</f>
        <v>0</v>
      </c>
      <c r="AA181" s="13" t="str">
        <f>S181-SUM(Y181,Z181)</f>
        <v>0</v>
      </c>
      <c r="AB181" s="15"/>
      <c r="AC181" s="15"/>
      <c r="AD181" s="1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5"/>
      <c r="QJ181" s="5"/>
      <c r="QK181" s="5"/>
      <c r="QL181" s="5"/>
      <c r="QM181" s="5"/>
      <c r="QN181" s="5"/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5"/>
      <c r="RL181" s="5"/>
      <c r="RM181" s="5"/>
      <c r="RN181" s="5"/>
      <c r="RO181" s="5"/>
      <c r="RP181" s="5"/>
      <c r="RQ181" s="5"/>
      <c r="RR181" s="5"/>
      <c r="RS181" s="5"/>
      <c r="RT181" s="5"/>
      <c r="RU181" s="5"/>
      <c r="RV181" s="5"/>
      <c r="RW181" s="5"/>
      <c r="RX181" s="5"/>
      <c r="RY181" s="5"/>
      <c r="RZ181" s="5"/>
      <c r="SA181" s="5"/>
      <c r="SB181" s="5"/>
      <c r="SC181" s="5"/>
      <c r="SD181" s="5"/>
      <c r="SE181" s="5"/>
      <c r="SF181" s="5"/>
      <c r="SG181" s="5"/>
      <c r="SH181" s="5"/>
      <c r="SI181" s="5"/>
      <c r="SJ181" s="5"/>
      <c r="SK181" s="5"/>
      <c r="SL181" s="5"/>
      <c r="SM181" s="5"/>
      <c r="SN181" s="5"/>
      <c r="SO181" s="5"/>
      <c r="SP181" s="5"/>
      <c r="SQ181" s="5"/>
      <c r="SR181" s="5"/>
      <c r="SS181" s="5"/>
      <c r="ST181" s="5"/>
      <c r="SU181" s="5"/>
      <c r="SV181" s="5"/>
      <c r="SW181" s="5"/>
      <c r="SX181" s="5"/>
      <c r="SY181" s="5"/>
      <c r="SZ181" s="5"/>
      <c r="TA181" s="5"/>
      <c r="TB181" s="5"/>
      <c r="TC181" s="5"/>
      <c r="TD181" s="5"/>
      <c r="TE181" s="5"/>
      <c r="TF181" s="5"/>
      <c r="TG181" s="5"/>
      <c r="TH181" s="5"/>
      <c r="TI181" s="5"/>
      <c r="TJ181" s="5"/>
      <c r="TK181" s="5"/>
      <c r="TL181" s="5"/>
      <c r="TM181" s="5"/>
      <c r="TN181" s="5"/>
      <c r="TO181" s="5"/>
      <c r="TP181" s="5"/>
      <c r="TQ181" s="5"/>
      <c r="TR181" s="5"/>
      <c r="TS181" s="5"/>
      <c r="TT181" s="5"/>
      <c r="TU181" s="5"/>
      <c r="TV181" s="5"/>
      <c r="TW181" s="5"/>
      <c r="TX181" s="5"/>
      <c r="TY181" s="5"/>
      <c r="TZ181" s="5"/>
      <c r="UA181" s="5"/>
      <c r="UB181" s="5"/>
      <c r="UC181" s="5"/>
      <c r="UD181" s="5"/>
      <c r="UE181" s="5"/>
      <c r="UF181" s="5"/>
      <c r="UG181" s="5"/>
      <c r="UH181" s="5"/>
      <c r="UI181" s="5"/>
      <c r="UJ181" s="5"/>
      <c r="UK181" s="5"/>
      <c r="UL181" s="5"/>
      <c r="UM181" s="5"/>
      <c r="UN181" s="5"/>
      <c r="UO181" s="5"/>
      <c r="UP181" s="5"/>
      <c r="UQ181" s="5"/>
      <c r="UR181" s="5"/>
      <c r="US181" s="5"/>
      <c r="UT181" s="5"/>
      <c r="UU181" s="5"/>
      <c r="UV181" s="5"/>
      <c r="UW181" s="5"/>
      <c r="UX181" s="5"/>
      <c r="UY181" s="5"/>
      <c r="UZ181" s="5"/>
      <c r="VA181" s="5"/>
      <c r="VB181" s="5"/>
      <c r="VC181" s="5"/>
      <c r="VD181" s="5"/>
      <c r="VE181" s="5"/>
      <c r="VF181" s="5"/>
      <c r="VG181" s="5"/>
      <c r="VH181" s="5"/>
      <c r="VI181" s="5"/>
      <c r="VJ181" s="5"/>
      <c r="VK181" s="5"/>
      <c r="VL181" s="5"/>
      <c r="VM181" s="5"/>
      <c r="VN181" s="5"/>
      <c r="VO181" s="5"/>
      <c r="VP181" s="5"/>
      <c r="VQ181" s="5"/>
      <c r="VR181" s="5"/>
      <c r="VS181" s="5"/>
      <c r="VT181" s="5"/>
      <c r="VU181" s="5"/>
      <c r="VV181" s="5"/>
      <c r="VW181" s="5"/>
      <c r="VX181" s="5"/>
      <c r="VY181" s="5"/>
      <c r="VZ181" s="5"/>
      <c r="WA181" s="5"/>
      <c r="WB181" s="5"/>
      <c r="WC181" s="5"/>
      <c r="WD181" s="5"/>
      <c r="WE181" s="5"/>
      <c r="WF181" s="5"/>
      <c r="WG181" s="5"/>
      <c r="WH181" s="5"/>
      <c r="WI181" s="5"/>
      <c r="WJ181" s="5"/>
      <c r="WK181" s="5"/>
      <c r="WL181" s="5"/>
      <c r="WM181" s="5"/>
      <c r="WN181" s="5"/>
      <c r="WO181" s="5"/>
      <c r="WP181" s="5"/>
      <c r="WQ181" s="5"/>
      <c r="WR181" s="5"/>
      <c r="WS181" s="5"/>
      <c r="WT181" s="5"/>
      <c r="WU181" s="5"/>
      <c r="WV181" s="5"/>
      <c r="WW181" s="5"/>
      <c r="WX181" s="5"/>
      <c r="WY181" s="5"/>
      <c r="WZ181" s="5"/>
      <c r="XA181" s="5"/>
      <c r="XB181" s="5"/>
      <c r="XC181" s="5"/>
      <c r="XD181" s="5"/>
      <c r="XE181" s="5"/>
      <c r="XF181" s="5"/>
      <c r="XG181" s="5"/>
      <c r="XH181" s="5"/>
      <c r="XI181" s="5"/>
      <c r="XJ181" s="5"/>
      <c r="XK181" s="5"/>
      <c r="XL181" s="5"/>
      <c r="XM181" s="5"/>
      <c r="XN181" s="5"/>
      <c r="XO181" s="5"/>
      <c r="XP181" s="5"/>
      <c r="XQ181" s="5"/>
      <c r="XR181" s="5"/>
      <c r="XS181" s="5"/>
      <c r="XT181" s="5"/>
      <c r="XU181" s="5"/>
      <c r="XV181" s="5"/>
      <c r="XW181" s="5"/>
      <c r="XX181" s="5"/>
      <c r="XY181" s="5"/>
      <c r="XZ181" s="5"/>
      <c r="YA181" s="5"/>
      <c r="YB181" s="5"/>
      <c r="YC181" s="5"/>
      <c r="YD181" s="5"/>
      <c r="YE181" s="5"/>
      <c r="YF181" s="5"/>
      <c r="YG181" s="5"/>
      <c r="YH181" s="5"/>
      <c r="YI181" s="5"/>
      <c r="YJ181" s="5"/>
      <c r="YK181" s="5"/>
      <c r="YL181" s="5"/>
      <c r="YM181" s="5"/>
      <c r="YN181" s="5"/>
      <c r="YO181" s="5"/>
      <c r="YP181" s="5"/>
      <c r="YQ181" s="5"/>
      <c r="YR181" s="5"/>
      <c r="YS181" s="5"/>
      <c r="YT181" s="5"/>
      <c r="YU181" s="5"/>
      <c r="YV181" s="5"/>
      <c r="YW181" s="5"/>
      <c r="YX181" s="5"/>
      <c r="YY181" s="5"/>
      <c r="YZ181" s="5"/>
    </row>
    <row r="182" spans="1:676">
      <c r="A182" s="7">
        <v>172</v>
      </c>
      <c r="B182" s="7" t="s">
        <v>431</v>
      </c>
      <c r="C182" s="10" t="s">
        <v>432</v>
      </c>
      <c r="D182" s="7" t="s">
        <v>93</v>
      </c>
      <c r="E182" s="7" t="s">
        <v>279</v>
      </c>
      <c r="F182" s="7" t="s">
        <v>394</v>
      </c>
      <c r="G182" s="7"/>
      <c r="H182" s="7" t="s">
        <v>52</v>
      </c>
      <c r="I182" s="11">
        <v>2</v>
      </c>
      <c r="J182" s="11">
        <v>3</v>
      </c>
      <c r="K182" s="11">
        <v>0</v>
      </c>
      <c r="L182" s="11">
        <v>0</v>
      </c>
      <c r="M182" s="11">
        <v>0.42</v>
      </c>
      <c r="N182" s="11">
        <v>0</v>
      </c>
      <c r="O182" s="11">
        <v>0</v>
      </c>
      <c r="P182" s="11">
        <v>0</v>
      </c>
      <c r="Q182" s="11">
        <v>0.42</v>
      </c>
      <c r="R182" s="11">
        <v>2.94</v>
      </c>
      <c r="S182" s="11">
        <v>3.36</v>
      </c>
      <c r="T182" s="11">
        <v>2</v>
      </c>
      <c r="U182" s="11">
        <v>1.36</v>
      </c>
      <c r="V182" s="11">
        <v>0</v>
      </c>
      <c r="W182" s="13">
        <v>14</v>
      </c>
      <c r="X182" s="13">
        <v>21</v>
      </c>
      <c r="Y182" s="13" t="str">
        <f>MIN(W182,S182)</f>
        <v>0</v>
      </c>
      <c r="Z182" s="13" t="str">
        <f>MIN(X182,(S182-Y182))</f>
        <v>0</v>
      </c>
      <c r="AA182" s="13" t="str">
        <f>S182-SUM(Y182,Z182)</f>
        <v>0</v>
      </c>
      <c r="AB182" s="15"/>
      <c r="AC182" s="15"/>
      <c r="AD182" s="1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5"/>
      <c r="QJ182" s="5"/>
      <c r="QK182" s="5"/>
      <c r="QL182" s="5"/>
      <c r="QM182" s="5"/>
      <c r="QN182" s="5"/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5"/>
      <c r="RL182" s="5"/>
      <c r="RM182" s="5"/>
      <c r="RN182" s="5"/>
      <c r="RO182" s="5"/>
      <c r="RP182" s="5"/>
      <c r="RQ182" s="5"/>
      <c r="RR182" s="5"/>
      <c r="RS182" s="5"/>
      <c r="RT182" s="5"/>
      <c r="RU182" s="5"/>
      <c r="RV182" s="5"/>
      <c r="RW182" s="5"/>
      <c r="RX182" s="5"/>
      <c r="RY182" s="5"/>
      <c r="RZ182" s="5"/>
      <c r="SA182" s="5"/>
      <c r="SB182" s="5"/>
      <c r="SC182" s="5"/>
      <c r="SD182" s="5"/>
      <c r="SE182" s="5"/>
      <c r="SF182" s="5"/>
      <c r="SG182" s="5"/>
      <c r="SH182" s="5"/>
      <c r="SI182" s="5"/>
      <c r="SJ182" s="5"/>
      <c r="SK182" s="5"/>
      <c r="SL182" s="5"/>
      <c r="SM182" s="5"/>
      <c r="SN182" s="5"/>
      <c r="SO182" s="5"/>
      <c r="SP182" s="5"/>
      <c r="SQ182" s="5"/>
      <c r="SR182" s="5"/>
      <c r="SS182" s="5"/>
      <c r="ST182" s="5"/>
      <c r="SU182" s="5"/>
      <c r="SV182" s="5"/>
      <c r="SW182" s="5"/>
      <c r="SX182" s="5"/>
      <c r="SY182" s="5"/>
      <c r="SZ182" s="5"/>
      <c r="TA182" s="5"/>
      <c r="TB182" s="5"/>
      <c r="TC182" s="5"/>
      <c r="TD182" s="5"/>
      <c r="TE182" s="5"/>
      <c r="TF182" s="5"/>
      <c r="TG182" s="5"/>
      <c r="TH182" s="5"/>
      <c r="TI182" s="5"/>
      <c r="TJ182" s="5"/>
      <c r="TK182" s="5"/>
      <c r="TL182" s="5"/>
      <c r="TM182" s="5"/>
      <c r="TN182" s="5"/>
      <c r="TO182" s="5"/>
      <c r="TP182" s="5"/>
      <c r="TQ182" s="5"/>
      <c r="TR182" s="5"/>
      <c r="TS182" s="5"/>
      <c r="TT182" s="5"/>
      <c r="TU182" s="5"/>
      <c r="TV182" s="5"/>
      <c r="TW182" s="5"/>
      <c r="TX182" s="5"/>
      <c r="TY182" s="5"/>
      <c r="TZ182" s="5"/>
      <c r="UA182" s="5"/>
      <c r="UB182" s="5"/>
      <c r="UC182" s="5"/>
      <c r="UD182" s="5"/>
      <c r="UE182" s="5"/>
      <c r="UF182" s="5"/>
      <c r="UG182" s="5"/>
      <c r="UH182" s="5"/>
      <c r="UI182" s="5"/>
      <c r="UJ182" s="5"/>
      <c r="UK182" s="5"/>
      <c r="UL182" s="5"/>
      <c r="UM182" s="5"/>
      <c r="UN182" s="5"/>
      <c r="UO182" s="5"/>
      <c r="UP182" s="5"/>
      <c r="UQ182" s="5"/>
      <c r="UR182" s="5"/>
      <c r="US182" s="5"/>
      <c r="UT182" s="5"/>
      <c r="UU182" s="5"/>
      <c r="UV182" s="5"/>
      <c r="UW182" s="5"/>
      <c r="UX182" s="5"/>
      <c r="UY182" s="5"/>
      <c r="UZ182" s="5"/>
      <c r="VA182" s="5"/>
      <c r="VB182" s="5"/>
      <c r="VC182" s="5"/>
      <c r="VD182" s="5"/>
      <c r="VE182" s="5"/>
      <c r="VF182" s="5"/>
      <c r="VG182" s="5"/>
      <c r="VH182" s="5"/>
      <c r="VI182" s="5"/>
      <c r="VJ182" s="5"/>
      <c r="VK182" s="5"/>
      <c r="VL182" s="5"/>
      <c r="VM182" s="5"/>
      <c r="VN182" s="5"/>
      <c r="VO182" s="5"/>
      <c r="VP182" s="5"/>
      <c r="VQ182" s="5"/>
      <c r="VR182" s="5"/>
      <c r="VS182" s="5"/>
      <c r="VT182" s="5"/>
      <c r="VU182" s="5"/>
      <c r="VV182" s="5"/>
      <c r="VW182" s="5"/>
      <c r="VX182" s="5"/>
      <c r="VY182" s="5"/>
      <c r="VZ182" s="5"/>
      <c r="WA182" s="5"/>
      <c r="WB182" s="5"/>
      <c r="WC182" s="5"/>
      <c r="WD182" s="5"/>
      <c r="WE182" s="5"/>
      <c r="WF182" s="5"/>
      <c r="WG182" s="5"/>
      <c r="WH182" s="5"/>
      <c r="WI182" s="5"/>
      <c r="WJ182" s="5"/>
      <c r="WK182" s="5"/>
      <c r="WL182" s="5"/>
      <c r="WM182" s="5"/>
      <c r="WN182" s="5"/>
      <c r="WO182" s="5"/>
      <c r="WP182" s="5"/>
      <c r="WQ182" s="5"/>
      <c r="WR182" s="5"/>
      <c r="WS182" s="5"/>
      <c r="WT182" s="5"/>
      <c r="WU182" s="5"/>
      <c r="WV182" s="5"/>
      <c r="WW182" s="5"/>
      <c r="WX182" s="5"/>
      <c r="WY182" s="5"/>
      <c r="WZ182" s="5"/>
      <c r="XA182" s="5"/>
      <c r="XB182" s="5"/>
      <c r="XC182" s="5"/>
      <c r="XD182" s="5"/>
      <c r="XE182" s="5"/>
      <c r="XF182" s="5"/>
      <c r="XG182" s="5"/>
      <c r="XH182" s="5"/>
      <c r="XI182" s="5"/>
      <c r="XJ182" s="5"/>
      <c r="XK182" s="5"/>
      <c r="XL182" s="5"/>
      <c r="XM182" s="5"/>
      <c r="XN182" s="5"/>
      <c r="XO182" s="5"/>
      <c r="XP182" s="5"/>
      <c r="XQ182" s="5"/>
      <c r="XR182" s="5"/>
      <c r="XS182" s="5"/>
      <c r="XT182" s="5"/>
      <c r="XU182" s="5"/>
      <c r="XV182" s="5"/>
      <c r="XW182" s="5"/>
      <c r="XX182" s="5"/>
      <c r="XY182" s="5"/>
      <c r="XZ182" s="5"/>
      <c r="YA182" s="5"/>
      <c r="YB182" s="5"/>
      <c r="YC182" s="5"/>
      <c r="YD182" s="5"/>
      <c r="YE182" s="5"/>
      <c r="YF182" s="5"/>
      <c r="YG182" s="5"/>
      <c r="YH182" s="5"/>
      <c r="YI182" s="5"/>
      <c r="YJ182" s="5"/>
      <c r="YK182" s="5"/>
      <c r="YL182" s="5"/>
      <c r="YM182" s="5"/>
      <c r="YN182" s="5"/>
      <c r="YO182" s="5"/>
      <c r="YP182" s="5"/>
      <c r="YQ182" s="5"/>
      <c r="YR182" s="5"/>
      <c r="YS182" s="5"/>
      <c r="YT182" s="5"/>
      <c r="YU182" s="5"/>
      <c r="YV182" s="5"/>
      <c r="YW182" s="5"/>
      <c r="YX182" s="5"/>
      <c r="YY182" s="5"/>
      <c r="YZ182" s="5"/>
    </row>
    <row r="183" spans="1:676">
      <c r="A183" s="7">
        <v>173</v>
      </c>
      <c r="B183" s="7" t="s">
        <v>433</v>
      </c>
      <c r="C183" s="10" t="s">
        <v>434</v>
      </c>
      <c r="D183" s="7" t="s">
        <v>217</v>
      </c>
      <c r="E183" s="7" t="s">
        <v>279</v>
      </c>
      <c r="F183" s="7" t="s">
        <v>394</v>
      </c>
      <c r="G183" s="7"/>
      <c r="H183" s="7" t="s">
        <v>52</v>
      </c>
      <c r="I183" s="11">
        <v>2</v>
      </c>
      <c r="J183" s="11">
        <v>3</v>
      </c>
      <c r="K183" s="11">
        <v>0</v>
      </c>
      <c r="L183" s="11">
        <v>2.73</v>
      </c>
      <c r="M183" s="11">
        <v>0.8300000000000001</v>
      </c>
      <c r="N183" s="11">
        <v>0</v>
      </c>
      <c r="O183" s="11">
        <v>0.54</v>
      </c>
      <c r="P183" s="11">
        <v>0</v>
      </c>
      <c r="Q183" s="11">
        <v>4.1</v>
      </c>
      <c r="R183" s="11">
        <v>29.69</v>
      </c>
      <c r="S183" s="11">
        <v>33.79000000000001</v>
      </c>
      <c r="T183" s="11">
        <v>2</v>
      </c>
      <c r="U183" s="11">
        <v>3</v>
      </c>
      <c r="V183" s="11">
        <v>28.79000000000001</v>
      </c>
      <c r="W183" s="13">
        <v>14</v>
      </c>
      <c r="X183" s="13">
        <v>21</v>
      </c>
      <c r="Y183" s="13" t="str">
        <f>MIN(W183,S183)</f>
        <v>0</v>
      </c>
      <c r="Z183" s="13" t="str">
        <f>MIN(X183,(S183-Y183))</f>
        <v>0</v>
      </c>
      <c r="AA183" s="13" t="str">
        <f>S183-SUM(Y183,Z183)</f>
        <v>0</v>
      </c>
      <c r="AB183" s="15"/>
      <c r="AC183" s="15"/>
      <c r="AD183" s="1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5"/>
      <c r="QJ183" s="5"/>
      <c r="QK183" s="5"/>
      <c r="QL183" s="5"/>
      <c r="QM183" s="5"/>
      <c r="QN183" s="5"/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5"/>
      <c r="RL183" s="5"/>
      <c r="RM183" s="5"/>
      <c r="RN183" s="5"/>
      <c r="RO183" s="5"/>
      <c r="RP183" s="5"/>
      <c r="RQ183" s="5"/>
      <c r="RR183" s="5"/>
      <c r="RS183" s="5"/>
      <c r="RT183" s="5"/>
      <c r="RU183" s="5"/>
      <c r="RV183" s="5"/>
      <c r="RW183" s="5"/>
      <c r="RX183" s="5"/>
      <c r="RY183" s="5"/>
      <c r="RZ183" s="5"/>
      <c r="SA183" s="5"/>
      <c r="SB183" s="5"/>
      <c r="SC183" s="5"/>
      <c r="SD183" s="5"/>
      <c r="SE183" s="5"/>
      <c r="SF183" s="5"/>
      <c r="SG183" s="5"/>
      <c r="SH183" s="5"/>
      <c r="SI183" s="5"/>
      <c r="SJ183" s="5"/>
      <c r="SK183" s="5"/>
      <c r="SL183" s="5"/>
      <c r="SM183" s="5"/>
      <c r="SN183" s="5"/>
      <c r="SO183" s="5"/>
      <c r="SP183" s="5"/>
      <c r="SQ183" s="5"/>
      <c r="SR183" s="5"/>
      <c r="SS183" s="5"/>
      <c r="ST183" s="5"/>
      <c r="SU183" s="5"/>
      <c r="SV183" s="5"/>
      <c r="SW183" s="5"/>
      <c r="SX183" s="5"/>
      <c r="SY183" s="5"/>
      <c r="SZ183" s="5"/>
      <c r="TA183" s="5"/>
      <c r="TB183" s="5"/>
      <c r="TC183" s="5"/>
      <c r="TD183" s="5"/>
      <c r="TE183" s="5"/>
      <c r="TF183" s="5"/>
      <c r="TG183" s="5"/>
      <c r="TH183" s="5"/>
      <c r="TI183" s="5"/>
      <c r="TJ183" s="5"/>
      <c r="TK183" s="5"/>
      <c r="TL183" s="5"/>
      <c r="TM183" s="5"/>
      <c r="TN183" s="5"/>
      <c r="TO183" s="5"/>
      <c r="TP183" s="5"/>
      <c r="TQ183" s="5"/>
      <c r="TR183" s="5"/>
      <c r="TS183" s="5"/>
      <c r="TT183" s="5"/>
      <c r="TU183" s="5"/>
      <c r="TV183" s="5"/>
      <c r="TW183" s="5"/>
      <c r="TX183" s="5"/>
      <c r="TY183" s="5"/>
      <c r="TZ183" s="5"/>
      <c r="UA183" s="5"/>
      <c r="UB183" s="5"/>
      <c r="UC183" s="5"/>
      <c r="UD183" s="5"/>
      <c r="UE183" s="5"/>
      <c r="UF183" s="5"/>
      <c r="UG183" s="5"/>
      <c r="UH183" s="5"/>
      <c r="UI183" s="5"/>
      <c r="UJ183" s="5"/>
      <c r="UK183" s="5"/>
      <c r="UL183" s="5"/>
      <c r="UM183" s="5"/>
      <c r="UN183" s="5"/>
      <c r="UO183" s="5"/>
      <c r="UP183" s="5"/>
      <c r="UQ183" s="5"/>
      <c r="UR183" s="5"/>
      <c r="US183" s="5"/>
      <c r="UT183" s="5"/>
      <c r="UU183" s="5"/>
      <c r="UV183" s="5"/>
      <c r="UW183" s="5"/>
      <c r="UX183" s="5"/>
      <c r="UY183" s="5"/>
      <c r="UZ183" s="5"/>
      <c r="VA183" s="5"/>
      <c r="VB183" s="5"/>
      <c r="VC183" s="5"/>
      <c r="VD183" s="5"/>
      <c r="VE183" s="5"/>
      <c r="VF183" s="5"/>
      <c r="VG183" s="5"/>
      <c r="VH183" s="5"/>
      <c r="VI183" s="5"/>
      <c r="VJ183" s="5"/>
      <c r="VK183" s="5"/>
      <c r="VL183" s="5"/>
      <c r="VM183" s="5"/>
      <c r="VN183" s="5"/>
      <c r="VO183" s="5"/>
      <c r="VP183" s="5"/>
      <c r="VQ183" s="5"/>
      <c r="VR183" s="5"/>
      <c r="VS183" s="5"/>
      <c r="VT183" s="5"/>
      <c r="VU183" s="5"/>
      <c r="VV183" s="5"/>
      <c r="VW183" s="5"/>
      <c r="VX183" s="5"/>
      <c r="VY183" s="5"/>
      <c r="VZ183" s="5"/>
      <c r="WA183" s="5"/>
      <c r="WB183" s="5"/>
      <c r="WC183" s="5"/>
      <c r="WD183" s="5"/>
      <c r="WE183" s="5"/>
      <c r="WF183" s="5"/>
      <c r="WG183" s="5"/>
      <c r="WH183" s="5"/>
      <c r="WI183" s="5"/>
      <c r="WJ183" s="5"/>
      <c r="WK183" s="5"/>
      <c r="WL183" s="5"/>
      <c r="WM183" s="5"/>
      <c r="WN183" s="5"/>
      <c r="WO183" s="5"/>
      <c r="WP183" s="5"/>
      <c r="WQ183" s="5"/>
      <c r="WR183" s="5"/>
      <c r="WS183" s="5"/>
      <c r="WT183" s="5"/>
      <c r="WU183" s="5"/>
      <c r="WV183" s="5"/>
      <c r="WW183" s="5"/>
      <c r="WX183" s="5"/>
      <c r="WY183" s="5"/>
      <c r="WZ183" s="5"/>
      <c r="XA183" s="5"/>
      <c r="XB183" s="5"/>
      <c r="XC183" s="5"/>
      <c r="XD183" s="5"/>
      <c r="XE183" s="5"/>
      <c r="XF183" s="5"/>
      <c r="XG183" s="5"/>
      <c r="XH183" s="5"/>
      <c r="XI183" s="5"/>
      <c r="XJ183" s="5"/>
      <c r="XK183" s="5"/>
      <c r="XL183" s="5"/>
      <c r="XM183" s="5"/>
      <c r="XN183" s="5"/>
      <c r="XO183" s="5"/>
      <c r="XP183" s="5"/>
      <c r="XQ183" s="5"/>
      <c r="XR183" s="5"/>
      <c r="XS183" s="5"/>
      <c r="XT183" s="5"/>
      <c r="XU183" s="5"/>
      <c r="XV183" s="5"/>
      <c r="XW183" s="5"/>
      <c r="XX183" s="5"/>
      <c r="XY183" s="5"/>
      <c r="XZ183" s="5"/>
      <c r="YA183" s="5"/>
      <c r="YB183" s="5"/>
      <c r="YC183" s="5"/>
      <c r="YD183" s="5"/>
      <c r="YE183" s="5"/>
      <c r="YF183" s="5"/>
      <c r="YG183" s="5"/>
      <c r="YH183" s="5"/>
      <c r="YI183" s="5"/>
      <c r="YJ183" s="5"/>
      <c r="YK183" s="5"/>
      <c r="YL183" s="5"/>
      <c r="YM183" s="5"/>
      <c r="YN183" s="5"/>
      <c r="YO183" s="5"/>
      <c r="YP183" s="5"/>
      <c r="YQ183" s="5"/>
      <c r="YR183" s="5"/>
      <c r="YS183" s="5"/>
      <c r="YT183" s="5"/>
      <c r="YU183" s="5"/>
      <c r="YV183" s="5"/>
      <c r="YW183" s="5"/>
      <c r="YX183" s="5"/>
      <c r="YY183" s="5"/>
      <c r="YZ183" s="5"/>
    </row>
    <row r="184" spans="1:676">
      <c r="A184" s="7">
        <v>174</v>
      </c>
      <c r="B184" s="7" t="s">
        <v>435</v>
      </c>
      <c r="C184" s="10" t="s">
        <v>436</v>
      </c>
      <c r="D184" s="7" t="s">
        <v>296</v>
      </c>
      <c r="E184" s="7" t="s">
        <v>381</v>
      </c>
      <c r="F184" s="7" t="s">
        <v>386</v>
      </c>
      <c r="G184" s="7"/>
      <c r="H184" s="7" t="s">
        <v>52</v>
      </c>
      <c r="I184" s="11">
        <v>2</v>
      </c>
      <c r="J184" s="11">
        <v>3</v>
      </c>
      <c r="K184" s="11">
        <v>0</v>
      </c>
      <c r="L184" s="11">
        <v>0.33</v>
      </c>
      <c r="M184" s="11">
        <v>0.33</v>
      </c>
      <c r="N184" s="11">
        <v>0</v>
      </c>
      <c r="O184" s="11">
        <v>0</v>
      </c>
      <c r="P184" s="11">
        <v>0</v>
      </c>
      <c r="Q184" s="11">
        <v>0.66</v>
      </c>
      <c r="R184" s="11">
        <v>18.79</v>
      </c>
      <c r="S184" s="11">
        <v>19.45</v>
      </c>
      <c r="T184" s="11">
        <v>2</v>
      </c>
      <c r="U184" s="11">
        <v>3</v>
      </c>
      <c r="V184" s="11">
        <v>14.45</v>
      </c>
      <c r="W184" s="13">
        <v>14</v>
      </c>
      <c r="X184" s="13">
        <v>21</v>
      </c>
      <c r="Y184" s="13" t="str">
        <f>MIN(W184,S184)</f>
        <v>0</v>
      </c>
      <c r="Z184" s="13" t="str">
        <f>MIN(X184,(S184-Y184))</f>
        <v>0</v>
      </c>
      <c r="AA184" s="13" t="str">
        <f>S184-SUM(Y184,Z184)</f>
        <v>0</v>
      </c>
      <c r="AB184" s="15"/>
      <c r="AC184" s="15"/>
      <c r="AD184" s="1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  <c r="PX184" s="5"/>
      <c r="PY184" s="5"/>
      <c r="PZ184" s="5"/>
      <c r="QA184" s="5"/>
      <c r="QB184" s="5"/>
      <c r="QC184" s="5"/>
      <c r="QD184" s="5"/>
      <c r="QE184" s="5"/>
      <c r="QF184" s="5"/>
      <c r="QG184" s="5"/>
      <c r="QH184" s="5"/>
      <c r="QI184" s="5"/>
      <c r="QJ184" s="5"/>
      <c r="QK184" s="5"/>
      <c r="QL184" s="5"/>
      <c r="QM184" s="5"/>
      <c r="QN184" s="5"/>
      <c r="QO184" s="5"/>
      <c r="QP184" s="5"/>
      <c r="QQ184" s="5"/>
      <c r="QR184" s="5"/>
      <c r="QS184" s="5"/>
      <c r="QT184" s="5"/>
      <c r="QU184" s="5"/>
      <c r="QV184" s="5"/>
      <c r="QW184" s="5"/>
      <c r="QX184" s="5"/>
      <c r="QY184" s="5"/>
      <c r="QZ184" s="5"/>
      <c r="RA184" s="5"/>
      <c r="RB184" s="5"/>
      <c r="RC184" s="5"/>
      <c r="RD184" s="5"/>
      <c r="RE184" s="5"/>
      <c r="RF184" s="5"/>
      <c r="RG184" s="5"/>
      <c r="RH184" s="5"/>
      <c r="RI184" s="5"/>
      <c r="RJ184" s="5"/>
      <c r="RK184" s="5"/>
      <c r="RL184" s="5"/>
      <c r="RM184" s="5"/>
      <c r="RN184" s="5"/>
      <c r="RO184" s="5"/>
      <c r="RP184" s="5"/>
      <c r="RQ184" s="5"/>
      <c r="RR184" s="5"/>
      <c r="RS184" s="5"/>
      <c r="RT184" s="5"/>
      <c r="RU184" s="5"/>
      <c r="RV184" s="5"/>
      <c r="RW184" s="5"/>
      <c r="RX184" s="5"/>
      <c r="RY184" s="5"/>
      <c r="RZ184" s="5"/>
      <c r="SA184" s="5"/>
      <c r="SB184" s="5"/>
      <c r="SC184" s="5"/>
      <c r="SD184" s="5"/>
      <c r="SE184" s="5"/>
      <c r="SF184" s="5"/>
      <c r="SG184" s="5"/>
      <c r="SH184" s="5"/>
      <c r="SI184" s="5"/>
      <c r="SJ184" s="5"/>
      <c r="SK184" s="5"/>
      <c r="SL184" s="5"/>
      <c r="SM184" s="5"/>
      <c r="SN184" s="5"/>
      <c r="SO184" s="5"/>
      <c r="SP184" s="5"/>
      <c r="SQ184" s="5"/>
      <c r="SR184" s="5"/>
      <c r="SS184" s="5"/>
      <c r="ST184" s="5"/>
      <c r="SU184" s="5"/>
      <c r="SV184" s="5"/>
      <c r="SW184" s="5"/>
      <c r="SX184" s="5"/>
      <c r="SY184" s="5"/>
      <c r="SZ184" s="5"/>
      <c r="TA184" s="5"/>
      <c r="TB184" s="5"/>
      <c r="TC184" s="5"/>
      <c r="TD184" s="5"/>
      <c r="TE184" s="5"/>
      <c r="TF184" s="5"/>
      <c r="TG184" s="5"/>
      <c r="TH184" s="5"/>
      <c r="TI184" s="5"/>
      <c r="TJ184" s="5"/>
      <c r="TK184" s="5"/>
      <c r="TL184" s="5"/>
      <c r="TM184" s="5"/>
      <c r="TN184" s="5"/>
      <c r="TO184" s="5"/>
      <c r="TP184" s="5"/>
      <c r="TQ184" s="5"/>
      <c r="TR184" s="5"/>
      <c r="TS184" s="5"/>
      <c r="TT184" s="5"/>
      <c r="TU184" s="5"/>
      <c r="TV184" s="5"/>
      <c r="TW184" s="5"/>
      <c r="TX184" s="5"/>
      <c r="TY184" s="5"/>
      <c r="TZ184" s="5"/>
      <c r="UA184" s="5"/>
      <c r="UB184" s="5"/>
      <c r="UC184" s="5"/>
      <c r="UD184" s="5"/>
      <c r="UE184" s="5"/>
      <c r="UF184" s="5"/>
      <c r="UG184" s="5"/>
      <c r="UH184" s="5"/>
      <c r="UI184" s="5"/>
      <c r="UJ184" s="5"/>
      <c r="UK184" s="5"/>
      <c r="UL184" s="5"/>
      <c r="UM184" s="5"/>
      <c r="UN184" s="5"/>
      <c r="UO184" s="5"/>
      <c r="UP184" s="5"/>
      <c r="UQ184" s="5"/>
      <c r="UR184" s="5"/>
      <c r="US184" s="5"/>
      <c r="UT184" s="5"/>
      <c r="UU184" s="5"/>
      <c r="UV184" s="5"/>
      <c r="UW184" s="5"/>
      <c r="UX184" s="5"/>
      <c r="UY184" s="5"/>
      <c r="UZ184" s="5"/>
      <c r="VA184" s="5"/>
      <c r="VB184" s="5"/>
      <c r="VC184" s="5"/>
      <c r="VD184" s="5"/>
      <c r="VE184" s="5"/>
      <c r="VF184" s="5"/>
      <c r="VG184" s="5"/>
      <c r="VH184" s="5"/>
      <c r="VI184" s="5"/>
      <c r="VJ184" s="5"/>
      <c r="VK184" s="5"/>
      <c r="VL184" s="5"/>
      <c r="VM184" s="5"/>
      <c r="VN184" s="5"/>
      <c r="VO184" s="5"/>
      <c r="VP184" s="5"/>
      <c r="VQ184" s="5"/>
      <c r="VR184" s="5"/>
      <c r="VS184" s="5"/>
      <c r="VT184" s="5"/>
      <c r="VU184" s="5"/>
      <c r="VV184" s="5"/>
      <c r="VW184" s="5"/>
      <c r="VX184" s="5"/>
      <c r="VY184" s="5"/>
      <c r="VZ184" s="5"/>
      <c r="WA184" s="5"/>
      <c r="WB184" s="5"/>
      <c r="WC184" s="5"/>
      <c r="WD184" s="5"/>
      <c r="WE184" s="5"/>
      <c r="WF184" s="5"/>
      <c r="WG184" s="5"/>
      <c r="WH184" s="5"/>
      <c r="WI184" s="5"/>
      <c r="WJ184" s="5"/>
      <c r="WK184" s="5"/>
      <c r="WL184" s="5"/>
      <c r="WM184" s="5"/>
      <c r="WN184" s="5"/>
      <c r="WO184" s="5"/>
      <c r="WP184" s="5"/>
      <c r="WQ184" s="5"/>
      <c r="WR184" s="5"/>
      <c r="WS184" s="5"/>
      <c r="WT184" s="5"/>
      <c r="WU184" s="5"/>
      <c r="WV184" s="5"/>
      <c r="WW184" s="5"/>
      <c r="WX184" s="5"/>
      <c r="WY184" s="5"/>
      <c r="WZ184" s="5"/>
      <c r="XA184" s="5"/>
      <c r="XB184" s="5"/>
      <c r="XC184" s="5"/>
      <c r="XD184" s="5"/>
      <c r="XE184" s="5"/>
      <c r="XF184" s="5"/>
      <c r="XG184" s="5"/>
      <c r="XH184" s="5"/>
      <c r="XI184" s="5"/>
      <c r="XJ184" s="5"/>
      <c r="XK184" s="5"/>
      <c r="XL184" s="5"/>
      <c r="XM184" s="5"/>
      <c r="XN184" s="5"/>
      <c r="XO184" s="5"/>
      <c r="XP184" s="5"/>
      <c r="XQ184" s="5"/>
      <c r="XR184" s="5"/>
      <c r="XS184" s="5"/>
      <c r="XT184" s="5"/>
      <c r="XU184" s="5"/>
      <c r="XV184" s="5"/>
      <c r="XW184" s="5"/>
      <c r="XX184" s="5"/>
      <c r="XY184" s="5"/>
      <c r="XZ184" s="5"/>
      <c r="YA184" s="5"/>
      <c r="YB184" s="5"/>
      <c r="YC184" s="5"/>
      <c r="YD184" s="5"/>
      <c r="YE184" s="5"/>
      <c r="YF184" s="5"/>
      <c r="YG184" s="5"/>
      <c r="YH184" s="5"/>
      <c r="YI184" s="5"/>
      <c r="YJ184" s="5"/>
      <c r="YK184" s="5"/>
      <c r="YL184" s="5"/>
      <c r="YM184" s="5"/>
      <c r="YN184" s="5"/>
      <c r="YO184" s="5"/>
      <c r="YP184" s="5"/>
      <c r="YQ184" s="5"/>
      <c r="YR184" s="5"/>
      <c r="YS184" s="5"/>
      <c r="YT184" s="5"/>
      <c r="YU184" s="5"/>
      <c r="YV184" s="5"/>
      <c r="YW184" s="5"/>
      <c r="YX184" s="5"/>
      <c r="YY184" s="5"/>
      <c r="YZ184" s="5"/>
    </row>
    <row r="185" spans="1:676">
      <c r="A185" s="7">
        <v>175</v>
      </c>
      <c r="B185" s="7" t="s">
        <v>437</v>
      </c>
      <c r="C185" s="10" t="s">
        <v>438</v>
      </c>
      <c r="D185" s="7" t="s">
        <v>407</v>
      </c>
      <c r="E185" s="7" t="s">
        <v>381</v>
      </c>
      <c r="F185" s="7" t="s">
        <v>394</v>
      </c>
      <c r="G185" s="7"/>
      <c r="H185" s="7" t="s">
        <v>52</v>
      </c>
      <c r="I185" s="11">
        <v>2</v>
      </c>
      <c r="J185" s="11">
        <v>3</v>
      </c>
      <c r="K185" s="11">
        <v>0</v>
      </c>
      <c r="L185" s="11">
        <v>2.9</v>
      </c>
      <c r="M185" s="11">
        <v>0.82</v>
      </c>
      <c r="N185" s="11">
        <v>0</v>
      </c>
      <c r="O185" s="11">
        <v>0</v>
      </c>
      <c r="P185" s="11">
        <v>0</v>
      </c>
      <c r="Q185" s="11">
        <v>3.72</v>
      </c>
      <c r="R185" s="11">
        <v>38.19999999999998</v>
      </c>
      <c r="S185" s="11">
        <v>41.91999999999998</v>
      </c>
      <c r="T185" s="11">
        <v>2</v>
      </c>
      <c r="U185" s="11">
        <v>3</v>
      </c>
      <c r="V185" s="11">
        <v>36.91999999999998</v>
      </c>
      <c r="W185" s="13">
        <v>14</v>
      </c>
      <c r="X185" s="13">
        <v>21</v>
      </c>
      <c r="Y185" s="13" t="str">
        <f>MIN(W185,S185)</f>
        <v>0</v>
      </c>
      <c r="Z185" s="13" t="str">
        <f>MIN(X185,(S185-Y185))</f>
        <v>0</v>
      </c>
      <c r="AA185" s="13" t="str">
        <f>S185-SUM(Y185,Z185)</f>
        <v>0</v>
      </c>
      <c r="AB185" s="15"/>
      <c r="AC185" s="15"/>
      <c r="AD185" s="1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5"/>
      <c r="QJ185" s="5"/>
      <c r="QK185" s="5"/>
      <c r="QL185" s="5"/>
      <c r="QM185" s="5"/>
      <c r="QN185" s="5"/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  <c r="SG185" s="5"/>
      <c r="SH185" s="5"/>
      <c r="SI185" s="5"/>
      <c r="SJ185" s="5"/>
      <c r="SK185" s="5"/>
      <c r="SL185" s="5"/>
      <c r="SM185" s="5"/>
      <c r="SN185" s="5"/>
      <c r="SO185" s="5"/>
      <c r="SP185" s="5"/>
      <c r="SQ185" s="5"/>
      <c r="SR185" s="5"/>
      <c r="SS185" s="5"/>
      <c r="ST185" s="5"/>
      <c r="SU185" s="5"/>
      <c r="SV185" s="5"/>
      <c r="SW185" s="5"/>
      <c r="SX185" s="5"/>
      <c r="SY185" s="5"/>
      <c r="SZ185" s="5"/>
      <c r="TA185" s="5"/>
      <c r="TB185" s="5"/>
      <c r="TC185" s="5"/>
      <c r="TD185" s="5"/>
      <c r="TE185" s="5"/>
      <c r="TF185" s="5"/>
      <c r="TG185" s="5"/>
      <c r="TH185" s="5"/>
      <c r="TI185" s="5"/>
      <c r="TJ185" s="5"/>
      <c r="TK185" s="5"/>
      <c r="TL185" s="5"/>
      <c r="TM185" s="5"/>
      <c r="TN185" s="5"/>
      <c r="TO185" s="5"/>
      <c r="TP185" s="5"/>
      <c r="TQ185" s="5"/>
      <c r="TR185" s="5"/>
      <c r="TS185" s="5"/>
      <c r="TT185" s="5"/>
      <c r="TU185" s="5"/>
      <c r="TV185" s="5"/>
      <c r="TW185" s="5"/>
      <c r="TX185" s="5"/>
      <c r="TY185" s="5"/>
      <c r="TZ185" s="5"/>
      <c r="UA185" s="5"/>
      <c r="UB185" s="5"/>
      <c r="UC185" s="5"/>
      <c r="UD185" s="5"/>
      <c r="UE185" s="5"/>
      <c r="UF185" s="5"/>
      <c r="UG185" s="5"/>
      <c r="UH185" s="5"/>
      <c r="UI185" s="5"/>
      <c r="UJ185" s="5"/>
      <c r="UK185" s="5"/>
      <c r="UL185" s="5"/>
      <c r="UM185" s="5"/>
      <c r="UN185" s="5"/>
      <c r="UO185" s="5"/>
      <c r="UP185" s="5"/>
      <c r="UQ185" s="5"/>
      <c r="UR185" s="5"/>
      <c r="US185" s="5"/>
      <c r="UT185" s="5"/>
      <c r="UU185" s="5"/>
      <c r="UV185" s="5"/>
      <c r="UW185" s="5"/>
      <c r="UX185" s="5"/>
      <c r="UY185" s="5"/>
      <c r="UZ185" s="5"/>
      <c r="VA185" s="5"/>
      <c r="VB185" s="5"/>
      <c r="VC185" s="5"/>
      <c r="VD185" s="5"/>
      <c r="VE185" s="5"/>
      <c r="VF185" s="5"/>
      <c r="VG185" s="5"/>
      <c r="VH185" s="5"/>
      <c r="VI185" s="5"/>
      <c r="VJ185" s="5"/>
      <c r="VK185" s="5"/>
      <c r="VL185" s="5"/>
      <c r="VM185" s="5"/>
      <c r="VN185" s="5"/>
      <c r="VO185" s="5"/>
      <c r="VP185" s="5"/>
      <c r="VQ185" s="5"/>
      <c r="VR185" s="5"/>
      <c r="VS185" s="5"/>
      <c r="VT185" s="5"/>
      <c r="VU185" s="5"/>
      <c r="VV185" s="5"/>
      <c r="VW185" s="5"/>
      <c r="VX185" s="5"/>
      <c r="VY185" s="5"/>
      <c r="VZ185" s="5"/>
      <c r="WA185" s="5"/>
      <c r="WB185" s="5"/>
      <c r="WC185" s="5"/>
      <c r="WD185" s="5"/>
      <c r="WE185" s="5"/>
      <c r="WF185" s="5"/>
      <c r="WG185" s="5"/>
      <c r="WH185" s="5"/>
      <c r="WI185" s="5"/>
      <c r="WJ185" s="5"/>
      <c r="WK185" s="5"/>
      <c r="WL185" s="5"/>
      <c r="WM185" s="5"/>
      <c r="WN185" s="5"/>
      <c r="WO185" s="5"/>
      <c r="WP185" s="5"/>
      <c r="WQ185" s="5"/>
      <c r="WR185" s="5"/>
      <c r="WS185" s="5"/>
      <c r="WT185" s="5"/>
      <c r="WU185" s="5"/>
      <c r="WV185" s="5"/>
      <c r="WW185" s="5"/>
      <c r="WX185" s="5"/>
      <c r="WY185" s="5"/>
      <c r="WZ185" s="5"/>
      <c r="XA185" s="5"/>
      <c r="XB185" s="5"/>
      <c r="XC185" s="5"/>
      <c r="XD185" s="5"/>
      <c r="XE185" s="5"/>
      <c r="XF185" s="5"/>
      <c r="XG185" s="5"/>
      <c r="XH185" s="5"/>
      <c r="XI185" s="5"/>
      <c r="XJ185" s="5"/>
      <c r="XK185" s="5"/>
      <c r="XL185" s="5"/>
      <c r="XM185" s="5"/>
      <c r="XN185" s="5"/>
      <c r="XO185" s="5"/>
      <c r="XP185" s="5"/>
      <c r="XQ185" s="5"/>
      <c r="XR185" s="5"/>
      <c r="XS185" s="5"/>
      <c r="XT185" s="5"/>
      <c r="XU185" s="5"/>
      <c r="XV185" s="5"/>
      <c r="XW185" s="5"/>
      <c r="XX185" s="5"/>
      <c r="XY185" s="5"/>
      <c r="XZ185" s="5"/>
      <c r="YA185" s="5"/>
      <c r="YB185" s="5"/>
      <c r="YC185" s="5"/>
      <c r="YD185" s="5"/>
      <c r="YE185" s="5"/>
      <c r="YF185" s="5"/>
      <c r="YG185" s="5"/>
      <c r="YH185" s="5"/>
      <c r="YI185" s="5"/>
      <c r="YJ185" s="5"/>
      <c r="YK185" s="5"/>
      <c r="YL185" s="5"/>
      <c r="YM185" s="5"/>
      <c r="YN185" s="5"/>
      <c r="YO185" s="5"/>
      <c r="YP185" s="5"/>
      <c r="YQ185" s="5"/>
      <c r="YR185" s="5"/>
      <c r="YS185" s="5"/>
      <c r="YT185" s="5"/>
      <c r="YU185" s="5"/>
      <c r="YV185" s="5"/>
      <c r="YW185" s="5"/>
      <c r="YX185" s="5"/>
      <c r="YY185" s="5"/>
      <c r="YZ185" s="5"/>
    </row>
    <row r="186" spans="1:676">
      <c r="A186" s="7">
        <v>176</v>
      </c>
      <c r="B186" s="7" t="s">
        <v>439</v>
      </c>
      <c r="C186" s="10" t="s">
        <v>440</v>
      </c>
      <c r="D186" s="7" t="s">
        <v>40</v>
      </c>
      <c r="E186" s="7" t="s">
        <v>279</v>
      </c>
      <c r="F186" s="7" t="s">
        <v>394</v>
      </c>
      <c r="G186" s="7"/>
      <c r="H186" s="7" t="s">
        <v>52</v>
      </c>
      <c r="I186" s="11">
        <v>2</v>
      </c>
      <c r="J186" s="11">
        <v>3</v>
      </c>
      <c r="K186" s="11">
        <v>0</v>
      </c>
      <c r="L186" s="11">
        <v>3.059999999999999</v>
      </c>
      <c r="M186" s="11">
        <v>0.34</v>
      </c>
      <c r="N186" s="11">
        <v>0</v>
      </c>
      <c r="O186" s="11">
        <v>0</v>
      </c>
      <c r="P186" s="11">
        <v>0</v>
      </c>
      <c r="Q186" s="11">
        <v>3.399999999999999</v>
      </c>
      <c r="R186" s="11">
        <v>26.24999999999999</v>
      </c>
      <c r="S186" s="11">
        <v>29.64999999999999</v>
      </c>
      <c r="T186" s="11">
        <v>2</v>
      </c>
      <c r="U186" s="11">
        <v>3</v>
      </c>
      <c r="V186" s="11">
        <v>24.64999999999999</v>
      </c>
      <c r="W186" s="13">
        <v>14</v>
      </c>
      <c r="X186" s="13">
        <v>21</v>
      </c>
      <c r="Y186" s="13" t="str">
        <f>MIN(W186,S186)</f>
        <v>0</v>
      </c>
      <c r="Z186" s="13" t="str">
        <f>MIN(X186,(S186-Y186))</f>
        <v>0</v>
      </c>
      <c r="AA186" s="13" t="str">
        <f>S186-SUM(Y186,Z186)</f>
        <v>0</v>
      </c>
      <c r="AB186" s="15"/>
      <c r="AC186" s="15"/>
      <c r="AD186" s="1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  <c r="PX186" s="5"/>
      <c r="PY186" s="5"/>
      <c r="PZ186" s="5"/>
      <c r="QA186" s="5"/>
      <c r="QB186" s="5"/>
      <c r="QC186" s="5"/>
      <c r="QD186" s="5"/>
      <c r="QE186" s="5"/>
      <c r="QF186" s="5"/>
      <c r="QG186" s="5"/>
      <c r="QH186" s="5"/>
      <c r="QI186" s="5"/>
      <c r="QJ186" s="5"/>
      <c r="QK186" s="5"/>
      <c r="QL186" s="5"/>
      <c r="QM186" s="5"/>
      <c r="QN186" s="5"/>
      <c r="QO186" s="5"/>
      <c r="QP186" s="5"/>
      <c r="QQ186" s="5"/>
      <c r="QR186" s="5"/>
      <c r="QS186" s="5"/>
      <c r="QT186" s="5"/>
      <c r="QU186" s="5"/>
      <c r="QV186" s="5"/>
      <c r="QW186" s="5"/>
      <c r="QX186" s="5"/>
      <c r="QY186" s="5"/>
      <c r="QZ186" s="5"/>
      <c r="RA186" s="5"/>
      <c r="RB186" s="5"/>
      <c r="RC186" s="5"/>
      <c r="RD186" s="5"/>
      <c r="RE186" s="5"/>
      <c r="RF186" s="5"/>
      <c r="RG186" s="5"/>
      <c r="RH186" s="5"/>
      <c r="RI186" s="5"/>
      <c r="RJ186" s="5"/>
      <c r="RK186" s="5"/>
      <c r="RL186" s="5"/>
      <c r="RM186" s="5"/>
      <c r="RN186" s="5"/>
      <c r="RO186" s="5"/>
      <c r="RP186" s="5"/>
      <c r="RQ186" s="5"/>
      <c r="RR186" s="5"/>
      <c r="RS186" s="5"/>
      <c r="RT186" s="5"/>
      <c r="RU186" s="5"/>
      <c r="RV186" s="5"/>
      <c r="RW186" s="5"/>
      <c r="RX186" s="5"/>
      <c r="RY186" s="5"/>
      <c r="RZ186" s="5"/>
      <c r="SA186" s="5"/>
      <c r="SB186" s="5"/>
      <c r="SC186" s="5"/>
      <c r="SD186" s="5"/>
      <c r="SE186" s="5"/>
      <c r="SF186" s="5"/>
      <c r="SG186" s="5"/>
      <c r="SH186" s="5"/>
      <c r="SI186" s="5"/>
      <c r="SJ186" s="5"/>
      <c r="SK186" s="5"/>
      <c r="SL186" s="5"/>
      <c r="SM186" s="5"/>
      <c r="SN186" s="5"/>
      <c r="SO186" s="5"/>
      <c r="SP186" s="5"/>
      <c r="SQ186" s="5"/>
      <c r="SR186" s="5"/>
      <c r="SS186" s="5"/>
      <c r="ST186" s="5"/>
      <c r="SU186" s="5"/>
      <c r="SV186" s="5"/>
      <c r="SW186" s="5"/>
      <c r="SX186" s="5"/>
      <c r="SY186" s="5"/>
      <c r="SZ186" s="5"/>
      <c r="TA186" s="5"/>
      <c r="TB186" s="5"/>
      <c r="TC186" s="5"/>
      <c r="TD186" s="5"/>
      <c r="TE186" s="5"/>
      <c r="TF186" s="5"/>
      <c r="TG186" s="5"/>
      <c r="TH186" s="5"/>
      <c r="TI186" s="5"/>
      <c r="TJ186" s="5"/>
      <c r="TK186" s="5"/>
      <c r="TL186" s="5"/>
      <c r="TM186" s="5"/>
      <c r="TN186" s="5"/>
      <c r="TO186" s="5"/>
      <c r="TP186" s="5"/>
      <c r="TQ186" s="5"/>
      <c r="TR186" s="5"/>
      <c r="TS186" s="5"/>
      <c r="TT186" s="5"/>
      <c r="TU186" s="5"/>
      <c r="TV186" s="5"/>
      <c r="TW186" s="5"/>
      <c r="TX186" s="5"/>
      <c r="TY186" s="5"/>
      <c r="TZ186" s="5"/>
      <c r="UA186" s="5"/>
      <c r="UB186" s="5"/>
      <c r="UC186" s="5"/>
      <c r="UD186" s="5"/>
      <c r="UE186" s="5"/>
      <c r="UF186" s="5"/>
      <c r="UG186" s="5"/>
      <c r="UH186" s="5"/>
      <c r="UI186" s="5"/>
      <c r="UJ186" s="5"/>
      <c r="UK186" s="5"/>
      <c r="UL186" s="5"/>
      <c r="UM186" s="5"/>
      <c r="UN186" s="5"/>
      <c r="UO186" s="5"/>
      <c r="UP186" s="5"/>
      <c r="UQ186" s="5"/>
      <c r="UR186" s="5"/>
      <c r="US186" s="5"/>
      <c r="UT186" s="5"/>
      <c r="UU186" s="5"/>
      <c r="UV186" s="5"/>
      <c r="UW186" s="5"/>
      <c r="UX186" s="5"/>
      <c r="UY186" s="5"/>
      <c r="UZ186" s="5"/>
      <c r="VA186" s="5"/>
      <c r="VB186" s="5"/>
      <c r="VC186" s="5"/>
      <c r="VD186" s="5"/>
      <c r="VE186" s="5"/>
      <c r="VF186" s="5"/>
      <c r="VG186" s="5"/>
      <c r="VH186" s="5"/>
      <c r="VI186" s="5"/>
      <c r="VJ186" s="5"/>
      <c r="VK186" s="5"/>
      <c r="VL186" s="5"/>
      <c r="VM186" s="5"/>
      <c r="VN186" s="5"/>
      <c r="VO186" s="5"/>
      <c r="VP186" s="5"/>
      <c r="VQ186" s="5"/>
      <c r="VR186" s="5"/>
      <c r="VS186" s="5"/>
      <c r="VT186" s="5"/>
      <c r="VU186" s="5"/>
      <c r="VV186" s="5"/>
      <c r="VW186" s="5"/>
      <c r="VX186" s="5"/>
      <c r="VY186" s="5"/>
      <c r="VZ186" s="5"/>
      <c r="WA186" s="5"/>
      <c r="WB186" s="5"/>
      <c r="WC186" s="5"/>
      <c r="WD186" s="5"/>
      <c r="WE186" s="5"/>
      <c r="WF186" s="5"/>
      <c r="WG186" s="5"/>
      <c r="WH186" s="5"/>
      <c r="WI186" s="5"/>
      <c r="WJ186" s="5"/>
      <c r="WK186" s="5"/>
      <c r="WL186" s="5"/>
      <c r="WM186" s="5"/>
      <c r="WN186" s="5"/>
      <c r="WO186" s="5"/>
      <c r="WP186" s="5"/>
      <c r="WQ186" s="5"/>
      <c r="WR186" s="5"/>
      <c r="WS186" s="5"/>
      <c r="WT186" s="5"/>
      <c r="WU186" s="5"/>
      <c r="WV186" s="5"/>
      <c r="WW186" s="5"/>
      <c r="WX186" s="5"/>
      <c r="WY186" s="5"/>
      <c r="WZ186" s="5"/>
      <c r="XA186" s="5"/>
      <c r="XB186" s="5"/>
      <c r="XC186" s="5"/>
      <c r="XD186" s="5"/>
      <c r="XE186" s="5"/>
      <c r="XF186" s="5"/>
      <c r="XG186" s="5"/>
      <c r="XH186" s="5"/>
      <c r="XI186" s="5"/>
      <c r="XJ186" s="5"/>
      <c r="XK186" s="5"/>
      <c r="XL186" s="5"/>
      <c r="XM186" s="5"/>
      <c r="XN186" s="5"/>
      <c r="XO186" s="5"/>
      <c r="XP186" s="5"/>
      <c r="XQ186" s="5"/>
      <c r="XR186" s="5"/>
      <c r="XS186" s="5"/>
      <c r="XT186" s="5"/>
      <c r="XU186" s="5"/>
      <c r="XV186" s="5"/>
      <c r="XW186" s="5"/>
      <c r="XX186" s="5"/>
      <c r="XY186" s="5"/>
      <c r="XZ186" s="5"/>
      <c r="YA186" s="5"/>
      <c r="YB186" s="5"/>
      <c r="YC186" s="5"/>
      <c r="YD186" s="5"/>
      <c r="YE186" s="5"/>
      <c r="YF186" s="5"/>
      <c r="YG186" s="5"/>
      <c r="YH186" s="5"/>
      <c r="YI186" s="5"/>
      <c r="YJ186" s="5"/>
      <c r="YK186" s="5"/>
      <c r="YL186" s="5"/>
      <c r="YM186" s="5"/>
      <c r="YN186" s="5"/>
      <c r="YO186" s="5"/>
      <c r="YP186" s="5"/>
      <c r="YQ186" s="5"/>
      <c r="YR186" s="5"/>
      <c r="YS186" s="5"/>
      <c r="YT186" s="5"/>
      <c r="YU186" s="5"/>
      <c r="YV186" s="5"/>
      <c r="YW186" s="5"/>
      <c r="YX186" s="5"/>
      <c r="YY186" s="5"/>
      <c r="YZ186" s="5"/>
    </row>
    <row r="187" spans="1:676">
      <c r="A187" s="7">
        <v>177</v>
      </c>
      <c r="B187" s="7" t="s">
        <v>441</v>
      </c>
      <c r="C187" s="10" t="s">
        <v>442</v>
      </c>
      <c r="D187" s="7" t="s">
        <v>113</v>
      </c>
      <c r="E187" s="7" t="s">
        <v>381</v>
      </c>
      <c r="F187" s="7" t="s">
        <v>394</v>
      </c>
      <c r="G187" s="7"/>
      <c r="H187" s="7" t="s">
        <v>52</v>
      </c>
      <c r="I187" s="11">
        <v>2</v>
      </c>
      <c r="J187" s="11">
        <v>3</v>
      </c>
      <c r="K187" s="11">
        <v>0</v>
      </c>
      <c r="L187" s="11">
        <v>0</v>
      </c>
      <c r="M187" s="11">
        <v>0.5</v>
      </c>
      <c r="N187" s="11">
        <v>0</v>
      </c>
      <c r="O187" s="11">
        <v>0</v>
      </c>
      <c r="P187" s="11">
        <v>0</v>
      </c>
      <c r="Q187" s="11">
        <v>0.5</v>
      </c>
      <c r="R187" s="11">
        <v>2.23</v>
      </c>
      <c r="S187" s="11">
        <v>2.73</v>
      </c>
      <c r="T187" s="11">
        <v>2</v>
      </c>
      <c r="U187" s="11">
        <v>0.73</v>
      </c>
      <c r="V187" s="11">
        <v>0</v>
      </c>
      <c r="W187" s="13">
        <v>14</v>
      </c>
      <c r="X187" s="13">
        <v>21</v>
      </c>
      <c r="Y187" s="13" t="str">
        <f>MIN(W187,S187)</f>
        <v>0</v>
      </c>
      <c r="Z187" s="13" t="str">
        <f>MIN(X187,(S187-Y187))</f>
        <v>0</v>
      </c>
      <c r="AA187" s="13" t="str">
        <f>S187-SUM(Y187,Z187)</f>
        <v>0</v>
      </c>
      <c r="AB187" s="15"/>
      <c r="AC187" s="15"/>
      <c r="AD187" s="1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  <c r="PX187" s="5"/>
      <c r="PY187" s="5"/>
      <c r="PZ187" s="5"/>
      <c r="QA187" s="5"/>
      <c r="QB187" s="5"/>
      <c r="QC187" s="5"/>
      <c r="QD187" s="5"/>
      <c r="QE187" s="5"/>
      <c r="QF187" s="5"/>
      <c r="QG187" s="5"/>
      <c r="QH187" s="5"/>
      <c r="QI187" s="5"/>
      <c r="QJ187" s="5"/>
      <c r="QK187" s="5"/>
      <c r="QL187" s="5"/>
      <c r="QM187" s="5"/>
      <c r="QN187" s="5"/>
      <c r="QO187" s="5"/>
      <c r="QP187" s="5"/>
      <c r="QQ187" s="5"/>
      <c r="QR187" s="5"/>
      <c r="QS187" s="5"/>
      <c r="QT187" s="5"/>
      <c r="QU187" s="5"/>
      <c r="QV187" s="5"/>
      <c r="QW187" s="5"/>
      <c r="QX187" s="5"/>
      <c r="QY187" s="5"/>
      <c r="QZ187" s="5"/>
      <c r="RA187" s="5"/>
      <c r="RB187" s="5"/>
      <c r="RC187" s="5"/>
      <c r="RD187" s="5"/>
      <c r="RE187" s="5"/>
      <c r="RF187" s="5"/>
      <c r="RG187" s="5"/>
      <c r="RH187" s="5"/>
      <c r="RI187" s="5"/>
      <c r="RJ187" s="5"/>
      <c r="RK187" s="5"/>
      <c r="RL187" s="5"/>
      <c r="RM187" s="5"/>
      <c r="RN187" s="5"/>
      <c r="RO187" s="5"/>
      <c r="RP187" s="5"/>
      <c r="RQ187" s="5"/>
      <c r="RR187" s="5"/>
      <c r="RS187" s="5"/>
      <c r="RT187" s="5"/>
      <c r="RU187" s="5"/>
      <c r="RV187" s="5"/>
      <c r="RW187" s="5"/>
      <c r="RX187" s="5"/>
      <c r="RY187" s="5"/>
      <c r="RZ187" s="5"/>
      <c r="SA187" s="5"/>
      <c r="SB187" s="5"/>
      <c r="SC187" s="5"/>
      <c r="SD187" s="5"/>
      <c r="SE187" s="5"/>
      <c r="SF187" s="5"/>
      <c r="SG187" s="5"/>
      <c r="SH187" s="5"/>
      <c r="SI187" s="5"/>
      <c r="SJ187" s="5"/>
      <c r="SK187" s="5"/>
      <c r="SL187" s="5"/>
      <c r="SM187" s="5"/>
      <c r="SN187" s="5"/>
      <c r="SO187" s="5"/>
      <c r="SP187" s="5"/>
      <c r="SQ187" s="5"/>
      <c r="SR187" s="5"/>
      <c r="SS187" s="5"/>
      <c r="ST187" s="5"/>
      <c r="SU187" s="5"/>
      <c r="SV187" s="5"/>
      <c r="SW187" s="5"/>
      <c r="SX187" s="5"/>
      <c r="SY187" s="5"/>
      <c r="SZ187" s="5"/>
      <c r="TA187" s="5"/>
      <c r="TB187" s="5"/>
      <c r="TC187" s="5"/>
      <c r="TD187" s="5"/>
      <c r="TE187" s="5"/>
      <c r="TF187" s="5"/>
      <c r="TG187" s="5"/>
      <c r="TH187" s="5"/>
      <c r="TI187" s="5"/>
      <c r="TJ187" s="5"/>
      <c r="TK187" s="5"/>
      <c r="TL187" s="5"/>
      <c r="TM187" s="5"/>
      <c r="TN187" s="5"/>
      <c r="TO187" s="5"/>
      <c r="TP187" s="5"/>
      <c r="TQ187" s="5"/>
      <c r="TR187" s="5"/>
      <c r="TS187" s="5"/>
      <c r="TT187" s="5"/>
      <c r="TU187" s="5"/>
      <c r="TV187" s="5"/>
      <c r="TW187" s="5"/>
      <c r="TX187" s="5"/>
      <c r="TY187" s="5"/>
      <c r="TZ187" s="5"/>
      <c r="UA187" s="5"/>
      <c r="UB187" s="5"/>
      <c r="UC187" s="5"/>
      <c r="UD187" s="5"/>
      <c r="UE187" s="5"/>
      <c r="UF187" s="5"/>
      <c r="UG187" s="5"/>
      <c r="UH187" s="5"/>
      <c r="UI187" s="5"/>
      <c r="UJ187" s="5"/>
      <c r="UK187" s="5"/>
      <c r="UL187" s="5"/>
      <c r="UM187" s="5"/>
      <c r="UN187" s="5"/>
      <c r="UO187" s="5"/>
      <c r="UP187" s="5"/>
      <c r="UQ187" s="5"/>
      <c r="UR187" s="5"/>
      <c r="US187" s="5"/>
      <c r="UT187" s="5"/>
      <c r="UU187" s="5"/>
      <c r="UV187" s="5"/>
      <c r="UW187" s="5"/>
      <c r="UX187" s="5"/>
      <c r="UY187" s="5"/>
      <c r="UZ187" s="5"/>
      <c r="VA187" s="5"/>
      <c r="VB187" s="5"/>
      <c r="VC187" s="5"/>
      <c r="VD187" s="5"/>
      <c r="VE187" s="5"/>
      <c r="VF187" s="5"/>
      <c r="VG187" s="5"/>
      <c r="VH187" s="5"/>
      <c r="VI187" s="5"/>
      <c r="VJ187" s="5"/>
      <c r="VK187" s="5"/>
      <c r="VL187" s="5"/>
      <c r="VM187" s="5"/>
      <c r="VN187" s="5"/>
      <c r="VO187" s="5"/>
      <c r="VP187" s="5"/>
      <c r="VQ187" s="5"/>
      <c r="VR187" s="5"/>
      <c r="VS187" s="5"/>
      <c r="VT187" s="5"/>
      <c r="VU187" s="5"/>
      <c r="VV187" s="5"/>
      <c r="VW187" s="5"/>
      <c r="VX187" s="5"/>
      <c r="VY187" s="5"/>
      <c r="VZ187" s="5"/>
      <c r="WA187" s="5"/>
      <c r="WB187" s="5"/>
      <c r="WC187" s="5"/>
      <c r="WD187" s="5"/>
      <c r="WE187" s="5"/>
      <c r="WF187" s="5"/>
      <c r="WG187" s="5"/>
      <c r="WH187" s="5"/>
      <c r="WI187" s="5"/>
      <c r="WJ187" s="5"/>
      <c r="WK187" s="5"/>
      <c r="WL187" s="5"/>
      <c r="WM187" s="5"/>
      <c r="WN187" s="5"/>
      <c r="WO187" s="5"/>
      <c r="WP187" s="5"/>
      <c r="WQ187" s="5"/>
      <c r="WR187" s="5"/>
      <c r="WS187" s="5"/>
      <c r="WT187" s="5"/>
      <c r="WU187" s="5"/>
      <c r="WV187" s="5"/>
      <c r="WW187" s="5"/>
      <c r="WX187" s="5"/>
      <c r="WY187" s="5"/>
      <c r="WZ187" s="5"/>
      <c r="XA187" s="5"/>
      <c r="XB187" s="5"/>
      <c r="XC187" s="5"/>
      <c r="XD187" s="5"/>
      <c r="XE187" s="5"/>
      <c r="XF187" s="5"/>
      <c r="XG187" s="5"/>
      <c r="XH187" s="5"/>
      <c r="XI187" s="5"/>
      <c r="XJ187" s="5"/>
      <c r="XK187" s="5"/>
      <c r="XL187" s="5"/>
      <c r="XM187" s="5"/>
      <c r="XN187" s="5"/>
      <c r="XO187" s="5"/>
      <c r="XP187" s="5"/>
      <c r="XQ187" s="5"/>
      <c r="XR187" s="5"/>
      <c r="XS187" s="5"/>
      <c r="XT187" s="5"/>
      <c r="XU187" s="5"/>
      <c r="XV187" s="5"/>
      <c r="XW187" s="5"/>
      <c r="XX187" s="5"/>
      <c r="XY187" s="5"/>
      <c r="XZ187" s="5"/>
      <c r="YA187" s="5"/>
      <c r="YB187" s="5"/>
      <c r="YC187" s="5"/>
      <c r="YD187" s="5"/>
      <c r="YE187" s="5"/>
      <c r="YF187" s="5"/>
      <c r="YG187" s="5"/>
      <c r="YH187" s="5"/>
      <c r="YI187" s="5"/>
      <c r="YJ187" s="5"/>
      <c r="YK187" s="5"/>
      <c r="YL187" s="5"/>
      <c r="YM187" s="5"/>
      <c r="YN187" s="5"/>
      <c r="YO187" s="5"/>
      <c r="YP187" s="5"/>
      <c r="YQ187" s="5"/>
      <c r="YR187" s="5"/>
      <c r="YS187" s="5"/>
      <c r="YT187" s="5"/>
      <c r="YU187" s="5"/>
      <c r="YV187" s="5"/>
      <c r="YW187" s="5"/>
      <c r="YX187" s="5"/>
      <c r="YY187" s="5"/>
      <c r="YZ187" s="5"/>
    </row>
    <row r="188" spans="1:676">
      <c r="A188" s="7">
        <v>178</v>
      </c>
      <c r="B188" s="7" t="s">
        <v>443</v>
      </c>
      <c r="C188" s="10" t="s">
        <v>444</v>
      </c>
      <c r="D188" s="7" t="s">
        <v>217</v>
      </c>
      <c r="E188" s="7" t="s">
        <v>279</v>
      </c>
      <c r="F188" s="7" t="s">
        <v>394</v>
      </c>
      <c r="G188" s="7"/>
      <c r="H188" s="7" t="s">
        <v>52</v>
      </c>
      <c r="I188" s="11">
        <v>2</v>
      </c>
      <c r="J188" s="11">
        <v>3</v>
      </c>
      <c r="K188" s="11">
        <v>0</v>
      </c>
      <c r="L188" s="11">
        <v>2.34</v>
      </c>
      <c r="M188" s="11">
        <v>0.8400000000000001</v>
      </c>
      <c r="N188" s="11">
        <v>0</v>
      </c>
      <c r="O188" s="11">
        <v>0</v>
      </c>
      <c r="P188" s="11">
        <v>0</v>
      </c>
      <c r="Q188" s="11">
        <v>3.179999999999999</v>
      </c>
      <c r="R188" s="11">
        <v>28.86</v>
      </c>
      <c r="S188" s="11">
        <v>32.04</v>
      </c>
      <c r="T188" s="11">
        <v>2</v>
      </c>
      <c r="U188" s="11">
        <v>3</v>
      </c>
      <c r="V188" s="11">
        <v>27.04</v>
      </c>
      <c r="W188" s="13">
        <v>14</v>
      </c>
      <c r="X188" s="13">
        <v>21</v>
      </c>
      <c r="Y188" s="13" t="str">
        <f>MIN(W188,S188)</f>
        <v>0</v>
      </c>
      <c r="Z188" s="13" t="str">
        <f>MIN(X188,(S188-Y188))</f>
        <v>0</v>
      </c>
      <c r="AA188" s="13" t="str">
        <f>S188-SUM(Y188,Z188)</f>
        <v>0</v>
      </c>
      <c r="AB188" s="15"/>
      <c r="AC188" s="15"/>
      <c r="AD188" s="1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  <c r="PX188" s="5"/>
      <c r="PY188" s="5"/>
      <c r="PZ188" s="5"/>
      <c r="QA188" s="5"/>
      <c r="QB188" s="5"/>
      <c r="QC188" s="5"/>
      <c r="QD188" s="5"/>
      <c r="QE188" s="5"/>
      <c r="QF188" s="5"/>
      <c r="QG188" s="5"/>
      <c r="QH188" s="5"/>
      <c r="QI188" s="5"/>
      <c r="QJ188" s="5"/>
      <c r="QK188" s="5"/>
      <c r="QL188" s="5"/>
      <c r="QM188" s="5"/>
      <c r="QN188" s="5"/>
      <c r="QO188" s="5"/>
      <c r="QP188" s="5"/>
      <c r="QQ188" s="5"/>
      <c r="QR188" s="5"/>
      <c r="QS188" s="5"/>
      <c r="QT188" s="5"/>
      <c r="QU188" s="5"/>
      <c r="QV188" s="5"/>
      <c r="QW188" s="5"/>
      <c r="QX188" s="5"/>
      <c r="QY188" s="5"/>
      <c r="QZ188" s="5"/>
      <c r="RA188" s="5"/>
      <c r="RB188" s="5"/>
      <c r="RC188" s="5"/>
      <c r="RD188" s="5"/>
      <c r="RE188" s="5"/>
      <c r="RF188" s="5"/>
      <c r="RG188" s="5"/>
      <c r="RH188" s="5"/>
      <c r="RI188" s="5"/>
      <c r="RJ188" s="5"/>
      <c r="RK188" s="5"/>
      <c r="RL188" s="5"/>
      <c r="RM188" s="5"/>
      <c r="RN188" s="5"/>
      <c r="RO188" s="5"/>
      <c r="RP188" s="5"/>
      <c r="RQ188" s="5"/>
      <c r="RR188" s="5"/>
      <c r="RS188" s="5"/>
      <c r="RT188" s="5"/>
      <c r="RU188" s="5"/>
      <c r="RV188" s="5"/>
      <c r="RW188" s="5"/>
      <c r="RX188" s="5"/>
      <c r="RY188" s="5"/>
      <c r="RZ188" s="5"/>
      <c r="SA188" s="5"/>
      <c r="SB188" s="5"/>
      <c r="SC188" s="5"/>
      <c r="SD188" s="5"/>
      <c r="SE188" s="5"/>
      <c r="SF188" s="5"/>
      <c r="SG188" s="5"/>
      <c r="SH188" s="5"/>
      <c r="SI188" s="5"/>
      <c r="SJ188" s="5"/>
      <c r="SK188" s="5"/>
      <c r="SL188" s="5"/>
      <c r="SM188" s="5"/>
      <c r="SN188" s="5"/>
      <c r="SO188" s="5"/>
      <c r="SP188" s="5"/>
      <c r="SQ188" s="5"/>
      <c r="SR188" s="5"/>
      <c r="SS188" s="5"/>
      <c r="ST188" s="5"/>
      <c r="SU188" s="5"/>
      <c r="SV188" s="5"/>
      <c r="SW188" s="5"/>
      <c r="SX188" s="5"/>
      <c r="SY188" s="5"/>
      <c r="SZ188" s="5"/>
      <c r="TA188" s="5"/>
      <c r="TB188" s="5"/>
      <c r="TC188" s="5"/>
      <c r="TD188" s="5"/>
      <c r="TE188" s="5"/>
      <c r="TF188" s="5"/>
      <c r="TG188" s="5"/>
      <c r="TH188" s="5"/>
      <c r="TI188" s="5"/>
      <c r="TJ188" s="5"/>
      <c r="TK188" s="5"/>
      <c r="TL188" s="5"/>
      <c r="TM188" s="5"/>
      <c r="TN188" s="5"/>
      <c r="TO188" s="5"/>
      <c r="TP188" s="5"/>
      <c r="TQ188" s="5"/>
      <c r="TR188" s="5"/>
      <c r="TS188" s="5"/>
      <c r="TT188" s="5"/>
      <c r="TU188" s="5"/>
      <c r="TV188" s="5"/>
      <c r="TW188" s="5"/>
      <c r="TX188" s="5"/>
      <c r="TY188" s="5"/>
      <c r="TZ188" s="5"/>
      <c r="UA188" s="5"/>
      <c r="UB188" s="5"/>
      <c r="UC188" s="5"/>
      <c r="UD188" s="5"/>
      <c r="UE188" s="5"/>
      <c r="UF188" s="5"/>
      <c r="UG188" s="5"/>
      <c r="UH188" s="5"/>
      <c r="UI188" s="5"/>
      <c r="UJ188" s="5"/>
      <c r="UK188" s="5"/>
      <c r="UL188" s="5"/>
      <c r="UM188" s="5"/>
      <c r="UN188" s="5"/>
      <c r="UO188" s="5"/>
      <c r="UP188" s="5"/>
      <c r="UQ188" s="5"/>
      <c r="UR188" s="5"/>
      <c r="US188" s="5"/>
      <c r="UT188" s="5"/>
      <c r="UU188" s="5"/>
      <c r="UV188" s="5"/>
      <c r="UW188" s="5"/>
      <c r="UX188" s="5"/>
      <c r="UY188" s="5"/>
      <c r="UZ188" s="5"/>
      <c r="VA188" s="5"/>
      <c r="VB188" s="5"/>
      <c r="VC188" s="5"/>
      <c r="VD188" s="5"/>
      <c r="VE188" s="5"/>
      <c r="VF188" s="5"/>
      <c r="VG188" s="5"/>
      <c r="VH188" s="5"/>
      <c r="VI188" s="5"/>
      <c r="VJ188" s="5"/>
      <c r="VK188" s="5"/>
      <c r="VL188" s="5"/>
      <c r="VM188" s="5"/>
      <c r="VN188" s="5"/>
      <c r="VO188" s="5"/>
      <c r="VP188" s="5"/>
      <c r="VQ188" s="5"/>
      <c r="VR188" s="5"/>
      <c r="VS188" s="5"/>
      <c r="VT188" s="5"/>
      <c r="VU188" s="5"/>
      <c r="VV188" s="5"/>
      <c r="VW188" s="5"/>
      <c r="VX188" s="5"/>
      <c r="VY188" s="5"/>
      <c r="VZ188" s="5"/>
      <c r="WA188" s="5"/>
      <c r="WB188" s="5"/>
      <c r="WC188" s="5"/>
      <c r="WD188" s="5"/>
      <c r="WE188" s="5"/>
      <c r="WF188" s="5"/>
      <c r="WG188" s="5"/>
      <c r="WH188" s="5"/>
      <c r="WI188" s="5"/>
      <c r="WJ188" s="5"/>
      <c r="WK188" s="5"/>
      <c r="WL188" s="5"/>
      <c r="WM188" s="5"/>
      <c r="WN188" s="5"/>
      <c r="WO188" s="5"/>
      <c r="WP188" s="5"/>
      <c r="WQ188" s="5"/>
      <c r="WR188" s="5"/>
      <c r="WS188" s="5"/>
      <c r="WT188" s="5"/>
      <c r="WU188" s="5"/>
      <c r="WV188" s="5"/>
      <c r="WW188" s="5"/>
      <c r="WX188" s="5"/>
      <c r="WY188" s="5"/>
      <c r="WZ188" s="5"/>
      <c r="XA188" s="5"/>
      <c r="XB188" s="5"/>
      <c r="XC188" s="5"/>
      <c r="XD188" s="5"/>
      <c r="XE188" s="5"/>
      <c r="XF188" s="5"/>
      <c r="XG188" s="5"/>
      <c r="XH188" s="5"/>
      <c r="XI188" s="5"/>
      <c r="XJ188" s="5"/>
      <c r="XK188" s="5"/>
      <c r="XL188" s="5"/>
      <c r="XM188" s="5"/>
      <c r="XN188" s="5"/>
      <c r="XO188" s="5"/>
      <c r="XP188" s="5"/>
      <c r="XQ188" s="5"/>
      <c r="XR188" s="5"/>
      <c r="XS188" s="5"/>
      <c r="XT188" s="5"/>
      <c r="XU188" s="5"/>
      <c r="XV188" s="5"/>
      <c r="XW188" s="5"/>
      <c r="XX188" s="5"/>
      <c r="XY188" s="5"/>
      <c r="XZ188" s="5"/>
      <c r="YA188" s="5"/>
      <c r="YB188" s="5"/>
      <c r="YC188" s="5"/>
      <c r="YD188" s="5"/>
      <c r="YE188" s="5"/>
      <c r="YF188" s="5"/>
      <c r="YG188" s="5"/>
      <c r="YH188" s="5"/>
      <c r="YI188" s="5"/>
      <c r="YJ188" s="5"/>
      <c r="YK188" s="5"/>
      <c r="YL188" s="5"/>
      <c r="YM188" s="5"/>
      <c r="YN188" s="5"/>
      <c r="YO188" s="5"/>
      <c r="YP188" s="5"/>
      <c r="YQ188" s="5"/>
      <c r="YR188" s="5"/>
      <c r="YS188" s="5"/>
      <c r="YT188" s="5"/>
      <c r="YU188" s="5"/>
      <c r="YV188" s="5"/>
      <c r="YW188" s="5"/>
      <c r="YX188" s="5"/>
      <c r="YY188" s="5"/>
      <c r="YZ188" s="5"/>
    </row>
    <row r="189" spans="1:676">
      <c r="A189" s="7">
        <v>179</v>
      </c>
      <c r="B189" s="7" t="s">
        <v>445</v>
      </c>
      <c r="C189" s="10" t="s">
        <v>446</v>
      </c>
      <c r="D189" s="7" t="s">
        <v>296</v>
      </c>
      <c r="E189" s="7" t="s">
        <v>273</v>
      </c>
      <c r="F189" s="7" t="s">
        <v>389</v>
      </c>
      <c r="G189" s="7"/>
      <c r="H189" s="7" t="s">
        <v>52</v>
      </c>
      <c r="I189" s="11">
        <v>2</v>
      </c>
      <c r="J189" s="11">
        <v>3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3">
        <v>14</v>
      </c>
      <c r="X189" s="13">
        <v>21</v>
      </c>
      <c r="Y189" s="13" t="str">
        <f>MIN(W189,S189)</f>
        <v>0</v>
      </c>
      <c r="Z189" s="13" t="str">
        <f>MIN(X189,(S189-Y189))</f>
        <v>0</v>
      </c>
      <c r="AA189" s="13" t="str">
        <f>S189-SUM(Y189,Z189)</f>
        <v>0</v>
      </c>
      <c r="AB189" s="15"/>
      <c r="AC189" s="15"/>
      <c r="AD189" s="1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  <c r="PX189" s="5"/>
      <c r="PY189" s="5"/>
      <c r="PZ189" s="5"/>
      <c r="QA189" s="5"/>
      <c r="QB189" s="5"/>
      <c r="QC189" s="5"/>
      <c r="QD189" s="5"/>
      <c r="QE189" s="5"/>
      <c r="QF189" s="5"/>
      <c r="QG189" s="5"/>
      <c r="QH189" s="5"/>
      <c r="QI189" s="5"/>
      <c r="QJ189" s="5"/>
      <c r="QK189" s="5"/>
      <c r="QL189" s="5"/>
      <c r="QM189" s="5"/>
      <c r="QN189" s="5"/>
      <c r="QO189" s="5"/>
      <c r="QP189" s="5"/>
      <c r="QQ189" s="5"/>
      <c r="QR189" s="5"/>
      <c r="QS189" s="5"/>
      <c r="QT189" s="5"/>
      <c r="QU189" s="5"/>
      <c r="QV189" s="5"/>
      <c r="QW189" s="5"/>
      <c r="QX189" s="5"/>
      <c r="QY189" s="5"/>
      <c r="QZ189" s="5"/>
      <c r="RA189" s="5"/>
      <c r="RB189" s="5"/>
      <c r="RC189" s="5"/>
      <c r="RD189" s="5"/>
      <c r="RE189" s="5"/>
      <c r="RF189" s="5"/>
      <c r="RG189" s="5"/>
      <c r="RH189" s="5"/>
      <c r="RI189" s="5"/>
      <c r="RJ189" s="5"/>
      <c r="RK189" s="5"/>
      <c r="RL189" s="5"/>
      <c r="RM189" s="5"/>
      <c r="RN189" s="5"/>
      <c r="RO189" s="5"/>
      <c r="RP189" s="5"/>
      <c r="RQ189" s="5"/>
      <c r="RR189" s="5"/>
      <c r="RS189" s="5"/>
      <c r="RT189" s="5"/>
      <c r="RU189" s="5"/>
      <c r="RV189" s="5"/>
      <c r="RW189" s="5"/>
      <c r="RX189" s="5"/>
      <c r="RY189" s="5"/>
      <c r="RZ189" s="5"/>
      <c r="SA189" s="5"/>
      <c r="SB189" s="5"/>
      <c r="SC189" s="5"/>
      <c r="SD189" s="5"/>
      <c r="SE189" s="5"/>
      <c r="SF189" s="5"/>
      <c r="SG189" s="5"/>
      <c r="SH189" s="5"/>
      <c r="SI189" s="5"/>
      <c r="SJ189" s="5"/>
      <c r="SK189" s="5"/>
      <c r="SL189" s="5"/>
      <c r="SM189" s="5"/>
      <c r="SN189" s="5"/>
      <c r="SO189" s="5"/>
      <c r="SP189" s="5"/>
      <c r="SQ189" s="5"/>
      <c r="SR189" s="5"/>
      <c r="SS189" s="5"/>
      <c r="ST189" s="5"/>
      <c r="SU189" s="5"/>
      <c r="SV189" s="5"/>
      <c r="SW189" s="5"/>
      <c r="SX189" s="5"/>
      <c r="SY189" s="5"/>
      <c r="SZ189" s="5"/>
      <c r="TA189" s="5"/>
      <c r="TB189" s="5"/>
      <c r="TC189" s="5"/>
      <c r="TD189" s="5"/>
      <c r="TE189" s="5"/>
      <c r="TF189" s="5"/>
      <c r="TG189" s="5"/>
      <c r="TH189" s="5"/>
      <c r="TI189" s="5"/>
      <c r="TJ189" s="5"/>
      <c r="TK189" s="5"/>
      <c r="TL189" s="5"/>
      <c r="TM189" s="5"/>
      <c r="TN189" s="5"/>
      <c r="TO189" s="5"/>
      <c r="TP189" s="5"/>
      <c r="TQ189" s="5"/>
      <c r="TR189" s="5"/>
      <c r="TS189" s="5"/>
      <c r="TT189" s="5"/>
      <c r="TU189" s="5"/>
      <c r="TV189" s="5"/>
      <c r="TW189" s="5"/>
      <c r="TX189" s="5"/>
      <c r="TY189" s="5"/>
      <c r="TZ189" s="5"/>
      <c r="UA189" s="5"/>
      <c r="UB189" s="5"/>
      <c r="UC189" s="5"/>
      <c r="UD189" s="5"/>
      <c r="UE189" s="5"/>
      <c r="UF189" s="5"/>
      <c r="UG189" s="5"/>
      <c r="UH189" s="5"/>
      <c r="UI189" s="5"/>
      <c r="UJ189" s="5"/>
      <c r="UK189" s="5"/>
      <c r="UL189" s="5"/>
      <c r="UM189" s="5"/>
      <c r="UN189" s="5"/>
      <c r="UO189" s="5"/>
      <c r="UP189" s="5"/>
      <c r="UQ189" s="5"/>
      <c r="UR189" s="5"/>
      <c r="US189" s="5"/>
      <c r="UT189" s="5"/>
      <c r="UU189" s="5"/>
      <c r="UV189" s="5"/>
      <c r="UW189" s="5"/>
      <c r="UX189" s="5"/>
      <c r="UY189" s="5"/>
      <c r="UZ189" s="5"/>
      <c r="VA189" s="5"/>
      <c r="VB189" s="5"/>
      <c r="VC189" s="5"/>
      <c r="VD189" s="5"/>
      <c r="VE189" s="5"/>
      <c r="VF189" s="5"/>
      <c r="VG189" s="5"/>
      <c r="VH189" s="5"/>
      <c r="VI189" s="5"/>
      <c r="VJ189" s="5"/>
      <c r="VK189" s="5"/>
      <c r="VL189" s="5"/>
      <c r="VM189" s="5"/>
      <c r="VN189" s="5"/>
      <c r="VO189" s="5"/>
      <c r="VP189" s="5"/>
      <c r="VQ189" s="5"/>
      <c r="VR189" s="5"/>
      <c r="VS189" s="5"/>
      <c r="VT189" s="5"/>
      <c r="VU189" s="5"/>
      <c r="VV189" s="5"/>
      <c r="VW189" s="5"/>
      <c r="VX189" s="5"/>
      <c r="VY189" s="5"/>
      <c r="VZ189" s="5"/>
      <c r="WA189" s="5"/>
      <c r="WB189" s="5"/>
      <c r="WC189" s="5"/>
      <c r="WD189" s="5"/>
      <c r="WE189" s="5"/>
      <c r="WF189" s="5"/>
      <c r="WG189" s="5"/>
      <c r="WH189" s="5"/>
      <c r="WI189" s="5"/>
      <c r="WJ189" s="5"/>
      <c r="WK189" s="5"/>
      <c r="WL189" s="5"/>
      <c r="WM189" s="5"/>
      <c r="WN189" s="5"/>
      <c r="WO189" s="5"/>
      <c r="WP189" s="5"/>
      <c r="WQ189" s="5"/>
      <c r="WR189" s="5"/>
      <c r="WS189" s="5"/>
      <c r="WT189" s="5"/>
      <c r="WU189" s="5"/>
      <c r="WV189" s="5"/>
      <c r="WW189" s="5"/>
      <c r="WX189" s="5"/>
      <c r="WY189" s="5"/>
      <c r="WZ189" s="5"/>
      <c r="XA189" s="5"/>
      <c r="XB189" s="5"/>
      <c r="XC189" s="5"/>
      <c r="XD189" s="5"/>
      <c r="XE189" s="5"/>
      <c r="XF189" s="5"/>
      <c r="XG189" s="5"/>
      <c r="XH189" s="5"/>
      <c r="XI189" s="5"/>
      <c r="XJ189" s="5"/>
      <c r="XK189" s="5"/>
      <c r="XL189" s="5"/>
      <c r="XM189" s="5"/>
      <c r="XN189" s="5"/>
      <c r="XO189" s="5"/>
      <c r="XP189" s="5"/>
      <c r="XQ189" s="5"/>
      <c r="XR189" s="5"/>
      <c r="XS189" s="5"/>
      <c r="XT189" s="5"/>
      <c r="XU189" s="5"/>
      <c r="XV189" s="5"/>
      <c r="XW189" s="5"/>
      <c r="XX189" s="5"/>
      <c r="XY189" s="5"/>
      <c r="XZ189" s="5"/>
      <c r="YA189" s="5"/>
      <c r="YB189" s="5"/>
      <c r="YC189" s="5"/>
      <c r="YD189" s="5"/>
      <c r="YE189" s="5"/>
      <c r="YF189" s="5"/>
      <c r="YG189" s="5"/>
      <c r="YH189" s="5"/>
      <c r="YI189" s="5"/>
      <c r="YJ189" s="5"/>
      <c r="YK189" s="5"/>
      <c r="YL189" s="5"/>
      <c r="YM189" s="5"/>
      <c r="YN189" s="5"/>
      <c r="YO189" s="5"/>
      <c r="YP189" s="5"/>
      <c r="YQ189" s="5"/>
      <c r="YR189" s="5"/>
      <c r="YS189" s="5"/>
      <c r="YT189" s="5"/>
      <c r="YU189" s="5"/>
      <c r="YV189" s="5"/>
      <c r="YW189" s="5"/>
      <c r="YX189" s="5"/>
      <c r="YY189" s="5"/>
      <c r="YZ189" s="5"/>
    </row>
    <row r="190" spans="1:676">
      <c r="A190" s="7">
        <v>180</v>
      </c>
      <c r="B190" s="7" t="s">
        <v>447</v>
      </c>
      <c r="C190" s="10" t="s">
        <v>448</v>
      </c>
      <c r="D190" s="7" t="s">
        <v>113</v>
      </c>
      <c r="E190" s="7" t="s">
        <v>381</v>
      </c>
      <c r="F190" s="7" t="s">
        <v>394</v>
      </c>
      <c r="G190" s="7"/>
      <c r="H190" s="7" t="s">
        <v>52</v>
      </c>
      <c r="I190" s="11">
        <v>2</v>
      </c>
      <c r="J190" s="11">
        <v>3</v>
      </c>
      <c r="K190" s="11">
        <v>0</v>
      </c>
      <c r="L190" s="11">
        <v>1.06</v>
      </c>
      <c r="M190" s="11">
        <v>0</v>
      </c>
      <c r="N190" s="11">
        <v>0</v>
      </c>
      <c r="O190" s="11">
        <v>0</v>
      </c>
      <c r="P190" s="11">
        <v>0</v>
      </c>
      <c r="Q190" s="11">
        <v>1.06</v>
      </c>
      <c r="R190" s="11">
        <v>31.00000000000001</v>
      </c>
      <c r="S190" s="11">
        <v>32.06000000000001</v>
      </c>
      <c r="T190" s="11">
        <v>2</v>
      </c>
      <c r="U190" s="11">
        <v>3</v>
      </c>
      <c r="V190" s="11">
        <v>27.06000000000001</v>
      </c>
      <c r="W190" s="13">
        <v>14</v>
      </c>
      <c r="X190" s="13">
        <v>21</v>
      </c>
      <c r="Y190" s="13" t="str">
        <f>MIN(W190,S190)</f>
        <v>0</v>
      </c>
      <c r="Z190" s="13" t="str">
        <f>MIN(X190,(S190-Y190))</f>
        <v>0</v>
      </c>
      <c r="AA190" s="13" t="str">
        <f>S190-SUM(Y190,Z190)</f>
        <v>0</v>
      </c>
      <c r="AB190" s="15"/>
      <c r="AC190" s="15"/>
      <c r="AD190" s="1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  <c r="PX190" s="5"/>
      <c r="PY190" s="5"/>
      <c r="PZ190" s="5"/>
      <c r="QA190" s="5"/>
      <c r="QB190" s="5"/>
      <c r="QC190" s="5"/>
      <c r="QD190" s="5"/>
      <c r="QE190" s="5"/>
      <c r="QF190" s="5"/>
      <c r="QG190" s="5"/>
      <c r="QH190" s="5"/>
      <c r="QI190" s="5"/>
      <c r="QJ190" s="5"/>
      <c r="QK190" s="5"/>
      <c r="QL190" s="5"/>
      <c r="QM190" s="5"/>
      <c r="QN190" s="5"/>
      <c r="QO190" s="5"/>
      <c r="QP190" s="5"/>
      <c r="QQ190" s="5"/>
      <c r="QR190" s="5"/>
      <c r="QS190" s="5"/>
      <c r="QT190" s="5"/>
      <c r="QU190" s="5"/>
      <c r="QV190" s="5"/>
      <c r="QW190" s="5"/>
      <c r="QX190" s="5"/>
      <c r="QY190" s="5"/>
      <c r="QZ190" s="5"/>
      <c r="RA190" s="5"/>
      <c r="RB190" s="5"/>
      <c r="RC190" s="5"/>
      <c r="RD190" s="5"/>
      <c r="RE190" s="5"/>
      <c r="RF190" s="5"/>
      <c r="RG190" s="5"/>
      <c r="RH190" s="5"/>
      <c r="RI190" s="5"/>
      <c r="RJ190" s="5"/>
      <c r="RK190" s="5"/>
      <c r="RL190" s="5"/>
      <c r="RM190" s="5"/>
      <c r="RN190" s="5"/>
      <c r="RO190" s="5"/>
      <c r="RP190" s="5"/>
      <c r="RQ190" s="5"/>
      <c r="RR190" s="5"/>
      <c r="RS190" s="5"/>
      <c r="RT190" s="5"/>
      <c r="RU190" s="5"/>
      <c r="RV190" s="5"/>
      <c r="RW190" s="5"/>
      <c r="RX190" s="5"/>
      <c r="RY190" s="5"/>
      <c r="RZ190" s="5"/>
      <c r="SA190" s="5"/>
      <c r="SB190" s="5"/>
      <c r="SC190" s="5"/>
      <c r="SD190" s="5"/>
      <c r="SE190" s="5"/>
      <c r="SF190" s="5"/>
      <c r="SG190" s="5"/>
      <c r="SH190" s="5"/>
      <c r="SI190" s="5"/>
      <c r="SJ190" s="5"/>
      <c r="SK190" s="5"/>
      <c r="SL190" s="5"/>
      <c r="SM190" s="5"/>
      <c r="SN190" s="5"/>
      <c r="SO190" s="5"/>
      <c r="SP190" s="5"/>
      <c r="SQ190" s="5"/>
      <c r="SR190" s="5"/>
      <c r="SS190" s="5"/>
      <c r="ST190" s="5"/>
      <c r="SU190" s="5"/>
      <c r="SV190" s="5"/>
      <c r="SW190" s="5"/>
      <c r="SX190" s="5"/>
      <c r="SY190" s="5"/>
      <c r="SZ190" s="5"/>
      <c r="TA190" s="5"/>
      <c r="TB190" s="5"/>
      <c r="TC190" s="5"/>
      <c r="TD190" s="5"/>
      <c r="TE190" s="5"/>
      <c r="TF190" s="5"/>
      <c r="TG190" s="5"/>
      <c r="TH190" s="5"/>
      <c r="TI190" s="5"/>
      <c r="TJ190" s="5"/>
      <c r="TK190" s="5"/>
      <c r="TL190" s="5"/>
      <c r="TM190" s="5"/>
      <c r="TN190" s="5"/>
      <c r="TO190" s="5"/>
      <c r="TP190" s="5"/>
      <c r="TQ190" s="5"/>
      <c r="TR190" s="5"/>
      <c r="TS190" s="5"/>
      <c r="TT190" s="5"/>
      <c r="TU190" s="5"/>
      <c r="TV190" s="5"/>
      <c r="TW190" s="5"/>
      <c r="TX190" s="5"/>
      <c r="TY190" s="5"/>
      <c r="TZ190" s="5"/>
      <c r="UA190" s="5"/>
      <c r="UB190" s="5"/>
      <c r="UC190" s="5"/>
      <c r="UD190" s="5"/>
      <c r="UE190" s="5"/>
      <c r="UF190" s="5"/>
      <c r="UG190" s="5"/>
      <c r="UH190" s="5"/>
      <c r="UI190" s="5"/>
      <c r="UJ190" s="5"/>
      <c r="UK190" s="5"/>
      <c r="UL190" s="5"/>
      <c r="UM190" s="5"/>
      <c r="UN190" s="5"/>
      <c r="UO190" s="5"/>
      <c r="UP190" s="5"/>
      <c r="UQ190" s="5"/>
      <c r="UR190" s="5"/>
      <c r="US190" s="5"/>
      <c r="UT190" s="5"/>
      <c r="UU190" s="5"/>
      <c r="UV190" s="5"/>
      <c r="UW190" s="5"/>
      <c r="UX190" s="5"/>
      <c r="UY190" s="5"/>
      <c r="UZ190" s="5"/>
      <c r="VA190" s="5"/>
      <c r="VB190" s="5"/>
      <c r="VC190" s="5"/>
      <c r="VD190" s="5"/>
      <c r="VE190" s="5"/>
      <c r="VF190" s="5"/>
      <c r="VG190" s="5"/>
      <c r="VH190" s="5"/>
      <c r="VI190" s="5"/>
      <c r="VJ190" s="5"/>
      <c r="VK190" s="5"/>
      <c r="VL190" s="5"/>
      <c r="VM190" s="5"/>
      <c r="VN190" s="5"/>
      <c r="VO190" s="5"/>
      <c r="VP190" s="5"/>
      <c r="VQ190" s="5"/>
      <c r="VR190" s="5"/>
      <c r="VS190" s="5"/>
      <c r="VT190" s="5"/>
      <c r="VU190" s="5"/>
      <c r="VV190" s="5"/>
      <c r="VW190" s="5"/>
      <c r="VX190" s="5"/>
      <c r="VY190" s="5"/>
      <c r="VZ190" s="5"/>
      <c r="WA190" s="5"/>
      <c r="WB190" s="5"/>
      <c r="WC190" s="5"/>
      <c r="WD190" s="5"/>
      <c r="WE190" s="5"/>
      <c r="WF190" s="5"/>
      <c r="WG190" s="5"/>
      <c r="WH190" s="5"/>
      <c r="WI190" s="5"/>
      <c r="WJ190" s="5"/>
      <c r="WK190" s="5"/>
      <c r="WL190" s="5"/>
      <c r="WM190" s="5"/>
      <c r="WN190" s="5"/>
      <c r="WO190" s="5"/>
      <c r="WP190" s="5"/>
      <c r="WQ190" s="5"/>
      <c r="WR190" s="5"/>
      <c r="WS190" s="5"/>
      <c r="WT190" s="5"/>
      <c r="WU190" s="5"/>
      <c r="WV190" s="5"/>
      <c r="WW190" s="5"/>
      <c r="WX190" s="5"/>
      <c r="WY190" s="5"/>
      <c r="WZ190" s="5"/>
      <c r="XA190" s="5"/>
      <c r="XB190" s="5"/>
      <c r="XC190" s="5"/>
      <c r="XD190" s="5"/>
      <c r="XE190" s="5"/>
      <c r="XF190" s="5"/>
      <c r="XG190" s="5"/>
      <c r="XH190" s="5"/>
      <c r="XI190" s="5"/>
      <c r="XJ190" s="5"/>
      <c r="XK190" s="5"/>
      <c r="XL190" s="5"/>
      <c r="XM190" s="5"/>
      <c r="XN190" s="5"/>
      <c r="XO190" s="5"/>
      <c r="XP190" s="5"/>
      <c r="XQ190" s="5"/>
      <c r="XR190" s="5"/>
      <c r="XS190" s="5"/>
      <c r="XT190" s="5"/>
      <c r="XU190" s="5"/>
      <c r="XV190" s="5"/>
      <c r="XW190" s="5"/>
      <c r="XX190" s="5"/>
      <c r="XY190" s="5"/>
      <c r="XZ190" s="5"/>
      <c r="YA190" s="5"/>
      <c r="YB190" s="5"/>
      <c r="YC190" s="5"/>
      <c r="YD190" s="5"/>
      <c r="YE190" s="5"/>
      <c r="YF190" s="5"/>
      <c r="YG190" s="5"/>
      <c r="YH190" s="5"/>
      <c r="YI190" s="5"/>
      <c r="YJ190" s="5"/>
      <c r="YK190" s="5"/>
      <c r="YL190" s="5"/>
      <c r="YM190" s="5"/>
      <c r="YN190" s="5"/>
      <c r="YO190" s="5"/>
      <c r="YP190" s="5"/>
      <c r="YQ190" s="5"/>
      <c r="YR190" s="5"/>
      <c r="YS190" s="5"/>
      <c r="YT190" s="5"/>
      <c r="YU190" s="5"/>
      <c r="YV190" s="5"/>
      <c r="YW190" s="5"/>
      <c r="YX190" s="5"/>
      <c r="YY190" s="5"/>
      <c r="YZ190" s="5"/>
    </row>
    <row r="191" spans="1:676">
      <c r="A191" s="7">
        <v>181</v>
      </c>
      <c r="B191" s="7" t="s">
        <v>449</v>
      </c>
      <c r="C191" s="10" t="s">
        <v>450</v>
      </c>
      <c r="D191" s="7" t="s">
        <v>320</v>
      </c>
      <c r="E191" s="7" t="s">
        <v>279</v>
      </c>
      <c r="F191" s="7" t="s">
        <v>386</v>
      </c>
      <c r="G191" s="7"/>
      <c r="H191" s="7" t="s">
        <v>100</v>
      </c>
      <c r="I191" s="11">
        <v>2</v>
      </c>
      <c r="J191" s="11">
        <v>3</v>
      </c>
      <c r="K191" s="11">
        <v>0.95</v>
      </c>
      <c r="L191" s="11">
        <v>4.540000000000001</v>
      </c>
      <c r="M191" s="11">
        <v>0.8500000000000001</v>
      </c>
      <c r="N191" s="11">
        <v>0</v>
      </c>
      <c r="O191" s="11">
        <v>0</v>
      </c>
      <c r="P191" s="11">
        <v>0</v>
      </c>
      <c r="Q191" s="11">
        <v>6.340000000000002</v>
      </c>
      <c r="R191" s="11">
        <v>57.19999999999997</v>
      </c>
      <c r="S191" s="11">
        <v>63.53999999999998</v>
      </c>
      <c r="T191" s="11">
        <v>2</v>
      </c>
      <c r="U191" s="11">
        <v>3</v>
      </c>
      <c r="V191" s="11">
        <v>58.53999999999998</v>
      </c>
      <c r="W191" s="13">
        <v>14</v>
      </c>
      <c r="X191" s="13">
        <v>21</v>
      </c>
      <c r="Y191" s="13" t="str">
        <f>MIN(W191,S191)</f>
        <v>0</v>
      </c>
      <c r="Z191" s="13" t="str">
        <f>MIN(X191,(S191-Y191))</f>
        <v>0</v>
      </c>
      <c r="AA191" s="13" t="str">
        <f>S191-SUM(Y191,Z191)</f>
        <v>0</v>
      </c>
      <c r="AB191" s="15"/>
      <c r="AC191" s="15"/>
      <c r="AD191" s="1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  <c r="PX191" s="5"/>
      <c r="PY191" s="5"/>
      <c r="PZ191" s="5"/>
      <c r="QA191" s="5"/>
      <c r="QB191" s="5"/>
      <c r="QC191" s="5"/>
      <c r="QD191" s="5"/>
      <c r="QE191" s="5"/>
      <c r="QF191" s="5"/>
      <c r="QG191" s="5"/>
      <c r="QH191" s="5"/>
      <c r="QI191" s="5"/>
      <c r="QJ191" s="5"/>
      <c r="QK191" s="5"/>
      <c r="QL191" s="5"/>
      <c r="QM191" s="5"/>
      <c r="QN191" s="5"/>
      <c r="QO191" s="5"/>
      <c r="QP191" s="5"/>
      <c r="QQ191" s="5"/>
      <c r="QR191" s="5"/>
      <c r="QS191" s="5"/>
      <c r="QT191" s="5"/>
      <c r="QU191" s="5"/>
      <c r="QV191" s="5"/>
      <c r="QW191" s="5"/>
      <c r="QX191" s="5"/>
      <c r="QY191" s="5"/>
      <c r="QZ191" s="5"/>
      <c r="RA191" s="5"/>
      <c r="RB191" s="5"/>
      <c r="RC191" s="5"/>
      <c r="RD191" s="5"/>
      <c r="RE191" s="5"/>
      <c r="RF191" s="5"/>
      <c r="RG191" s="5"/>
      <c r="RH191" s="5"/>
      <c r="RI191" s="5"/>
      <c r="RJ191" s="5"/>
      <c r="RK191" s="5"/>
      <c r="RL191" s="5"/>
      <c r="RM191" s="5"/>
      <c r="RN191" s="5"/>
      <c r="RO191" s="5"/>
      <c r="RP191" s="5"/>
      <c r="RQ191" s="5"/>
      <c r="RR191" s="5"/>
      <c r="RS191" s="5"/>
      <c r="RT191" s="5"/>
      <c r="RU191" s="5"/>
      <c r="RV191" s="5"/>
      <c r="RW191" s="5"/>
      <c r="RX191" s="5"/>
      <c r="RY191" s="5"/>
      <c r="RZ191" s="5"/>
      <c r="SA191" s="5"/>
      <c r="SB191" s="5"/>
      <c r="SC191" s="5"/>
      <c r="SD191" s="5"/>
      <c r="SE191" s="5"/>
      <c r="SF191" s="5"/>
      <c r="SG191" s="5"/>
      <c r="SH191" s="5"/>
      <c r="SI191" s="5"/>
      <c r="SJ191" s="5"/>
      <c r="SK191" s="5"/>
      <c r="SL191" s="5"/>
      <c r="SM191" s="5"/>
      <c r="SN191" s="5"/>
      <c r="SO191" s="5"/>
      <c r="SP191" s="5"/>
      <c r="SQ191" s="5"/>
      <c r="SR191" s="5"/>
      <c r="SS191" s="5"/>
      <c r="ST191" s="5"/>
      <c r="SU191" s="5"/>
      <c r="SV191" s="5"/>
      <c r="SW191" s="5"/>
      <c r="SX191" s="5"/>
      <c r="SY191" s="5"/>
      <c r="SZ191" s="5"/>
      <c r="TA191" s="5"/>
      <c r="TB191" s="5"/>
      <c r="TC191" s="5"/>
      <c r="TD191" s="5"/>
      <c r="TE191" s="5"/>
      <c r="TF191" s="5"/>
      <c r="TG191" s="5"/>
      <c r="TH191" s="5"/>
      <c r="TI191" s="5"/>
      <c r="TJ191" s="5"/>
      <c r="TK191" s="5"/>
      <c r="TL191" s="5"/>
      <c r="TM191" s="5"/>
      <c r="TN191" s="5"/>
      <c r="TO191" s="5"/>
      <c r="TP191" s="5"/>
      <c r="TQ191" s="5"/>
      <c r="TR191" s="5"/>
      <c r="TS191" s="5"/>
      <c r="TT191" s="5"/>
      <c r="TU191" s="5"/>
      <c r="TV191" s="5"/>
      <c r="TW191" s="5"/>
      <c r="TX191" s="5"/>
      <c r="TY191" s="5"/>
      <c r="TZ191" s="5"/>
      <c r="UA191" s="5"/>
      <c r="UB191" s="5"/>
      <c r="UC191" s="5"/>
      <c r="UD191" s="5"/>
      <c r="UE191" s="5"/>
      <c r="UF191" s="5"/>
      <c r="UG191" s="5"/>
      <c r="UH191" s="5"/>
      <c r="UI191" s="5"/>
      <c r="UJ191" s="5"/>
      <c r="UK191" s="5"/>
      <c r="UL191" s="5"/>
      <c r="UM191" s="5"/>
      <c r="UN191" s="5"/>
      <c r="UO191" s="5"/>
      <c r="UP191" s="5"/>
      <c r="UQ191" s="5"/>
      <c r="UR191" s="5"/>
      <c r="US191" s="5"/>
      <c r="UT191" s="5"/>
      <c r="UU191" s="5"/>
      <c r="UV191" s="5"/>
      <c r="UW191" s="5"/>
      <c r="UX191" s="5"/>
      <c r="UY191" s="5"/>
      <c r="UZ191" s="5"/>
      <c r="VA191" s="5"/>
      <c r="VB191" s="5"/>
      <c r="VC191" s="5"/>
      <c r="VD191" s="5"/>
      <c r="VE191" s="5"/>
      <c r="VF191" s="5"/>
      <c r="VG191" s="5"/>
      <c r="VH191" s="5"/>
      <c r="VI191" s="5"/>
      <c r="VJ191" s="5"/>
      <c r="VK191" s="5"/>
      <c r="VL191" s="5"/>
      <c r="VM191" s="5"/>
      <c r="VN191" s="5"/>
      <c r="VO191" s="5"/>
      <c r="VP191" s="5"/>
      <c r="VQ191" s="5"/>
      <c r="VR191" s="5"/>
      <c r="VS191" s="5"/>
      <c r="VT191" s="5"/>
      <c r="VU191" s="5"/>
      <c r="VV191" s="5"/>
      <c r="VW191" s="5"/>
      <c r="VX191" s="5"/>
      <c r="VY191" s="5"/>
      <c r="VZ191" s="5"/>
      <c r="WA191" s="5"/>
      <c r="WB191" s="5"/>
      <c r="WC191" s="5"/>
      <c r="WD191" s="5"/>
      <c r="WE191" s="5"/>
      <c r="WF191" s="5"/>
      <c r="WG191" s="5"/>
      <c r="WH191" s="5"/>
      <c r="WI191" s="5"/>
      <c r="WJ191" s="5"/>
      <c r="WK191" s="5"/>
      <c r="WL191" s="5"/>
      <c r="WM191" s="5"/>
      <c r="WN191" s="5"/>
      <c r="WO191" s="5"/>
      <c r="WP191" s="5"/>
      <c r="WQ191" s="5"/>
      <c r="WR191" s="5"/>
      <c r="WS191" s="5"/>
      <c r="WT191" s="5"/>
      <c r="WU191" s="5"/>
      <c r="WV191" s="5"/>
      <c r="WW191" s="5"/>
      <c r="WX191" s="5"/>
      <c r="WY191" s="5"/>
      <c r="WZ191" s="5"/>
      <c r="XA191" s="5"/>
      <c r="XB191" s="5"/>
      <c r="XC191" s="5"/>
      <c r="XD191" s="5"/>
      <c r="XE191" s="5"/>
      <c r="XF191" s="5"/>
      <c r="XG191" s="5"/>
      <c r="XH191" s="5"/>
      <c r="XI191" s="5"/>
      <c r="XJ191" s="5"/>
      <c r="XK191" s="5"/>
      <c r="XL191" s="5"/>
      <c r="XM191" s="5"/>
      <c r="XN191" s="5"/>
      <c r="XO191" s="5"/>
      <c r="XP191" s="5"/>
      <c r="XQ191" s="5"/>
      <c r="XR191" s="5"/>
      <c r="XS191" s="5"/>
      <c r="XT191" s="5"/>
      <c r="XU191" s="5"/>
      <c r="XV191" s="5"/>
      <c r="XW191" s="5"/>
      <c r="XX191" s="5"/>
      <c r="XY191" s="5"/>
      <c r="XZ191" s="5"/>
      <c r="YA191" s="5"/>
      <c r="YB191" s="5"/>
      <c r="YC191" s="5"/>
      <c r="YD191" s="5"/>
      <c r="YE191" s="5"/>
      <c r="YF191" s="5"/>
      <c r="YG191" s="5"/>
      <c r="YH191" s="5"/>
      <c r="YI191" s="5"/>
      <c r="YJ191" s="5"/>
      <c r="YK191" s="5"/>
      <c r="YL191" s="5"/>
      <c r="YM191" s="5"/>
      <c r="YN191" s="5"/>
      <c r="YO191" s="5"/>
      <c r="YP191" s="5"/>
      <c r="YQ191" s="5"/>
      <c r="YR191" s="5"/>
      <c r="YS191" s="5"/>
      <c r="YT191" s="5"/>
      <c r="YU191" s="5"/>
      <c r="YV191" s="5"/>
      <c r="YW191" s="5"/>
      <c r="YX191" s="5"/>
      <c r="YY191" s="5"/>
      <c r="YZ191" s="5"/>
    </row>
    <row r="192" spans="1:676">
      <c r="A192" s="7">
        <v>182</v>
      </c>
      <c r="B192" s="7" t="s">
        <v>451</v>
      </c>
      <c r="C192" s="10" t="s">
        <v>452</v>
      </c>
      <c r="D192" s="7" t="s">
        <v>74</v>
      </c>
      <c r="E192" s="7" t="s">
        <v>116</v>
      </c>
      <c r="F192" s="7" t="s">
        <v>389</v>
      </c>
      <c r="G192" s="7"/>
      <c r="H192" s="7" t="s">
        <v>52</v>
      </c>
      <c r="I192" s="11">
        <v>2</v>
      </c>
      <c r="J192" s="11">
        <v>3</v>
      </c>
      <c r="K192" s="11">
        <v>0</v>
      </c>
      <c r="L192" s="11">
        <v>0</v>
      </c>
      <c r="M192" s="11">
        <v>0</v>
      </c>
      <c r="N192" s="11">
        <v>0</v>
      </c>
      <c r="O192" s="11">
        <v>0.18</v>
      </c>
      <c r="P192" s="11">
        <v>0</v>
      </c>
      <c r="Q192" s="11">
        <v>0.18</v>
      </c>
      <c r="R192" s="11">
        <v>1.26</v>
      </c>
      <c r="S192" s="11">
        <v>1.44</v>
      </c>
      <c r="T192" s="11">
        <v>1.44</v>
      </c>
      <c r="U192" s="11">
        <v>0</v>
      </c>
      <c r="V192" s="11">
        <v>0</v>
      </c>
      <c r="W192" s="13">
        <v>14</v>
      </c>
      <c r="X192" s="13">
        <v>21</v>
      </c>
      <c r="Y192" s="13" t="str">
        <f>MIN(W192,S192)</f>
        <v>0</v>
      </c>
      <c r="Z192" s="13" t="str">
        <f>MIN(X192,(S192-Y192))</f>
        <v>0</v>
      </c>
      <c r="AA192" s="13" t="str">
        <f>S192-SUM(Y192,Z192)</f>
        <v>0</v>
      </c>
      <c r="AB192" s="15"/>
      <c r="AC192" s="15"/>
      <c r="AD192" s="1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  <c r="PX192" s="5"/>
      <c r="PY192" s="5"/>
      <c r="PZ192" s="5"/>
      <c r="QA192" s="5"/>
      <c r="QB192" s="5"/>
      <c r="QC192" s="5"/>
      <c r="QD192" s="5"/>
      <c r="QE192" s="5"/>
      <c r="QF192" s="5"/>
      <c r="QG192" s="5"/>
      <c r="QH192" s="5"/>
      <c r="QI192" s="5"/>
      <c r="QJ192" s="5"/>
      <c r="QK192" s="5"/>
      <c r="QL192" s="5"/>
      <c r="QM192" s="5"/>
      <c r="QN192" s="5"/>
      <c r="QO192" s="5"/>
      <c r="QP192" s="5"/>
      <c r="QQ192" s="5"/>
      <c r="QR192" s="5"/>
      <c r="QS192" s="5"/>
      <c r="QT192" s="5"/>
      <c r="QU192" s="5"/>
      <c r="QV192" s="5"/>
      <c r="QW192" s="5"/>
      <c r="QX192" s="5"/>
      <c r="QY192" s="5"/>
      <c r="QZ192" s="5"/>
      <c r="RA192" s="5"/>
      <c r="RB192" s="5"/>
      <c r="RC192" s="5"/>
      <c r="RD192" s="5"/>
      <c r="RE192" s="5"/>
      <c r="RF192" s="5"/>
      <c r="RG192" s="5"/>
      <c r="RH192" s="5"/>
      <c r="RI192" s="5"/>
      <c r="RJ192" s="5"/>
      <c r="RK192" s="5"/>
      <c r="RL192" s="5"/>
      <c r="RM192" s="5"/>
      <c r="RN192" s="5"/>
      <c r="RO192" s="5"/>
      <c r="RP192" s="5"/>
      <c r="RQ192" s="5"/>
      <c r="RR192" s="5"/>
      <c r="RS192" s="5"/>
      <c r="RT192" s="5"/>
      <c r="RU192" s="5"/>
      <c r="RV192" s="5"/>
      <c r="RW192" s="5"/>
      <c r="RX192" s="5"/>
      <c r="RY192" s="5"/>
      <c r="RZ192" s="5"/>
      <c r="SA192" s="5"/>
      <c r="SB192" s="5"/>
      <c r="SC192" s="5"/>
      <c r="SD192" s="5"/>
      <c r="SE192" s="5"/>
      <c r="SF192" s="5"/>
      <c r="SG192" s="5"/>
      <c r="SH192" s="5"/>
      <c r="SI192" s="5"/>
      <c r="SJ192" s="5"/>
      <c r="SK192" s="5"/>
      <c r="SL192" s="5"/>
      <c r="SM192" s="5"/>
      <c r="SN192" s="5"/>
      <c r="SO192" s="5"/>
      <c r="SP192" s="5"/>
      <c r="SQ192" s="5"/>
      <c r="SR192" s="5"/>
      <c r="SS192" s="5"/>
      <c r="ST192" s="5"/>
      <c r="SU192" s="5"/>
      <c r="SV192" s="5"/>
      <c r="SW192" s="5"/>
      <c r="SX192" s="5"/>
      <c r="SY192" s="5"/>
      <c r="SZ192" s="5"/>
      <c r="TA192" s="5"/>
      <c r="TB192" s="5"/>
      <c r="TC192" s="5"/>
      <c r="TD192" s="5"/>
      <c r="TE192" s="5"/>
      <c r="TF192" s="5"/>
      <c r="TG192" s="5"/>
      <c r="TH192" s="5"/>
      <c r="TI192" s="5"/>
      <c r="TJ192" s="5"/>
      <c r="TK192" s="5"/>
      <c r="TL192" s="5"/>
      <c r="TM192" s="5"/>
      <c r="TN192" s="5"/>
      <c r="TO192" s="5"/>
      <c r="TP192" s="5"/>
      <c r="TQ192" s="5"/>
      <c r="TR192" s="5"/>
      <c r="TS192" s="5"/>
      <c r="TT192" s="5"/>
      <c r="TU192" s="5"/>
      <c r="TV192" s="5"/>
      <c r="TW192" s="5"/>
      <c r="TX192" s="5"/>
      <c r="TY192" s="5"/>
      <c r="TZ192" s="5"/>
      <c r="UA192" s="5"/>
      <c r="UB192" s="5"/>
      <c r="UC192" s="5"/>
      <c r="UD192" s="5"/>
      <c r="UE192" s="5"/>
      <c r="UF192" s="5"/>
      <c r="UG192" s="5"/>
      <c r="UH192" s="5"/>
      <c r="UI192" s="5"/>
      <c r="UJ192" s="5"/>
      <c r="UK192" s="5"/>
      <c r="UL192" s="5"/>
      <c r="UM192" s="5"/>
      <c r="UN192" s="5"/>
      <c r="UO192" s="5"/>
      <c r="UP192" s="5"/>
      <c r="UQ192" s="5"/>
      <c r="UR192" s="5"/>
      <c r="US192" s="5"/>
      <c r="UT192" s="5"/>
      <c r="UU192" s="5"/>
      <c r="UV192" s="5"/>
      <c r="UW192" s="5"/>
      <c r="UX192" s="5"/>
      <c r="UY192" s="5"/>
      <c r="UZ192" s="5"/>
      <c r="VA192" s="5"/>
      <c r="VB192" s="5"/>
      <c r="VC192" s="5"/>
      <c r="VD192" s="5"/>
      <c r="VE192" s="5"/>
      <c r="VF192" s="5"/>
      <c r="VG192" s="5"/>
      <c r="VH192" s="5"/>
      <c r="VI192" s="5"/>
      <c r="VJ192" s="5"/>
      <c r="VK192" s="5"/>
      <c r="VL192" s="5"/>
      <c r="VM192" s="5"/>
      <c r="VN192" s="5"/>
      <c r="VO192" s="5"/>
      <c r="VP192" s="5"/>
      <c r="VQ192" s="5"/>
      <c r="VR192" s="5"/>
      <c r="VS192" s="5"/>
      <c r="VT192" s="5"/>
      <c r="VU192" s="5"/>
      <c r="VV192" s="5"/>
      <c r="VW192" s="5"/>
      <c r="VX192" s="5"/>
      <c r="VY192" s="5"/>
      <c r="VZ192" s="5"/>
      <c r="WA192" s="5"/>
      <c r="WB192" s="5"/>
      <c r="WC192" s="5"/>
      <c r="WD192" s="5"/>
      <c r="WE192" s="5"/>
      <c r="WF192" s="5"/>
      <c r="WG192" s="5"/>
      <c r="WH192" s="5"/>
      <c r="WI192" s="5"/>
      <c r="WJ192" s="5"/>
      <c r="WK192" s="5"/>
      <c r="WL192" s="5"/>
      <c r="WM192" s="5"/>
      <c r="WN192" s="5"/>
      <c r="WO192" s="5"/>
      <c r="WP192" s="5"/>
      <c r="WQ192" s="5"/>
      <c r="WR192" s="5"/>
      <c r="WS192" s="5"/>
      <c r="WT192" s="5"/>
      <c r="WU192" s="5"/>
      <c r="WV192" s="5"/>
      <c r="WW192" s="5"/>
      <c r="WX192" s="5"/>
      <c r="WY192" s="5"/>
      <c r="WZ192" s="5"/>
      <c r="XA192" s="5"/>
      <c r="XB192" s="5"/>
      <c r="XC192" s="5"/>
      <c r="XD192" s="5"/>
      <c r="XE192" s="5"/>
      <c r="XF192" s="5"/>
      <c r="XG192" s="5"/>
      <c r="XH192" s="5"/>
      <c r="XI192" s="5"/>
      <c r="XJ192" s="5"/>
      <c r="XK192" s="5"/>
      <c r="XL192" s="5"/>
      <c r="XM192" s="5"/>
      <c r="XN192" s="5"/>
      <c r="XO192" s="5"/>
      <c r="XP192" s="5"/>
      <c r="XQ192" s="5"/>
      <c r="XR192" s="5"/>
      <c r="XS192" s="5"/>
      <c r="XT192" s="5"/>
      <c r="XU192" s="5"/>
      <c r="XV192" s="5"/>
      <c r="XW192" s="5"/>
      <c r="XX192" s="5"/>
      <c r="XY192" s="5"/>
      <c r="XZ192" s="5"/>
      <c r="YA192" s="5"/>
      <c r="YB192" s="5"/>
      <c r="YC192" s="5"/>
      <c r="YD192" s="5"/>
      <c r="YE192" s="5"/>
      <c r="YF192" s="5"/>
      <c r="YG192" s="5"/>
      <c r="YH192" s="5"/>
      <c r="YI192" s="5"/>
      <c r="YJ192" s="5"/>
      <c r="YK192" s="5"/>
      <c r="YL192" s="5"/>
      <c r="YM192" s="5"/>
      <c r="YN192" s="5"/>
      <c r="YO192" s="5"/>
      <c r="YP192" s="5"/>
      <c r="YQ192" s="5"/>
      <c r="YR192" s="5"/>
      <c r="YS192" s="5"/>
      <c r="YT192" s="5"/>
      <c r="YU192" s="5"/>
      <c r="YV192" s="5"/>
      <c r="YW192" s="5"/>
      <c r="YX192" s="5"/>
      <c r="YY192" s="5"/>
      <c r="YZ192" s="5"/>
    </row>
    <row r="193" spans="1:676">
      <c r="A193" s="7">
        <v>183</v>
      </c>
      <c r="B193" s="7" t="s">
        <v>453</v>
      </c>
      <c r="C193" s="10" t="s">
        <v>454</v>
      </c>
      <c r="D193" s="7" t="s">
        <v>296</v>
      </c>
      <c r="E193" s="7" t="s">
        <v>279</v>
      </c>
      <c r="F193" s="7" t="s">
        <v>389</v>
      </c>
      <c r="G193" s="7"/>
      <c r="H193" s="7" t="s">
        <v>52</v>
      </c>
      <c r="I193" s="11">
        <v>2</v>
      </c>
      <c r="J193" s="11">
        <v>3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0.18</v>
      </c>
      <c r="S193" s="11">
        <v>0.18</v>
      </c>
      <c r="T193" s="11">
        <v>0.18</v>
      </c>
      <c r="U193" s="11">
        <v>0</v>
      </c>
      <c r="V193" s="11">
        <v>0</v>
      </c>
      <c r="W193" s="13">
        <v>14</v>
      </c>
      <c r="X193" s="13">
        <v>21</v>
      </c>
      <c r="Y193" s="13" t="str">
        <f>MIN(W193,S193)</f>
        <v>0</v>
      </c>
      <c r="Z193" s="13" t="str">
        <f>MIN(X193,(S193-Y193))</f>
        <v>0</v>
      </c>
      <c r="AA193" s="13" t="str">
        <f>S193-SUM(Y193,Z193)</f>
        <v>0</v>
      </c>
      <c r="AB193" s="15"/>
      <c r="AC193" s="15"/>
      <c r="AD193" s="1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  <c r="PX193" s="5"/>
      <c r="PY193" s="5"/>
      <c r="PZ193" s="5"/>
      <c r="QA193" s="5"/>
      <c r="QB193" s="5"/>
      <c r="QC193" s="5"/>
      <c r="QD193" s="5"/>
      <c r="QE193" s="5"/>
      <c r="QF193" s="5"/>
      <c r="QG193" s="5"/>
      <c r="QH193" s="5"/>
      <c r="QI193" s="5"/>
      <c r="QJ193" s="5"/>
      <c r="QK193" s="5"/>
      <c r="QL193" s="5"/>
      <c r="QM193" s="5"/>
      <c r="QN193" s="5"/>
      <c r="QO193" s="5"/>
      <c r="QP193" s="5"/>
      <c r="QQ193" s="5"/>
      <c r="QR193" s="5"/>
      <c r="QS193" s="5"/>
      <c r="QT193" s="5"/>
      <c r="QU193" s="5"/>
      <c r="QV193" s="5"/>
      <c r="QW193" s="5"/>
      <c r="QX193" s="5"/>
      <c r="QY193" s="5"/>
      <c r="QZ193" s="5"/>
      <c r="RA193" s="5"/>
      <c r="RB193" s="5"/>
      <c r="RC193" s="5"/>
      <c r="RD193" s="5"/>
      <c r="RE193" s="5"/>
      <c r="RF193" s="5"/>
      <c r="RG193" s="5"/>
      <c r="RH193" s="5"/>
      <c r="RI193" s="5"/>
      <c r="RJ193" s="5"/>
      <c r="RK193" s="5"/>
      <c r="RL193" s="5"/>
      <c r="RM193" s="5"/>
      <c r="RN193" s="5"/>
      <c r="RO193" s="5"/>
      <c r="RP193" s="5"/>
      <c r="RQ193" s="5"/>
      <c r="RR193" s="5"/>
      <c r="RS193" s="5"/>
      <c r="RT193" s="5"/>
      <c r="RU193" s="5"/>
      <c r="RV193" s="5"/>
      <c r="RW193" s="5"/>
      <c r="RX193" s="5"/>
      <c r="RY193" s="5"/>
      <c r="RZ193" s="5"/>
      <c r="SA193" s="5"/>
      <c r="SB193" s="5"/>
      <c r="SC193" s="5"/>
      <c r="SD193" s="5"/>
      <c r="SE193" s="5"/>
      <c r="SF193" s="5"/>
      <c r="SG193" s="5"/>
      <c r="SH193" s="5"/>
      <c r="SI193" s="5"/>
      <c r="SJ193" s="5"/>
      <c r="SK193" s="5"/>
      <c r="SL193" s="5"/>
      <c r="SM193" s="5"/>
      <c r="SN193" s="5"/>
      <c r="SO193" s="5"/>
      <c r="SP193" s="5"/>
      <c r="SQ193" s="5"/>
      <c r="SR193" s="5"/>
      <c r="SS193" s="5"/>
      <c r="ST193" s="5"/>
      <c r="SU193" s="5"/>
      <c r="SV193" s="5"/>
      <c r="SW193" s="5"/>
      <c r="SX193" s="5"/>
      <c r="SY193" s="5"/>
      <c r="SZ193" s="5"/>
      <c r="TA193" s="5"/>
      <c r="TB193" s="5"/>
      <c r="TC193" s="5"/>
      <c r="TD193" s="5"/>
      <c r="TE193" s="5"/>
      <c r="TF193" s="5"/>
      <c r="TG193" s="5"/>
      <c r="TH193" s="5"/>
      <c r="TI193" s="5"/>
      <c r="TJ193" s="5"/>
      <c r="TK193" s="5"/>
      <c r="TL193" s="5"/>
      <c r="TM193" s="5"/>
      <c r="TN193" s="5"/>
      <c r="TO193" s="5"/>
      <c r="TP193" s="5"/>
      <c r="TQ193" s="5"/>
      <c r="TR193" s="5"/>
      <c r="TS193" s="5"/>
      <c r="TT193" s="5"/>
      <c r="TU193" s="5"/>
      <c r="TV193" s="5"/>
      <c r="TW193" s="5"/>
      <c r="TX193" s="5"/>
      <c r="TY193" s="5"/>
      <c r="TZ193" s="5"/>
      <c r="UA193" s="5"/>
      <c r="UB193" s="5"/>
      <c r="UC193" s="5"/>
      <c r="UD193" s="5"/>
      <c r="UE193" s="5"/>
      <c r="UF193" s="5"/>
      <c r="UG193" s="5"/>
      <c r="UH193" s="5"/>
      <c r="UI193" s="5"/>
      <c r="UJ193" s="5"/>
      <c r="UK193" s="5"/>
      <c r="UL193" s="5"/>
      <c r="UM193" s="5"/>
      <c r="UN193" s="5"/>
      <c r="UO193" s="5"/>
      <c r="UP193" s="5"/>
      <c r="UQ193" s="5"/>
      <c r="UR193" s="5"/>
      <c r="US193" s="5"/>
      <c r="UT193" s="5"/>
      <c r="UU193" s="5"/>
      <c r="UV193" s="5"/>
      <c r="UW193" s="5"/>
      <c r="UX193" s="5"/>
      <c r="UY193" s="5"/>
      <c r="UZ193" s="5"/>
      <c r="VA193" s="5"/>
      <c r="VB193" s="5"/>
      <c r="VC193" s="5"/>
      <c r="VD193" s="5"/>
      <c r="VE193" s="5"/>
      <c r="VF193" s="5"/>
      <c r="VG193" s="5"/>
      <c r="VH193" s="5"/>
      <c r="VI193" s="5"/>
      <c r="VJ193" s="5"/>
      <c r="VK193" s="5"/>
      <c r="VL193" s="5"/>
      <c r="VM193" s="5"/>
      <c r="VN193" s="5"/>
      <c r="VO193" s="5"/>
      <c r="VP193" s="5"/>
      <c r="VQ193" s="5"/>
      <c r="VR193" s="5"/>
      <c r="VS193" s="5"/>
      <c r="VT193" s="5"/>
      <c r="VU193" s="5"/>
      <c r="VV193" s="5"/>
      <c r="VW193" s="5"/>
      <c r="VX193" s="5"/>
      <c r="VY193" s="5"/>
      <c r="VZ193" s="5"/>
      <c r="WA193" s="5"/>
      <c r="WB193" s="5"/>
      <c r="WC193" s="5"/>
      <c r="WD193" s="5"/>
      <c r="WE193" s="5"/>
      <c r="WF193" s="5"/>
      <c r="WG193" s="5"/>
      <c r="WH193" s="5"/>
      <c r="WI193" s="5"/>
      <c r="WJ193" s="5"/>
      <c r="WK193" s="5"/>
      <c r="WL193" s="5"/>
      <c r="WM193" s="5"/>
      <c r="WN193" s="5"/>
      <c r="WO193" s="5"/>
      <c r="WP193" s="5"/>
      <c r="WQ193" s="5"/>
      <c r="WR193" s="5"/>
      <c r="WS193" s="5"/>
      <c r="WT193" s="5"/>
      <c r="WU193" s="5"/>
      <c r="WV193" s="5"/>
      <c r="WW193" s="5"/>
      <c r="WX193" s="5"/>
      <c r="WY193" s="5"/>
      <c r="WZ193" s="5"/>
      <c r="XA193" s="5"/>
      <c r="XB193" s="5"/>
      <c r="XC193" s="5"/>
      <c r="XD193" s="5"/>
      <c r="XE193" s="5"/>
      <c r="XF193" s="5"/>
      <c r="XG193" s="5"/>
      <c r="XH193" s="5"/>
      <c r="XI193" s="5"/>
      <c r="XJ193" s="5"/>
      <c r="XK193" s="5"/>
      <c r="XL193" s="5"/>
      <c r="XM193" s="5"/>
      <c r="XN193" s="5"/>
      <c r="XO193" s="5"/>
      <c r="XP193" s="5"/>
      <c r="XQ193" s="5"/>
      <c r="XR193" s="5"/>
      <c r="XS193" s="5"/>
      <c r="XT193" s="5"/>
      <c r="XU193" s="5"/>
      <c r="XV193" s="5"/>
      <c r="XW193" s="5"/>
      <c r="XX193" s="5"/>
      <c r="XY193" s="5"/>
      <c r="XZ193" s="5"/>
      <c r="YA193" s="5"/>
      <c r="YB193" s="5"/>
      <c r="YC193" s="5"/>
      <c r="YD193" s="5"/>
      <c r="YE193" s="5"/>
      <c r="YF193" s="5"/>
      <c r="YG193" s="5"/>
      <c r="YH193" s="5"/>
      <c r="YI193" s="5"/>
      <c r="YJ193" s="5"/>
      <c r="YK193" s="5"/>
      <c r="YL193" s="5"/>
      <c r="YM193" s="5"/>
      <c r="YN193" s="5"/>
      <c r="YO193" s="5"/>
      <c r="YP193" s="5"/>
      <c r="YQ193" s="5"/>
      <c r="YR193" s="5"/>
      <c r="YS193" s="5"/>
      <c r="YT193" s="5"/>
      <c r="YU193" s="5"/>
      <c r="YV193" s="5"/>
      <c r="YW193" s="5"/>
      <c r="YX193" s="5"/>
      <c r="YY193" s="5"/>
      <c r="YZ193" s="5"/>
    </row>
    <row r="194" spans="1:676">
      <c r="A194" s="7">
        <v>184</v>
      </c>
      <c r="B194" s="7" t="s">
        <v>455</v>
      </c>
      <c r="C194" s="10" t="s">
        <v>456</v>
      </c>
      <c r="D194" s="7" t="s">
        <v>93</v>
      </c>
      <c r="E194" s="7" t="s">
        <v>381</v>
      </c>
      <c r="F194" s="7" t="s">
        <v>386</v>
      </c>
      <c r="G194" s="7"/>
      <c r="H194" s="7" t="s">
        <v>52</v>
      </c>
      <c r="I194" s="11">
        <v>2</v>
      </c>
      <c r="J194" s="11">
        <v>3</v>
      </c>
      <c r="K194" s="11">
        <v>0</v>
      </c>
      <c r="L194" s="11">
        <v>0.12</v>
      </c>
      <c r="M194" s="11">
        <v>0.59</v>
      </c>
      <c r="N194" s="11">
        <v>0</v>
      </c>
      <c r="O194" s="11">
        <v>0.02</v>
      </c>
      <c r="P194" s="11">
        <v>0</v>
      </c>
      <c r="Q194" s="11">
        <v>0.73</v>
      </c>
      <c r="R194" s="11">
        <v>21.27000000000001</v>
      </c>
      <c r="S194" s="11">
        <v>22.00000000000001</v>
      </c>
      <c r="T194" s="11">
        <v>2</v>
      </c>
      <c r="U194" s="11">
        <v>3</v>
      </c>
      <c r="V194" s="11">
        <v>17.00000000000001</v>
      </c>
      <c r="W194" s="13">
        <v>14</v>
      </c>
      <c r="X194" s="13">
        <v>21</v>
      </c>
      <c r="Y194" s="13" t="str">
        <f>MIN(W194,S194)</f>
        <v>0</v>
      </c>
      <c r="Z194" s="13" t="str">
        <f>MIN(X194,(S194-Y194))</f>
        <v>0</v>
      </c>
      <c r="AA194" s="13" t="str">
        <f>S194-SUM(Y194,Z194)</f>
        <v>0</v>
      </c>
      <c r="AB194" s="15"/>
      <c r="AC194" s="15"/>
      <c r="AD194" s="1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  <c r="PX194" s="5"/>
      <c r="PY194" s="5"/>
      <c r="PZ194" s="5"/>
      <c r="QA194" s="5"/>
      <c r="QB194" s="5"/>
      <c r="QC194" s="5"/>
      <c r="QD194" s="5"/>
      <c r="QE194" s="5"/>
      <c r="QF194" s="5"/>
      <c r="QG194" s="5"/>
      <c r="QH194" s="5"/>
      <c r="QI194" s="5"/>
      <c r="QJ194" s="5"/>
      <c r="QK194" s="5"/>
      <c r="QL194" s="5"/>
      <c r="QM194" s="5"/>
      <c r="QN194" s="5"/>
      <c r="QO194" s="5"/>
      <c r="QP194" s="5"/>
      <c r="QQ194" s="5"/>
      <c r="QR194" s="5"/>
      <c r="QS194" s="5"/>
      <c r="QT194" s="5"/>
      <c r="QU194" s="5"/>
      <c r="QV194" s="5"/>
      <c r="QW194" s="5"/>
      <c r="QX194" s="5"/>
      <c r="QY194" s="5"/>
      <c r="QZ194" s="5"/>
      <c r="RA194" s="5"/>
      <c r="RB194" s="5"/>
      <c r="RC194" s="5"/>
      <c r="RD194" s="5"/>
      <c r="RE194" s="5"/>
      <c r="RF194" s="5"/>
      <c r="RG194" s="5"/>
      <c r="RH194" s="5"/>
      <c r="RI194" s="5"/>
      <c r="RJ194" s="5"/>
      <c r="RK194" s="5"/>
      <c r="RL194" s="5"/>
      <c r="RM194" s="5"/>
      <c r="RN194" s="5"/>
      <c r="RO194" s="5"/>
      <c r="RP194" s="5"/>
      <c r="RQ194" s="5"/>
      <c r="RR194" s="5"/>
      <c r="RS194" s="5"/>
      <c r="RT194" s="5"/>
      <c r="RU194" s="5"/>
      <c r="RV194" s="5"/>
      <c r="RW194" s="5"/>
      <c r="RX194" s="5"/>
      <c r="RY194" s="5"/>
      <c r="RZ194" s="5"/>
      <c r="SA194" s="5"/>
      <c r="SB194" s="5"/>
      <c r="SC194" s="5"/>
      <c r="SD194" s="5"/>
      <c r="SE194" s="5"/>
      <c r="SF194" s="5"/>
      <c r="SG194" s="5"/>
      <c r="SH194" s="5"/>
      <c r="SI194" s="5"/>
      <c r="SJ194" s="5"/>
      <c r="SK194" s="5"/>
      <c r="SL194" s="5"/>
      <c r="SM194" s="5"/>
      <c r="SN194" s="5"/>
      <c r="SO194" s="5"/>
      <c r="SP194" s="5"/>
      <c r="SQ194" s="5"/>
      <c r="SR194" s="5"/>
      <c r="SS194" s="5"/>
      <c r="ST194" s="5"/>
      <c r="SU194" s="5"/>
      <c r="SV194" s="5"/>
      <c r="SW194" s="5"/>
      <c r="SX194" s="5"/>
      <c r="SY194" s="5"/>
      <c r="SZ194" s="5"/>
      <c r="TA194" s="5"/>
      <c r="TB194" s="5"/>
      <c r="TC194" s="5"/>
      <c r="TD194" s="5"/>
      <c r="TE194" s="5"/>
      <c r="TF194" s="5"/>
      <c r="TG194" s="5"/>
      <c r="TH194" s="5"/>
      <c r="TI194" s="5"/>
      <c r="TJ194" s="5"/>
      <c r="TK194" s="5"/>
      <c r="TL194" s="5"/>
      <c r="TM194" s="5"/>
      <c r="TN194" s="5"/>
      <c r="TO194" s="5"/>
      <c r="TP194" s="5"/>
      <c r="TQ194" s="5"/>
      <c r="TR194" s="5"/>
      <c r="TS194" s="5"/>
      <c r="TT194" s="5"/>
      <c r="TU194" s="5"/>
      <c r="TV194" s="5"/>
      <c r="TW194" s="5"/>
      <c r="TX194" s="5"/>
      <c r="TY194" s="5"/>
      <c r="TZ194" s="5"/>
      <c r="UA194" s="5"/>
      <c r="UB194" s="5"/>
      <c r="UC194" s="5"/>
      <c r="UD194" s="5"/>
      <c r="UE194" s="5"/>
      <c r="UF194" s="5"/>
      <c r="UG194" s="5"/>
      <c r="UH194" s="5"/>
      <c r="UI194" s="5"/>
      <c r="UJ194" s="5"/>
      <c r="UK194" s="5"/>
      <c r="UL194" s="5"/>
      <c r="UM194" s="5"/>
      <c r="UN194" s="5"/>
      <c r="UO194" s="5"/>
      <c r="UP194" s="5"/>
      <c r="UQ194" s="5"/>
      <c r="UR194" s="5"/>
      <c r="US194" s="5"/>
      <c r="UT194" s="5"/>
      <c r="UU194" s="5"/>
      <c r="UV194" s="5"/>
      <c r="UW194" s="5"/>
      <c r="UX194" s="5"/>
      <c r="UY194" s="5"/>
      <c r="UZ194" s="5"/>
      <c r="VA194" s="5"/>
      <c r="VB194" s="5"/>
      <c r="VC194" s="5"/>
      <c r="VD194" s="5"/>
      <c r="VE194" s="5"/>
      <c r="VF194" s="5"/>
      <c r="VG194" s="5"/>
      <c r="VH194" s="5"/>
      <c r="VI194" s="5"/>
      <c r="VJ194" s="5"/>
      <c r="VK194" s="5"/>
      <c r="VL194" s="5"/>
      <c r="VM194" s="5"/>
      <c r="VN194" s="5"/>
      <c r="VO194" s="5"/>
      <c r="VP194" s="5"/>
      <c r="VQ194" s="5"/>
      <c r="VR194" s="5"/>
      <c r="VS194" s="5"/>
      <c r="VT194" s="5"/>
      <c r="VU194" s="5"/>
      <c r="VV194" s="5"/>
      <c r="VW194" s="5"/>
      <c r="VX194" s="5"/>
      <c r="VY194" s="5"/>
      <c r="VZ194" s="5"/>
      <c r="WA194" s="5"/>
      <c r="WB194" s="5"/>
      <c r="WC194" s="5"/>
      <c r="WD194" s="5"/>
      <c r="WE194" s="5"/>
      <c r="WF194" s="5"/>
      <c r="WG194" s="5"/>
      <c r="WH194" s="5"/>
      <c r="WI194" s="5"/>
      <c r="WJ194" s="5"/>
      <c r="WK194" s="5"/>
      <c r="WL194" s="5"/>
      <c r="WM194" s="5"/>
      <c r="WN194" s="5"/>
      <c r="WO194" s="5"/>
      <c r="WP194" s="5"/>
      <c r="WQ194" s="5"/>
      <c r="WR194" s="5"/>
      <c r="WS194" s="5"/>
      <c r="WT194" s="5"/>
      <c r="WU194" s="5"/>
      <c r="WV194" s="5"/>
      <c r="WW194" s="5"/>
      <c r="WX194" s="5"/>
      <c r="WY194" s="5"/>
      <c r="WZ194" s="5"/>
      <c r="XA194" s="5"/>
      <c r="XB194" s="5"/>
      <c r="XC194" s="5"/>
      <c r="XD194" s="5"/>
      <c r="XE194" s="5"/>
      <c r="XF194" s="5"/>
      <c r="XG194" s="5"/>
      <c r="XH194" s="5"/>
      <c r="XI194" s="5"/>
      <c r="XJ194" s="5"/>
      <c r="XK194" s="5"/>
      <c r="XL194" s="5"/>
      <c r="XM194" s="5"/>
      <c r="XN194" s="5"/>
      <c r="XO194" s="5"/>
      <c r="XP194" s="5"/>
      <c r="XQ194" s="5"/>
      <c r="XR194" s="5"/>
      <c r="XS194" s="5"/>
      <c r="XT194" s="5"/>
      <c r="XU194" s="5"/>
      <c r="XV194" s="5"/>
      <c r="XW194" s="5"/>
      <c r="XX194" s="5"/>
      <c r="XY194" s="5"/>
      <c r="XZ194" s="5"/>
      <c r="YA194" s="5"/>
      <c r="YB194" s="5"/>
      <c r="YC194" s="5"/>
      <c r="YD194" s="5"/>
      <c r="YE194" s="5"/>
      <c r="YF194" s="5"/>
      <c r="YG194" s="5"/>
      <c r="YH194" s="5"/>
      <c r="YI194" s="5"/>
      <c r="YJ194" s="5"/>
      <c r="YK194" s="5"/>
      <c r="YL194" s="5"/>
      <c r="YM194" s="5"/>
      <c r="YN194" s="5"/>
      <c r="YO194" s="5"/>
      <c r="YP194" s="5"/>
      <c r="YQ194" s="5"/>
      <c r="YR194" s="5"/>
      <c r="YS194" s="5"/>
      <c r="YT194" s="5"/>
      <c r="YU194" s="5"/>
      <c r="YV194" s="5"/>
      <c r="YW194" s="5"/>
      <c r="YX194" s="5"/>
      <c r="YY194" s="5"/>
      <c r="YZ194" s="5"/>
    </row>
    <row r="195" spans="1:676">
      <c r="A195" s="7">
        <v>185</v>
      </c>
      <c r="B195" s="7" t="s">
        <v>457</v>
      </c>
      <c r="C195" s="10" t="s">
        <v>458</v>
      </c>
      <c r="D195" s="7" t="s">
        <v>407</v>
      </c>
      <c r="E195" s="7" t="s">
        <v>381</v>
      </c>
      <c r="F195" s="7" t="s">
        <v>389</v>
      </c>
      <c r="G195" s="7"/>
      <c r="H195" s="7" t="s">
        <v>52</v>
      </c>
      <c r="I195" s="11">
        <v>2</v>
      </c>
      <c r="J195" s="11">
        <v>3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3">
        <v>14</v>
      </c>
      <c r="X195" s="13">
        <v>21</v>
      </c>
      <c r="Y195" s="13" t="str">
        <f>MIN(W195,S195)</f>
        <v>0</v>
      </c>
      <c r="Z195" s="13" t="str">
        <f>MIN(X195,(S195-Y195))</f>
        <v>0</v>
      </c>
      <c r="AA195" s="13" t="str">
        <f>S195-SUM(Y195,Z195)</f>
        <v>0</v>
      </c>
      <c r="AB195" s="15"/>
      <c r="AC195" s="15"/>
      <c r="AD195" s="1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  <c r="PX195" s="5"/>
      <c r="PY195" s="5"/>
      <c r="PZ195" s="5"/>
      <c r="QA195" s="5"/>
      <c r="QB195" s="5"/>
      <c r="QC195" s="5"/>
      <c r="QD195" s="5"/>
      <c r="QE195" s="5"/>
      <c r="QF195" s="5"/>
      <c r="QG195" s="5"/>
      <c r="QH195" s="5"/>
      <c r="QI195" s="5"/>
      <c r="QJ195" s="5"/>
      <c r="QK195" s="5"/>
      <c r="QL195" s="5"/>
      <c r="QM195" s="5"/>
      <c r="QN195" s="5"/>
      <c r="QO195" s="5"/>
      <c r="QP195" s="5"/>
      <c r="QQ195" s="5"/>
      <c r="QR195" s="5"/>
      <c r="QS195" s="5"/>
      <c r="QT195" s="5"/>
      <c r="QU195" s="5"/>
      <c r="QV195" s="5"/>
      <c r="QW195" s="5"/>
      <c r="QX195" s="5"/>
      <c r="QY195" s="5"/>
      <c r="QZ195" s="5"/>
      <c r="RA195" s="5"/>
      <c r="RB195" s="5"/>
      <c r="RC195" s="5"/>
      <c r="RD195" s="5"/>
      <c r="RE195" s="5"/>
      <c r="RF195" s="5"/>
      <c r="RG195" s="5"/>
      <c r="RH195" s="5"/>
      <c r="RI195" s="5"/>
      <c r="RJ195" s="5"/>
      <c r="RK195" s="5"/>
      <c r="RL195" s="5"/>
      <c r="RM195" s="5"/>
      <c r="RN195" s="5"/>
      <c r="RO195" s="5"/>
      <c r="RP195" s="5"/>
      <c r="RQ195" s="5"/>
      <c r="RR195" s="5"/>
      <c r="RS195" s="5"/>
      <c r="RT195" s="5"/>
      <c r="RU195" s="5"/>
      <c r="RV195" s="5"/>
      <c r="RW195" s="5"/>
      <c r="RX195" s="5"/>
      <c r="RY195" s="5"/>
      <c r="RZ195" s="5"/>
      <c r="SA195" s="5"/>
      <c r="SB195" s="5"/>
      <c r="SC195" s="5"/>
      <c r="SD195" s="5"/>
      <c r="SE195" s="5"/>
      <c r="SF195" s="5"/>
      <c r="SG195" s="5"/>
      <c r="SH195" s="5"/>
      <c r="SI195" s="5"/>
      <c r="SJ195" s="5"/>
      <c r="SK195" s="5"/>
      <c r="SL195" s="5"/>
      <c r="SM195" s="5"/>
      <c r="SN195" s="5"/>
      <c r="SO195" s="5"/>
      <c r="SP195" s="5"/>
      <c r="SQ195" s="5"/>
      <c r="SR195" s="5"/>
      <c r="SS195" s="5"/>
      <c r="ST195" s="5"/>
      <c r="SU195" s="5"/>
      <c r="SV195" s="5"/>
      <c r="SW195" s="5"/>
      <c r="SX195" s="5"/>
      <c r="SY195" s="5"/>
      <c r="SZ195" s="5"/>
      <c r="TA195" s="5"/>
      <c r="TB195" s="5"/>
      <c r="TC195" s="5"/>
      <c r="TD195" s="5"/>
      <c r="TE195" s="5"/>
      <c r="TF195" s="5"/>
      <c r="TG195" s="5"/>
      <c r="TH195" s="5"/>
      <c r="TI195" s="5"/>
      <c r="TJ195" s="5"/>
      <c r="TK195" s="5"/>
      <c r="TL195" s="5"/>
      <c r="TM195" s="5"/>
      <c r="TN195" s="5"/>
      <c r="TO195" s="5"/>
      <c r="TP195" s="5"/>
      <c r="TQ195" s="5"/>
      <c r="TR195" s="5"/>
      <c r="TS195" s="5"/>
      <c r="TT195" s="5"/>
      <c r="TU195" s="5"/>
      <c r="TV195" s="5"/>
      <c r="TW195" s="5"/>
      <c r="TX195" s="5"/>
      <c r="TY195" s="5"/>
      <c r="TZ195" s="5"/>
      <c r="UA195" s="5"/>
      <c r="UB195" s="5"/>
      <c r="UC195" s="5"/>
      <c r="UD195" s="5"/>
      <c r="UE195" s="5"/>
      <c r="UF195" s="5"/>
      <c r="UG195" s="5"/>
      <c r="UH195" s="5"/>
      <c r="UI195" s="5"/>
      <c r="UJ195" s="5"/>
      <c r="UK195" s="5"/>
      <c r="UL195" s="5"/>
      <c r="UM195" s="5"/>
      <c r="UN195" s="5"/>
      <c r="UO195" s="5"/>
      <c r="UP195" s="5"/>
      <c r="UQ195" s="5"/>
      <c r="UR195" s="5"/>
      <c r="US195" s="5"/>
      <c r="UT195" s="5"/>
      <c r="UU195" s="5"/>
      <c r="UV195" s="5"/>
      <c r="UW195" s="5"/>
      <c r="UX195" s="5"/>
      <c r="UY195" s="5"/>
      <c r="UZ195" s="5"/>
      <c r="VA195" s="5"/>
      <c r="VB195" s="5"/>
      <c r="VC195" s="5"/>
      <c r="VD195" s="5"/>
      <c r="VE195" s="5"/>
      <c r="VF195" s="5"/>
      <c r="VG195" s="5"/>
      <c r="VH195" s="5"/>
      <c r="VI195" s="5"/>
      <c r="VJ195" s="5"/>
      <c r="VK195" s="5"/>
      <c r="VL195" s="5"/>
      <c r="VM195" s="5"/>
      <c r="VN195" s="5"/>
      <c r="VO195" s="5"/>
      <c r="VP195" s="5"/>
      <c r="VQ195" s="5"/>
      <c r="VR195" s="5"/>
      <c r="VS195" s="5"/>
      <c r="VT195" s="5"/>
      <c r="VU195" s="5"/>
      <c r="VV195" s="5"/>
      <c r="VW195" s="5"/>
      <c r="VX195" s="5"/>
      <c r="VY195" s="5"/>
      <c r="VZ195" s="5"/>
      <c r="WA195" s="5"/>
      <c r="WB195" s="5"/>
      <c r="WC195" s="5"/>
      <c r="WD195" s="5"/>
      <c r="WE195" s="5"/>
      <c r="WF195" s="5"/>
      <c r="WG195" s="5"/>
      <c r="WH195" s="5"/>
      <c r="WI195" s="5"/>
      <c r="WJ195" s="5"/>
      <c r="WK195" s="5"/>
      <c r="WL195" s="5"/>
      <c r="WM195" s="5"/>
      <c r="WN195" s="5"/>
      <c r="WO195" s="5"/>
      <c r="WP195" s="5"/>
      <c r="WQ195" s="5"/>
      <c r="WR195" s="5"/>
      <c r="WS195" s="5"/>
      <c r="WT195" s="5"/>
      <c r="WU195" s="5"/>
      <c r="WV195" s="5"/>
      <c r="WW195" s="5"/>
      <c r="WX195" s="5"/>
      <c r="WY195" s="5"/>
      <c r="WZ195" s="5"/>
      <c r="XA195" s="5"/>
      <c r="XB195" s="5"/>
      <c r="XC195" s="5"/>
      <c r="XD195" s="5"/>
      <c r="XE195" s="5"/>
      <c r="XF195" s="5"/>
      <c r="XG195" s="5"/>
      <c r="XH195" s="5"/>
      <c r="XI195" s="5"/>
      <c r="XJ195" s="5"/>
      <c r="XK195" s="5"/>
      <c r="XL195" s="5"/>
      <c r="XM195" s="5"/>
      <c r="XN195" s="5"/>
      <c r="XO195" s="5"/>
      <c r="XP195" s="5"/>
      <c r="XQ195" s="5"/>
      <c r="XR195" s="5"/>
      <c r="XS195" s="5"/>
      <c r="XT195" s="5"/>
      <c r="XU195" s="5"/>
      <c r="XV195" s="5"/>
      <c r="XW195" s="5"/>
      <c r="XX195" s="5"/>
      <c r="XY195" s="5"/>
      <c r="XZ195" s="5"/>
      <c r="YA195" s="5"/>
      <c r="YB195" s="5"/>
      <c r="YC195" s="5"/>
      <c r="YD195" s="5"/>
      <c r="YE195" s="5"/>
      <c r="YF195" s="5"/>
      <c r="YG195" s="5"/>
      <c r="YH195" s="5"/>
      <c r="YI195" s="5"/>
      <c r="YJ195" s="5"/>
      <c r="YK195" s="5"/>
      <c r="YL195" s="5"/>
      <c r="YM195" s="5"/>
      <c r="YN195" s="5"/>
      <c r="YO195" s="5"/>
      <c r="YP195" s="5"/>
      <c r="YQ195" s="5"/>
      <c r="YR195" s="5"/>
      <c r="YS195" s="5"/>
      <c r="YT195" s="5"/>
      <c r="YU195" s="5"/>
      <c r="YV195" s="5"/>
      <c r="YW195" s="5"/>
      <c r="YX195" s="5"/>
      <c r="YY195" s="5"/>
      <c r="YZ195" s="5"/>
    </row>
    <row r="196" spans="1:676">
      <c r="A196" s="7">
        <v>186</v>
      </c>
      <c r="B196" s="7" t="s">
        <v>459</v>
      </c>
      <c r="C196" s="10" t="s">
        <v>460</v>
      </c>
      <c r="D196" s="7" t="s">
        <v>296</v>
      </c>
      <c r="E196" s="7" t="s">
        <v>279</v>
      </c>
      <c r="F196" s="7" t="s">
        <v>386</v>
      </c>
      <c r="G196" s="7"/>
      <c r="H196" s="7" t="s">
        <v>52</v>
      </c>
      <c r="I196" s="11">
        <v>2</v>
      </c>
      <c r="J196" s="11">
        <v>3</v>
      </c>
      <c r="K196" s="11">
        <v>0</v>
      </c>
      <c r="L196" s="11">
        <v>0.23</v>
      </c>
      <c r="M196" s="11">
        <v>0.34</v>
      </c>
      <c r="N196" s="11">
        <v>0</v>
      </c>
      <c r="O196" s="11">
        <v>0</v>
      </c>
      <c r="P196" s="11">
        <v>0</v>
      </c>
      <c r="Q196" s="11">
        <v>0.5700000000000001</v>
      </c>
      <c r="R196" s="11">
        <v>20.72999999999999</v>
      </c>
      <c r="S196" s="11">
        <v>21.29999999999999</v>
      </c>
      <c r="T196" s="11">
        <v>2</v>
      </c>
      <c r="U196" s="11">
        <v>3</v>
      </c>
      <c r="V196" s="11">
        <v>16.29999999999999</v>
      </c>
      <c r="W196" s="13">
        <v>14</v>
      </c>
      <c r="X196" s="13">
        <v>21</v>
      </c>
      <c r="Y196" s="13" t="str">
        <f>MIN(W196,S196)</f>
        <v>0</v>
      </c>
      <c r="Z196" s="13" t="str">
        <f>MIN(X196,(S196-Y196))</f>
        <v>0</v>
      </c>
      <c r="AA196" s="13" t="str">
        <f>S196-SUM(Y196,Z196)</f>
        <v>0</v>
      </c>
      <c r="AB196" s="15"/>
      <c r="AC196" s="15"/>
      <c r="AD196" s="1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  <c r="PX196" s="5"/>
      <c r="PY196" s="5"/>
      <c r="PZ196" s="5"/>
      <c r="QA196" s="5"/>
      <c r="QB196" s="5"/>
      <c r="QC196" s="5"/>
      <c r="QD196" s="5"/>
      <c r="QE196" s="5"/>
      <c r="QF196" s="5"/>
      <c r="QG196" s="5"/>
      <c r="QH196" s="5"/>
      <c r="QI196" s="5"/>
      <c r="QJ196" s="5"/>
      <c r="QK196" s="5"/>
      <c r="QL196" s="5"/>
      <c r="QM196" s="5"/>
      <c r="QN196" s="5"/>
      <c r="QO196" s="5"/>
      <c r="QP196" s="5"/>
      <c r="QQ196" s="5"/>
      <c r="QR196" s="5"/>
      <c r="QS196" s="5"/>
      <c r="QT196" s="5"/>
      <c r="QU196" s="5"/>
      <c r="QV196" s="5"/>
      <c r="QW196" s="5"/>
      <c r="QX196" s="5"/>
      <c r="QY196" s="5"/>
      <c r="QZ196" s="5"/>
      <c r="RA196" s="5"/>
      <c r="RB196" s="5"/>
      <c r="RC196" s="5"/>
      <c r="RD196" s="5"/>
      <c r="RE196" s="5"/>
      <c r="RF196" s="5"/>
      <c r="RG196" s="5"/>
      <c r="RH196" s="5"/>
      <c r="RI196" s="5"/>
      <c r="RJ196" s="5"/>
      <c r="RK196" s="5"/>
      <c r="RL196" s="5"/>
      <c r="RM196" s="5"/>
      <c r="RN196" s="5"/>
      <c r="RO196" s="5"/>
      <c r="RP196" s="5"/>
      <c r="RQ196" s="5"/>
      <c r="RR196" s="5"/>
      <c r="RS196" s="5"/>
      <c r="RT196" s="5"/>
      <c r="RU196" s="5"/>
      <c r="RV196" s="5"/>
      <c r="RW196" s="5"/>
      <c r="RX196" s="5"/>
      <c r="RY196" s="5"/>
      <c r="RZ196" s="5"/>
      <c r="SA196" s="5"/>
      <c r="SB196" s="5"/>
      <c r="SC196" s="5"/>
      <c r="SD196" s="5"/>
      <c r="SE196" s="5"/>
      <c r="SF196" s="5"/>
      <c r="SG196" s="5"/>
      <c r="SH196" s="5"/>
      <c r="SI196" s="5"/>
      <c r="SJ196" s="5"/>
      <c r="SK196" s="5"/>
      <c r="SL196" s="5"/>
      <c r="SM196" s="5"/>
      <c r="SN196" s="5"/>
      <c r="SO196" s="5"/>
      <c r="SP196" s="5"/>
      <c r="SQ196" s="5"/>
      <c r="SR196" s="5"/>
      <c r="SS196" s="5"/>
      <c r="ST196" s="5"/>
      <c r="SU196" s="5"/>
      <c r="SV196" s="5"/>
      <c r="SW196" s="5"/>
      <c r="SX196" s="5"/>
      <c r="SY196" s="5"/>
      <c r="SZ196" s="5"/>
      <c r="TA196" s="5"/>
      <c r="TB196" s="5"/>
      <c r="TC196" s="5"/>
      <c r="TD196" s="5"/>
      <c r="TE196" s="5"/>
      <c r="TF196" s="5"/>
      <c r="TG196" s="5"/>
      <c r="TH196" s="5"/>
      <c r="TI196" s="5"/>
      <c r="TJ196" s="5"/>
      <c r="TK196" s="5"/>
      <c r="TL196" s="5"/>
      <c r="TM196" s="5"/>
      <c r="TN196" s="5"/>
      <c r="TO196" s="5"/>
      <c r="TP196" s="5"/>
      <c r="TQ196" s="5"/>
      <c r="TR196" s="5"/>
      <c r="TS196" s="5"/>
      <c r="TT196" s="5"/>
      <c r="TU196" s="5"/>
      <c r="TV196" s="5"/>
      <c r="TW196" s="5"/>
      <c r="TX196" s="5"/>
      <c r="TY196" s="5"/>
      <c r="TZ196" s="5"/>
      <c r="UA196" s="5"/>
      <c r="UB196" s="5"/>
      <c r="UC196" s="5"/>
      <c r="UD196" s="5"/>
      <c r="UE196" s="5"/>
      <c r="UF196" s="5"/>
      <c r="UG196" s="5"/>
      <c r="UH196" s="5"/>
      <c r="UI196" s="5"/>
      <c r="UJ196" s="5"/>
      <c r="UK196" s="5"/>
      <c r="UL196" s="5"/>
      <c r="UM196" s="5"/>
      <c r="UN196" s="5"/>
      <c r="UO196" s="5"/>
      <c r="UP196" s="5"/>
      <c r="UQ196" s="5"/>
      <c r="UR196" s="5"/>
      <c r="US196" s="5"/>
      <c r="UT196" s="5"/>
      <c r="UU196" s="5"/>
      <c r="UV196" s="5"/>
      <c r="UW196" s="5"/>
      <c r="UX196" s="5"/>
      <c r="UY196" s="5"/>
      <c r="UZ196" s="5"/>
      <c r="VA196" s="5"/>
      <c r="VB196" s="5"/>
      <c r="VC196" s="5"/>
      <c r="VD196" s="5"/>
      <c r="VE196" s="5"/>
      <c r="VF196" s="5"/>
      <c r="VG196" s="5"/>
      <c r="VH196" s="5"/>
      <c r="VI196" s="5"/>
      <c r="VJ196" s="5"/>
      <c r="VK196" s="5"/>
      <c r="VL196" s="5"/>
      <c r="VM196" s="5"/>
      <c r="VN196" s="5"/>
      <c r="VO196" s="5"/>
      <c r="VP196" s="5"/>
      <c r="VQ196" s="5"/>
      <c r="VR196" s="5"/>
      <c r="VS196" s="5"/>
      <c r="VT196" s="5"/>
      <c r="VU196" s="5"/>
      <c r="VV196" s="5"/>
      <c r="VW196" s="5"/>
      <c r="VX196" s="5"/>
      <c r="VY196" s="5"/>
      <c r="VZ196" s="5"/>
      <c r="WA196" s="5"/>
      <c r="WB196" s="5"/>
      <c r="WC196" s="5"/>
      <c r="WD196" s="5"/>
      <c r="WE196" s="5"/>
      <c r="WF196" s="5"/>
      <c r="WG196" s="5"/>
      <c r="WH196" s="5"/>
      <c r="WI196" s="5"/>
      <c r="WJ196" s="5"/>
      <c r="WK196" s="5"/>
      <c r="WL196" s="5"/>
      <c r="WM196" s="5"/>
      <c r="WN196" s="5"/>
      <c r="WO196" s="5"/>
      <c r="WP196" s="5"/>
      <c r="WQ196" s="5"/>
      <c r="WR196" s="5"/>
      <c r="WS196" s="5"/>
      <c r="WT196" s="5"/>
      <c r="WU196" s="5"/>
      <c r="WV196" s="5"/>
      <c r="WW196" s="5"/>
      <c r="WX196" s="5"/>
      <c r="WY196" s="5"/>
      <c r="WZ196" s="5"/>
      <c r="XA196" s="5"/>
      <c r="XB196" s="5"/>
      <c r="XC196" s="5"/>
      <c r="XD196" s="5"/>
      <c r="XE196" s="5"/>
      <c r="XF196" s="5"/>
      <c r="XG196" s="5"/>
      <c r="XH196" s="5"/>
      <c r="XI196" s="5"/>
      <c r="XJ196" s="5"/>
      <c r="XK196" s="5"/>
      <c r="XL196" s="5"/>
      <c r="XM196" s="5"/>
      <c r="XN196" s="5"/>
      <c r="XO196" s="5"/>
      <c r="XP196" s="5"/>
      <c r="XQ196" s="5"/>
      <c r="XR196" s="5"/>
      <c r="XS196" s="5"/>
      <c r="XT196" s="5"/>
      <c r="XU196" s="5"/>
      <c r="XV196" s="5"/>
      <c r="XW196" s="5"/>
      <c r="XX196" s="5"/>
      <c r="XY196" s="5"/>
      <c r="XZ196" s="5"/>
      <c r="YA196" s="5"/>
      <c r="YB196" s="5"/>
      <c r="YC196" s="5"/>
      <c r="YD196" s="5"/>
      <c r="YE196" s="5"/>
      <c r="YF196" s="5"/>
      <c r="YG196" s="5"/>
      <c r="YH196" s="5"/>
      <c r="YI196" s="5"/>
      <c r="YJ196" s="5"/>
      <c r="YK196" s="5"/>
      <c r="YL196" s="5"/>
      <c r="YM196" s="5"/>
      <c r="YN196" s="5"/>
      <c r="YO196" s="5"/>
      <c r="YP196" s="5"/>
      <c r="YQ196" s="5"/>
      <c r="YR196" s="5"/>
      <c r="YS196" s="5"/>
      <c r="YT196" s="5"/>
      <c r="YU196" s="5"/>
      <c r="YV196" s="5"/>
      <c r="YW196" s="5"/>
      <c r="YX196" s="5"/>
      <c r="YY196" s="5"/>
      <c r="YZ196" s="5"/>
    </row>
    <row r="197" spans="1:676">
      <c r="A197" s="7">
        <v>187</v>
      </c>
      <c r="B197" s="7" t="s">
        <v>461</v>
      </c>
      <c r="C197" s="10" t="s">
        <v>462</v>
      </c>
      <c r="D197" s="7" t="s">
        <v>85</v>
      </c>
      <c r="E197" s="7" t="s">
        <v>279</v>
      </c>
      <c r="F197" s="7" t="s">
        <v>394</v>
      </c>
      <c r="G197" s="7"/>
      <c r="H197" s="7" t="s">
        <v>52</v>
      </c>
      <c r="I197" s="11">
        <v>2</v>
      </c>
      <c r="J197" s="11">
        <v>3</v>
      </c>
      <c r="K197" s="11">
        <v>0</v>
      </c>
      <c r="L197" s="11">
        <v>1.06</v>
      </c>
      <c r="M197" s="11">
        <v>0.17</v>
      </c>
      <c r="N197" s="11">
        <v>0</v>
      </c>
      <c r="O197" s="11">
        <v>0</v>
      </c>
      <c r="P197" s="11">
        <v>0</v>
      </c>
      <c r="Q197" s="11">
        <v>1.23</v>
      </c>
      <c r="R197" s="11">
        <v>17.05</v>
      </c>
      <c r="S197" s="11">
        <v>18.28</v>
      </c>
      <c r="T197" s="11">
        <v>2</v>
      </c>
      <c r="U197" s="11">
        <v>3</v>
      </c>
      <c r="V197" s="11">
        <v>13.28</v>
      </c>
      <c r="W197" s="13">
        <v>14</v>
      </c>
      <c r="X197" s="13">
        <v>21</v>
      </c>
      <c r="Y197" s="13" t="str">
        <f>MIN(W197,S197)</f>
        <v>0</v>
      </c>
      <c r="Z197" s="13" t="str">
        <f>MIN(X197,(S197-Y197))</f>
        <v>0</v>
      </c>
      <c r="AA197" s="13" t="str">
        <f>S197-SUM(Y197,Z197)</f>
        <v>0</v>
      </c>
      <c r="AB197" s="15"/>
      <c r="AC197" s="15"/>
      <c r="AD197" s="1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  <c r="PX197" s="5"/>
      <c r="PY197" s="5"/>
      <c r="PZ197" s="5"/>
      <c r="QA197" s="5"/>
      <c r="QB197" s="5"/>
      <c r="QC197" s="5"/>
      <c r="QD197" s="5"/>
      <c r="QE197" s="5"/>
      <c r="QF197" s="5"/>
      <c r="QG197" s="5"/>
      <c r="QH197" s="5"/>
      <c r="QI197" s="5"/>
      <c r="QJ197" s="5"/>
      <c r="QK197" s="5"/>
      <c r="QL197" s="5"/>
      <c r="QM197" s="5"/>
      <c r="QN197" s="5"/>
      <c r="QO197" s="5"/>
      <c r="QP197" s="5"/>
      <c r="QQ197" s="5"/>
      <c r="QR197" s="5"/>
      <c r="QS197" s="5"/>
      <c r="QT197" s="5"/>
      <c r="QU197" s="5"/>
      <c r="QV197" s="5"/>
      <c r="QW197" s="5"/>
      <c r="QX197" s="5"/>
      <c r="QY197" s="5"/>
      <c r="QZ197" s="5"/>
      <c r="RA197" s="5"/>
      <c r="RB197" s="5"/>
      <c r="RC197" s="5"/>
      <c r="RD197" s="5"/>
      <c r="RE197" s="5"/>
      <c r="RF197" s="5"/>
      <c r="RG197" s="5"/>
      <c r="RH197" s="5"/>
      <c r="RI197" s="5"/>
      <c r="RJ197" s="5"/>
      <c r="RK197" s="5"/>
      <c r="RL197" s="5"/>
      <c r="RM197" s="5"/>
      <c r="RN197" s="5"/>
      <c r="RO197" s="5"/>
      <c r="RP197" s="5"/>
      <c r="RQ197" s="5"/>
      <c r="RR197" s="5"/>
      <c r="RS197" s="5"/>
      <c r="RT197" s="5"/>
      <c r="RU197" s="5"/>
      <c r="RV197" s="5"/>
      <c r="RW197" s="5"/>
      <c r="RX197" s="5"/>
      <c r="RY197" s="5"/>
      <c r="RZ197" s="5"/>
      <c r="SA197" s="5"/>
      <c r="SB197" s="5"/>
      <c r="SC197" s="5"/>
      <c r="SD197" s="5"/>
      <c r="SE197" s="5"/>
      <c r="SF197" s="5"/>
      <c r="SG197" s="5"/>
      <c r="SH197" s="5"/>
      <c r="SI197" s="5"/>
      <c r="SJ197" s="5"/>
      <c r="SK197" s="5"/>
      <c r="SL197" s="5"/>
      <c r="SM197" s="5"/>
      <c r="SN197" s="5"/>
      <c r="SO197" s="5"/>
      <c r="SP197" s="5"/>
      <c r="SQ197" s="5"/>
      <c r="SR197" s="5"/>
      <c r="SS197" s="5"/>
      <c r="ST197" s="5"/>
      <c r="SU197" s="5"/>
      <c r="SV197" s="5"/>
      <c r="SW197" s="5"/>
      <c r="SX197" s="5"/>
      <c r="SY197" s="5"/>
      <c r="SZ197" s="5"/>
      <c r="TA197" s="5"/>
      <c r="TB197" s="5"/>
      <c r="TC197" s="5"/>
      <c r="TD197" s="5"/>
      <c r="TE197" s="5"/>
      <c r="TF197" s="5"/>
      <c r="TG197" s="5"/>
      <c r="TH197" s="5"/>
      <c r="TI197" s="5"/>
      <c r="TJ197" s="5"/>
      <c r="TK197" s="5"/>
      <c r="TL197" s="5"/>
      <c r="TM197" s="5"/>
      <c r="TN197" s="5"/>
      <c r="TO197" s="5"/>
      <c r="TP197" s="5"/>
      <c r="TQ197" s="5"/>
      <c r="TR197" s="5"/>
      <c r="TS197" s="5"/>
      <c r="TT197" s="5"/>
      <c r="TU197" s="5"/>
      <c r="TV197" s="5"/>
      <c r="TW197" s="5"/>
      <c r="TX197" s="5"/>
      <c r="TY197" s="5"/>
      <c r="TZ197" s="5"/>
      <c r="UA197" s="5"/>
      <c r="UB197" s="5"/>
      <c r="UC197" s="5"/>
      <c r="UD197" s="5"/>
      <c r="UE197" s="5"/>
      <c r="UF197" s="5"/>
      <c r="UG197" s="5"/>
      <c r="UH197" s="5"/>
      <c r="UI197" s="5"/>
      <c r="UJ197" s="5"/>
      <c r="UK197" s="5"/>
      <c r="UL197" s="5"/>
      <c r="UM197" s="5"/>
      <c r="UN197" s="5"/>
      <c r="UO197" s="5"/>
      <c r="UP197" s="5"/>
      <c r="UQ197" s="5"/>
      <c r="UR197" s="5"/>
      <c r="US197" s="5"/>
      <c r="UT197" s="5"/>
      <c r="UU197" s="5"/>
      <c r="UV197" s="5"/>
      <c r="UW197" s="5"/>
      <c r="UX197" s="5"/>
      <c r="UY197" s="5"/>
      <c r="UZ197" s="5"/>
      <c r="VA197" s="5"/>
      <c r="VB197" s="5"/>
      <c r="VC197" s="5"/>
      <c r="VD197" s="5"/>
      <c r="VE197" s="5"/>
      <c r="VF197" s="5"/>
      <c r="VG197" s="5"/>
      <c r="VH197" s="5"/>
      <c r="VI197" s="5"/>
      <c r="VJ197" s="5"/>
      <c r="VK197" s="5"/>
      <c r="VL197" s="5"/>
      <c r="VM197" s="5"/>
      <c r="VN197" s="5"/>
      <c r="VO197" s="5"/>
      <c r="VP197" s="5"/>
      <c r="VQ197" s="5"/>
      <c r="VR197" s="5"/>
      <c r="VS197" s="5"/>
      <c r="VT197" s="5"/>
      <c r="VU197" s="5"/>
      <c r="VV197" s="5"/>
      <c r="VW197" s="5"/>
      <c r="VX197" s="5"/>
      <c r="VY197" s="5"/>
      <c r="VZ197" s="5"/>
      <c r="WA197" s="5"/>
      <c r="WB197" s="5"/>
      <c r="WC197" s="5"/>
      <c r="WD197" s="5"/>
      <c r="WE197" s="5"/>
      <c r="WF197" s="5"/>
      <c r="WG197" s="5"/>
      <c r="WH197" s="5"/>
      <c r="WI197" s="5"/>
      <c r="WJ197" s="5"/>
      <c r="WK197" s="5"/>
      <c r="WL197" s="5"/>
      <c r="WM197" s="5"/>
      <c r="WN197" s="5"/>
      <c r="WO197" s="5"/>
      <c r="WP197" s="5"/>
      <c r="WQ197" s="5"/>
      <c r="WR197" s="5"/>
      <c r="WS197" s="5"/>
      <c r="WT197" s="5"/>
      <c r="WU197" s="5"/>
      <c r="WV197" s="5"/>
      <c r="WW197" s="5"/>
      <c r="WX197" s="5"/>
      <c r="WY197" s="5"/>
      <c r="WZ197" s="5"/>
      <c r="XA197" s="5"/>
      <c r="XB197" s="5"/>
      <c r="XC197" s="5"/>
      <c r="XD197" s="5"/>
      <c r="XE197" s="5"/>
      <c r="XF197" s="5"/>
      <c r="XG197" s="5"/>
      <c r="XH197" s="5"/>
      <c r="XI197" s="5"/>
      <c r="XJ197" s="5"/>
      <c r="XK197" s="5"/>
      <c r="XL197" s="5"/>
      <c r="XM197" s="5"/>
      <c r="XN197" s="5"/>
      <c r="XO197" s="5"/>
      <c r="XP197" s="5"/>
      <c r="XQ197" s="5"/>
      <c r="XR197" s="5"/>
      <c r="XS197" s="5"/>
      <c r="XT197" s="5"/>
      <c r="XU197" s="5"/>
      <c r="XV197" s="5"/>
      <c r="XW197" s="5"/>
      <c r="XX197" s="5"/>
      <c r="XY197" s="5"/>
      <c r="XZ197" s="5"/>
      <c r="YA197" s="5"/>
      <c r="YB197" s="5"/>
      <c r="YC197" s="5"/>
      <c r="YD197" s="5"/>
      <c r="YE197" s="5"/>
      <c r="YF197" s="5"/>
      <c r="YG197" s="5"/>
      <c r="YH197" s="5"/>
      <c r="YI197" s="5"/>
      <c r="YJ197" s="5"/>
      <c r="YK197" s="5"/>
      <c r="YL197" s="5"/>
      <c r="YM197" s="5"/>
      <c r="YN197" s="5"/>
      <c r="YO197" s="5"/>
      <c r="YP197" s="5"/>
      <c r="YQ197" s="5"/>
      <c r="YR197" s="5"/>
      <c r="YS197" s="5"/>
      <c r="YT197" s="5"/>
      <c r="YU197" s="5"/>
      <c r="YV197" s="5"/>
      <c r="YW197" s="5"/>
      <c r="YX197" s="5"/>
      <c r="YY197" s="5"/>
      <c r="YZ197" s="5"/>
    </row>
    <row r="198" spans="1:676">
      <c r="A198" s="7">
        <v>188</v>
      </c>
      <c r="B198" s="7" t="s">
        <v>463</v>
      </c>
      <c r="C198" s="10" t="s">
        <v>464</v>
      </c>
      <c r="D198" s="7" t="s">
        <v>85</v>
      </c>
      <c r="E198" s="7" t="s">
        <v>279</v>
      </c>
      <c r="F198" s="7" t="s">
        <v>386</v>
      </c>
      <c r="G198" s="7"/>
      <c r="H198" s="7" t="s">
        <v>52</v>
      </c>
      <c r="I198" s="11">
        <v>2</v>
      </c>
      <c r="J198" s="11">
        <v>3</v>
      </c>
      <c r="K198" s="11">
        <v>0</v>
      </c>
      <c r="L198" s="11">
        <v>0.06</v>
      </c>
      <c r="M198" s="11">
        <v>0</v>
      </c>
      <c r="N198" s="11">
        <v>0</v>
      </c>
      <c r="O198" s="11">
        <v>0</v>
      </c>
      <c r="P198" s="11">
        <v>0</v>
      </c>
      <c r="Q198" s="11">
        <v>0.06</v>
      </c>
      <c r="R198" s="11">
        <v>11.3</v>
      </c>
      <c r="S198" s="11">
        <v>11.36</v>
      </c>
      <c r="T198" s="11">
        <v>2</v>
      </c>
      <c r="U198" s="11">
        <v>3</v>
      </c>
      <c r="V198" s="11">
        <v>6.360000000000005</v>
      </c>
      <c r="W198" s="13">
        <v>14</v>
      </c>
      <c r="X198" s="13">
        <v>21</v>
      </c>
      <c r="Y198" s="13" t="str">
        <f>MIN(W198,S198)</f>
        <v>0</v>
      </c>
      <c r="Z198" s="13" t="str">
        <f>MIN(X198,(S198-Y198))</f>
        <v>0</v>
      </c>
      <c r="AA198" s="13" t="str">
        <f>S198-SUM(Y198,Z198)</f>
        <v>0</v>
      </c>
      <c r="AB198" s="15"/>
      <c r="AC198" s="15"/>
      <c r="AD198" s="1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  <c r="PX198" s="5"/>
      <c r="PY198" s="5"/>
      <c r="PZ198" s="5"/>
      <c r="QA198" s="5"/>
      <c r="QB198" s="5"/>
      <c r="QC198" s="5"/>
      <c r="QD198" s="5"/>
      <c r="QE198" s="5"/>
      <c r="QF198" s="5"/>
      <c r="QG198" s="5"/>
      <c r="QH198" s="5"/>
      <c r="QI198" s="5"/>
      <c r="QJ198" s="5"/>
      <c r="QK198" s="5"/>
      <c r="QL198" s="5"/>
      <c r="QM198" s="5"/>
      <c r="QN198" s="5"/>
      <c r="QO198" s="5"/>
      <c r="QP198" s="5"/>
      <c r="QQ198" s="5"/>
      <c r="QR198" s="5"/>
      <c r="QS198" s="5"/>
      <c r="QT198" s="5"/>
      <c r="QU198" s="5"/>
      <c r="QV198" s="5"/>
      <c r="QW198" s="5"/>
      <c r="QX198" s="5"/>
      <c r="QY198" s="5"/>
      <c r="QZ198" s="5"/>
      <c r="RA198" s="5"/>
      <c r="RB198" s="5"/>
      <c r="RC198" s="5"/>
      <c r="RD198" s="5"/>
      <c r="RE198" s="5"/>
      <c r="RF198" s="5"/>
      <c r="RG198" s="5"/>
      <c r="RH198" s="5"/>
      <c r="RI198" s="5"/>
      <c r="RJ198" s="5"/>
      <c r="RK198" s="5"/>
      <c r="RL198" s="5"/>
      <c r="RM198" s="5"/>
      <c r="RN198" s="5"/>
      <c r="RO198" s="5"/>
      <c r="RP198" s="5"/>
      <c r="RQ198" s="5"/>
      <c r="RR198" s="5"/>
      <c r="RS198" s="5"/>
      <c r="RT198" s="5"/>
      <c r="RU198" s="5"/>
      <c r="RV198" s="5"/>
      <c r="RW198" s="5"/>
      <c r="RX198" s="5"/>
      <c r="RY198" s="5"/>
      <c r="RZ198" s="5"/>
      <c r="SA198" s="5"/>
      <c r="SB198" s="5"/>
      <c r="SC198" s="5"/>
      <c r="SD198" s="5"/>
      <c r="SE198" s="5"/>
      <c r="SF198" s="5"/>
      <c r="SG198" s="5"/>
      <c r="SH198" s="5"/>
      <c r="SI198" s="5"/>
      <c r="SJ198" s="5"/>
      <c r="SK198" s="5"/>
      <c r="SL198" s="5"/>
      <c r="SM198" s="5"/>
      <c r="SN198" s="5"/>
      <c r="SO198" s="5"/>
      <c r="SP198" s="5"/>
      <c r="SQ198" s="5"/>
      <c r="SR198" s="5"/>
      <c r="SS198" s="5"/>
      <c r="ST198" s="5"/>
      <c r="SU198" s="5"/>
      <c r="SV198" s="5"/>
      <c r="SW198" s="5"/>
      <c r="SX198" s="5"/>
      <c r="SY198" s="5"/>
      <c r="SZ198" s="5"/>
      <c r="TA198" s="5"/>
      <c r="TB198" s="5"/>
      <c r="TC198" s="5"/>
      <c r="TD198" s="5"/>
      <c r="TE198" s="5"/>
      <c r="TF198" s="5"/>
      <c r="TG198" s="5"/>
      <c r="TH198" s="5"/>
      <c r="TI198" s="5"/>
      <c r="TJ198" s="5"/>
      <c r="TK198" s="5"/>
      <c r="TL198" s="5"/>
      <c r="TM198" s="5"/>
      <c r="TN198" s="5"/>
      <c r="TO198" s="5"/>
      <c r="TP198" s="5"/>
      <c r="TQ198" s="5"/>
      <c r="TR198" s="5"/>
      <c r="TS198" s="5"/>
      <c r="TT198" s="5"/>
      <c r="TU198" s="5"/>
      <c r="TV198" s="5"/>
      <c r="TW198" s="5"/>
      <c r="TX198" s="5"/>
      <c r="TY198" s="5"/>
      <c r="TZ198" s="5"/>
      <c r="UA198" s="5"/>
      <c r="UB198" s="5"/>
      <c r="UC198" s="5"/>
      <c r="UD198" s="5"/>
      <c r="UE198" s="5"/>
      <c r="UF198" s="5"/>
      <c r="UG198" s="5"/>
      <c r="UH198" s="5"/>
      <c r="UI198" s="5"/>
      <c r="UJ198" s="5"/>
      <c r="UK198" s="5"/>
      <c r="UL198" s="5"/>
      <c r="UM198" s="5"/>
      <c r="UN198" s="5"/>
      <c r="UO198" s="5"/>
      <c r="UP198" s="5"/>
      <c r="UQ198" s="5"/>
      <c r="UR198" s="5"/>
      <c r="US198" s="5"/>
      <c r="UT198" s="5"/>
      <c r="UU198" s="5"/>
      <c r="UV198" s="5"/>
      <c r="UW198" s="5"/>
      <c r="UX198" s="5"/>
      <c r="UY198" s="5"/>
      <c r="UZ198" s="5"/>
      <c r="VA198" s="5"/>
      <c r="VB198" s="5"/>
      <c r="VC198" s="5"/>
      <c r="VD198" s="5"/>
      <c r="VE198" s="5"/>
      <c r="VF198" s="5"/>
      <c r="VG198" s="5"/>
      <c r="VH198" s="5"/>
      <c r="VI198" s="5"/>
      <c r="VJ198" s="5"/>
      <c r="VK198" s="5"/>
      <c r="VL198" s="5"/>
      <c r="VM198" s="5"/>
      <c r="VN198" s="5"/>
      <c r="VO198" s="5"/>
      <c r="VP198" s="5"/>
      <c r="VQ198" s="5"/>
      <c r="VR198" s="5"/>
      <c r="VS198" s="5"/>
      <c r="VT198" s="5"/>
      <c r="VU198" s="5"/>
      <c r="VV198" s="5"/>
      <c r="VW198" s="5"/>
      <c r="VX198" s="5"/>
      <c r="VY198" s="5"/>
      <c r="VZ198" s="5"/>
      <c r="WA198" s="5"/>
      <c r="WB198" s="5"/>
      <c r="WC198" s="5"/>
      <c r="WD198" s="5"/>
      <c r="WE198" s="5"/>
      <c r="WF198" s="5"/>
      <c r="WG198" s="5"/>
      <c r="WH198" s="5"/>
      <c r="WI198" s="5"/>
      <c r="WJ198" s="5"/>
      <c r="WK198" s="5"/>
      <c r="WL198" s="5"/>
      <c r="WM198" s="5"/>
      <c r="WN198" s="5"/>
      <c r="WO198" s="5"/>
      <c r="WP198" s="5"/>
      <c r="WQ198" s="5"/>
      <c r="WR198" s="5"/>
      <c r="WS198" s="5"/>
      <c r="WT198" s="5"/>
      <c r="WU198" s="5"/>
      <c r="WV198" s="5"/>
      <c r="WW198" s="5"/>
      <c r="WX198" s="5"/>
      <c r="WY198" s="5"/>
      <c r="WZ198" s="5"/>
      <c r="XA198" s="5"/>
      <c r="XB198" s="5"/>
      <c r="XC198" s="5"/>
      <c r="XD198" s="5"/>
      <c r="XE198" s="5"/>
      <c r="XF198" s="5"/>
      <c r="XG198" s="5"/>
      <c r="XH198" s="5"/>
      <c r="XI198" s="5"/>
      <c r="XJ198" s="5"/>
      <c r="XK198" s="5"/>
      <c r="XL198" s="5"/>
      <c r="XM198" s="5"/>
      <c r="XN198" s="5"/>
      <c r="XO198" s="5"/>
      <c r="XP198" s="5"/>
      <c r="XQ198" s="5"/>
      <c r="XR198" s="5"/>
      <c r="XS198" s="5"/>
      <c r="XT198" s="5"/>
      <c r="XU198" s="5"/>
      <c r="XV198" s="5"/>
      <c r="XW198" s="5"/>
      <c r="XX198" s="5"/>
      <c r="XY198" s="5"/>
      <c r="XZ198" s="5"/>
      <c r="YA198" s="5"/>
      <c r="YB198" s="5"/>
      <c r="YC198" s="5"/>
      <c r="YD198" s="5"/>
      <c r="YE198" s="5"/>
      <c r="YF198" s="5"/>
      <c r="YG198" s="5"/>
      <c r="YH198" s="5"/>
      <c r="YI198" s="5"/>
      <c r="YJ198" s="5"/>
      <c r="YK198" s="5"/>
      <c r="YL198" s="5"/>
      <c r="YM198" s="5"/>
      <c r="YN198" s="5"/>
      <c r="YO198" s="5"/>
      <c r="YP198" s="5"/>
      <c r="YQ198" s="5"/>
      <c r="YR198" s="5"/>
      <c r="YS198" s="5"/>
      <c r="YT198" s="5"/>
      <c r="YU198" s="5"/>
      <c r="YV198" s="5"/>
      <c r="YW198" s="5"/>
      <c r="YX198" s="5"/>
      <c r="YY198" s="5"/>
      <c r="YZ198" s="5"/>
    </row>
    <row r="199" spans="1:676">
      <c r="A199" s="7">
        <v>189</v>
      </c>
      <c r="B199" s="7" t="s">
        <v>465</v>
      </c>
      <c r="C199" s="10" t="s">
        <v>466</v>
      </c>
      <c r="D199" s="7" t="s">
        <v>217</v>
      </c>
      <c r="E199" s="7" t="s">
        <v>279</v>
      </c>
      <c r="F199" s="7" t="s">
        <v>389</v>
      </c>
      <c r="G199" s="7"/>
      <c r="H199" s="7" t="s">
        <v>52</v>
      </c>
      <c r="I199" s="11">
        <v>2</v>
      </c>
      <c r="J199" s="11">
        <v>3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3">
        <v>14</v>
      </c>
      <c r="X199" s="13">
        <v>21</v>
      </c>
      <c r="Y199" s="13" t="str">
        <f>MIN(W199,S199)</f>
        <v>0</v>
      </c>
      <c r="Z199" s="13" t="str">
        <f>MIN(X199,(S199-Y199))</f>
        <v>0</v>
      </c>
      <c r="AA199" s="13" t="str">
        <f>S199-SUM(Y199,Z199)</f>
        <v>0</v>
      </c>
      <c r="AB199" s="15"/>
      <c r="AC199" s="15"/>
      <c r="AD199" s="1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  <c r="PX199" s="5"/>
      <c r="PY199" s="5"/>
      <c r="PZ199" s="5"/>
      <c r="QA199" s="5"/>
      <c r="QB199" s="5"/>
      <c r="QC199" s="5"/>
      <c r="QD199" s="5"/>
      <c r="QE199" s="5"/>
      <c r="QF199" s="5"/>
      <c r="QG199" s="5"/>
      <c r="QH199" s="5"/>
      <c r="QI199" s="5"/>
      <c r="QJ199" s="5"/>
      <c r="QK199" s="5"/>
      <c r="QL199" s="5"/>
      <c r="QM199" s="5"/>
      <c r="QN199" s="5"/>
      <c r="QO199" s="5"/>
      <c r="QP199" s="5"/>
      <c r="QQ199" s="5"/>
      <c r="QR199" s="5"/>
      <c r="QS199" s="5"/>
      <c r="QT199" s="5"/>
      <c r="QU199" s="5"/>
      <c r="QV199" s="5"/>
      <c r="QW199" s="5"/>
      <c r="QX199" s="5"/>
      <c r="QY199" s="5"/>
      <c r="QZ199" s="5"/>
      <c r="RA199" s="5"/>
      <c r="RB199" s="5"/>
      <c r="RC199" s="5"/>
      <c r="RD199" s="5"/>
      <c r="RE199" s="5"/>
      <c r="RF199" s="5"/>
      <c r="RG199" s="5"/>
      <c r="RH199" s="5"/>
      <c r="RI199" s="5"/>
      <c r="RJ199" s="5"/>
      <c r="RK199" s="5"/>
      <c r="RL199" s="5"/>
      <c r="RM199" s="5"/>
      <c r="RN199" s="5"/>
      <c r="RO199" s="5"/>
      <c r="RP199" s="5"/>
      <c r="RQ199" s="5"/>
      <c r="RR199" s="5"/>
      <c r="RS199" s="5"/>
      <c r="RT199" s="5"/>
      <c r="RU199" s="5"/>
      <c r="RV199" s="5"/>
      <c r="RW199" s="5"/>
      <c r="RX199" s="5"/>
      <c r="RY199" s="5"/>
      <c r="RZ199" s="5"/>
      <c r="SA199" s="5"/>
      <c r="SB199" s="5"/>
      <c r="SC199" s="5"/>
      <c r="SD199" s="5"/>
      <c r="SE199" s="5"/>
      <c r="SF199" s="5"/>
      <c r="SG199" s="5"/>
      <c r="SH199" s="5"/>
      <c r="SI199" s="5"/>
      <c r="SJ199" s="5"/>
      <c r="SK199" s="5"/>
      <c r="SL199" s="5"/>
      <c r="SM199" s="5"/>
      <c r="SN199" s="5"/>
      <c r="SO199" s="5"/>
      <c r="SP199" s="5"/>
      <c r="SQ199" s="5"/>
      <c r="SR199" s="5"/>
      <c r="SS199" s="5"/>
      <c r="ST199" s="5"/>
      <c r="SU199" s="5"/>
      <c r="SV199" s="5"/>
      <c r="SW199" s="5"/>
      <c r="SX199" s="5"/>
      <c r="SY199" s="5"/>
      <c r="SZ199" s="5"/>
      <c r="TA199" s="5"/>
      <c r="TB199" s="5"/>
      <c r="TC199" s="5"/>
      <c r="TD199" s="5"/>
      <c r="TE199" s="5"/>
      <c r="TF199" s="5"/>
      <c r="TG199" s="5"/>
      <c r="TH199" s="5"/>
      <c r="TI199" s="5"/>
      <c r="TJ199" s="5"/>
      <c r="TK199" s="5"/>
      <c r="TL199" s="5"/>
      <c r="TM199" s="5"/>
      <c r="TN199" s="5"/>
      <c r="TO199" s="5"/>
      <c r="TP199" s="5"/>
      <c r="TQ199" s="5"/>
      <c r="TR199" s="5"/>
      <c r="TS199" s="5"/>
      <c r="TT199" s="5"/>
      <c r="TU199" s="5"/>
      <c r="TV199" s="5"/>
      <c r="TW199" s="5"/>
      <c r="TX199" s="5"/>
      <c r="TY199" s="5"/>
      <c r="TZ199" s="5"/>
      <c r="UA199" s="5"/>
      <c r="UB199" s="5"/>
      <c r="UC199" s="5"/>
      <c r="UD199" s="5"/>
      <c r="UE199" s="5"/>
      <c r="UF199" s="5"/>
      <c r="UG199" s="5"/>
      <c r="UH199" s="5"/>
      <c r="UI199" s="5"/>
      <c r="UJ199" s="5"/>
      <c r="UK199" s="5"/>
      <c r="UL199" s="5"/>
      <c r="UM199" s="5"/>
      <c r="UN199" s="5"/>
      <c r="UO199" s="5"/>
      <c r="UP199" s="5"/>
      <c r="UQ199" s="5"/>
      <c r="UR199" s="5"/>
      <c r="US199" s="5"/>
      <c r="UT199" s="5"/>
      <c r="UU199" s="5"/>
      <c r="UV199" s="5"/>
      <c r="UW199" s="5"/>
      <c r="UX199" s="5"/>
      <c r="UY199" s="5"/>
      <c r="UZ199" s="5"/>
      <c r="VA199" s="5"/>
      <c r="VB199" s="5"/>
      <c r="VC199" s="5"/>
      <c r="VD199" s="5"/>
      <c r="VE199" s="5"/>
      <c r="VF199" s="5"/>
      <c r="VG199" s="5"/>
      <c r="VH199" s="5"/>
      <c r="VI199" s="5"/>
      <c r="VJ199" s="5"/>
      <c r="VK199" s="5"/>
      <c r="VL199" s="5"/>
      <c r="VM199" s="5"/>
      <c r="VN199" s="5"/>
      <c r="VO199" s="5"/>
      <c r="VP199" s="5"/>
      <c r="VQ199" s="5"/>
      <c r="VR199" s="5"/>
      <c r="VS199" s="5"/>
      <c r="VT199" s="5"/>
      <c r="VU199" s="5"/>
      <c r="VV199" s="5"/>
      <c r="VW199" s="5"/>
      <c r="VX199" s="5"/>
      <c r="VY199" s="5"/>
      <c r="VZ199" s="5"/>
      <c r="WA199" s="5"/>
      <c r="WB199" s="5"/>
      <c r="WC199" s="5"/>
      <c r="WD199" s="5"/>
      <c r="WE199" s="5"/>
      <c r="WF199" s="5"/>
      <c r="WG199" s="5"/>
      <c r="WH199" s="5"/>
      <c r="WI199" s="5"/>
      <c r="WJ199" s="5"/>
      <c r="WK199" s="5"/>
      <c r="WL199" s="5"/>
      <c r="WM199" s="5"/>
      <c r="WN199" s="5"/>
      <c r="WO199" s="5"/>
      <c r="WP199" s="5"/>
      <c r="WQ199" s="5"/>
      <c r="WR199" s="5"/>
      <c r="WS199" s="5"/>
      <c r="WT199" s="5"/>
      <c r="WU199" s="5"/>
      <c r="WV199" s="5"/>
      <c r="WW199" s="5"/>
      <c r="WX199" s="5"/>
      <c r="WY199" s="5"/>
      <c r="WZ199" s="5"/>
      <c r="XA199" s="5"/>
      <c r="XB199" s="5"/>
      <c r="XC199" s="5"/>
      <c r="XD199" s="5"/>
      <c r="XE199" s="5"/>
      <c r="XF199" s="5"/>
      <c r="XG199" s="5"/>
      <c r="XH199" s="5"/>
      <c r="XI199" s="5"/>
      <c r="XJ199" s="5"/>
      <c r="XK199" s="5"/>
      <c r="XL199" s="5"/>
      <c r="XM199" s="5"/>
      <c r="XN199" s="5"/>
      <c r="XO199" s="5"/>
      <c r="XP199" s="5"/>
      <c r="XQ199" s="5"/>
      <c r="XR199" s="5"/>
      <c r="XS199" s="5"/>
      <c r="XT199" s="5"/>
      <c r="XU199" s="5"/>
      <c r="XV199" s="5"/>
      <c r="XW199" s="5"/>
      <c r="XX199" s="5"/>
      <c r="XY199" s="5"/>
      <c r="XZ199" s="5"/>
      <c r="YA199" s="5"/>
      <c r="YB199" s="5"/>
      <c r="YC199" s="5"/>
      <c r="YD199" s="5"/>
      <c r="YE199" s="5"/>
      <c r="YF199" s="5"/>
      <c r="YG199" s="5"/>
      <c r="YH199" s="5"/>
      <c r="YI199" s="5"/>
      <c r="YJ199" s="5"/>
      <c r="YK199" s="5"/>
      <c r="YL199" s="5"/>
      <c r="YM199" s="5"/>
      <c r="YN199" s="5"/>
      <c r="YO199" s="5"/>
      <c r="YP199" s="5"/>
      <c r="YQ199" s="5"/>
      <c r="YR199" s="5"/>
      <c r="YS199" s="5"/>
      <c r="YT199" s="5"/>
      <c r="YU199" s="5"/>
      <c r="YV199" s="5"/>
      <c r="YW199" s="5"/>
      <c r="YX199" s="5"/>
      <c r="YY199" s="5"/>
      <c r="YZ199" s="5"/>
    </row>
    <row r="200" spans="1:676">
      <c r="A200" s="7">
        <v>190</v>
      </c>
      <c r="B200" s="7" t="s">
        <v>467</v>
      </c>
      <c r="C200" s="10" t="s">
        <v>468</v>
      </c>
      <c r="D200" s="7" t="s">
        <v>407</v>
      </c>
      <c r="E200" s="7" t="s">
        <v>381</v>
      </c>
      <c r="F200" s="7" t="s">
        <v>394</v>
      </c>
      <c r="G200" s="7"/>
      <c r="H200" s="7" t="s">
        <v>100</v>
      </c>
      <c r="I200" s="11">
        <v>2</v>
      </c>
      <c r="J200" s="11">
        <v>3</v>
      </c>
      <c r="K200" s="11">
        <v>0.95</v>
      </c>
      <c r="L200" s="11">
        <v>1.18</v>
      </c>
      <c r="M200" s="11">
        <v>0.66</v>
      </c>
      <c r="N200" s="11">
        <v>0</v>
      </c>
      <c r="O200" s="11">
        <v>0.24</v>
      </c>
      <c r="P200" s="11">
        <v>0</v>
      </c>
      <c r="Q200" s="11">
        <v>3.03</v>
      </c>
      <c r="R200" s="11">
        <v>31.29</v>
      </c>
      <c r="S200" s="11">
        <v>34.32</v>
      </c>
      <c r="T200" s="11">
        <v>2</v>
      </c>
      <c r="U200" s="11">
        <v>3</v>
      </c>
      <c r="V200" s="11">
        <v>29.32</v>
      </c>
      <c r="W200" s="13">
        <v>14</v>
      </c>
      <c r="X200" s="13">
        <v>21</v>
      </c>
      <c r="Y200" s="13" t="str">
        <f>MIN(W200,S200)</f>
        <v>0</v>
      </c>
      <c r="Z200" s="13" t="str">
        <f>MIN(X200,(S200-Y200))</f>
        <v>0</v>
      </c>
      <c r="AA200" s="13" t="str">
        <f>S200-SUM(Y200,Z200)</f>
        <v>0</v>
      </c>
      <c r="AB200" s="15"/>
      <c r="AC200" s="15"/>
      <c r="AD200" s="1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  <c r="PX200" s="5"/>
      <c r="PY200" s="5"/>
      <c r="PZ200" s="5"/>
      <c r="QA200" s="5"/>
      <c r="QB200" s="5"/>
      <c r="QC200" s="5"/>
      <c r="QD200" s="5"/>
      <c r="QE200" s="5"/>
      <c r="QF200" s="5"/>
      <c r="QG200" s="5"/>
      <c r="QH200" s="5"/>
      <c r="QI200" s="5"/>
      <c r="QJ200" s="5"/>
      <c r="QK200" s="5"/>
      <c r="QL200" s="5"/>
      <c r="QM200" s="5"/>
      <c r="QN200" s="5"/>
      <c r="QO200" s="5"/>
      <c r="QP200" s="5"/>
      <c r="QQ200" s="5"/>
      <c r="QR200" s="5"/>
      <c r="QS200" s="5"/>
      <c r="QT200" s="5"/>
      <c r="QU200" s="5"/>
      <c r="QV200" s="5"/>
      <c r="QW200" s="5"/>
      <c r="QX200" s="5"/>
      <c r="QY200" s="5"/>
      <c r="QZ200" s="5"/>
      <c r="RA200" s="5"/>
      <c r="RB200" s="5"/>
      <c r="RC200" s="5"/>
      <c r="RD200" s="5"/>
      <c r="RE200" s="5"/>
      <c r="RF200" s="5"/>
      <c r="RG200" s="5"/>
      <c r="RH200" s="5"/>
      <c r="RI200" s="5"/>
      <c r="RJ200" s="5"/>
      <c r="RK200" s="5"/>
      <c r="RL200" s="5"/>
      <c r="RM200" s="5"/>
      <c r="RN200" s="5"/>
      <c r="RO200" s="5"/>
      <c r="RP200" s="5"/>
      <c r="RQ200" s="5"/>
      <c r="RR200" s="5"/>
      <c r="RS200" s="5"/>
      <c r="RT200" s="5"/>
      <c r="RU200" s="5"/>
      <c r="RV200" s="5"/>
      <c r="RW200" s="5"/>
      <c r="RX200" s="5"/>
      <c r="RY200" s="5"/>
      <c r="RZ200" s="5"/>
      <c r="SA200" s="5"/>
      <c r="SB200" s="5"/>
      <c r="SC200" s="5"/>
      <c r="SD200" s="5"/>
      <c r="SE200" s="5"/>
      <c r="SF200" s="5"/>
      <c r="SG200" s="5"/>
      <c r="SH200" s="5"/>
      <c r="SI200" s="5"/>
      <c r="SJ200" s="5"/>
      <c r="SK200" s="5"/>
      <c r="SL200" s="5"/>
      <c r="SM200" s="5"/>
      <c r="SN200" s="5"/>
      <c r="SO200" s="5"/>
      <c r="SP200" s="5"/>
      <c r="SQ200" s="5"/>
      <c r="SR200" s="5"/>
      <c r="SS200" s="5"/>
      <c r="ST200" s="5"/>
      <c r="SU200" s="5"/>
      <c r="SV200" s="5"/>
      <c r="SW200" s="5"/>
      <c r="SX200" s="5"/>
      <c r="SY200" s="5"/>
      <c r="SZ200" s="5"/>
      <c r="TA200" s="5"/>
      <c r="TB200" s="5"/>
      <c r="TC200" s="5"/>
      <c r="TD200" s="5"/>
      <c r="TE200" s="5"/>
      <c r="TF200" s="5"/>
      <c r="TG200" s="5"/>
      <c r="TH200" s="5"/>
      <c r="TI200" s="5"/>
      <c r="TJ200" s="5"/>
      <c r="TK200" s="5"/>
      <c r="TL200" s="5"/>
      <c r="TM200" s="5"/>
      <c r="TN200" s="5"/>
      <c r="TO200" s="5"/>
      <c r="TP200" s="5"/>
      <c r="TQ200" s="5"/>
      <c r="TR200" s="5"/>
      <c r="TS200" s="5"/>
      <c r="TT200" s="5"/>
      <c r="TU200" s="5"/>
      <c r="TV200" s="5"/>
      <c r="TW200" s="5"/>
      <c r="TX200" s="5"/>
      <c r="TY200" s="5"/>
      <c r="TZ200" s="5"/>
      <c r="UA200" s="5"/>
      <c r="UB200" s="5"/>
      <c r="UC200" s="5"/>
      <c r="UD200" s="5"/>
      <c r="UE200" s="5"/>
      <c r="UF200" s="5"/>
      <c r="UG200" s="5"/>
      <c r="UH200" s="5"/>
      <c r="UI200" s="5"/>
      <c r="UJ200" s="5"/>
      <c r="UK200" s="5"/>
      <c r="UL200" s="5"/>
      <c r="UM200" s="5"/>
      <c r="UN200" s="5"/>
      <c r="UO200" s="5"/>
      <c r="UP200" s="5"/>
      <c r="UQ200" s="5"/>
      <c r="UR200" s="5"/>
      <c r="US200" s="5"/>
      <c r="UT200" s="5"/>
      <c r="UU200" s="5"/>
      <c r="UV200" s="5"/>
      <c r="UW200" s="5"/>
      <c r="UX200" s="5"/>
      <c r="UY200" s="5"/>
      <c r="UZ200" s="5"/>
      <c r="VA200" s="5"/>
      <c r="VB200" s="5"/>
      <c r="VC200" s="5"/>
      <c r="VD200" s="5"/>
      <c r="VE200" s="5"/>
      <c r="VF200" s="5"/>
      <c r="VG200" s="5"/>
      <c r="VH200" s="5"/>
      <c r="VI200" s="5"/>
      <c r="VJ200" s="5"/>
      <c r="VK200" s="5"/>
      <c r="VL200" s="5"/>
      <c r="VM200" s="5"/>
      <c r="VN200" s="5"/>
      <c r="VO200" s="5"/>
      <c r="VP200" s="5"/>
      <c r="VQ200" s="5"/>
      <c r="VR200" s="5"/>
      <c r="VS200" s="5"/>
      <c r="VT200" s="5"/>
      <c r="VU200" s="5"/>
      <c r="VV200" s="5"/>
      <c r="VW200" s="5"/>
      <c r="VX200" s="5"/>
      <c r="VY200" s="5"/>
      <c r="VZ200" s="5"/>
      <c r="WA200" s="5"/>
      <c r="WB200" s="5"/>
      <c r="WC200" s="5"/>
      <c r="WD200" s="5"/>
      <c r="WE200" s="5"/>
      <c r="WF200" s="5"/>
      <c r="WG200" s="5"/>
      <c r="WH200" s="5"/>
      <c r="WI200" s="5"/>
      <c r="WJ200" s="5"/>
      <c r="WK200" s="5"/>
      <c r="WL200" s="5"/>
      <c r="WM200" s="5"/>
      <c r="WN200" s="5"/>
      <c r="WO200" s="5"/>
      <c r="WP200" s="5"/>
      <c r="WQ200" s="5"/>
      <c r="WR200" s="5"/>
      <c r="WS200" s="5"/>
      <c r="WT200" s="5"/>
      <c r="WU200" s="5"/>
      <c r="WV200" s="5"/>
      <c r="WW200" s="5"/>
      <c r="WX200" s="5"/>
      <c r="WY200" s="5"/>
      <c r="WZ200" s="5"/>
      <c r="XA200" s="5"/>
      <c r="XB200" s="5"/>
      <c r="XC200" s="5"/>
      <c r="XD200" s="5"/>
      <c r="XE200" s="5"/>
      <c r="XF200" s="5"/>
      <c r="XG200" s="5"/>
      <c r="XH200" s="5"/>
      <c r="XI200" s="5"/>
      <c r="XJ200" s="5"/>
      <c r="XK200" s="5"/>
      <c r="XL200" s="5"/>
      <c r="XM200" s="5"/>
      <c r="XN200" s="5"/>
      <c r="XO200" s="5"/>
      <c r="XP200" s="5"/>
      <c r="XQ200" s="5"/>
      <c r="XR200" s="5"/>
      <c r="XS200" s="5"/>
      <c r="XT200" s="5"/>
      <c r="XU200" s="5"/>
      <c r="XV200" s="5"/>
      <c r="XW200" s="5"/>
      <c r="XX200" s="5"/>
      <c r="XY200" s="5"/>
      <c r="XZ200" s="5"/>
      <c r="YA200" s="5"/>
      <c r="YB200" s="5"/>
      <c r="YC200" s="5"/>
      <c r="YD200" s="5"/>
      <c r="YE200" s="5"/>
      <c r="YF200" s="5"/>
      <c r="YG200" s="5"/>
      <c r="YH200" s="5"/>
      <c r="YI200" s="5"/>
      <c r="YJ200" s="5"/>
      <c r="YK200" s="5"/>
      <c r="YL200" s="5"/>
      <c r="YM200" s="5"/>
      <c r="YN200" s="5"/>
      <c r="YO200" s="5"/>
      <c r="YP200" s="5"/>
      <c r="YQ200" s="5"/>
      <c r="YR200" s="5"/>
      <c r="YS200" s="5"/>
      <c r="YT200" s="5"/>
      <c r="YU200" s="5"/>
      <c r="YV200" s="5"/>
      <c r="YW200" s="5"/>
      <c r="YX200" s="5"/>
      <c r="YY200" s="5"/>
      <c r="YZ200" s="5"/>
    </row>
    <row r="201" spans="1:676">
      <c r="A201" s="7">
        <v>191</v>
      </c>
      <c r="B201" s="7" t="s">
        <v>469</v>
      </c>
      <c r="C201" s="10" t="s">
        <v>470</v>
      </c>
      <c r="D201" s="7" t="s">
        <v>348</v>
      </c>
      <c r="E201" s="7" t="s">
        <v>279</v>
      </c>
      <c r="F201" s="7" t="s">
        <v>394</v>
      </c>
      <c r="G201" s="7"/>
      <c r="H201" s="7" t="s">
        <v>100</v>
      </c>
      <c r="I201" s="11">
        <v>2</v>
      </c>
      <c r="J201" s="11">
        <v>3</v>
      </c>
      <c r="K201" s="11">
        <v>0.95</v>
      </c>
      <c r="L201" s="11">
        <v>4.63</v>
      </c>
      <c r="M201" s="11">
        <v>0.65</v>
      </c>
      <c r="N201" s="11">
        <v>0</v>
      </c>
      <c r="O201" s="11">
        <v>0</v>
      </c>
      <c r="P201" s="11">
        <v>0</v>
      </c>
      <c r="Q201" s="11">
        <v>6.230000000000001</v>
      </c>
      <c r="R201" s="11">
        <v>54.44999999999998</v>
      </c>
      <c r="S201" s="11">
        <v>60.67999999999999</v>
      </c>
      <c r="T201" s="11">
        <v>2</v>
      </c>
      <c r="U201" s="11">
        <v>3</v>
      </c>
      <c r="V201" s="11">
        <v>55.67999999999999</v>
      </c>
      <c r="W201" s="13">
        <v>14</v>
      </c>
      <c r="X201" s="13">
        <v>21</v>
      </c>
      <c r="Y201" s="13" t="str">
        <f>MIN(W201,S201)</f>
        <v>0</v>
      </c>
      <c r="Z201" s="13" t="str">
        <f>MIN(X201,(S201-Y201))</f>
        <v>0</v>
      </c>
      <c r="AA201" s="13" t="str">
        <f>S201-SUM(Y201,Z201)</f>
        <v>0</v>
      </c>
      <c r="AB201" s="15"/>
      <c r="AC201" s="15"/>
      <c r="AD201" s="1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  <c r="PX201" s="5"/>
      <c r="PY201" s="5"/>
      <c r="PZ201" s="5"/>
      <c r="QA201" s="5"/>
      <c r="QB201" s="5"/>
      <c r="QC201" s="5"/>
      <c r="QD201" s="5"/>
      <c r="QE201" s="5"/>
      <c r="QF201" s="5"/>
      <c r="QG201" s="5"/>
      <c r="QH201" s="5"/>
      <c r="QI201" s="5"/>
      <c r="QJ201" s="5"/>
      <c r="QK201" s="5"/>
      <c r="QL201" s="5"/>
      <c r="QM201" s="5"/>
      <c r="QN201" s="5"/>
      <c r="QO201" s="5"/>
      <c r="QP201" s="5"/>
      <c r="QQ201" s="5"/>
      <c r="QR201" s="5"/>
      <c r="QS201" s="5"/>
      <c r="QT201" s="5"/>
      <c r="QU201" s="5"/>
      <c r="QV201" s="5"/>
      <c r="QW201" s="5"/>
      <c r="QX201" s="5"/>
      <c r="QY201" s="5"/>
      <c r="QZ201" s="5"/>
      <c r="RA201" s="5"/>
      <c r="RB201" s="5"/>
      <c r="RC201" s="5"/>
      <c r="RD201" s="5"/>
      <c r="RE201" s="5"/>
      <c r="RF201" s="5"/>
      <c r="RG201" s="5"/>
      <c r="RH201" s="5"/>
      <c r="RI201" s="5"/>
      <c r="RJ201" s="5"/>
      <c r="RK201" s="5"/>
      <c r="RL201" s="5"/>
      <c r="RM201" s="5"/>
      <c r="RN201" s="5"/>
      <c r="RO201" s="5"/>
      <c r="RP201" s="5"/>
      <c r="RQ201" s="5"/>
      <c r="RR201" s="5"/>
      <c r="RS201" s="5"/>
      <c r="RT201" s="5"/>
      <c r="RU201" s="5"/>
      <c r="RV201" s="5"/>
      <c r="RW201" s="5"/>
      <c r="RX201" s="5"/>
      <c r="RY201" s="5"/>
      <c r="RZ201" s="5"/>
      <c r="SA201" s="5"/>
      <c r="SB201" s="5"/>
      <c r="SC201" s="5"/>
      <c r="SD201" s="5"/>
      <c r="SE201" s="5"/>
      <c r="SF201" s="5"/>
      <c r="SG201" s="5"/>
      <c r="SH201" s="5"/>
      <c r="SI201" s="5"/>
      <c r="SJ201" s="5"/>
      <c r="SK201" s="5"/>
      <c r="SL201" s="5"/>
      <c r="SM201" s="5"/>
      <c r="SN201" s="5"/>
      <c r="SO201" s="5"/>
      <c r="SP201" s="5"/>
      <c r="SQ201" s="5"/>
      <c r="SR201" s="5"/>
      <c r="SS201" s="5"/>
      <c r="ST201" s="5"/>
      <c r="SU201" s="5"/>
      <c r="SV201" s="5"/>
      <c r="SW201" s="5"/>
      <c r="SX201" s="5"/>
      <c r="SY201" s="5"/>
      <c r="SZ201" s="5"/>
      <c r="TA201" s="5"/>
      <c r="TB201" s="5"/>
      <c r="TC201" s="5"/>
      <c r="TD201" s="5"/>
      <c r="TE201" s="5"/>
      <c r="TF201" s="5"/>
      <c r="TG201" s="5"/>
      <c r="TH201" s="5"/>
      <c r="TI201" s="5"/>
      <c r="TJ201" s="5"/>
      <c r="TK201" s="5"/>
      <c r="TL201" s="5"/>
      <c r="TM201" s="5"/>
      <c r="TN201" s="5"/>
      <c r="TO201" s="5"/>
      <c r="TP201" s="5"/>
      <c r="TQ201" s="5"/>
      <c r="TR201" s="5"/>
      <c r="TS201" s="5"/>
      <c r="TT201" s="5"/>
      <c r="TU201" s="5"/>
      <c r="TV201" s="5"/>
      <c r="TW201" s="5"/>
      <c r="TX201" s="5"/>
      <c r="TY201" s="5"/>
      <c r="TZ201" s="5"/>
      <c r="UA201" s="5"/>
      <c r="UB201" s="5"/>
      <c r="UC201" s="5"/>
      <c r="UD201" s="5"/>
      <c r="UE201" s="5"/>
      <c r="UF201" s="5"/>
      <c r="UG201" s="5"/>
      <c r="UH201" s="5"/>
      <c r="UI201" s="5"/>
      <c r="UJ201" s="5"/>
      <c r="UK201" s="5"/>
      <c r="UL201" s="5"/>
      <c r="UM201" s="5"/>
      <c r="UN201" s="5"/>
      <c r="UO201" s="5"/>
      <c r="UP201" s="5"/>
      <c r="UQ201" s="5"/>
      <c r="UR201" s="5"/>
      <c r="US201" s="5"/>
      <c r="UT201" s="5"/>
      <c r="UU201" s="5"/>
      <c r="UV201" s="5"/>
      <c r="UW201" s="5"/>
      <c r="UX201" s="5"/>
      <c r="UY201" s="5"/>
      <c r="UZ201" s="5"/>
      <c r="VA201" s="5"/>
      <c r="VB201" s="5"/>
      <c r="VC201" s="5"/>
      <c r="VD201" s="5"/>
      <c r="VE201" s="5"/>
      <c r="VF201" s="5"/>
      <c r="VG201" s="5"/>
      <c r="VH201" s="5"/>
      <c r="VI201" s="5"/>
      <c r="VJ201" s="5"/>
      <c r="VK201" s="5"/>
      <c r="VL201" s="5"/>
      <c r="VM201" s="5"/>
      <c r="VN201" s="5"/>
      <c r="VO201" s="5"/>
      <c r="VP201" s="5"/>
      <c r="VQ201" s="5"/>
      <c r="VR201" s="5"/>
      <c r="VS201" s="5"/>
      <c r="VT201" s="5"/>
      <c r="VU201" s="5"/>
      <c r="VV201" s="5"/>
      <c r="VW201" s="5"/>
      <c r="VX201" s="5"/>
      <c r="VY201" s="5"/>
      <c r="VZ201" s="5"/>
      <c r="WA201" s="5"/>
      <c r="WB201" s="5"/>
      <c r="WC201" s="5"/>
      <c r="WD201" s="5"/>
      <c r="WE201" s="5"/>
      <c r="WF201" s="5"/>
      <c r="WG201" s="5"/>
      <c r="WH201" s="5"/>
      <c r="WI201" s="5"/>
      <c r="WJ201" s="5"/>
      <c r="WK201" s="5"/>
      <c r="WL201" s="5"/>
      <c r="WM201" s="5"/>
      <c r="WN201" s="5"/>
      <c r="WO201" s="5"/>
      <c r="WP201" s="5"/>
      <c r="WQ201" s="5"/>
      <c r="WR201" s="5"/>
      <c r="WS201" s="5"/>
      <c r="WT201" s="5"/>
      <c r="WU201" s="5"/>
      <c r="WV201" s="5"/>
      <c r="WW201" s="5"/>
      <c r="WX201" s="5"/>
      <c r="WY201" s="5"/>
      <c r="WZ201" s="5"/>
      <c r="XA201" s="5"/>
      <c r="XB201" s="5"/>
      <c r="XC201" s="5"/>
      <c r="XD201" s="5"/>
      <c r="XE201" s="5"/>
      <c r="XF201" s="5"/>
      <c r="XG201" s="5"/>
      <c r="XH201" s="5"/>
      <c r="XI201" s="5"/>
      <c r="XJ201" s="5"/>
      <c r="XK201" s="5"/>
      <c r="XL201" s="5"/>
      <c r="XM201" s="5"/>
      <c r="XN201" s="5"/>
      <c r="XO201" s="5"/>
      <c r="XP201" s="5"/>
      <c r="XQ201" s="5"/>
      <c r="XR201" s="5"/>
      <c r="XS201" s="5"/>
      <c r="XT201" s="5"/>
      <c r="XU201" s="5"/>
      <c r="XV201" s="5"/>
      <c r="XW201" s="5"/>
      <c r="XX201" s="5"/>
      <c r="XY201" s="5"/>
      <c r="XZ201" s="5"/>
      <c r="YA201" s="5"/>
      <c r="YB201" s="5"/>
      <c r="YC201" s="5"/>
      <c r="YD201" s="5"/>
      <c r="YE201" s="5"/>
      <c r="YF201" s="5"/>
      <c r="YG201" s="5"/>
      <c r="YH201" s="5"/>
      <c r="YI201" s="5"/>
      <c r="YJ201" s="5"/>
      <c r="YK201" s="5"/>
      <c r="YL201" s="5"/>
      <c r="YM201" s="5"/>
      <c r="YN201" s="5"/>
      <c r="YO201" s="5"/>
      <c r="YP201" s="5"/>
      <c r="YQ201" s="5"/>
      <c r="YR201" s="5"/>
      <c r="YS201" s="5"/>
      <c r="YT201" s="5"/>
      <c r="YU201" s="5"/>
      <c r="YV201" s="5"/>
      <c r="YW201" s="5"/>
      <c r="YX201" s="5"/>
      <c r="YY201" s="5"/>
      <c r="YZ201" s="5"/>
    </row>
    <row r="202" spans="1:676">
      <c r="A202" s="7">
        <v>192</v>
      </c>
      <c r="B202" s="7" t="s">
        <v>471</v>
      </c>
      <c r="C202" s="10" t="s">
        <v>472</v>
      </c>
      <c r="D202" s="7" t="s">
        <v>407</v>
      </c>
      <c r="E202" s="7" t="s">
        <v>381</v>
      </c>
      <c r="F202" s="7" t="s">
        <v>394</v>
      </c>
      <c r="G202" s="7"/>
      <c r="H202" s="7" t="s">
        <v>52</v>
      </c>
      <c r="I202" s="11">
        <v>2</v>
      </c>
      <c r="J202" s="11">
        <v>3</v>
      </c>
      <c r="K202" s="11">
        <v>0</v>
      </c>
      <c r="L202" s="11">
        <v>1.42</v>
      </c>
      <c r="M202" s="11">
        <v>0</v>
      </c>
      <c r="N202" s="11">
        <v>0</v>
      </c>
      <c r="O202" s="11">
        <v>0</v>
      </c>
      <c r="P202" s="11">
        <v>0</v>
      </c>
      <c r="Q202" s="11">
        <v>1.42</v>
      </c>
      <c r="R202" s="11">
        <v>26.91</v>
      </c>
      <c r="S202" s="11">
        <v>28.33</v>
      </c>
      <c r="T202" s="11">
        <v>2</v>
      </c>
      <c r="U202" s="11">
        <v>3</v>
      </c>
      <c r="V202" s="11">
        <v>23.33</v>
      </c>
      <c r="W202" s="13">
        <v>14</v>
      </c>
      <c r="X202" s="13">
        <v>21</v>
      </c>
      <c r="Y202" s="13" t="str">
        <f>MIN(W202,S202)</f>
        <v>0</v>
      </c>
      <c r="Z202" s="13" t="str">
        <f>MIN(X202,(S202-Y202))</f>
        <v>0</v>
      </c>
      <c r="AA202" s="13" t="str">
        <f>S202-SUM(Y202,Z202)</f>
        <v>0</v>
      </c>
      <c r="AB202" s="15"/>
      <c r="AC202" s="15"/>
      <c r="AD202" s="1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5"/>
      <c r="QJ202" s="5"/>
      <c r="QK202" s="5"/>
      <c r="QL202" s="5"/>
      <c r="QM202" s="5"/>
      <c r="QN202" s="5"/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  <c r="SG202" s="5"/>
      <c r="SH202" s="5"/>
      <c r="SI202" s="5"/>
      <c r="SJ202" s="5"/>
      <c r="SK202" s="5"/>
      <c r="SL202" s="5"/>
      <c r="SM202" s="5"/>
      <c r="SN202" s="5"/>
      <c r="SO202" s="5"/>
      <c r="SP202" s="5"/>
      <c r="SQ202" s="5"/>
      <c r="SR202" s="5"/>
      <c r="SS202" s="5"/>
      <c r="ST202" s="5"/>
      <c r="SU202" s="5"/>
      <c r="SV202" s="5"/>
      <c r="SW202" s="5"/>
      <c r="SX202" s="5"/>
      <c r="SY202" s="5"/>
      <c r="SZ202" s="5"/>
      <c r="TA202" s="5"/>
      <c r="TB202" s="5"/>
      <c r="TC202" s="5"/>
      <c r="TD202" s="5"/>
      <c r="TE202" s="5"/>
      <c r="TF202" s="5"/>
      <c r="TG202" s="5"/>
      <c r="TH202" s="5"/>
      <c r="TI202" s="5"/>
      <c r="TJ202" s="5"/>
      <c r="TK202" s="5"/>
      <c r="TL202" s="5"/>
      <c r="TM202" s="5"/>
      <c r="TN202" s="5"/>
      <c r="TO202" s="5"/>
      <c r="TP202" s="5"/>
      <c r="TQ202" s="5"/>
      <c r="TR202" s="5"/>
      <c r="TS202" s="5"/>
      <c r="TT202" s="5"/>
      <c r="TU202" s="5"/>
      <c r="TV202" s="5"/>
      <c r="TW202" s="5"/>
      <c r="TX202" s="5"/>
      <c r="TY202" s="5"/>
      <c r="TZ202" s="5"/>
      <c r="UA202" s="5"/>
      <c r="UB202" s="5"/>
      <c r="UC202" s="5"/>
      <c r="UD202" s="5"/>
      <c r="UE202" s="5"/>
      <c r="UF202" s="5"/>
      <c r="UG202" s="5"/>
      <c r="UH202" s="5"/>
      <c r="UI202" s="5"/>
      <c r="UJ202" s="5"/>
      <c r="UK202" s="5"/>
      <c r="UL202" s="5"/>
      <c r="UM202" s="5"/>
      <c r="UN202" s="5"/>
      <c r="UO202" s="5"/>
      <c r="UP202" s="5"/>
      <c r="UQ202" s="5"/>
      <c r="UR202" s="5"/>
      <c r="US202" s="5"/>
      <c r="UT202" s="5"/>
      <c r="UU202" s="5"/>
      <c r="UV202" s="5"/>
      <c r="UW202" s="5"/>
      <c r="UX202" s="5"/>
      <c r="UY202" s="5"/>
      <c r="UZ202" s="5"/>
      <c r="VA202" s="5"/>
      <c r="VB202" s="5"/>
      <c r="VC202" s="5"/>
      <c r="VD202" s="5"/>
      <c r="VE202" s="5"/>
      <c r="VF202" s="5"/>
      <c r="VG202" s="5"/>
      <c r="VH202" s="5"/>
      <c r="VI202" s="5"/>
      <c r="VJ202" s="5"/>
      <c r="VK202" s="5"/>
      <c r="VL202" s="5"/>
      <c r="VM202" s="5"/>
      <c r="VN202" s="5"/>
      <c r="VO202" s="5"/>
      <c r="VP202" s="5"/>
      <c r="VQ202" s="5"/>
      <c r="VR202" s="5"/>
      <c r="VS202" s="5"/>
      <c r="VT202" s="5"/>
      <c r="VU202" s="5"/>
      <c r="VV202" s="5"/>
      <c r="VW202" s="5"/>
      <c r="VX202" s="5"/>
      <c r="VY202" s="5"/>
      <c r="VZ202" s="5"/>
      <c r="WA202" s="5"/>
      <c r="WB202" s="5"/>
      <c r="WC202" s="5"/>
      <c r="WD202" s="5"/>
      <c r="WE202" s="5"/>
      <c r="WF202" s="5"/>
      <c r="WG202" s="5"/>
      <c r="WH202" s="5"/>
      <c r="WI202" s="5"/>
      <c r="WJ202" s="5"/>
      <c r="WK202" s="5"/>
      <c r="WL202" s="5"/>
      <c r="WM202" s="5"/>
      <c r="WN202" s="5"/>
      <c r="WO202" s="5"/>
      <c r="WP202" s="5"/>
      <c r="WQ202" s="5"/>
      <c r="WR202" s="5"/>
      <c r="WS202" s="5"/>
      <c r="WT202" s="5"/>
      <c r="WU202" s="5"/>
      <c r="WV202" s="5"/>
      <c r="WW202" s="5"/>
      <c r="WX202" s="5"/>
      <c r="WY202" s="5"/>
      <c r="WZ202" s="5"/>
      <c r="XA202" s="5"/>
      <c r="XB202" s="5"/>
      <c r="XC202" s="5"/>
      <c r="XD202" s="5"/>
      <c r="XE202" s="5"/>
      <c r="XF202" s="5"/>
      <c r="XG202" s="5"/>
      <c r="XH202" s="5"/>
      <c r="XI202" s="5"/>
      <c r="XJ202" s="5"/>
      <c r="XK202" s="5"/>
      <c r="XL202" s="5"/>
      <c r="XM202" s="5"/>
      <c r="XN202" s="5"/>
      <c r="XO202" s="5"/>
      <c r="XP202" s="5"/>
      <c r="XQ202" s="5"/>
      <c r="XR202" s="5"/>
      <c r="XS202" s="5"/>
      <c r="XT202" s="5"/>
      <c r="XU202" s="5"/>
      <c r="XV202" s="5"/>
      <c r="XW202" s="5"/>
      <c r="XX202" s="5"/>
      <c r="XY202" s="5"/>
      <c r="XZ202" s="5"/>
      <c r="YA202" s="5"/>
      <c r="YB202" s="5"/>
      <c r="YC202" s="5"/>
      <c r="YD202" s="5"/>
      <c r="YE202" s="5"/>
      <c r="YF202" s="5"/>
      <c r="YG202" s="5"/>
      <c r="YH202" s="5"/>
      <c r="YI202" s="5"/>
      <c r="YJ202" s="5"/>
      <c r="YK202" s="5"/>
      <c r="YL202" s="5"/>
      <c r="YM202" s="5"/>
      <c r="YN202" s="5"/>
      <c r="YO202" s="5"/>
      <c r="YP202" s="5"/>
      <c r="YQ202" s="5"/>
      <c r="YR202" s="5"/>
      <c r="YS202" s="5"/>
      <c r="YT202" s="5"/>
      <c r="YU202" s="5"/>
      <c r="YV202" s="5"/>
      <c r="YW202" s="5"/>
      <c r="YX202" s="5"/>
      <c r="YY202" s="5"/>
      <c r="YZ202" s="5"/>
    </row>
    <row r="203" spans="1:676">
      <c r="A203" s="7">
        <v>193</v>
      </c>
      <c r="B203" s="7" t="s">
        <v>473</v>
      </c>
      <c r="C203" s="10" t="s">
        <v>474</v>
      </c>
      <c r="D203" s="7" t="s">
        <v>85</v>
      </c>
      <c r="E203" s="7" t="s">
        <v>279</v>
      </c>
      <c r="F203" s="7" t="s">
        <v>394</v>
      </c>
      <c r="G203" s="7"/>
      <c r="H203" s="7" t="s">
        <v>52</v>
      </c>
      <c r="I203" s="11">
        <v>2</v>
      </c>
      <c r="J203" s="11">
        <v>3</v>
      </c>
      <c r="K203" s="11">
        <v>0</v>
      </c>
      <c r="L203" s="11">
        <v>1.620000000000001</v>
      </c>
      <c r="M203" s="11">
        <v>0.33</v>
      </c>
      <c r="N203" s="11">
        <v>0</v>
      </c>
      <c r="O203" s="11">
        <v>0</v>
      </c>
      <c r="P203" s="11">
        <v>0</v>
      </c>
      <c r="Q203" s="11">
        <v>1.950000000000001</v>
      </c>
      <c r="R203" s="11">
        <v>16.04</v>
      </c>
      <c r="S203" s="11">
        <v>17.99</v>
      </c>
      <c r="T203" s="11">
        <v>2</v>
      </c>
      <c r="U203" s="11">
        <v>3</v>
      </c>
      <c r="V203" s="11">
        <v>12.99</v>
      </c>
      <c r="W203" s="13">
        <v>14</v>
      </c>
      <c r="X203" s="13">
        <v>21</v>
      </c>
      <c r="Y203" s="13" t="str">
        <f>MIN(W203,S203)</f>
        <v>0</v>
      </c>
      <c r="Z203" s="13" t="str">
        <f>MIN(X203,(S203-Y203))</f>
        <v>0</v>
      </c>
      <c r="AA203" s="13" t="str">
        <f>S203-SUM(Y203,Z203)</f>
        <v>0</v>
      </c>
      <c r="AB203" s="15"/>
      <c r="AC203" s="15"/>
      <c r="AD203" s="1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  <c r="PX203" s="5"/>
      <c r="PY203" s="5"/>
      <c r="PZ203" s="5"/>
      <c r="QA203" s="5"/>
      <c r="QB203" s="5"/>
      <c r="QC203" s="5"/>
      <c r="QD203" s="5"/>
      <c r="QE203" s="5"/>
      <c r="QF203" s="5"/>
      <c r="QG203" s="5"/>
      <c r="QH203" s="5"/>
      <c r="QI203" s="5"/>
      <c r="QJ203" s="5"/>
      <c r="QK203" s="5"/>
      <c r="QL203" s="5"/>
      <c r="QM203" s="5"/>
      <c r="QN203" s="5"/>
      <c r="QO203" s="5"/>
      <c r="QP203" s="5"/>
      <c r="QQ203" s="5"/>
      <c r="QR203" s="5"/>
      <c r="QS203" s="5"/>
      <c r="QT203" s="5"/>
      <c r="QU203" s="5"/>
      <c r="QV203" s="5"/>
      <c r="QW203" s="5"/>
      <c r="QX203" s="5"/>
      <c r="QY203" s="5"/>
      <c r="QZ203" s="5"/>
      <c r="RA203" s="5"/>
      <c r="RB203" s="5"/>
      <c r="RC203" s="5"/>
      <c r="RD203" s="5"/>
      <c r="RE203" s="5"/>
      <c r="RF203" s="5"/>
      <c r="RG203" s="5"/>
      <c r="RH203" s="5"/>
      <c r="RI203" s="5"/>
      <c r="RJ203" s="5"/>
      <c r="RK203" s="5"/>
      <c r="RL203" s="5"/>
      <c r="RM203" s="5"/>
      <c r="RN203" s="5"/>
      <c r="RO203" s="5"/>
      <c r="RP203" s="5"/>
      <c r="RQ203" s="5"/>
      <c r="RR203" s="5"/>
      <c r="RS203" s="5"/>
      <c r="RT203" s="5"/>
      <c r="RU203" s="5"/>
      <c r="RV203" s="5"/>
      <c r="RW203" s="5"/>
      <c r="RX203" s="5"/>
      <c r="RY203" s="5"/>
      <c r="RZ203" s="5"/>
      <c r="SA203" s="5"/>
      <c r="SB203" s="5"/>
      <c r="SC203" s="5"/>
      <c r="SD203" s="5"/>
      <c r="SE203" s="5"/>
      <c r="SF203" s="5"/>
      <c r="SG203" s="5"/>
      <c r="SH203" s="5"/>
      <c r="SI203" s="5"/>
      <c r="SJ203" s="5"/>
      <c r="SK203" s="5"/>
      <c r="SL203" s="5"/>
      <c r="SM203" s="5"/>
      <c r="SN203" s="5"/>
      <c r="SO203" s="5"/>
      <c r="SP203" s="5"/>
      <c r="SQ203" s="5"/>
      <c r="SR203" s="5"/>
      <c r="SS203" s="5"/>
      <c r="ST203" s="5"/>
      <c r="SU203" s="5"/>
      <c r="SV203" s="5"/>
      <c r="SW203" s="5"/>
      <c r="SX203" s="5"/>
      <c r="SY203" s="5"/>
      <c r="SZ203" s="5"/>
      <c r="TA203" s="5"/>
      <c r="TB203" s="5"/>
      <c r="TC203" s="5"/>
      <c r="TD203" s="5"/>
      <c r="TE203" s="5"/>
      <c r="TF203" s="5"/>
      <c r="TG203" s="5"/>
      <c r="TH203" s="5"/>
      <c r="TI203" s="5"/>
      <c r="TJ203" s="5"/>
      <c r="TK203" s="5"/>
      <c r="TL203" s="5"/>
      <c r="TM203" s="5"/>
      <c r="TN203" s="5"/>
      <c r="TO203" s="5"/>
      <c r="TP203" s="5"/>
      <c r="TQ203" s="5"/>
      <c r="TR203" s="5"/>
      <c r="TS203" s="5"/>
      <c r="TT203" s="5"/>
      <c r="TU203" s="5"/>
      <c r="TV203" s="5"/>
      <c r="TW203" s="5"/>
      <c r="TX203" s="5"/>
      <c r="TY203" s="5"/>
      <c r="TZ203" s="5"/>
      <c r="UA203" s="5"/>
      <c r="UB203" s="5"/>
      <c r="UC203" s="5"/>
      <c r="UD203" s="5"/>
      <c r="UE203" s="5"/>
      <c r="UF203" s="5"/>
      <c r="UG203" s="5"/>
      <c r="UH203" s="5"/>
      <c r="UI203" s="5"/>
      <c r="UJ203" s="5"/>
      <c r="UK203" s="5"/>
      <c r="UL203" s="5"/>
      <c r="UM203" s="5"/>
      <c r="UN203" s="5"/>
      <c r="UO203" s="5"/>
      <c r="UP203" s="5"/>
      <c r="UQ203" s="5"/>
      <c r="UR203" s="5"/>
      <c r="US203" s="5"/>
      <c r="UT203" s="5"/>
      <c r="UU203" s="5"/>
      <c r="UV203" s="5"/>
      <c r="UW203" s="5"/>
      <c r="UX203" s="5"/>
      <c r="UY203" s="5"/>
      <c r="UZ203" s="5"/>
      <c r="VA203" s="5"/>
      <c r="VB203" s="5"/>
      <c r="VC203" s="5"/>
      <c r="VD203" s="5"/>
      <c r="VE203" s="5"/>
      <c r="VF203" s="5"/>
      <c r="VG203" s="5"/>
      <c r="VH203" s="5"/>
      <c r="VI203" s="5"/>
      <c r="VJ203" s="5"/>
      <c r="VK203" s="5"/>
      <c r="VL203" s="5"/>
      <c r="VM203" s="5"/>
      <c r="VN203" s="5"/>
      <c r="VO203" s="5"/>
      <c r="VP203" s="5"/>
      <c r="VQ203" s="5"/>
      <c r="VR203" s="5"/>
      <c r="VS203" s="5"/>
      <c r="VT203" s="5"/>
      <c r="VU203" s="5"/>
      <c r="VV203" s="5"/>
      <c r="VW203" s="5"/>
      <c r="VX203" s="5"/>
      <c r="VY203" s="5"/>
      <c r="VZ203" s="5"/>
      <c r="WA203" s="5"/>
      <c r="WB203" s="5"/>
      <c r="WC203" s="5"/>
      <c r="WD203" s="5"/>
      <c r="WE203" s="5"/>
      <c r="WF203" s="5"/>
      <c r="WG203" s="5"/>
      <c r="WH203" s="5"/>
      <c r="WI203" s="5"/>
      <c r="WJ203" s="5"/>
      <c r="WK203" s="5"/>
      <c r="WL203" s="5"/>
      <c r="WM203" s="5"/>
      <c r="WN203" s="5"/>
      <c r="WO203" s="5"/>
      <c r="WP203" s="5"/>
      <c r="WQ203" s="5"/>
      <c r="WR203" s="5"/>
      <c r="WS203" s="5"/>
      <c r="WT203" s="5"/>
      <c r="WU203" s="5"/>
      <c r="WV203" s="5"/>
      <c r="WW203" s="5"/>
      <c r="WX203" s="5"/>
      <c r="WY203" s="5"/>
      <c r="WZ203" s="5"/>
      <c r="XA203" s="5"/>
      <c r="XB203" s="5"/>
      <c r="XC203" s="5"/>
      <c r="XD203" s="5"/>
      <c r="XE203" s="5"/>
      <c r="XF203" s="5"/>
      <c r="XG203" s="5"/>
      <c r="XH203" s="5"/>
      <c r="XI203" s="5"/>
      <c r="XJ203" s="5"/>
      <c r="XK203" s="5"/>
      <c r="XL203" s="5"/>
      <c r="XM203" s="5"/>
      <c r="XN203" s="5"/>
      <c r="XO203" s="5"/>
      <c r="XP203" s="5"/>
      <c r="XQ203" s="5"/>
      <c r="XR203" s="5"/>
      <c r="XS203" s="5"/>
      <c r="XT203" s="5"/>
      <c r="XU203" s="5"/>
      <c r="XV203" s="5"/>
      <c r="XW203" s="5"/>
      <c r="XX203" s="5"/>
      <c r="XY203" s="5"/>
      <c r="XZ203" s="5"/>
      <c r="YA203" s="5"/>
      <c r="YB203" s="5"/>
      <c r="YC203" s="5"/>
      <c r="YD203" s="5"/>
      <c r="YE203" s="5"/>
      <c r="YF203" s="5"/>
      <c r="YG203" s="5"/>
      <c r="YH203" s="5"/>
      <c r="YI203" s="5"/>
      <c r="YJ203" s="5"/>
      <c r="YK203" s="5"/>
      <c r="YL203" s="5"/>
      <c r="YM203" s="5"/>
      <c r="YN203" s="5"/>
      <c r="YO203" s="5"/>
      <c r="YP203" s="5"/>
      <c r="YQ203" s="5"/>
      <c r="YR203" s="5"/>
      <c r="YS203" s="5"/>
      <c r="YT203" s="5"/>
      <c r="YU203" s="5"/>
      <c r="YV203" s="5"/>
      <c r="YW203" s="5"/>
      <c r="YX203" s="5"/>
      <c r="YY203" s="5"/>
      <c r="YZ203" s="5"/>
    </row>
    <row r="204" spans="1:676">
      <c r="A204" s="7">
        <v>194</v>
      </c>
      <c r="B204" s="7" t="s">
        <v>475</v>
      </c>
      <c r="C204" s="10" t="s">
        <v>476</v>
      </c>
      <c r="D204" s="7" t="s">
        <v>217</v>
      </c>
      <c r="E204" s="7" t="s">
        <v>279</v>
      </c>
      <c r="F204" s="7" t="s">
        <v>394</v>
      </c>
      <c r="G204" s="7"/>
      <c r="H204" s="7" t="s">
        <v>52</v>
      </c>
      <c r="I204" s="11">
        <v>2</v>
      </c>
      <c r="J204" s="11">
        <v>3</v>
      </c>
      <c r="K204" s="11">
        <v>0</v>
      </c>
      <c r="L204" s="11">
        <v>1.29</v>
      </c>
      <c r="M204" s="11">
        <v>0.34</v>
      </c>
      <c r="N204" s="11">
        <v>0</v>
      </c>
      <c r="O204" s="11">
        <v>0</v>
      </c>
      <c r="P204" s="11">
        <v>0</v>
      </c>
      <c r="Q204" s="11">
        <v>1.63</v>
      </c>
      <c r="R204" s="11">
        <v>27.17</v>
      </c>
      <c r="S204" s="11">
        <v>28.8</v>
      </c>
      <c r="T204" s="11">
        <v>2</v>
      </c>
      <c r="U204" s="11">
        <v>3</v>
      </c>
      <c r="V204" s="11">
        <v>23.8</v>
      </c>
      <c r="W204" s="13">
        <v>14</v>
      </c>
      <c r="X204" s="13">
        <v>21</v>
      </c>
      <c r="Y204" s="13" t="str">
        <f>MIN(W204,S204)</f>
        <v>0</v>
      </c>
      <c r="Z204" s="13" t="str">
        <f>MIN(X204,(S204-Y204))</f>
        <v>0</v>
      </c>
      <c r="AA204" s="13" t="str">
        <f>S204-SUM(Y204,Z204)</f>
        <v>0</v>
      </c>
      <c r="AB204" s="15"/>
      <c r="AC204" s="15"/>
      <c r="AD204" s="1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  <c r="JF204" s="5"/>
      <c r="JG204" s="5"/>
      <c r="JH204" s="5"/>
      <c r="JI204" s="5"/>
      <c r="JJ204" s="5"/>
      <c r="JK204" s="5"/>
      <c r="JL204" s="5"/>
      <c r="JM204" s="5"/>
      <c r="JN204" s="5"/>
      <c r="JO204" s="5"/>
      <c r="JP204" s="5"/>
      <c r="JQ204" s="5"/>
      <c r="JR204" s="5"/>
      <c r="JS204" s="5"/>
      <c r="JT204" s="5"/>
      <c r="JU204" s="5"/>
      <c r="JV204" s="5"/>
      <c r="JW204" s="5"/>
      <c r="JX204" s="5"/>
      <c r="JY204" s="5"/>
      <c r="JZ204" s="5"/>
      <c r="KA204" s="5"/>
      <c r="KB204" s="5"/>
      <c r="KC204" s="5"/>
      <c r="KD204" s="5"/>
      <c r="KE204" s="5"/>
      <c r="KF204" s="5"/>
      <c r="KG204" s="5"/>
      <c r="KH204" s="5"/>
      <c r="KI204" s="5"/>
      <c r="KJ204" s="5"/>
      <c r="KK204" s="5"/>
      <c r="KL204" s="5"/>
      <c r="KM204" s="5"/>
      <c r="KN204" s="5"/>
      <c r="KO204" s="5"/>
      <c r="KP204" s="5"/>
      <c r="KQ204" s="5"/>
      <c r="KR204" s="5"/>
      <c r="KS204" s="5"/>
      <c r="KT204" s="5"/>
      <c r="KU204" s="5"/>
      <c r="KV204" s="5"/>
      <c r="KW204" s="5"/>
      <c r="KX204" s="5"/>
      <c r="KY204" s="5"/>
      <c r="KZ204" s="5"/>
      <c r="LA204" s="5"/>
      <c r="LB204" s="5"/>
      <c r="LC204" s="5"/>
      <c r="LD204" s="5"/>
      <c r="LE204" s="5"/>
      <c r="LF204" s="5"/>
      <c r="LG204" s="5"/>
      <c r="LH204" s="5"/>
      <c r="LI204" s="5"/>
      <c r="LJ204" s="5"/>
      <c r="LK204" s="5"/>
      <c r="LL204" s="5"/>
      <c r="LM204" s="5"/>
      <c r="LN204" s="5"/>
      <c r="LO204" s="5"/>
      <c r="LP204" s="5"/>
      <c r="LQ204" s="5"/>
      <c r="LR204" s="5"/>
      <c r="LS204" s="5"/>
      <c r="LT204" s="5"/>
      <c r="LU204" s="5"/>
      <c r="LV204" s="5"/>
      <c r="LW204" s="5"/>
      <c r="LX204" s="5"/>
      <c r="LY204" s="5"/>
      <c r="LZ204" s="5"/>
      <c r="MA204" s="5"/>
      <c r="MB204" s="5"/>
      <c r="MC204" s="5"/>
      <c r="MD204" s="5"/>
      <c r="ME204" s="5"/>
      <c r="MF204" s="5"/>
      <c r="MG204" s="5"/>
      <c r="MH204" s="5"/>
      <c r="MI204" s="5"/>
      <c r="MJ204" s="5"/>
      <c r="MK204" s="5"/>
      <c r="ML204" s="5"/>
      <c r="MM204" s="5"/>
      <c r="MN204" s="5"/>
      <c r="MO204" s="5"/>
      <c r="MP204" s="5"/>
      <c r="MQ204" s="5"/>
      <c r="MR204" s="5"/>
      <c r="MS204" s="5"/>
      <c r="MT204" s="5"/>
      <c r="MU204" s="5"/>
      <c r="MV204" s="5"/>
      <c r="MW204" s="5"/>
      <c r="MX204" s="5"/>
      <c r="MY204" s="5"/>
      <c r="MZ204" s="5"/>
      <c r="NA204" s="5"/>
      <c r="NB204" s="5"/>
      <c r="NC204" s="5"/>
      <c r="ND204" s="5"/>
      <c r="NE204" s="5"/>
      <c r="NF204" s="5"/>
      <c r="NG204" s="5"/>
      <c r="NH204" s="5"/>
      <c r="NI204" s="5"/>
      <c r="NJ204" s="5"/>
      <c r="NK204" s="5"/>
      <c r="NL204" s="5"/>
      <c r="NM204" s="5"/>
      <c r="NN204" s="5"/>
      <c r="NO204" s="5"/>
      <c r="NP204" s="5"/>
      <c r="NQ204" s="5"/>
      <c r="NR204" s="5"/>
      <c r="NS204" s="5"/>
      <c r="NT204" s="5"/>
      <c r="NU204" s="5"/>
      <c r="NV204" s="5"/>
      <c r="NW204" s="5"/>
      <c r="NX204" s="5"/>
      <c r="NY204" s="5"/>
      <c r="NZ204" s="5"/>
      <c r="OA204" s="5"/>
      <c r="OB204" s="5"/>
      <c r="OC204" s="5"/>
      <c r="OD204" s="5"/>
      <c r="OE204" s="5"/>
      <c r="OF204" s="5"/>
      <c r="OG204" s="5"/>
      <c r="OH204" s="5"/>
      <c r="OI204" s="5"/>
      <c r="OJ204" s="5"/>
      <c r="OK204" s="5"/>
      <c r="OL204" s="5"/>
      <c r="OM204" s="5"/>
      <c r="ON204" s="5"/>
      <c r="OO204" s="5"/>
      <c r="OP204" s="5"/>
      <c r="OQ204" s="5"/>
      <c r="OR204" s="5"/>
      <c r="OS204" s="5"/>
      <c r="OT204" s="5"/>
      <c r="OU204" s="5"/>
      <c r="OV204" s="5"/>
      <c r="OW204" s="5"/>
      <c r="OX204" s="5"/>
      <c r="OY204" s="5"/>
      <c r="OZ204" s="5"/>
      <c r="PA204" s="5"/>
      <c r="PB204" s="5"/>
      <c r="PC204" s="5"/>
      <c r="PD204" s="5"/>
      <c r="PE204" s="5"/>
      <c r="PF204" s="5"/>
      <c r="PG204" s="5"/>
      <c r="PH204" s="5"/>
      <c r="PI204" s="5"/>
      <c r="PJ204" s="5"/>
      <c r="PK204" s="5"/>
      <c r="PL204" s="5"/>
      <c r="PM204" s="5"/>
      <c r="PN204" s="5"/>
      <c r="PO204" s="5"/>
      <c r="PP204" s="5"/>
      <c r="PQ204" s="5"/>
      <c r="PR204" s="5"/>
      <c r="PS204" s="5"/>
      <c r="PT204" s="5"/>
      <c r="PU204" s="5"/>
      <c r="PV204" s="5"/>
      <c r="PW204" s="5"/>
      <c r="PX204" s="5"/>
      <c r="PY204" s="5"/>
      <c r="PZ204" s="5"/>
      <c r="QA204" s="5"/>
      <c r="QB204" s="5"/>
      <c r="QC204" s="5"/>
      <c r="QD204" s="5"/>
      <c r="QE204" s="5"/>
      <c r="QF204" s="5"/>
      <c r="QG204" s="5"/>
      <c r="QH204" s="5"/>
      <c r="QI204" s="5"/>
      <c r="QJ204" s="5"/>
      <c r="QK204" s="5"/>
      <c r="QL204" s="5"/>
      <c r="QM204" s="5"/>
      <c r="QN204" s="5"/>
      <c r="QO204" s="5"/>
      <c r="QP204" s="5"/>
      <c r="QQ204" s="5"/>
      <c r="QR204" s="5"/>
      <c r="QS204" s="5"/>
      <c r="QT204" s="5"/>
      <c r="QU204" s="5"/>
      <c r="QV204" s="5"/>
      <c r="QW204" s="5"/>
      <c r="QX204" s="5"/>
      <c r="QY204" s="5"/>
      <c r="QZ204" s="5"/>
      <c r="RA204" s="5"/>
      <c r="RB204" s="5"/>
      <c r="RC204" s="5"/>
      <c r="RD204" s="5"/>
      <c r="RE204" s="5"/>
      <c r="RF204" s="5"/>
      <c r="RG204" s="5"/>
      <c r="RH204" s="5"/>
      <c r="RI204" s="5"/>
      <c r="RJ204" s="5"/>
      <c r="RK204" s="5"/>
      <c r="RL204" s="5"/>
      <c r="RM204" s="5"/>
      <c r="RN204" s="5"/>
      <c r="RO204" s="5"/>
      <c r="RP204" s="5"/>
      <c r="RQ204" s="5"/>
      <c r="RR204" s="5"/>
      <c r="RS204" s="5"/>
      <c r="RT204" s="5"/>
      <c r="RU204" s="5"/>
      <c r="RV204" s="5"/>
      <c r="RW204" s="5"/>
      <c r="RX204" s="5"/>
      <c r="RY204" s="5"/>
      <c r="RZ204" s="5"/>
      <c r="SA204" s="5"/>
      <c r="SB204" s="5"/>
      <c r="SC204" s="5"/>
      <c r="SD204" s="5"/>
      <c r="SE204" s="5"/>
      <c r="SF204" s="5"/>
      <c r="SG204" s="5"/>
      <c r="SH204" s="5"/>
      <c r="SI204" s="5"/>
      <c r="SJ204" s="5"/>
      <c r="SK204" s="5"/>
      <c r="SL204" s="5"/>
      <c r="SM204" s="5"/>
      <c r="SN204" s="5"/>
      <c r="SO204" s="5"/>
      <c r="SP204" s="5"/>
      <c r="SQ204" s="5"/>
      <c r="SR204" s="5"/>
      <c r="SS204" s="5"/>
      <c r="ST204" s="5"/>
      <c r="SU204" s="5"/>
      <c r="SV204" s="5"/>
      <c r="SW204" s="5"/>
      <c r="SX204" s="5"/>
      <c r="SY204" s="5"/>
      <c r="SZ204" s="5"/>
      <c r="TA204" s="5"/>
      <c r="TB204" s="5"/>
      <c r="TC204" s="5"/>
      <c r="TD204" s="5"/>
      <c r="TE204" s="5"/>
      <c r="TF204" s="5"/>
      <c r="TG204" s="5"/>
      <c r="TH204" s="5"/>
      <c r="TI204" s="5"/>
      <c r="TJ204" s="5"/>
      <c r="TK204" s="5"/>
      <c r="TL204" s="5"/>
      <c r="TM204" s="5"/>
      <c r="TN204" s="5"/>
      <c r="TO204" s="5"/>
      <c r="TP204" s="5"/>
      <c r="TQ204" s="5"/>
      <c r="TR204" s="5"/>
      <c r="TS204" s="5"/>
      <c r="TT204" s="5"/>
      <c r="TU204" s="5"/>
      <c r="TV204" s="5"/>
      <c r="TW204" s="5"/>
      <c r="TX204" s="5"/>
      <c r="TY204" s="5"/>
      <c r="TZ204" s="5"/>
      <c r="UA204" s="5"/>
      <c r="UB204" s="5"/>
      <c r="UC204" s="5"/>
      <c r="UD204" s="5"/>
      <c r="UE204" s="5"/>
      <c r="UF204" s="5"/>
      <c r="UG204" s="5"/>
      <c r="UH204" s="5"/>
      <c r="UI204" s="5"/>
      <c r="UJ204" s="5"/>
      <c r="UK204" s="5"/>
      <c r="UL204" s="5"/>
      <c r="UM204" s="5"/>
      <c r="UN204" s="5"/>
      <c r="UO204" s="5"/>
      <c r="UP204" s="5"/>
      <c r="UQ204" s="5"/>
      <c r="UR204" s="5"/>
      <c r="US204" s="5"/>
      <c r="UT204" s="5"/>
      <c r="UU204" s="5"/>
      <c r="UV204" s="5"/>
      <c r="UW204" s="5"/>
      <c r="UX204" s="5"/>
      <c r="UY204" s="5"/>
      <c r="UZ204" s="5"/>
      <c r="VA204" s="5"/>
      <c r="VB204" s="5"/>
      <c r="VC204" s="5"/>
      <c r="VD204" s="5"/>
      <c r="VE204" s="5"/>
      <c r="VF204" s="5"/>
      <c r="VG204" s="5"/>
      <c r="VH204" s="5"/>
      <c r="VI204" s="5"/>
      <c r="VJ204" s="5"/>
      <c r="VK204" s="5"/>
      <c r="VL204" s="5"/>
      <c r="VM204" s="5"/>
      <c r="VN204" s="5"/>
      <c r="VO204" s="5"/>
      <c r="VP204" s="5"/>
      <c r="VQ204" s="5"/>
      <c r="VR204" s="5"/>
      <c r="VS204" s="5"/>
      <c r="VT204" s="5"/>
      <c r="VU204" s="5"/>
      <c r="VV204" s="5"/>
      <c r="VW204" s="5"/>
      <c r="VX204" s="5"/>
      <c r="VY204" s="5"/>
      <c r="VZ204" s="5"/>
      <c r="WA204" s="5"/>
      <c r="WB204" s="5"/>
      <c r="WC204" s="5"/>
      <c r="WD204" s="5"/>
      <c r="WE204" s="5"/>
      <c r="WF204" s="5"/>
      <c r="WG204" s="5"/>
      <c r="WH204" s="5"/>
      <c r="WI204" s="5"/>
      <c r="WJ204" s="5"/>
      <c r="WK204" s="5"/>
      <c r="WL204" s="5"/>
      <c r="WM204" s="5"/>
      <c r="WN204" s="5"/>
      <c r="WO204" s="5"/>
      <c r="WP204" s="5"/>
      <c r="WQ204" s="5"/>
      <c r="WR204" s="5"/>
      <c r="WS204" s="5"/>
      <c r="WT204" s="5"/>
      <c r="WU204" s="5"/>
      <c r="WV204" s="5"/>
      <c r="WW204" s="5"/>
      <c r="WX204" s="5"/>
      <c r="WY204" s="5"/>
      <c r="WZ204" s="5"/>
      <c r="XA204" s="5"/>
      <c r="XB204" s="5"/>
      <c r="XC204" s="5"/>
      <c r="XD204" s="5"/>
      <c r="XE204" s="5"/>
      <c r="XF204" s="5"/>
      <c r="XG204" s="5"/>
      <c r="XH204" s="5"/>
      <c r="XI204" s="5"/>
      <c r="XJ204" s="5"/>
      <c r="XK204" s="5"/>
      <c r="XL204" s="5"/>
      <c r="XM204" s="5"/>
      <c r="XN204" s="5"/>
      <c r="XO204" s="5"/>
      <c r="XP204" s="5"/>
      <c r="XQ204" s="5"/>
      <c r="XR204" s="5"/>
      <c r="XS204" s="5"/>
      <c r="XT204" s="5"/>
      <c r="XU204" s="5"/>
      <c r="XV204" s="5"/>
      <c r="XW204" s="5"/>
      <c r="XX204" s="5"/>
      <c r="XY204" s="5"/>
      <c r="XZ204" s="5"/>
      <c r="YA204" s="5"/>
      <c r="YB204" s="5"/>
      <c r="YC204" s="5"/>
      <c r="YD204" s="5"/>
      <c r="YE204" s="5"/>
      <c r="YF204" s="5"/>
      <c r="YG204" s="5"/>
      <c r="YH204" s="5"/>
      <c r="YI204" s="5"/>
      <c r="YJ204" s="5"/>
      <c r="YK204" s="5"/>
      <c r="YL204" s="5"/>
      <c r="YM204" s="5"/>
      <c r="YN204" s="5"/>
      <c r="YO204" s="5"/>
      <c r="YP204" s="5"/>
      <c r="YQ204" s="5"/>
      <c r="YR204" s="5"/>
      <c r="YS204" s="5"/>
      <c r="YT204" s="5"/>
      <c r="YU204" s="5"/>
      <c r="YV204" s="5"/>
      <c r="YW204" s="5"/>
      <c r="YX204" s="5"/>
      <c r="YY204" s="5"/>
      <c r="YZ204" s="5"/>
    </row>
    <row r="205" spans="1:676">
      <c r="A205" s="7">
        <v>195</v>
      </c>
      <c r="B205" s="7" t="s">
        <v>477</v>
      </c>
      <c r="C205" s="10" t="s">
        <v>478</v>
      </c>
      <c r="D205" s="7" t="s">
        <v>296</v>
      </c>
      <c r="E205" s="7" t="s">
        <v>279</v>
      </c>
      <c r="F205" s="7" t="s">
        <v>389</v>
      </c>
      <c r="G205" s="7"/>
      <c r="H205" s="7" t="s">
        <v>52</v>
      </c>
      <c r="I205" s="11">
        <v>2</v>
      </c>
      <c r="J205" s="11">
        <v>3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3">
        <v>14</v>
      </c>
      <c r="X205" s="13">
        <v>21</v>
      </c>
      <c r="Y205" s="13" t="str">
        <f>MIN(W205,S205)</f>
        <v>0</v>
      </c>
      <c r="Z205" s="13" t="str">
        <f>MIN(X205,(S205-Y205))</f>
        <v>0</v>
      </c>
      <c r="AA205" s="13" t="str">
        <f>S205-SUM(Y205,Z205)</f>
        <v>0</v>
      </c>
      <c r="AB205" s="15"/>
      <c r="AC205" s="15"/>
      <c r="AD205" s="1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  <c r="JF205" s="5"/>
      <c r="JG205" s="5"/>
      <c r="JH205" s="5"/>
      <c r="JI205" s="5"/>
      <c r="JJ205" s="5"/>
      <c r="JK205" s="5"/>
      <c r="JL205" s="5"/>
      <c r="JM205" s="5"/>
      <c r="JN205" s="5"/>
      <c r="JO205" s="5"/>
      <c r="JP205" s="5"/>
      <c r="JQ205" s="5"/>
      <c r="JR205" s="5"/>
      <c r="JS205" s="5"/>
      <c r="JT205" s="5"/>
      <c r="JU205" s="5"/>
      <c r="JV205" s="5"/>
      <c r="JW205" s="5"/>
      <c r="JX205" s="5"/>
      <c r="JY205" s="5"/>
      <c r="JZ205" s="5"/>
      <c r="KA205" s="5"/>
      <c r="KB205" s="5"/>
      <c r="KC205" s="5"/>
      <c r="KD205" s="5"/>
      <c r="KE205" s="5"/>
      <c r="KF205" s="5"/>
      <c r="KG205" s="5"/>
      <c r="KH205" s="5"/>
      <c r="KI205" s="5"/>
      <c r="KJ205" s="5"/>
      <c r="KK205" s="5"/>
      <c r="KL205" s="5"/>
      <c r="KM205" s="5"/>
      <c r="KN205" s="5"/>
      <c r="KO205" s="5"/>
      <c r="KP205" s="5"/>
      <c r="KQ205" s="5"/>
      <c r="KR205" s="5"/>
      <c r="KS205" s="5"/>
      <c r="KT205" s="5"/>
      <c r="KU205" s="5"/>
      <c r="KV205" s="5"/>
      <c r="KW205" s="5"/>
      <c r="KX205" s="5"/>
      <c r="KY205" s="5"/>
      <c r="KZ205" s="5"/>
      <c r="LA205" s="5"/>
      <c r="LB205" s="5"/>
      <c r="LC205" s="5"/>
      <c r="LD205" s="5"/>
      <c r="LE205" s="5"/>
      <c r="LF205" s="5"/>
      <c r="LG205" s="5"/>
      <c r="LH205" s="5"/>
      <c r="LI205" s="5"/>
      <c r="LJ205" s="5"/>
      <c r="LK205" s="5"/>
      <c r="LL205" s="5"/>
      <c r="LM205" s="5"/>
      <c r="LN205" s="5"/>
      <c r="LO205" s="5"/>
      <c r="LP205" s="5"/>
      <c r="LQ205" s="5"/>
      <c r="LR205" s="5"/>
      <c r="LS205" s="5"/>
      <c r="LT205" s="5"/>
      <c r="LU205" s="5"/>
      <c r="LV205" s="5"/>
      <c r="LW205" s="5"/>
      <c r="LX205" s="5"/>
      <c r="LY205" s="5"/>
      <c r="LZ205" s="5"/>
      <c r="MA205" s="5"/>
      <c r="MB205" s="5"/>
      <c r="MC205" s="5"/>
      <c r="MD205" s="5"/>
      <c r="ME205" s="5"/>
      <c r="MF205" s="5"/>
      <c r="MG205" s="5"/>
      <c r="MH205" s="5"/>
      <c r="MI205" s="5"/>
      <c r="MJ205" s="5"/>
      <c r="MK205" s="5"/>
      <c r="ML205" s="5"/>
      <c r="MM205" s="5"/>
      <c r="MN205" s="5"/>
      <c r="MO205" s="5"/>
      <c r="MP205" s="5"/>
      <c r="MQ205" s="5"/>
      <c r="MR205" s="5"/>
      <c r="MS205" s="5"/>
      <c r="MT205" s="5"/>
      <c r="MU205" s="5"/>
      <c r="MV205" s="5"/>
      <c r="MW205" s="5"/>
      <c r="MX205" s="5"/>
      <c r="MY205" s="5"/>
      <c r="MZ205" s="5"/>
      <c r="NA205" s="5"/>
      <c r="NB205" s="5"/>
      <c r="NC205" s="5"/>
      <c r="ND205" s="5"/>
      <c r="NE205" s="5"/>
      <c r="NF205" s="5"/>
      <c r="NG205" s="5"/>
      <c r="NH205" s="5"/>
      <c r="NI205" s="5"/>
      <c r="NJ205" s="5"/>
      <c r="NK205" s="5"/>
      <c r="NL205" s="5"/>
      <c r="NM205" s="5"/>
      <c r="NN205" s="5"/>
      <c r="NO205" s="5"/>
      <c r="NP205" s="5"/>
      <c r="NQ205" s="5"/>
      <c r="NR205" s="5"/>
      <c r="NS205" s="5"/>
      <c r="NT205" s="5"/>
      <c r="NU205" s="5"/>
      <c r="NV205" s="5"/>
      <c r="NW205" s="5"/>
      <c r="NX205" s="5"/>
      <c r="NY205" s="5"/>
      <c r="NZ205" s="5"/>
      <c r="OA205" s="5"/>
      <c r="OB205" s="5"/>
      <c r="OC205" s="5"/>
      <c r="OD205" s="5"/>
      <c r="OE205" s="5"/>
      <c r="OF205" s="5"/>
      <c r="OG205" s="5"/>
      <c r="OH205" s="5"/>
      <c r="OI205" s="5"/>
      <c r="OJ205" s="5"/>
      <c r="OK205" s="5"/>
      <c r="OL205" s="5"/>
      <c r="OM205" s="5"/>
      <c r="ON205" s="5"/>
      <c r="OO205" s="5"/>
      <c r="OP205" s="5"/>
      <c r="OQ205" s="5"/>
      <c r="OR205" s="5"/>
      <c r="OS205" s="5"/>
      <c r="OT205" s="5"/>
      <c r="OU205" s="5"/>
      <c r="OV205" s="5"/>
      <c r="OW205" s="5"/>
      <c r="OX205" s="5"/>
      <c r="OY205" s="5"/>
      <c r="OZ205" s="5"/>
      <c r="PA205" s="5"/>
      <c r="PB205" s="5"/>
      <c r="PC205" s="5"/>
      <c r="PD205" s="5"/>
      <c r="PE205" s="5"/>
      <c r="PF205" s="5"/>
      <c r="PG205" s="5"/>
      <c r="PH205" s="5"/>
      <c r="PI205" s="5"/>
      <c r="PJ205" s="5"/>
      <c r="PK205" s="5"/>
      <c r="PL205" s="5"/>
      <c r="PM205" s="5"/>
      <c r="PN205" s="5"/>
      <c r="PO205" s="5"/>
      <c r="PP205" s="5"/>
      <c r="PQ205" s="5"/>
      <c r="PR205" s="5"/>
      <c r="PS205" s="5"/>
      <c r="PT205" s="5"/>
      <c r="PU205" s="5"/>
      <c r="PV205" s="5"/>
      <c r="PW205" s="5"/>
      <c r="PX205" s="5"/>
      <c r="PY205" s="5"/>
      <c r="PZ205" s="5"/>
      <c r="QA205" s="5"/>
      <c r="QB205" s="5"/>
      <c r="QC205" s="5"/>
      <c r="QD205" s="5"/>
      <c r="QE205" s="5"/>
      <c r="QF205" s="5"/>
      <c r="QG205" s="5"/>
      <c r="QH205" s="5"/>
      <c r="QI205" s="5"/>
      <c r="QJ205" s="5"/>
      <c r="QK205" s="5"/>
      <c r="QL205" s="5"/>
      <c r="QM205" s="5"/>
      <c r="QN205" s="5"/>
      <c r="QO205" s="5"/>
      <c r="QP205" s="5"/>
      <c r="QQ205" s="5"/>
      <c r="QR205" s="5"/>
      <c r="QS205" s="5"/>
      <c r="QT205" s="5"/>
      <c r="QU205" s="5"/>
      <c r="QV205" s="5"/>
      <c r="QW205" s="5"/>
      <c r="QX205" s="5"/>
      <c r="QY205" s="5"/>
      <c r="QZ205" s="5"/>
      <c r="RA205" s="5"/>
      <c r="RB205" s="5"/>
      <c r="RC205" s="5"/>
      <c r="RD205" s="5"/>
      <c r="RE205" s="5"/>
      <c r="RF205" s="5"/>
      <c r="RG205" s="5"/>
      <c r="RH205" s="5"/>
      <c r="RI205" s="5"/>
      <c r="RJ205" s="5"/>
      <c r="RK205" s="5"/>
      <c r="RL205" s="5"/>
      <c r="RM205" s="5"/>
      <c r="RN205" s="5"/>
      <c r="RO205" s="5"/>
      <c r="RP205" s="5"/>
      <c r="RQ205" s="5"/>
      <c r="RR205" s="5"/>
      <c r="RS205" s="5"/>
      <c r="RT205" s="5"/>
      <c r="RU205" s="5"/>
      <c r="RV205" s="5"/>
      <c r="RW205" s="5"/>
      <c r="RX205" s="5"/>
      <c r="RY205" s="5"/>
      <c r="RZ205" s="5"/>
      <c r="SA205" s="5"/>
      <c r="SB205" s="5"/>
      <c r="SC205" s="5"/>
      <c r="SD205" s="5"/>
      <c r="SE205" s="5"/>
      <c r="SF205" s="5"/>
      <c r="SG205" s="5"/>
      <c r="SH205" s="5"/>
      <c r="SI205" s="5"/>
      <c r="SJ205" s="5"/>
      <c r="SK205" s="5"/>
      <c r="SL205" s="5"/>
      <c r="SM205" s="5"/>
      <c r="SN205" s="5"/>
      <c r="SO205" s="5"/>
      <c r="SP205" s="5"/>
      <c r="SQ205" s="5"/>
      <c r="SR205" s="5"/>
      <c r="SS205" s="5"/>
      <c r="ST205" s="5"/>
      <c r="SU205" s="5"/>
      <c r="SV205" s="5"/>
      <c r="SW205" s="5"/>
      <c r="SX205" s="5"/>
      <c r="SY205" s="5"/>
      <c r="SZ205" s="5"/>
      <c r="TA205" s="5"/>
      <c r="TB205" s="5"/>
      <c r="TC205" s="5"/>
      <c r="TD205" s="5"/>
      <c r="TE205" s="5"/>
      <c r="TF205" s="5"/>
      <c r="TG205" s="5"/>
      <c r="TH205" s="5"/>
      <c r="TI205" s="5"/>
      <c r="TJ205" s="5"/>
      <c r="TK205" s="5"/>
      <c r="TL205" s="5"/>
      <c r="TM205" s="5"/>
      <c r="TN205" s="5"/>
      <c r="TO205" s="5"/>
      <c r="TP205" s="5"/>
      <c r="TQ205" s="5"/>
      <c r="TR205" s="5"/>
      <c r="TS205" s="5"/>
      <c r="TT205" s="5"/>
      <c r="TU205" s="5"/>
      <c r="TV205" s="5"/>
      <c r="TW205" s="5"/>
      <c r="TX205" s="5"/>
      <c r="TY205" s="5"/>
      <c r="TZ205" s="5"/>
      <c r="UA205" s="5"/>
      <c r="UB205" s="5"/>
      <c r="UC205" s="5"/>
      <c r="UD205" s="5"/>
      <c r="UE205" s="5"/>
      <c r="UF205" s="5"/>
      <c r="UG205" s="5"/>
      <c r="UH205" s="5"/>
      <c r="UI205" s="5"/>
      <c r="UJ205" s="5"/>
      <c r="UK205" s="5"/>
      <c r="UL205" s="5"/>
      <c r="UM205" s="5"/>
      <c r="UN205" s="5"/>
      <c r="UO205" s="5"/>
      <c r="UP205" s="5"/>
      <c r="UQ205" s="5"/>
      <c r="UR205" s="5"/>
      <c r="US205" s="5"/>
      <c r="UT205" s="5"/>
      <c r="UU205" s="5"/>
      <c r="UV205" s="5"/>
      <c r="UW205" s="5"/>
      <c r="UX205" s="5"/>
      <c r="UY205" s="5"/>
      <c r="UZ205" s="5"/>
      <c r="VA205" s="5"/>
      <c r="VB205" s="5"/>
      <c r="VC205" s="5"/>
      <c r="VD205" s="5"/>
      <c r="VE205" s="5"/>
      <c r="VF205" s="5"/>
      <c r="VG205" s="5"/>
      <c r="VH205" s="5"/>
      <c r="VI205" s="5"/>
      <c r="VJ205" s="5"/>
      <c r="VK205" s="5"/>
      <c r="VL205" s="5"/>
      <c r="VM205" s="5"/>
      <c r="VN205" s="5"/>
      <c r="VO205" s="5"/>
      <c r="VP205" s="5"/>
      <c r="VQ205" s="5"/>
      <c r="VR205" s="5"/>
      <c r="VS205" s="5"/>
      <c r="VT205" s="5"/>
      <c r="VU205" s="5"/>
      <c r="VV205" s="5"/>
      <c r="VW205" s="5"/>
      <c r="VX205" s="5"/>
      <c r="VY205" s="5"/>
      <c r="VZ205" s="5"/>
      <c r="WA205" s="5"/>
      <c r="WB205" s="5"/>
      <c r="WC205" s="5"/>
      <c r="WD205" s="5"/>
      <c r="WE205" s="5"/>
      <c r="WF205" s="5"/>
      <c r="WG205" s="5"/>
      <c r="WH205" s="5"/>
      <c r="WI205" s="5"/>
      <c r="WJ205" s="5"/>
      <c r="WK205" s="5"/>
      <c r="WL205" s="5"/>
      <c r="WM205" s="5"/>
      <c r="WN205" s="5"/>
      <c r="WO205" s="5"/>
      <c r="WP205" s="5"/>
      <c r="WQ205" s="5"/>
      <c r="WR205" s="5"/>
      <c r="WS205" s="5"/>
      <c r="WT205" s="5"/>
      <c r="WU205" s="5"/>
      <c r="WV205" s="5"/>
      <c r="WW205" s="5"/>
      <c r="WX205" s="5"/>
      <c r="WY205" s="5"/>
      <c r="WZ205" s="5"/>
      <c r="XA205" s="5"/>
      <c r="XB205" s="5"/>
      <c r="XC205" s="5"/>
      <c r="XD205" s="5"/>
      <c r="XE205" s="5"/>
      <c r="XF205" s="5"/>
      <c r="XG205" s="5"/>
      <c r="XH205" s="5"/>
      <c r="XI205" s="5"/>
      <c r="XJ205" s="5"/>
      <c r="XK205" s="5"/>
      <c r="XL205" s="5"/>
      <c r="XM205" s="5"/>
      <c r="XN205" s="5"/>
      <c r="XO205" s="5"/>
      <c r="XP205" s="5"/>
      <c r="XQ205" s="5"/>
      <c r="XR205" s="5"/>
      <c r="XS205" s="5"/>
      <c r="XT205" s="5"/>
      <c r="XU205" s="5"/>
      <c r="XV205" s="5"/>
      <c r="XW205" s="5"/>
      <c r="XX205" s="5"/>
      <c r="XY205" s="5"/>
      <c r="XZ205" s="5"/>
      <c r="YA205" s="5"/>
      <c r="YB205" s="5"/>
      <c r="YC205" s="5"/>
      <c r="YD205" s="5"/>
      <c r="YE205" s="5"/>
      <c r="YF205" s="5"/>
      <c r="YG205" s="5"/>
      <c r="YH205" s="5"/>
      <c r="YI205" s="5"/>
      <c r="YJ205" s="5"/>
      <c r="YK205" s="5"/>
      <c r="YL205" s="5"/>
      <c r="YM205" s="5"/>
      <c r="YN205" s="5"/>
      <c r="YO205" s="5"/>
      <c r="YP205" s="5"/>
      <c r="YQ205" s="5"/>
      <c r="YR205" s="5"/>
      <c r="YS205" s="5"/>
      <c r="YT205" s="5"/>
      <c r="YU205" s="5"/>
      <c r="YV205" s="5"/>
      <c r="YW205" s="5"/>
      <c r="YX205" s="5"/>
      <c r="YY205" s="5"/>
      <c r="YZ205" s="5"/>
    </row>
    <row r="206" spans="1:676">
      <c r="A206" s="7">
        <v>196</v>
      </c>
      <c r="B206" s="7" t="s">
        <v>479</v>
      </c>
      <c r="C206" s="10" t="s">
        <v>480</v>
      </c>
      <c r="D206" s="7" t="s">
        <v>296</v>
      </c>
      <c r="E206" s="7" t="s">
        <v>381</v>
      </c>
      <c r="F206" s="7" t="s">
        <v>386</v>
      </c>
      <c r="G206" s="7"/>
      <c r="H206" s="7" t="s">
        <v>52</v>
      </c>
      <c r="I206" s="11">
        <v>2</v>
      </c>
      <c r="J206" s="11">
        <v>3</v>
      </c>
      <c r="K206" s="11">
        <v>0</v>
      </c>
      <c r="L206" s="11">
        <v>0.65</v>
      </c>
      <c r="M206" s="11">
        <v>0.34</v>
      </c>
      <c r="N206" s="11">
        <v>0</v>
      </c>
      <c r="O206" s="11">
        <v>0.6</v>
      </c>
      <c r="P206" s="11">
        <v>0</v>
      </c>
      <c r="Q206" s="11">
        <v>1.59</v>
      </c>
      <c r="R206" s="11">
        <v>22.95</v>
      </c>
      <c r="S206" s="11">
        <v>24.54</v>
      </c>
      <c r="T206" s="11">
        <v>2</v>
      </c>
      <c r="U206" s="11">
        <v>3</v>
      </c>
      <c r="V206" s="11">
        <v>19.54</v>
      </c>
      <c r="W206" s="13">
        <v>14</v>
      </c>
      <c r="X206" s="13">
        <v>21</v>
      </c>
      <c r="Y206" s="13" t="str">
        <f>MIN(W206,S206)</f>
        <v>0</v>
      </c>
      <c r="Z206" s="13" t="str">
        <f>MIN(X206,(S206-Y206))</f>
        <v>0</v>
      </c>
      <c r="AA206" s="13" t="str">
        <f>S206-SUM(Y206,Z206)</f>
        <v>0</v>
      </c>
      <c r="AB206" s="15"/>
      <c r="AC206" s="15"/>
      <c r="AD206" s="1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  <c r="JF206" s="5"/>
      <c r="JG206" s="5"/>
      <c r="JH206" s="5"/>
      <c r="JI206" s="5"/>
      <c r="JJ206" s="5"/>
      <c r="JK206" s="5"/>
      <c r="JL206" s="5"/>
      <c r="JM206" s="5"/>
      <c r="JN206" s="5"/>
      <c r="JO206" s="5"/>
      <c r="JP206" s="5"/>
      <c r="JQ206" s="5"/>
      <c r="JR206" s="5"/>
      <c r="JS206" s="5"/>
      <c r="JT206" s="5"/>
      <c r="JU206" s="5"/>
      <c r="JV206" s="5"/>
      <c r="JW206" s="5"/>
      <c r="JX206" s="5"/>
      <c r="JY206" s="5"/>
      <c r="JZ206" s="5"/>
      <c r="KA206" s="5"/>
      <c r="KB206" s="5"/>
      <c r="KC206" s="5"/>
      <c r="KD206" s="5"/>
      <c r="KE206" s="5"/>
      <c r="KF206" s="5"/>
      <c r="KG206" s="5"/>
      <c r="KH206" s="5"/>
      <c r="KI206" s="5"/>
      <c r="KJ206" s="5"/>
      <c r="KK206" s="5"/>
      <c r="KL206" s="5"/>
      <c r="KM206" s="5"/>
      <c r="KN206" s="5"/>
      <c r="KO206" s="5"/>
      <c r="KP206" s="5"/>
      <c r="KQ206" s="5"/>
      <c r="KR206" s="5"/>
      <c r="KS206" s="5"/>
      <c r="KT206" s="5"/>
      <c r="KU206" s="5"/>
      <c r="KV206" s="5"/>
      <c r="KW206" s="5"/>
      <c r="KX206" s="5"/>
      <c r="KY206" s="5"/>
      <c r="KZ206" s="5"/>
      <c r="LA206" s="5"/>
      <c r="LB206" s="5"/>
      <c r="LC206" s="5"/>
      <c r="LD206" s="5"/>
      <c r="LE206" s="5"/>
      <c r="LF206" s="5"/>
      <c r="LG206" s="5"/>
      <c r="LH206" s="5"/>
      <c r="LI206" s="5"/>
      <c r="LJ206" s="5"/>
      <c r="LK206" s="5"/>
      <c r="LL206" s="5"/>
      <c r="LM206" s="5"/>
      <c r="LN206" s="5"/>
      <c r="LO206" s="5"/>
      <c r="LP206" s="5"/>
      <c r="LQ206" s="5"/>
      <c r="LR206" s="5"/>
      <c r="LS206" s="5"/>
      <c r="LT206" s="5"/>
      <c r="LU206" s="5"/>
      <c r="LV206" s="5"/>
      <c r="LW206" s="5"/>
      <c r="LX206" s="5"/>
      <c r="LY206" s="5"/>
      <c r="LZ206" s="5"/>
      <c r="MA206" s="5"/>
      <c r="MB206" s="5"/>
      <c r="MC206" s="5"/>
      <c r="MD206" s="5"/>
      <c r="ME206" s="5"/>
      <c r="MF206" s="5"/>
      <c r="MG206" s="5"/>
      <c r="MH206" s="5"/>
      <c r="MI206" s="5"/>
      <c r="MJ206" s="5"/>
      <c r="MK206" s="5"/>
      <c r="ML206" s="5"/>
      <c r="MM206" s="5"/>
      <c r="MN206" s="5"/>
      <c r="MO206" s="5"/>
      <c r="MP206" s="5"/>
      <c r="MQ206" s="5"/>
      <c r="MR206" s="5"/>
      <c r="MS206" s="5"/>
      <c r="MT206" s="5"/>
      <c r="MU206" s="5"/>
      <c r="MV206" s="5"/>
      <c r="MW206" s="5"/>
      <c r="MX206" s="5"/>
      <c r="MY206" s="5"/>
      <c r="MZ206" s="5"/>
      <c r="NA206" s="5"/>
      <c r="NB206" s="5"/>
      <c r="NC206" s="5"/>
      <c r="ND206" s="5"/>
      <c r="NE206" s="5"/>
      <c r="NF206" s="5"/>
      <c r="NG206" s="5"/>
      <c r="NH206" s="5"/>
      <c r="NI206" s="5"/>
      <c r="NJ206" s="5"/>
      <c r="NK206" s="5"/>
      <c r="NL206" s="5"/>
      <c r="NM206" s="5"/>
      <c r="NN206" s="5"/>
      <c r="NO206" s="5"/>
      <c r="NP206" s="5"/>
      <c r="NQ206" s="5"/>
      <c r="NR206" s="5"/>
      <c r="NS206" s="5"/>
      <c r="NT206" s="5"/>
      <c r="NU206" s="5"/>
      <c r="NV206" s="5"/>
      <c r="NW206" s="5"/>
      <c r="NX206" s="5"/>
      <c r="NY206" s="5"/>
      <c r="NZ206" s="5"/>
      <c r="OA206" s="5"/>
      <c r="OB206" s="5"/>
      <c r="OC206" s="5"/>
      <c r="OD206" s="5"/>
      <c r="OE206" s="5"/>
      <c r="OF206" s="5"/>
      <c r="OG206" s="5"/>
      <c r="OH206" s="5"/>
      <c r="OI206" s="5"/>
      <c r="OJ206" s="5"/>
      <c r="OK206" s="5"/>
      <c r="OL206" s="5"/>
      <c r="OM206" s="5"/>
      <c r="ON206" s="5"/>
      <c r="OO206" s="5"/>
      <c r="OP206" s="5"/>
      <c r="OQ206" s="5"/>
      <c r="OR206" s="5"/>
      <c r="OS206" s="5"/>
      <c r="OT206" s="5"/>
      <c r="OU206" s="5"/>
      <c r="OV206" s="5"/>
      <c r="OW206" s="5"/>
      <c r="OX206" s="5"/>
      <c r="OY206" s="5"/>
      <c r="OZ206" s="5"/>
      <c r="PA206" s="5"/>
      <c r="PB206" s="5"/>
      <c r="PC206" s="5"/>
      <c r="PD206" s="5"/>
      <c r="PE206" s="5"/>
      <c r="PF206" s="5"/>
      <c r="PG206" s="5"/>
      <c r="PH206" s="5"/>
      <c r="PI206" s="5"/>
      <c r="PJ206" s="5"/>
      <c r="PK206" s="5"/>
      <c r="PL206" s="5"/>
      <c r="PM206" s="5"/>
      <c r="PN206" s="5"/>
      <c r="PO206" s="5"/>
      <c r="PP206" s="5"/>
      <c r="PQ206" s="5"/>
      <c r="PR206" s="5"/>
      <c r="PS206" s="5"/>
      <c r="PT206" s="5"/>
      <c r="PU206" s="5"/>
      <c r="PV206" s="5"/>
      <c r="PW206" s="5"/>
      <c r="PX206" s="5"/>
      <c r="PY206" s="5"/>
      <c r="PZ206" s="5"/>
      <c r="QA206" s="5"/>
      <c r="QB206" s="5"/>
      <c r="QC206" s="5"/>
      <c r="QD206" s="5"/>
      <c r="QE206" s="5"/>
      <c r="QF206" s="5"/>
      <c r="QG206" s="5"/>
      <c r="QH206" s="5"/>
      <c r="QI206" s="5"/>
      <c r="QJ206" s="5"/>
      <c r="QK206" s="5"/>
      <c r="QL206" s="5"/>
      <c r="QM206" s="5"/>
      <c r="QN206" s="5"/>
      <c r="QO206" s="5"/>
      <c r="QP206" s="5"/>
      <c r="QQ206" s="5"/>
      <c r="QR206" s="5"/>
      <c r="QS206" s="5"/>
      <c r="QT206" s="5"/>
      <c r="QU206" s="5"/>
      <c r="QV206" s="5"/>
      <c r="QW206" s="5"/>
      <c r="QX206" s="5"/>
      <c r="QY206" s="5"/>
      <c r="QZ206" s="5"/>
      <c r="RA206" s="5"/>
      <c r="RB206" s="5"/>
      <c r="RC206" s="5"/>
      <c r="RD206" s="5"/>
      <c r="RE206" s="5"/>
      <c r="RF206" s="5"/>
      <c r="RG206" s="5"/>
      <c r="RH206" s="5"/>
      <c r="RI206" s="5"/>
      <c r="RJ206" s="5"/>
      <c r="RK206" s="5"/>
      <c r="RL206" s="5"/>
      <c r="RM206" s="5"/>
      <c r="RN206" s="5"/>
      <c r="RO206" s="5"/>
      <c r="RP206" s="5"/>
      <c r="RQ206" s="5"/>
      <c r="RR206" s="5"/>
      <c r="RS206" s="5"/>
      <c r="RT206" s="5"/>
      <c r="RU206" s="5"/>
      <c r="RV206" s="5"/>
      <c r="RW206" s="5"/>
      <c r="RX206" s="5"/>
      <c r="RY206" s="5"/>
      <c r="RZ206" s="5"/>
      <c r="SA206" s="5"/>
      <c r="SB206" s="5"/>
      <c r="SC206" s="5"/>
      <c r="SD206" s="5"/>
      <c r="SE206" s="5"/>
      <c r="SF206" s="5"/>
      <c r="SG206" s="5"/>
      <c r="SH206" s="5"/>
      <c r="SI206" s="5"/>
      <c r="SJ206" s="5"/>
      <c r="SK206" s="5"/>
      <c r="SL206" s="5"/>
      <c r="SM206" s="5"/>
      <c r="SN206" s="5"/>
      <c r="SO206" s="5"/>
      <c r="SP206" s="5"/>
      <c r="SQ206" s="5"/>
      <c r="SR206" s="5"/>
      <c r="SS206" s="5"/>
      <c r="ST206" s="5"/>
      <c r="SU206" s="5"/>
      <c r="SV206" s="5"/>
      <c r="SW206" s="5"/>
      <c r="SX206" s="5"/>
      <c r="SY206" s="5"/>
      <c r="SZ206" s="5"/>
      <c r="TA206" s="5"/>
      <c r="TB206" s="5"/>
      <c r="TC206" s="5"/>
      <c r="TD206" s="5"/>
      <c r="TE206" s="5"/>
      <c r="TF206" s="5"/>
      <c r="TG206" s="5"/>
      <c r="TH206" s="5"/>
      <c r="TI206" s="5"/>
      <c r="TJ206" s="5"/>
      <c r="TK206" s="5"/>
      <c r="TL206" s="5"/>
      <c r="TM206" s="5"/>
      <c r="TN206" s="5"/>
      <c r="TO206" s="5"/>
      <c r="TP206" s="5"/>
      <c r="TQ206" s="5"/>
      <c r="TR206" s="5"/>
      <c r="TS206" s="5"/>
      <c r="TT206" s="5"/>
      <c r="TU206" s="5"/>
      <c r="TV206" s="5"/>
      <c r="TW206" s="5"/>
      <c r="TX206" s="5"/>
      <c r="TY206" s="5"/>
      <c r="TZ206" s="5"/>
      <c r="UA206" s="5"/>
      <c r="UB206" s="5"/>
      <c r="UC206" s="5"/>
      <c r="UD206" s="5"/>
      <c r="UE206" s="5"/>
      <c r="UF206" s="5"/>
      <c r="UG206" s="5"/>
      <c r="UH206" s="5"/>
      <c r="UI206" s="5"/>
      <c r="UJ206" s="5"/>
      <c r="UK206" s="5"/>
      <c r="UL206" s="5"/>
      <c r="UM206" s="5"/>
      <c r="UN206" s="5"/>
      <c r="UO206" s="5"/>
      <c r="UP206" s="5"/>
      <c r="UQ206" s="5"/>
      <c r="UR206" s="5"/>
      <c r="US206" s="5"/>
      <c r="UT206" s="5"/>
      <c r="UU206" s="5"/>
      <c r="UV206" s="5"/>
      <c r="UW206" s="5"/>
      <c r="UX206" s="5"/>
      <c r="UY206" s="5"/>
      <c r="UZ206" s="5"/>
      <c r="VA206" s="5"/>
      <c r="VB206" s="5"/>
      <c r="VC206" s="5"/>
      <c r="VD206" s="5"/>
      <c r="VE206" s="5"/>
      <c r="VF206" s="5"/>
      <c r="VG206" s="5"/>
      <c r="VH206" s="5"/>
      <c r="VI206" s="5"/>
      <c r="VJ206" s="5"/>
      <c r="VK206" s="5"/>
      <c r="VL206" s="5"/>
      <c r="VM206" s="5"/>
      <c r="VN206" s="5"/>
      <c r="VO206" s="5"/>
      <c r="VP206" s="5"/>
      <c r="VQ206" s="5"/>
      <c r="VR206" s="5"/>
      <c r="VS206" s="5"/>
      <c r="VT206" s="5"/>
      <c r="VU206" s="5"/>
      <c r="VV206" s="5"/>
      <c r="VW206" s="5"/>
      <c r="VX206" s="5"/>
      <c r="VY206" s="5"/>
      <c r="VZ206" s="5"/>
      <c r="WA206" s="5"/>
      <c r="WB206" s="5"/>
      <c r="WC206" s="5"/>
      <c r="WD206" s="5"/>
      <c r="WE206" s="5"/>
      <c r="WF206" s="5"/>
      <c r="WG206" s="5"/>
      <c r="WH206" s="5"/>
      <c r="WI206" s="5"/>
      <c r="WJ206" s="5"/>
      <c r="WK206" s="5"/>
      <c r="WL206" s="5"/>
      <c r="WM206" s="5"/>
      <c r="WN206" s="5"/>
      <c r="WO206" s="5"/>
      <c r="WP206" s="5"/>
      <c r="WQ206" s="5"/>
      <c r="WR206" s="5"/>
      <c r="WS206" s="5"/>
      <c r="WT206" s="5"/>
      <c r="WU206" s="5"/>
      <c r="WV206" s="5"/>
      <c r="WW206" s="5"/>
      <c r="WX206" s="5"/>
      <c r="WY206" s="5"/>
      <c r="WZ206" s="5"/>
      <c r="XA206" s="5"/>
      <c r="XB206" s="5"/>
      <c r="XC206" s="5"/>
      <c r="XD206" s="5"/>
      <c r="XE206" s="5"/>
      <c r="XF206" s="5"/>
      <c r="XG206" s="5"/>
      <c r="XH206" s="5"/>
      <c r="XI206" s="5"/>
      <c r="XJ206" s="5"/>
      <c r="XK206" s="5"/>
      <c r="XL206" s="5"/>
      <c r="XM206" s="5"/>
      <c r="XN206" s="5"/>
      <c r="XO206" s="5"/>
      <c r="XP206" s="5"/>
      <c r="XQ206" s="5"/>
      <c r="XR206" s="5"/>
      <c r="XS206" s="5"/>
      <c r="XT206" s="5"/>
      <c r="XU206" s="5"/>
      <c r="XV206" s="5"/>
      <c r="XW206" s="5"/>
      <c r="XX206" s="5"/>
      <c r="XY206" s="5"/>
      <c r="XZ206" s="5"/>
      <c r="YA206" s="5"/>
      <c r="YB206" s="5"/>
      <c r="YC206" s="5"/>
      <c r="YD206" s="5"/>
      <c r="YE206" s="5"/>
      <c r="YF206" s="5"/>
      <c r="YG206" s="5"/>
      <c r="YH206" s="5"/>
      <c r="YI206" s="5"/>
      <c r="YJ206" s="5"/>
      <c r="YK206" s="5"/>
      <c r="YL206" s="5"/>
      <c r="YM206" s="5"/>
      <c r="YN206" s="5"/>
      <c r="YO206" s="5"/>
      <c r="YP206" s="5"/>
      <c r="YQ206" s="5"/>
      <c r="YR206" s="5"/>
      <c r="YS206" s="5"/>
      <c r="YT206" s="5"/>
      <c r="YU206" s="5"/>
      <c r="YV206" s="5"/>
      <c r="YW206" s="5"/>
      <c r="YX206" s="5"/>
      <c r="YY206" s="5"/>
      <c r="YZ206" s="5"/>
    </row>
    <row r="207" spans="1:676">
      <c r="A207" s="7">
        <v>197</v>
      </c>
      <c r="B207" s="7" t="s">
        <v>481</v>
      </c>
      <c r="C207" s="10" t="s">
        <v>482</v>
      </c>
      <c r="D207" s="7" t="s">
        <v>407</v>
      </c>
      <c r="E207" s="7" t="s">
        <v>381</v>
      </c>
      <c r="F207" s="7" t="s">
        <v>394</v>
      </c>
      <c r="G207" s="7"/>
      <c r="H207" s="7" t="s">
        <v>52</v>
      </c>
      <c r="I207" s="11">
        <v>2</v>
      </c>
      <c r="J207" s="11">
        <v>3</v>
      </c>
      <c r="K207" s="11">
        <v>0</v>
      </c>
      <c r="L207" s="11">
        <v>2.89</v>
      </c>
      <c r="M207" s="11">
        <v>0.5700000000000001</v>
      </c>
      <c r="N207" s="11">
        <v>0</v>
      </c>
      <c r="O207" s="11">
        <v>0</v>
      </c>
      <c r="P207" s="11">
        <v>0</v>
      </c>
      <c r="Q207" s="11">
        <v>3.46</v>
      </c>
      <c r="R207" s="11">
        <v>32.06</v>
      </c>
      <c r="S207" s="11">
        <v>35.52</v>
      </c>
      <c r="T207" s="11">
        <v>2</v>
      </c>
      <c r="U207" s="11">
        <v>3</v>
      </c>
      <c r="V207" s="11">
        <v>30.52</v>
      </c>
      <c r="W207" s="13">
        <v>14</v>
      </c>
      <c r="X207" s="13">
        <v>21</v>
      </c>
      <c r="Y207" s="13" t="str">
        <f>MIN(W207,S207)</f>
        <v>0</v>
      </c>
      <c r="Z207" s="13" t="str">
        <f>MIN(X207,(S207-Y207))</f>
        <v>0</v>
      </c>
      <c r="AA207" s="13" t="str">
        <f>S207-SUM(Y207,Z207)</f>
        <v>0</v>
      </c>
      <c r="AB207" s="15"/>
      <c r="AC207" s="15"/>
      <c r="AD207" s="1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  <c r="IZ207" s="5"/>
      <c r="JA207" s="5"/>
      <c r="JB207" s="5"/>
      <c r="JC207" s="5"/>
      <c r="JD207" s="5"/>
      <c r="JE207" s="5"/>
      <c r="JF207" s="5"/>
      <c r="JG207" s="5"/>
      <c r="JH207" s="5"/>
      <c r="JI207" s="5"/>
      <c r="JJ207" s="5"/>
      <c r="JK207" s="5"/>
      <c r="JL207" s="5"/>
      <c r="JM207" s="5"/>
      <c r="JN207" s="5"/>
      <c r="JO207" s="5"/>
      <c r="JP207" s="5"/>
      <c r="JQ207" s="5"/>
      <c r="JR207" s="5"/>
      <c r="JS207" s="5"/>
      <c r="JT207" s="5"/>
      <c r="JU207" s="5"/>
      <c r="JV207" s="5"/>
      <c r="JW207" s="5"/>
      <c r="JX207" s="5"/>
      <c r="JY207" s="5"/>
      <c r="JZ207" s="5"/>
      <c r="KA207" s="5"/>
      <c r="KB207" s="5"/>
      <c r="KC207" s="5"/>
      <c r="KD207" s="5"/>
      <c r="KE207" s="5"/>
      <c r="KF207" s="5"/>
      <c r="KG207" s="5"/>
      <c r="KH207" s="5"/>
      <c r="KI207" s="5"/>
      <c r="KJ207" s="5"/>
      <c r="KK207" s="5"/>
      <c r="KL207" s="5"/>
      <c r="KM207" s="5"/>
      <c r="KN207" s="5"/>
      <c r="KO207" s="5"/>
      <c r="KP207" s="5"/>
      <c r="KQ207" s="5"/>
      <c r="KR207" s="5"/>
      <c r="KS207" s="5"/>
      <c r="KT207" s="5"/>
      <c r="KU207" s="5"/>
      <c r="KV207" s="5"/>
      <c r="KW207" s="5"/>
      <c r="KX207" s="5"/>
      <c r="KY207" s="5"/>
      <c r="KZ207" s="5"/>
      <c r="LA207" s="5"/>
      <c r="LB207" s="5"/>
      <c r="LC207" s="5"/>
      <c r="LD207" s="5"/>
      <c r="LE207" s="5"/>
      <c r="LF207" s="5"/>
      <c r="LG207" s="5"/>
      <c r="LH207" s="5"/>
      <c r="LI207" s="5"/>
      <c r="LJ207" s="5"/>
      <c r="LK207" s="5"/>
      <c r="LL207" s="5"/>
      <c r="LM207" s="5"/>
      <c r="LN207" s="5"/>
      <c r="LO207" s="5"/>
      <c r="LP207" s="5"/>
      <c r="LQ207" s="5"/>
      <c r="LR207" s="5"/>
      <c r="LS207" s="5"/>
      <c r="LT207" s="5"/>
      <c r="LU207" s="5"/>
      <c r="LV207" s="5"/>
      <c r="LW207" s="5"/>
      <c r="LX207" s="5"/>
      <c r="LY207" s="5"/>
      <c r="LZ207" s="5"/>
      <c r="MA207" s="5"/>
      <c r="MB207" s="5"/>
      <c r="MC207" s="5"/>
      <c r="MD207" s="5"/>
      <c r="ME207" s="5"/>
      <c r="MF207" s="5"/>
      <c r="MG207" s="5"/>
      <c r="MH207" s="5"/>
      <c r="MI207" s="5"/>
      <c r="MJ207" s="5"/>
      <c r="MK207" s="5"/>
      <c r="ML207" s="5"/>
      <c r="MM207" s="5"/>
      <c r="MN207" s="5"/>
      <c r="MO207" s="5"/>
      <c r="MP207" s="5"/>
      <c r="MQ207" s="5"/>
      <c r="MR207" s="5"/>
      <c r="MS207" s="5"/>
      <c r="MT207" s="5"/>
      <c r="MU207" s="5"/>
      <c r="MV207" s="5"/>
      <c r="MW207" s="5"/>
      <c r="MX207" s="5"/>
      <c r="MY207" s="5"/>
      <c r="MZ207" s="5"/>
      <c r="NA207" s="5"/>
      <c r="NB207" s="5"/>
      <c r="NC207" s="5"/>
      <c r="ND207" s="5"/>
      <c r="NE207" s="5"/>
      <c r="NF207" s="5"/>
      <c r="NG207" s="5"/>
      <c r="NH207" s="5"/>
      <c r="NI207" s="5"/>
      <c r="NJ207" s="5"/>
      <c r="NK207" s="5"/>
      <c r="NL207" s="5"/>
      <c r="NM207" s="5"/>
      <c r="NN207" s="5"/>
      <c r="NO207" s="5"/>
      <c r="NP207" s="5"/>
      <c r="NQ207" s="5"/>
      <c r="NR207" s="5"/>
      <c r="NS207" s="5"/>
      <c r="NT207" s="5"/>
      <c r="NU207" s="5"/>
      <c r="NV207" s="5"/>
      <c r="NW207" s="5"/>
      <c r="NX207" s="5"/>
      <c r="NY207" s="5"/>
      <c r="NZ207" s="5"/>
      <c r="OA207" s="5"/>
      <c r="OB207" s="5"/>
      <c r="OC207" s="5"/>
      <c r="OD207" s="5"/>
      <c r="OE207" s="5"/>
      <c r="OF207" s="5"/>
      <c r="OG207" s="5"/>
      <c r="OH207" s="5"/>
      <c r="OI207" s="5"/>
      <c r="OJ207" s="5"/>
      <c r="OK207" s="5"/>
      <c r="OL207" s="5"/>
      <c r="OM207" s="5"/>
      <c r="ON207" s="5"/>
      <c r="OO207" s="5"/>
      <c r="OP207" s="5"/>
      <c r="OQ207" s="5"/>
      <c r="OR207" s="5"/>
      <c r="OS207" s="5"/>
      <c r="OT207" s="5"/>
      <c r="OU207" s="5"/>
      <c r="OV207" s="5"/>
      <c r="OW207" s="5"/>
      <c r="OX207" s="5"/>
      <c r="OY207" s="5"/>
      <c r="OZ207" s="5"/>
      <c r="PA207" s="5"/>
      <c r="PB207" s="5"/>
      <c r="PC207" s="5"/>
      <c r="PD207" s="5"/>
      <c r="PE207" s="5"/>
      <c r="PF207" s="5"/>
      <c r="PG207" s="5"/>
      <c r="PH207" s="5"/>
      <c r="PI207" s="5"/>
      <c r="PJ207" s="5"/>
      <c r="PK207" s="5"/>
      <c r="PL207" s="5"/>
      <c r="PM207" s="5"/>
      <c r="PN207" s="5"/>
      <c r="PO207" s="5"/>
      <c r="PP207" s="5"/>
      <c r="PQ207" s="5"/>
      <c r="PR207" s="5"/>
      <c r="PS207" s="5"/>
      <c r="PT207" s="5"/>
      <c r="PU207" s="5"/>
      <c r="PV207" s="5"/>
      <c r="PW207" s="5"/>
      <c r="PX207" s="5"/>
      <c r="PY207" s="5"/>
      <c r="PZ207" s="5"/>
      <c r="QA207" s="5"/>
      <c r="QB207" s="5"/>
      <c r="QC207" s="5"/>
      <c r="QD207" s="5"/>
      <c r="QE207" s="5"/>
      <c r="QF207" s="5"/>
      <c r="QG207" s="5"/>
      <c r="QH207" s="5"/>
      <c r="QI207" s="5"/>
      <c r="QJ207" s="5"/>
      <c r="QK207" s="5"/>
      <c r="QL207" s="5"/>
      <c r="QM207" s="5"/>
      <c r="QN207" s="5"/>
      <c r="QO207" s="5"/>
      <c r="QP207" s="5"/>
      <c r="QQ207" s="5"/>
      <c r="QR207" s="5"/>
      <c r="QS207" s="5"/>
      <c r="QT207" s="5"/>
      <c r="QU207" s="5"/>
      <c r="QV207" s="5"/>
      <c r="QW207" s="5"/>
      <c r="QX207" s="5"/>
      <c r="QY207" s="5"/>
      <c r="QZ207" s="5"/>
      <c r="RA207" s="5"/>
      <c r="RB207" s="5"/>
      <c r="RC207" s="5"/>
      <c r="RD207" s="5"/>
      <c r="RE207" s="5"/>
      <c r="RF207" s="5"/>
      <c r="RG207" s="5"/>
      <c r="RH207" s="5"/>
      <c r="RI207" s="5"/>
      <c r="RJ207" s="5"/>
      <c r="RK207" s="5"/>
      <c r="RL207" s="5"/>
      <c r="RM207" s="5"/>
      <c r="RN207" s="5"/>
      <c r="RO207" s="5"/>
      <c r="RP207" s="5"/>
      <c r="RQ207" s="5"/>
      <c r="RR207" s="5"/>
      <c r="RS207" s="5"/>
      <c r="RT207" s="5"/>
      <c r="RU207" s="5"/>
      <c r="RV207" s="5"/>
      <c r="RW207" s="5"/>
      <c r="RX207" s="5"/>
      <c r="RY207" s="5"/>
      <c r="RZ207" s="5"/>
      <c r="SA207" s="5"/>
      <c r="SB207" s="5"/>
      <c r="SC207" s="5"/>
      <c r="SD207" s="5"/>
      <c r="SE207" s="5"/>
      <c r="SF207" s="5"/>
      <c r="SG207" s="5"/>
      <c r="SH207" s="5"/>
      <c r="SI207" s="5"/>
      <c r="SJ207" s="5"/>
      <c r="SK207" s="5"/>
      <c r="SL207" s="5"/>
      <c r="SM207" s="5"/>
      <c r="SN207" s="5"/>
      <c r="SO207" s="5"/>
      <c r="SP207" s="5"/>
      <c r="SQ207" s="5"/>
      <c r="SR207" s="5"/>
      <c r="SS207" s="5"/>
      <c r="ST207" s="5"/>
      <c r="SU207" s="5"/>
      <c r="SV207" s="5"/>
      <c r="SW207" s="5"/>
      <c r="SX207" s="5"/>
      <c r="SY207" s="5"/>
      <c r="SZ207" s="5"/>
      <c r="TA207" s="5"/>
      <c r="TB207" s="5"/>
      <c r="TC207" s="5"/>
      <c r="TD207" s="5"/>
      <c r="TE207" s="5"/>
      <c r="TF207" s="5"/>
      <c r="TG207" s="5"/>
      <c r="TH207" s="5"/>
      <c r="TI207" s="5"/>
      <c r="TJ207" s="5"/>
      <c r="TK207" s="5"/>
      <c r="TL207" s="5"/>
      <c r="TM207" s="5"/>
      <c r="TN207" s="5"/>
      <c r="TO207" s="5"/>
      <c r="TP207" s="5"/>
      <c r="TQ207" s="5"/>
      <c r="TR207" s="5"/>
      <c r="TS207" s="5"/>
      <c r="TT207" s="5"/>
      <c r="TU207" s="5"/>
      <c r="TV207" s="5"/>
      <c r="TW207" s="5"/>
      <c r="TX207" s="5"/>
      <c r="TY207" s="5"/>
      <c r="TZ207" s="5"/>
      <c r="UA207" s="5"/>
      <c r="UB207" s="5"/>
      <c r="UC207" s="5"/>
      <c r="UD207" s="5"/>
      <c r="UE207" s="5"/>
      <c r="UF207" s="5"/>
      <c r="UG207" s="5"/>
      <c r="UH207" s="5"/>
      <c r="UI207" s="5"/>
      <c r="UJ207" s="5"/>
      <c r="UK207" s="5"/>
      <c r="UL207" s="5"/>
      <c r="UM207" s="5"/>
      <c r="UN207" s="5"/>
      <c r="UO207" s="5"/>
      <c r="UP207" s="5"/>
      <c r="UQ207" s="5"/>
      <c r="UR207" s="5"/>
      <c r="US207" s="5"/>
      <c r="UT207" s="5"/>
      <c r="UU207" s="5"/>
      <c r="UV207" s="5"/>
      <c r="UW207" s="5"/>
      <c r="UX207" s="5"/>
      <c r="UY207" s="5"/>
      <c r="UZ207" s="5"/>
      <c r="VA207" s="5"/>
      <c r="VB207" s="5"/>
      <c r="VC207" s="5"/>
      <c r="VD207" s="5"/>
      <c r="VE207" s="5"/>
      <c r="VF207" s="5"/>
      <c r="VG207" s="5"/>
      <c r="VH207" s="5"/>
      <c r="VI207" s="5"/>
      <c r="VJ207" s="5"/>
      <c r="VK207" s="5"/>
      <c r="VL207" s="5"/>
      <c r="VM207" s="5"/>
      <c r="VN207" s="5"/>
      <c r="VO207" s="5"/>
      <c r="VP207" s="5"/>
      <c r="VQ207" s="5"/>
      <c r="VR207" s="5"/>
      <c r="VS207" s="5"/>
      <c r="VT207" s="5"/>
      <c r="VU207" s="5"/>
      <c r="VV207" s="5"/>
      <c r="VW207" s="5"/>
      <c r="VX207" s="5"/>
      <c r="VY207" s="5"/>
      <c r="VZ207" s="5"/>
      <c r="WA207" s="5"/>
      <c r="WB207" s="5"/>
      <c r="WC207" s="5"/>
      <c r="WD207" s="5"/>
      <c r="WE207" s="5"/>
      <c r="WF207" s="5"/>
      <c r="WG207" s="5"/>
      <c r="WH207" s="5"/>
      <c r="WI207" s="5"/>
      <c r="WJ207" s="5"/>
      <c r="WK207" s="5"/>
      <c r="WL207" s="5"/>
      <c r="WM207" s="5"/>
      <c r="WN207" s="5"/>
      <c r="WO207" s="5"/>
      <c r="WP207" s="5"/>
      <c r="WQ207" s="5"/>
      <c r="WR207" s="5"/>
      <c r="WS207" s="5"/>
      <c r="WT207" s="5"/>
      <c r="WU207" s="5"/>
      <c r="WV207" s="5"/>
      <c r="WW207" s="5"/>
      <c r="WX207" s="5"/>
      <c r="WY207" s="5"/>
      <c r="WZ207" s="5"/>
      <c r="XA207" s="5"/>
      <c r="XB207" s="5"/>
      <c r="XC207" s="5"/>
      <c r="XD207" s="5"/>
      <c r="XE207" s="5"/>
      <c r="XF207" s="5"/>
      <c r="XG207" s="5"/>
      <c r="XH207" s="5"/>
      <c r="XI207" s="5"/>
      <c r="XJ207" s="5"/>
      <c r="XK207" s="5"/>
      <c r="XL207" s="5"/>
      <c r="XM207" s="5"/>
      <c r="XN207" s="5"/>
      <c r="XO207" s="5"/>
      <c r="XP207" s="5"/>
      <c r="XQ207" s="5"/>
      <c r="XR207" s="5"/>
      <c r="XS207" s="5"/>
      <c r="XT207" s="5"/>
      <c r="XU207" s="5"/>
      <c r="XV207" s="5"/>
      <c r="XW207" s="5"/>
      <c r="XX207" s="5"/>
      <c r="XY207" s="5"/>
      <c r="XZ207" s="5"/>
      <c r="YA207" s="5"/>
      <c r="YB207" s="5"/>
      <c r="YC207" s="5"/>
      <c r="YD207" s="5"/>
      <c r="YE207" s="5"/>
      <c r="YF207" s="5"/>
      <c r="YG207" s="5"/>
      <c r="YH207" s="5"/>
      <c r="YI207" s="5"/>
      <c r="YJ207" s="5"/>
      <c r="YK207" s="5"/>
      <c r="YL207" s="5"/>
      <c r="YM207" s="5"/>
      <c r="YN207" s="5"/>
      <c r="YO207" s="5"/>
      <c r="YP207" s="5"/>
      <c r="YQ207" s="5"/>
      <c r="YR207" s="5"/>
      <c r="YS207" s="5"/>
      <c r="YT207" s="5"/>
      <c r="YU207" s="5"/>
      <c r="YV207" s="5"/>
      <c r="YW207" s="5"/>
      <c r="YX207" s="5"/>
      <c r="YY207" s="5"/>
      <c r="YZ207" s="5"/>
    </row>
    <row r="211" spans="1:676">
      <c r="A211" s="16"/>
      <c r="B211" s="16" t="s">
        <v>483</v>
      </c>
      <c r="C211" s="16"/>
      <c r="D211" s="16"/>
      <c r="E211" s="16"/>
      <c r="F211" s="16"/>
      <c r="G211" s="16"/>
      <c r="H211" s="16"/>
      <c r="I211" s="16" t="s">
        <v>484</v>
      </c>
      <c r="J211" s="16"/>
      <c r="K211" s="16"/>
      <c r="L211" s="16"/>
      <c r="M211" s="16"/>
      <c r="N211" s="16"/>
      <c r="O211" s="16"/>
      <c r="P211" s="16"/>
      <c r="Q211" s="16"/>
    </row>
    <row r="212" spans="1:676">
      <c r="A212" s="16"/>
      <c r="B212" s="16" t="s">
        <v>485</v>
      </c>
      <c r="C212" s="16"/>
      <c r="D212" s="16"/>
      <c r="E212" s="16"/>
      <c r="F212" s="16"/>
      <c r="G212" s="16"/>
      <c r="H212" s="16"/>
      <c r="I212" s="16" t="s">
        <v>486</v>
      </c>
      <c r="J212" s="16"/>
      <c r="K212" s="16"/>
      <c r="L212" s="16"/>
      <c r="M212" s="16"/>
      <c r="N212" s="16"/>
      <c r="O212" s="16"/>
      <c r="P212" s="16"/>
      <c r="Q212" s="16"/>
    </row>
    <row r="213" spans="1:676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</row>
    <row r="214" spans="1:676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</row>
    <row r="215" spans="1:676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</row>
    <row r="216" spans="1:67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</row>
    <row r="217" spans="1:676">
      <c r="A217" s="16"/>
      <c r="B217" s="16" t="s">
        <v>487</v>
      </c>
      <c r="C217" s="16"/>
      <c r="D217" s="16"/>
      <c r="E217" s="16"/>
      <c r="F217" s="16"/>
      <c r="G217" s="16"/>
      <c r="H217" s="16"/>
      <c r="I217" s="16" t="s">
        <v>488</v>
      </c>
      <c r="J217" s="16"/>
      <c r="K217" s="16"/>
      <c r="L217" s="16"/>
      <c r="M217" s="16"/>
      <c r="N217" s="16"/>
      <c r="O217" s="16"/>
      <c r="P217" s="16"/>
      <c r="Q217" s="16"/>
    </row>
    <row r="218" spans="1:676">
      <c r="A218" s="16"/>
      <c r="B218" s="16" t="s">
        <v>489</v>
      </c>
      <c r="C218" s="16"/>
      <c r="D218" s="16"/>
      <c r="E218" s="16"/>
      <c r="F218" s="16"/>
      <c r="G218" s="16"/>
      <c r="H218" s="16"/>
      <c r="I218" s="16" t="s">
        <v>489</v>
      </c>
      <c r="J218" s="16"/>
      <c r="K218" s="16"/>
      <c r="L218" s="16"/>
      <c r="M218" s="16"/>
      <c r="N218" s="16"/>
      <c r="O218" s="16"/>
      <c r="P218" s="16"/>
      <c r="Q21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2017-10-26T09:17:43+07:00</dcterms:created>
  <dcterms:modified xsi:type="dcterms:W3CDTF">2017-10-26T09:17:43+07:00</dcterms:modified>
  <dc:title>Untitled Spreadsheet</dc:title>
  <dc:description/>
  <dc:subject/>
  <cp:keywords/>
  <cp:category/>
</cp:coreProperties>
</file>