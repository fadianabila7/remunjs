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<sst xmlns="http://schemas.openxmlformats.org/spreadsheetml/2006/main" uniqueCount="490">
  <si>
    <t>KEMENTERIAN RISET, TEKNOLOGI DAN PENDIDIKAN TINGGI</t>
  </si>
  <si>
    <t>UNIVERSITAS RIAU</t>
  </si>
  <si>
    <t>FAKULTAS KEGURUAN DAN ILMU PENDIDIKAN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</si>
  <si>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</si>
  <si>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</si>
  <si>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</si>
  <si>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</si>
  <si>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</si>
  <si>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</si>
  <si>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</si>
  <si>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</si>
  <si>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</si>
  <si>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</si>
  <si>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</si>
  <si>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</si>
  <si>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</si>
  <si>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</si>
  <si>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</si>
  <si>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</si>
  <si>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</si>
  <si>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</si>
  <si>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</si>
  <si>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</si>
  <si>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</si>
  <si>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</si>
  <si>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</si>
  <si>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</si>
  <si>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</si>
  <si>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</si>
  <si>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</si>
  <si>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</si>
  <si>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</si>
  <si>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</si>
  <si>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</si>
  <si>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</si>
  <si>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</si>
  <si>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</si>
  <si>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</si>
  <si>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196008221990021002</t>
  </si>
  <si>
    <t>PROF. DR. ALMASDI SYAHZA, SE,MP</t>
  </si>
  <si>
    <t>Pendidikan Ekonomi</t>
  </si>
  <si>
    <t>IV/e</t>
  </si>
  <si>
    <t>Profesor</t>
  </si>
  <si>
    <t>Ketua Lembaga Tk. Universitas Gol. IV</t>
  </si>
  <si>
    <t>195404081986011001</t>
  </si>
  <si>
    <t>PROF. DR. AUZAR, M.S</t>
  </si>
  <si>
    <t>Pendidikan Bahasa Dan Sastra Indonesia</t>
  </si>
  <si>
    <t>IV/d</t>
  </si>
  <si>
    <t>Kepala Bagian FH</t>
  </si>
  <si>
    <t>196405211989031003</t>
  </si>
  <si>
    <t>PROF. DR. FIRDAUS (LIONG A HENG), M.SI</t>
  </si>
  <si>
    <t>Pendidikan Biologi</t>
  </si>
  <si>
    <t>Tidak ada jabatan struktural</t>
  </si>
  <si>
    <t>196010131986031002</t>
  </si>
  <si>
    <t>PROF. DR. M. NUR MUSTAFA, M.Pd</t>
  </si>
  <si>
    <t>Dekan A Gol. IV</t>
  </si>
  <si>
    <t>195206271979031002</t>
  </si>
  <si>
    <t>PROF. DR. ZULFAN SAAM, SU</t>
  </si>
  <si>
    <t>Bimbingan Konseling</t>
  </si>
  <si>
    <t>Wakil Direktur Pascasarjana Gol. IV</t>
  </si>
  <si>
    <t>195912121985031006</t>
  </si>
  <si>
    <t>PROF. DRS. H. ISJONI, M.SI, Ph.D</t>
  </si>
  <si>
    <t>Pendidikan Sejarah</t>
  </si>
  <si>
    <t>Koordinator Program Studi A</t>
  </si>
  <si>
    <t>196403271990021001</t>
  </si>
  <si>
    <t>PROF.DR. CASKA, M.SI</t>
  </si>
  <si>
    <t>IV/c</t>
  </si>
  <si>
    <t>Sekretaris Lembaga</t>
  </si>
  <si>
    <t>196808271995122001</t>
  </si>
  <si>
    <t>Prof. DR. HASNAH FAIZAH, AR, M.HUM</t>
  </si>
  <si>
    <t>196203031990022001</t>
  </si>
  <si>
    <t>Prof. DR. Hj. MAKHDALENA, SE, M.Si, AK</t>
  </si>
  <si>
    <t>196901201996031001</t>
  </si>
  <si>
    <t>Prof. DR. JIMMI COPRIADY, S.SI, M. Si</t>
  </si>
  <si>
    <t>Pendidikan Kimia</t>
  </si>
  <si>
    <t>195911061990031003</t>
  </si>
  <si>
    <t>DR. ASMADI MUHAMMAD NOER, M.Sc</t>
  </si>
  <si>
    <t>IV/a</t>
  </si>
  <si>
    <t>Lektor Kepala Gol. IV</t>
  </si>
  <si>
    <t>196210041986032002</t>
  </si>
  <si>
    <t>DR. ATMA MURNI, M.PD</t>
  </si>
  <si>
    <t>Pendidikan Matematika</t>
  </si>
  <si>
    <t>IV/b</t>
  </si>
  <si>
    <t>196801011994021006</t>
  </si>
  <si>
    <t>DR. AZHAR, S.PD, MT</t>
  </si>
  <si>
    <t>Pendidikan Fisika</t>
  </si>
  <si>
    <t>196810111993032001</t>
  </si>
  <si>
    <t>DR. CHARLINA, M.HUM</t>
  </si>
  <si>
    <t>196103171986011003</t>
  </si>
  <si>
    <t>DR. DAENG AYUB, M. Pd</t>
  </si>
  <si>
    <t>Pendidikan Luar Sekolah</t>
  </si>
  <si>
    <t>195403251981031004</t>
  </si>
  <si>
    <t>DR. EFFENDY GULTOM, MA</t>
  </si>
  <si>
    <t>Pendidikan Bahasa Inggris</t>
  </si>
  <si>
    <t>196312171990022001</t>
  </si>
  <si>
    <t>DR. ELIWARTI, M.App.Ling</t>
  </si>
  <si>
    <t>196403161991031013</t>
  </si>
  <si>
    <t>DR. ELMUSTIAN, MA</t>
  </si>
  <si>
    <t>196404271989032002</t>
  </si>
  <si>
    <t>DR. EVI SURYAWATI, M.PD</t>
  </si>
  <si>
    <t>Koordinator Program Studi B</t>
  </si>
  <si>
    <t>195510051981031009</t>
  </si>
  <si>
    <t>DR. FAKHRI RAS, M.ED</t>
  </si>
  <si>
    <t>Ketua Bagian FK</t>
  </si>
  <si>
    <t>196009101987031004</t>
  </si>
  <si>
    <t>DR. GIMIN, M.PD</t>
  </si>
  <si>
    <t>196712071999031001</t>
  </si>
  <si>
    <t>DR. GUSNARDI, SE, M.SI, AK</t>
  </si>
  <si>
    <t>196308121987032001</t>
  </si>
  <si>
    <t>DR. HADRIANA. M.Pd</t>
  </si>
  <si>
    <t>Sekretaris Jurusan A</t>
  </si>
  <si>
    <t>196606221991031005</t>
  </si>
  <si>
    <t>DR. HAMBALI, M.SI</t>
  </si>
  <si>
    <t>Pendidikan Pancasila Dan Kewarganegaraan</t>
  </si>
  <si>
    <t>197606182006042003</t>
  </si>
  <si>
    <t>DR. HENNY INDRAWATI, SP, MM</t>
  </si>
  <si>
    <t>III/d</t>
  </si>
  <si>
    <t>Lektor Kepala Gol. III</t>
  </si>
  <si>
    <t>196712011998021001</t>
  </si>
  <si>
    <t>DR. JISMULATIF, M.HUM</t>
  </si>
  <si>
    <t>196011121987031004</t>
  </si>
  <si>
    <t>DR. MAHDUM, M. Pd</t>
  </si>
  <si>
    <t>Wakil Dekan III A Gol. IV</t>
  </si>
  <si>
    <t>196110171987021001</t>
  </si>
  <si>
    <t>DR. NAHOR M. HUTAPEA, M. PD</t>
  </si>
  <si>
    <t>196310261986022001</t>
  </si>
  <si>
    <t>DR. PUTRI YUANITA, MEd</t>
  </si>
  <si>
    <t>196102031985032002</t>
  </si>
  <si>
    <t>DR. RR. SRI KARTIKOWATI, M.A</t>
  </si>
  <si>
    <t>195712311985031018</t>
  </si>
  <si>
    <t>DR. SAKDANUR NAS. MS</t>
  </si>
  <si>
    <t>196808291993081001</t>
  </si>
  <si>
    <t>DR. SEHATTA SARAGIH, M.PD</t>
  </si>
  <si>
    <t>195703091985031001</t>
  </si>
  <si>
    <t>DR. SUMARDI, M.SI</t>
  </si>
  <si>
    <t>196202091998031001</t>
  </si>
  <si>
    <t>DR. SUMARNO, M.PD</t>
  </si>
  <si>
    <t>196801131991031004</t>
  </si>
  <si>
    <t>DR. SUWONDO, M.SI</t>
  </si>
  <si>
    <t>196204171986031001</t>
  </si>
  <si>
    <t>DR. SYAFRIAL, M.Pd</t>
  </si>
  <si>
    <t>196509201989031001</t>
  </si>
  <si>
    <t>DR. WAN SAFII, M.SI</t>
  </si>
  <si>
    <t>Koordinator Program Studi C</t>
  </si>
  <si>
    <t>196306141986012001</t>
  </si>
  <si>
    <t>DR. YENITA ROZA, M.SC</t>
  </si>
  <si>
    <t>196101091993122001</t>
  </si>
  <si>
    <t>DR. YUSTINA, M.SI</t>
  </si>
  <si>
    <t>196506261990021001</t>
  </si>
  <si>
    <t>DR. ZULKARNAIN, M.PD</t>
  </si>
  <si>
    <t>196103021986012001</t>
  </si>
  <si>
    <t>DRA. ARMIS , M.PD</t>
  </si>
  <si>
    <t>195911291986032002</t>
  </si>
  <si>
    <t>DRA. ARNENTIS, MS</t>
  </si>
  <si>
    <t>196506051990022001</t>
  </si>
  <si>
    <t>DRA. ATNI PRAWATI, M.ED</t>
  </si>
  <si>
    <t>195809011984032003</t>
  </si>
  <si>
    <t>DRA. BEDRIATI IBRAHIM, M.SI</t>
  </si>
  <si>
    <t>196101011986032002</t>
  </si>
  <si>
    <t>DRA. BETTY HOLIWARNI, M.PD</t>
  </si>
  <si>
    <t>196803151992032001</t>
  </si>
  <si>
    <t>DRA. DARMAWATI, M.SI</t>
  </si>
  <si>
    <t>196212281986032001</t>
  </si>
  <si>
    <t>DRA. ERVIYENNI, M.PD</t>
  </si>
  <si>
    <t>196205271986032001</t>
  </si>
  <si>
    <t>DRA. HERDINI, M.SI</t>
  </si>
  <si>
    <t>195410161985032001</t>
  </si>
  <si>
    <t>DRA. HJ. DESTI IRJA, M.SI</t>
  </si>
  <si>
    <t>196302151988112001</t>
  </si>
  <si>
    <t>DRA. INDAH TRI PURWANTI, M.App.Ling</t>
  </si>
  <si>
    <t>196309101991032010</t>
  </si>
  <si>
    <t>DRA. IRDA SAYUTI, M.SI</t>
  </si>
  <si>
    <t>195412131989032001</t>
  </si>
  <si>
    <t>DRA. JALINUS, M.PD</t>
  </si>
  <si>
    <t>196312221989032002</t>
  </si>
  <si>
    <t>DRA. MARIANI NATALINA L.S., M.PD</t>
  </si>
  <si>
    <t>196205061986032001</t>
  </si>
  <si>
    <t>DRA. MITRI IRIANTI, M.Pd</t>
  </si>
  <si>
    <t>196212061987032001</t>
  </si>
  <si>
    <t>DRA. RINI DIAN ANGGRAINI</t>
  </si>
  <si>
    <t>196512201991032003</t>
  </si>
  <si>
    <t>DRA. SRI WULANDARI, M.SI</t>
  </si>
  <si>
    <t>196609011991032002</t>
  </si>
  <si>
    <t>DRA. SUSDA HELENI, M.PD</t>
  </si>
  <si>
    <t>196202091998102001</t>
  </si>
  <si>
    <t>DRA. SYOFIA DELFI, MA</t>
  </si>
  <si>
    <t>195908061989022001</t>
  </si>
  <si>
    <t>DRA. SYOFNI, M.PD</t>
  </si>
  <si>
    <t>196006021986032006</t>
  </si>
  <si>
    <t>DRA. TITI SOLFITRI, M.Ed</t>
  </si>
  <si>
    <t>196209091986012001</t>
  </si>
  <si>
    <t>DRA. TRI UMARI, M.SI</t>
  </si>
  <si>
    <t>195907191986102001</t>
  </si>
  <si>
    <t>DRA. YUSLIM FAUZIAH, MS</t>
  </si>
  <si>
    <t>196210011986032002</t>
  </si>
  <si>
    <t>DRA. ZULHELMI, M.PD</t>
  </si>
  <si>
    <t>195604241984031004</t>
  </si>
  <si>
    <t>DRS. ABDUL RAZAK, MPD</t>
  </si>
  <si>
    <t>196610021991031003</t>
  </si>
  <si>
    <t>DRS. ELFIS SUANTO, M.SI</t>
  </si>
  <si>
    <t>195906291987031002</t>
  </si>
  <si>
    <t>DRS. JOHNI AZMI, MS</t>
  </si>
  <si>
    <t>196806141997021001</t>
  </si>
  <si>
    <t>DRS. M. RAHMAD, M.SI</t>
  </si>
  <si>
    <t>195507061985031001</t>
  </si>
  <si>
    <t>DRS. NURSAL HAKIM, M,Pd</t>
  </si>
  <si>
    <t>196405071991031003</t>
  </si>
  <si>
    <t>DRS. NURSAL, M.SI</t>
  </si>
  <si>
    <t>195912111986011003</t>
  </si>
  <si>
    <t>DRS. R.ARLIZON, M.PD</t>
  </si>
  <si>
    <t>Ketua Jurusan A Gol. IV</t>
  </si>
  <si>
    <t>195406171985031002</t>
  </si>
  <si>
    <t>DRS. RIDWAN MELAY, M.HUM</t>
  </si>
  <si>
    <t>195811061986011002</t>
  </si>
  <si>
    <t>DRS. SAID SUHIL ACHMAD, M.PD</t>
  </si>
  <si>
    <t>195306031981031002</t>
  </si>
  <si>
    <t>DRS. WUSONO INDARTO, M.Pd</t>
  </si>
  <si>
    <t>Pendidikan Guru Pendidikan Anak Usia Dini</t>
  </si>
  <si>
    <t>196207231987021001</t>
  </si>
  <si>
    <t>DRS. ZUHDI, M. Pd</t>
  </si>
  <si>
    <t>195706041988111001</t>
  </si>
  <si>
    <t>DRS. ZUHRI. D, M.PD</t>
  </si>
  <si>
    <t>195912291985031004</t>
  </si>
  <si>
    <t>DRS. ZULKIFLI N. M.PD</t>
  </si>
  <si>
    <t>195706201983032001</t>
  </si>
  <si>
    <t>DRa. TITI MAIMUNATY, M.SI</t>
  </si>
  <si>
    <t>197312111998022001</t>
  </si>
  <si>
    <t>Dr. AZIZAHWATI, S.SI,M.SI</t>
  </si>
  <si>
    <t>196612311994032003</t>
  </si>
  <si>
    <t>Dr. ERNI, S.PD, M.HUM</t>
  </si>
  <si>
    <t>195708181983031003</t>
  </si>
  <si>
    <t>Dr. Fadly Azhar, Dipl., M.Ed</t>
  </si>
  <si>
    <t>197005151999031001</t>
  </si>
  <si>
    <t>Dr. Fakhruddin, S.Si, MT</t>
  </si>
  <si>
    <t>195912081986021002</t>
  </si>
  <si>
    <t>Dr. H. Suarman, M.Pd</t>
  </si>
  <si>
    <t>197204241999032002</t>
  </si>
  <si>
    <t>Dr. MARIA ERNA, S.SI,M.SI</t>
  </si>
  <si>
    <t>197204171998021002</t>
  </si>
  <si>
    <t>Dr. MUHAMMAD NASIR, S.SI, M.Kom</t>
  </si>
  <si>
    <t>196208311987111001</t>
  </si>
  <si>
    <t>Dr. Mangatur Sinaga, M. Hum</t>
  </si>
  <si>
    <t>197403221999031002</t>
  </si>
  <si>
    <t>Dr. NUR ISLAMI, S.SI,MT</t>
  </si>
  <si>
    <t>195909111984031002</t>
  </si>
  <si>
    <t>Dr. RADJAWALY USMAN RERY, MPD</t>
  </si>
  <si>
    <t>197305231998022001</t>
  </si>
  <si>
    <t>Dr. SUSILAWATI, S.SI,M.SI</t>
  </si>
  <si>
    <t>197102251998022001</t>
  </si>
  <si>
    <t>Dr. YENNITA, S.SI, M.SI</t>
  </si>
  <si>
    <t>196912311997021003</t>
  </si>
  <si>
    <t>Dr. ZULIRFAN, S.SI, M.SI</t>
  </si>
  <si>
    <t>Wakil Dekan I A Gol. IV</t>
  </si>
  <si>
    <t>195407181983022001</t>
  </si>
  <si>
    <t>Dra. Elva Yasmi Amran, M.Si</t>
  </si>
  <si>
    <t>196203191986032001</t>
  </si>
  <si>
    <t>Dra. Hj. Elni Yakub, M.S</t>
  </si>
  <si>
    <t>195712051983031001</t>
  </si>
  <si>
    <t>Drs. H. Aswandi Bahar.M. Lib</t>
  </si>
  <si>
    <t>196109011987021001</t>
  </si>
  <si>
    <t>Drs. Hendar Sudrajad, M. Pd</t>
  </si>
  <si>
    <t>196404071990021001</t>
  </si>
  <si>
    <t>Drs. Sakur, M. Ed</t>
  </si>
  <si>
    <t>195908101984101001</t>
  </si>
  <si>
    <t>Drs. Wilson, M. Si</t>
  </si>
  <si>
    <t>197208052000121001</t>
  </si>
  <si>
    <t>MUHAMMAD NOR, S.SI, MT</t>
  </si>
  <si>
    <t>196803011994032002</t>
  </si>
  <si>
    <t>RINA SELVA JOHAN, SE, MM</t>
  </si>
  <si>
    <t>197007301999032002</t>
  </si>
  <si>
    <t>Sri Erlinda, S.IP, M.Si</t>
  </si>
  <si>
    <t>197006131998021002</t>
  </si>
  <si>
    <t>Abdullah, S.Si, M.Si</t>
  </si>
  <si>
    <t>III/c</t>
  </si>
  <si>
    <t>Lektor Gol. III</t>
  </si>
  <si>
    <t>197312131998022001</t>
  </si>
  <si>
    <t>DESRI MARIA SUBAYAK, SS, M.Hum</t>
  </si>
  <si>
    <t>197506202008121002</t>
  </si>
  <si>
    <t>DR. AFRIANTO, M.ED</t>
  </si>
  <si>
    <t>III/b</t>
  </si>
  <si>
    <t>196504161990031005</t>
  </si>
  <si>
    <t>DR. DUDUNG BURHANUDDIN, M.PD</t>
  </si>
  <si>
    <t>196211091992032001</t>
  </si>
  <si>
    <t>DR. HJ. NOVITRI, M.App.L</t>
  </si>
  <si>
    <t>196201151987022001</t>
  </si>
  <si>
    <t>DR. MAIMUNAH, M.SI</t>
  </si>
  <si>
    <t>196309131989031002</t>
  </si>
  <si>
    <t>DR. MOCHAMAD YUSUF, MPD</t>
  </si>
  <si>
    <t>195209171976022001</t>
  </si>
  <si>
    <t>DR. RAIDA JOHAR, MA</t>
  </si>
  <si>
    <t>196207191986032002</t>
  </si>
  <si>
    <t>DR. RASMIWETTI, MS</t>
  </si>
  <si>
    <t>197401162000122001</t>
  </si>
  <si>
    <t>DR. ROZA LINDA, S.SI, M.SI</t>
  </si>
  <si>
    <t>196006251986012003</t>
  </si>
  <si>
    <t>DRA. GUSTIMAL W GAZALI</t>
  </si>
  <si>
    <t>Pendidikan Guru Sekolah Dasar</t>
  </si>
  <si>
    <t>196310201989031002</t>
  </si>
  <si>
    <t>DRS. GANI HARYANA, M.PD</t>
  </si>
  <si>
    <t>196411251990091001</t>
  </si>
  <si>
    <t>DRS. HENDRI PIDES, M.SI</t>
  </si>
  <si>
    <t>195608021980121001</t>
  </si>
  <si>
    <t>DRS. JASFAR JAS, M.PD</t>
  </si>
  <si>
    <t>Lektor Gol. IV</t>
  </si>
  <si>
    <t>Wakil Dekan II A Gol. IV</t>
  </si>
  <si>
    <t>196703152005011002</t>
  </si>
  <si>
    <t>DRS. KAMARUDDIN, M.Si</t>
  </si>
  <si>
    <t>Ketua Jurusan A Gol. III</t>
  </si>
  <si>
    <t>195512191980121001</t>
  </si>
  <si>
    <t>DRS. LAZIM. N, M.PD</t>
  </si>
  <si>
    <t>196107211988111002</t>
  </si>
  <si>
    <t>DRS. M. SYARFI, MA.DILP. IT</t>
  </si>
  <si>
    <t>195206121981031005</t>
  </si>
  <si>
    <t>DRS. MANGIHUT NABABAN</t>
  </si>
  <si>
    <t>195502041989031001</t>
  </si>
  <si>
    <t>DRS. MARZUKI, M.ED, MA</t>
  </si>
  <si>
    <t>196110121995021001</t>
  </si>
  <si>
    <t>DRS. MASYHUR, M.ED</t>
  </si>
  <si>
    <t>195910201985031002</t>
  </si>
  <si>
    <t>DRS. RAMADI, S.PD, M.Kes.AIFO</t>
  </si>
  <si>
    <t>Pendidikan Jasmani, Kesehatan Dan Rekreas</t>
  </si>
  <si>
    <t>195210151978021001</t>
  </si>
  <si>
    <t>DRS. SUDIRMAN A.RAKHMAN SADIAH,M.PD</t>
  </si>
  <si>
    <t>196104141989031002</t>
  </si>
  <si>
    <t>DRS. SUHERMI, M.PD</t>
  </si>
  <si>
    <t>196205121990031002</t>
  </si>
  <si>
    <t>DRS. SUPRIUSMAN, MA</t>
  </si>
  <si>
    <t>195912071986031003</t>
  </si>
  <si>
    <t>DRS. SYAHRILFUDDIN, M. Pd</t>
  </si>
  <si>
    <t>195510291983031002</t>
  </si>
  <si>
    <t>DRS. TUGIMAN, MS</t>
  </si>
  <si>
    <t>195506241985031001</t>
  </si>
  <si>
    <t>DRS. ZAHIRMAN, MH</t>
  </si>
  <si>
    <t>Ketua Lembaga Tk. Universitas Gol. III</t>
  </si>
  <si>
    <t>196506211991031004</t>
  </si>
  <si>
    <t>DRS. ZARIUL ANTOSA, M.SN</t>
  </si>
  <si>
    <t>197712232008011010</t>
  </si>
  <si>
    <t>Dr. HERMANDRA, S.PD, MA</t>
  </si>
  <si>
    <t>196804152008011013</t>
  </si>
  <si>
    <t>Dr. IMAM MAHADI, M. Sc</t>
  </si>
  <si>
    <t>197102022006042001</t>
  </si>
  <si>
    <t>Dr. IR. ZULFARINA, M.SI</t>
  </si>
  <si>
    <t>197207032006042002</t>
  </si>
  <si>
    <t>Dr. Kartini, S. Pd, M. Si</t>
  </si>
  <si>
    <t>197201071998022001</t>
  </si>
  <si>
    <t>Dr. RINI, S.SI, M.SI</t>
  </si>
  <si>
    <t>196909012008011006</t>
  </si>
  <si>
    <t>Dr. ZAINUR, S.PD, M.PD</t>
  </si>
  <si>
    <t>Pendidikan Kepelatihan Olahraga</t>
  </si>
  <si>
    <t>195902081987032002</t>
  </si>
  <si>
    <t>Dra. Hj. Elya Pebrita, M.Si</t>
  </si>
  <si>
    <t>195406221983032001</t>
  </si>
  <si>
    <t>Dra. Hj. Widiastuti, M. Pd</t>
  </si>
  <si>
    <t>195611161986012001</t>
  </si>
  <si>
    <t>Dra. Rosmawati. SS, M. Pd. Kons</t>
  </si>
  <si>
    <t>195304151985031002</t>
  </si>
  <si>
    <t>Drs. Saripin, M.Kes</t>
  </si>
  <si>
    <t>195603111983031001</t>
  </si>
  <si>
    <t>Drs. Slamet, M.Kes. Aifo</t>
  </si>
  <si>
    <t>196108031987031001</t>
  </si>
  <si>
    <t>Drs. Yuherdi, M. Pd</t>
  </si>
  <si>
    <t>198211202009121004</t>
  </si>
  <si>
    <t>EDDY NOVIANA, S.PD, M.PD</t>
  </si>
  <si>
    <t>198104252005012004</t>
  </si>
  <si>
    <t>FENNY TRISNAWATI, M. Si,.SE.AK</t>
  </si>
  <si>
    <t>198408292008121001</t>
  </si>
  <si>
    <t>HADI RUMADI, S.PD, M. Pd</t>
  </si>
  <si>
    <t>198003152008121001</t>
  </si>
  <si>
    <t>Hendri Marhadi, M. Pd</t>
  </si>
  <si>
    <t>197910132008121002</t>
  </si>
  <si>
    <t>MAHMUD ALPUSARI, M.PD</t>
  </si>
  <si>
    <t>198305182009121005</t>
  </si>
  <si>
    <t>OTANG KURNIAMAN, S.PD, M.PD</t>
  </si>
  <si>
    <t>197509092005011003</t>
  </si>
  <si>
    <t>RM. Riadi, SE, Ak, M. Si</t>
  </si>
  <si>
    <t>197911152008122001</t>
  </si>
  <si>
    <t>Ria Novianti, S. Pi, M. Pd</t>
  </si>
  <si>
    <t>197407032000122001</t>
  </si>
  <si>
    <t>SRI HARYATI, S.PD, M.SI</t>
  </si>
  <si>
    <t>198506022008121004</t>
  </si>
  <si>
    <t>SUPENTRI, S.PD, M. Pd</t>
  </si>
  <si>
    <t>III/a</t>
  </si>
  <si>
    <t>197905142006042001</t>
  </si>
  <si>
    <t>SYARIFAH NUR SIREGAR, S.SI, M. Si</t>
  </si>
  <si>
    <t>198510222015041001</t>
  </si>
  <si>
    <t>AGUS SULASTIO, S.Pd, M.Pd</t>
  </si>
  <si>
    <t>Dosen belum punya Jabatan Gol. III</t>
  </si>
  <si>
    <t>198109132008011011</t>
  </si>
  <si>
    <t>AHMAL, S.PD, M. Pd</t>
  </si>
  <si>
    <t>Dosen Tugas Belajar Gol. III</t>
  </si>
  <si>
    <t>197801012008121003</t>
  </si>
  <si>
    <t>ALIMANDAN, S.PD, M. Pd</t>
  </si>
  <si>
    <t>197910162008122002</t>
  </si>
  <si>
    <t>ARDIAH JUITA, M.PD</t>
  </si>
  <si>
    <t>Asisten Ahli Gol. III</t>
  </si>
  <si>
    <t>198501042015041001</t>
  </si>
  <si>
    <t>AREF VAI, S.Pd, M.Pd</t>
  </si>
  <si>
    <t>198011012006041004</t>
  </si>
  <si>
    <t>Asril,  S.Pd, M. Pd</t>
  </si>
  <si>
    <t>197506122008121003</t>
  </si>
  <si>
    <t>BUNARI, M.SI</t>
  </si>
  <si>
    <t>197409012006041002</t>
  </si>
  <si>
    <t>DARMADI, S.PD, M.SI</t>
  </si>
  <si>
    <t>197904162008122001</t>
  </si>
  <si>
    <t>DEVI RISMA, M.Si, Psi</t>
  </si>
  <si>
    <t>198503282015042001</t>
  </si>
  <si>
    <t>DINI BUDIANI, B.Eng, M.Ed</t>
  </si>
  <si>
    <t>Pendidikan Bahasa Jepang</t>
  </si>
  <si>
    <t>197607052009121002</t>
  </si>
  <si>
    <t>DR. DAVIQ CHAIRILSYAH, S.PI, M.PSI</t>
  </si>
  <si>
    <t>196704252014092001</t>
  </si>
  <si>
    <t>DR. RITA KURNIA, M. Ed</t>
  </si>
  <si>
    <t>196006051986112001</t>
  </si>
  <si>
    <t>DRA. RUMIRI ROTUA ARUAN, M.HUM</t>
  </si>
  <si>
    <t>196504211993031001</t>
  </si>
  <si>
    <t>DRS. AHMAD EDDISON, M.SI</t>
  </si>
  <si>
    <t xml:space="preserve">Dosen Tugas Belajar Gol. IV </t>
  </si>
  <si>
    <t>196905182008011006</t>
  </si>
  <si>
    <t>Dr. ARZA AIBONOTIKA, SS, M.SI</t>
  </si>
  <si>
    <t>196711241998021001</t>
  </si>
  <si>
    <t>Dr. DAHNIL SYAH, SS, M, A</t>
  </si>
  <si>
    <t>197304022000032002</t>
  </si>
  <si>
    <t>Dr. FITRA SUZANTI, S.SI, M.SI</t>
  </si>
  <si>
    <t>198402272009122002</t>
  </si>
  <si>
    <t>Dr. NENI HERMITA, S.PD, M.PD</t>
  </si>
  <si>
    <t>198901292014042001</t>
  </si>
  <si>
    <t>ELVRIN SEPTYANTI , S.Pd , M.Pd</t>
  </si>
  <si>
    <t>198402242010122005</t>
  </si>
  <si>
    <t>ENDA PUSPITASARI, S.PD, M.PD</t>
  </si>
  <si>
    <t>198302032010122004</t>
  </si>
  <si>
    <t>ERLISNAWATI, S.PD, M.PD</t>
  </si>
  <si>
    <t>196709171994032001</t>
  </si>
  <si>
    <t>FANGIANA SAFITRIDIAH, S.S, M.Ed</t>
  </si>
  <si>
    <t>198302072012121002</t>
  </si>
  <si>
    <t>FEBRIALISMANTO, S.Pd. M.Pd</t>
  </si>
  <si>
    <t>197404302014092001</t>
  </si>
  <si>
    <t>GUSLINDA, SPd, M. Pd</t>
  </si>
  <si>
    <t>197602022005012002</t>
  </si>
  <si>
    <t>HANA NIMASHITA, SS, M. Si</t>
  </si>
  <si>
    <t>197112152006041001</t>
  </si>
  <si>
    <t>HARDISEM SYABRUS, S.PD, MM</t>
  </si>
  <si>
    <t>198403222008121002</t>
  </si>
  <si>
    <t>HARYONO, S.PD, M. Pd</t>
  </si>
  <si>
    <t>197509242008121002</t>
  </si>
  <si>
    <t>HUKMI, M.HUM</t>
  </si>
  <si>
    <t>198004092008122002</t>
  </si>
  <si>
    <t>JESI ALEXANDER ALIM, M.PD</t>
  </si>
  <si>
    <t>197709112008011006</t>
  </si>
  <si>
    <t>JUMILI ARIANTO, S.PD, M.H</t>
  </si>
  <si>
    <t>198708172014041001</t>
  </si>
  <si>
    <t>KRISTI AGUST , M.Pd</t>
  </si>
  <si>
    <t>197206031999032003</t>
  </si>
  <si>
    <t>LENNY ANWAR S, S.Si, M.Si</t>
  </si>
  <si>
    <t>197810232010121002</t>
  </si>
  <si>
    <t>M.JAYA ADI PUTRA, S,SI, M.PD</t>
  </si>
  <si>
    <t>197303252014092002</t>
  </si>
  <si>
    <t>MARIA SAFRIYANTI, S.S</t>
  </si>
  <si>
    <t>197901102005012002</t>
  </si>
  <si>
    <t>MERRI SILVIA BASRI, S.S, M. Pd</t>
  </si>
  <si>
    <t>198806132015041001</t>
  </si>
  <si>
    <t>MUHAMMAD FENDRIK, S.Pd, M.Pd</t>
  </si>
  <si>
    <t>196902012001121001</t>
  </si>
  <si>
    <t>MUHAMMAD SAHAL, S.SI, M.SI</t>
  </si>
  <si>
    <t>198102052009041004</t>
  </si>
  <si>
    <t>MUHAMMAD SYAFI'I, S.Pd, M.P.d</t>
  </si>
  <si>
    <t>197106212010122001</t>
  </si>
  <si>
    <t>NURLITA, S.PD, M.PD</t>
  </si>
  <si>
    <t>197907122008122003</t>
  </si>
  <si>
    <t>Nana Rahayu, B. Com, M. Si</t>
  </si>
  <si>
    <t>198710112012122004</t>
  </si>
  <si>
    <t>Ni Putu Nitawijayanti, S. Pd, M. Pd</t>
  </si>
  <si>
    <t>198011122008122001</t>
  </si>
  <si>
    <t>SRI WAHYU WIDIATI, SS, M. Pd</t>
  </si>
  <si>
    <t>197704042005011004</t>
  </si>
  <si>
    <t>SYAHRIL, S.SI, MT</t>
  </si>
  <si>
    <t>198106112014042001</t>
  </si>
  <si>
    <t>YENI SOLFIAH, S.Pd , M.Pd</t>
  </si>
  <si>
    <t>198506222012121001</t>
  </si>
  <si>
    <t>ZETRA HAINUL PUTRA, S.Si, M.Sc</t>
  </si>
  <si>
    <t>197801012014091005</t>
  </si>
  <si>
    <t>ZUFRIADY, S.Sn, M. Pd</t>
  </si>
  <si>
    <t>197907022008122003</t>
  </si>
  <si>
    <t>ZULI LAILI ISNAINI, S.S, M.A</t>
  </si>
  <si>
    <t>Menyetujui,</t>
  </si>
  <si>
    <t>Pekanbaru, 26 Oktober 2017</t>
  </si>
  <si>
    <t>Wakil Dekan Bidang Akademik</t>
  </si>
  <si>
    <t>Admin Fakultas</t>
  </si>
  <si>
    <t>(..............................................)</t>
  </si>
  <si>
    <t>( Admin FKIP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</si>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</sst>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b6b5c550d460291a9f675718415caf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18"/>
  <sheetViews>
    <sheetView tabSelected="1" workbookViewId="0" showGridLines="true" showRowColHeaders="1">
      <selection activeCell="A211" sqref="A21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1.5</v>
      </c>
      <c r="L11" s="11">
        <v>4.710000000000001</v>
      </c>
      <c r="M11" s="11">
        <v>1.83</v>
      </c>
      <c r="N11" s="11">
        <v>0</v>
      </c>
      <c r="O11" s="11">
        <v>1.64</v>
      </c>
      <c r="P11" s="11">
        <v>0</v>
      </c>
      <c r="Q11" s="11">
        <v>9.680000000000001</v>
      </c>
      <c r="R11" s="11">
        <v>49.99999999999999</v>
      </c>
      <c r="S11" s="11">
        <v>59.67999999999999</v>
      </c>
      <c r="T11" s="11">
        <v>2.67</v>
      </c>
      <c r="U11" s="11">
        <v>3</v>
      </c>
      <c r="V11" s="11">
        <v>54.00999999999999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0.83</v>
      </c>
      <c r="L12" s="11">
        <v>5.109999999999998</v>
      </c>
      <c r="M12" s="11">
        <v>0.67</v>
      </c>
      <c r="N12" s="11">
        <v>0</v>
      </c>
      <c r="O12" s="11">
        <v>0.18</v>
      </c>
      <c r="P12" s="11">
        <v>0</v>
      </c>
      <c r="Q12" s="11">
        <v>6.789999999999996</v>
      </c>
      <c r="R12" s="11">
        <v>32.48</v>
      </c>
      <c r="S12" s="11">
        <v>39.27</v>
      </c>
      <c r="T12" s="11">
        <v>2.67</v>
      </c>
      <c r="U12" s="11">
        <v>3</v>
      </c>
      <c r="V12" s="11">
        <v>33.59999999999999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47</v>
      </c>
      <c r="F13" s="7" t="s">
        <v>42</v>
      </c>
      <c r="G13" s="7"/>
      <c r="H13" s="7" t="s">
        <v>52</v>
      </c>
      <c r="I13" s="11">
        <v>2.67</v>
      </c>
      <c r="J13" s="11">
        <v>3</v>
      </c>
      <c r="K13" s="11">
        <v>0</v>
      </c>
      <c r="L13" s="11">
        <v>4.120000000000002</v>
      </c>
      <c r="M13" s="11">
        <v>1.33</v>
      </c>
      <c r="N13" s="11">
        <v>0</v>
      </c>
      <c r="O13" s="11">
        <v>0.22</v>
      </c>
      <c r="P13" s="11">
        <v>0</v>
      </c>
      <c r="Q13" s="11">
        <v>5.670000000000003</v>
      </c>
      <c r="R13" s="11">
        <v>39.35999999999999</v>
      </c>
      <c r="S13" s="11">
        <v>45.02999999999999</v>
      </c>
      <c r="T13" s="11">
        <v>2.67</v>
      </c>
      <c r="U13" s="11">
        <v>3</v>
      </c>
      <c r="V13" s="11">
        <v>39.35999999999999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46</v>
      </c>
      <c r="E14" s="7" t="s">
        <v>47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1.67</v>
      </c>
      <c r="L14" s="11">
        <v>3.31</v>
      </c>
      <c r="M14" s="11">
        <v>1.68</v>
      </c>
      <c r="N14" s="11">
        <v>0</v>
      </c>
      <c r="O14" s="11">
        <v>3</v>
      </c>
      <c r="P14" s="11">
        <v>0</v>
      </c>
      <c r="Q14" s="11">
        <v>9.659999999999998</v>
      </c>
      <c r="R14" s="11">
        <v>72.45999999999998</v>
      </c>
      <c r="S14" s="11">
        <v>82.11999999999998</v>
      </c>
      <c r="T14" s="11">
        <v>2.67</v>
      </c>
      <c r="U14" s="11">
        <v>3</v>
      </c>
      <c r="V14" s="11">
        <v>76.44999999999997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47</v>
      </c>
      <c r="F15" s="7" t="s">
        <v>42</v>
      </c>
      <c r="G15" s="7"/>
      <c r="H15" s="7" t="s">
        <v>59</v>
      </c>
      <c r="I15" s="11">
        <v>2.67</v>
      </c>
      <c r="J15" s="11">
        <v>3</v>
      </c>
      <c r="K15" s="11">
        <v>1.33</v>
      </c>
      <c r="L15" s="11">
        <v>6.830000000000001</v>
      </c>
      <c r="M15" s="11">
        <v>0.5</v>
      </c>
      <c r="N15" s="11">
        <v>0</v>
      </c>
      <c r="O15" s="11">
        <v>0</v>
      </c>
      <c r="P15" s="11">
        <v>0</v>
      </c>
      <c r="Q15" s="11">
        <v>8.66</v>
      </c>
      <c r="R15" s="11">
        <v>69.89</v>
      </c>
      <c r="S15" s="11">
        <v>78.55</v>
      </c>
      <c r="T15" s="11">
        <v>2.67</v>
      </c>
      <c r="U15" s="11">
        <v>3</v>
      </c>
      <c r="V15" s="11">
        <v>72.88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62</v>
      </c>
      <c r="E16" s="7" t="s">
        <v>41</v>
      </c>
      <c r="F16" s="7" t="s">
        <v>42</v>
      </c>
      <c r="G16" s="7"/>
      <c r="H16" s="7" t="s">
        <v>63</v>
      </c>
      <c r="I16" s="11">
        <v>2.67</v>
      </c>
      <c r="J16" s="11">
        <v>3</v>
      </c>
      <c r="K16" s="11">
        <v>0.95</v>
      </c>
      <c r="L16" s="11">
        <v>2.68</v>
      </c>
      <c r="M16" s="11">
        <v>1.16</v>
      </c>
      <c r="N16" s="11">
        <v>0</v>
      </c>
      <c r="O16" s="11">
        <v>0</v>
      </c>
      <c r="P16" s="11">
        <v>0</v>
      </c>
      <c r="Q16" s="11">
        <v>4.789999999999999</v>
      </c>
      <c r="R16" s="11">
        <v>67.42999999999995</v>
      </c>
      <c r="S16" s="11">
        <v>72.21999999999994</v>
      </c>
      <c r="T16" s="11">
        <v>2.67</v>
      </c>
      <c r="U16" s="11">
        <v>3</v>
      </c>
      <c r="V16" s="11">
        <v>66.54999999999994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40</v>
      </c>
      <c r="E17" s="7" t="s">
        <v>66</v>
      </c>
      <c r="F17" s="7" t="s">
        <v>42</v>
      </c>
      <c r="G17" s="7"/>
      <c r="H17" s="7" t="s">
        <v>67</v>
      </c>
      <c r="I17" s="11">
        <v>2.67</v>
      </c>
      <c r="J17" s="11">
        <v>3</v>
      </c>
      <c r="K17" s="11">
        <v>1.33</v>
      </c>
      <c r="L17" s="11">
        <v>5.48</v>
      </c>
      <c r="M17" s="11">
        <v>1.17</v>
      </c>
      <c r="N17" s="11">
        <v>0</v>
      </c>
      <c r="O17" s="11">
        <v>0.18</v>
      </c>
      <c r="P17" s="11">
        <v>0</v>
      </c>
      <c r="Q17" s="11">
        <v>8.16</v>
      </c>
      <c r="R17" s="11">
        <v>58.49</v>
      </c>
      <c r="S17" s="11">
        <v>66.65000000000001</v>
      </c>
      <c r="T17" s="11">
        <v>2.67</v>
      </c>
      <c r="U17" s="11">
        <v>3</v>
      </c>
      <c r="V17" s="11">
        <v>60.98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68</v>
      </c>
      <c r="C18" s="10" t="s">
        <v>69</v>
      </c>
      <c r="D18" s="7" t="s">
        <v>46</v>
      </c>
      <c r="E18" s="7" t="s">
        <v>66</v>
      </c>
      <c r="F18" s="7" t="s">
        <v>42</v>
      </c>
      <c r="G18" s="7"/>
      <c r="H18" s="7"/>
      <c r="I18" s="11">
        <v>2.67</v>
      </c>
      <c r="J18" s="11">
        <v>3</v>
      </c>
      <c r="K18" s="11">
        <v>0</v>
      </c>
      <c r="L18" s="11">
        <v>7.759999999999997</v>
      </c>
      <c r="M18" s="11">
        <v>0.67</v>
      </c>
      <c r="N18" s="11">
        <v>0</v>
      </c>
      <c r="O18" s="11">
        <v>0.96</v>
      </c>
      <c r="P18" s="11">
        <v>0.8</v>
      </c>
      <c r="Q18" s="11">
        <v>10.19</v>
      </c>
      <c r="R18" s="11">
        <v>66.80999999999997</v>
      </c>
      <c r="S18" s="11">
        <v>76.99999999999997</v>
      </c>
      <c r="T18" s="11">
        <v>2.67</v>
      </c>
      <c r="U18" s="11">
        <v>3</v>
      </c>
      <c r="V18" s="11">
        <v>71.32999999999997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40</v>
      </c>
      <c r="E19" s="7" t="s">
        <v>66</v>
      </c>
      <c r="F19" s="7" t="s">
        <v>42</v>
      </c>
      <c r="G19" s="7"/>
      <c r="H19" s="7" t="s">
        <v>52</v>
      </c>
      <c r="I19" s="11">
        <v>2.67</v>
      </c>
      <c r="J19" s="11">
        <v>3</v>
      </c>
      <c r="K19" s="11">
        <v>0</v>
      </c>
      <c r="L19" s="11">
        <v>7.669999999999999</v>
      </c>
      <c r="M19" s="11">
        <v>0.32</v>
      </c>
      <c r="N19" s="11">
        <v>0</v>
      </c>
      <c r="O19" s="11">
        <v>0</v>
      </c>
      <c r="P19" s="11">
        <v>0</v>
      </c>
      <c r="Q19" s="11">
        <v>7.989999999999998</v>
      </c>
      <c r="R19" s="11">
        <v>49.73999999999998</v>
      </c>
      <c r="S19" s="11">
        <v>57.72999999999998</v>
      </c>
      <c r="T19" s="11">
        <v>2.67</v>
      </c>
      <c r="U19" s="11">
        <v>3</v>
      </c>
      <c r="V19" s="11">
        <v>52.05999999999997</v>
      </c>
      <c r="W19" s="13">
        <v>24.03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74</v>
      </c>
      <c r="E20" s="7" t="s">
        <v>66</v>
      </c>
      <c r="F20" s="7" t="s">
        <v>42</v>
      </c>
      <c r="G20" s="7"/>
      <c r="H20" s="7" t="s">
        <v>52</v>
      </c>
      <c r="I20" s="11">
        <v>2.67</v>
      </c>
      <c r="J20" s="11">
        <v>3</v>
      </c>
      <c r="K20" s="11">
        <v>0</v>
      </c>
      <c r="L20" s="11">
        <v>7.93</v>
      </c>
      <c r="M20" s="11">
        <v>0.8400000000000001</v>
      </c>
      <c r="N20" s="11">
        <v>0</v>
      </c>
      <c r="O20" s="11">
        <v>0.7800000000000004</v>
      </c>
      <c r="P20" s="11">
        <v>0</v>
      </c>
      <c r="Q20" s="11">
        <v>9.550000000000004</v>
      </c>
      <c r="R20" s="11">
        <v>60.17999999999998</v>
      </c>
      <c r="S20" s="11">
        <v>69.72999999999999</v>
      </c>
      <c r="T20" s="11">
        <v>2.67</v>
      </c>
      <c r="U20" s="11">
        <v>3</v>
      </c>
      <c r="V20" s="11">
        <v>64.05999999999999</v>
      </c>
      <c r="W20" s="13">
        <v>24.03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74</v>
      </c>
      <c r="E21" s="7" t="s">
        <v>77</v>
      </c>
      <c r="F21" s="7" t="s">
        <v>78</v>
      </c>
      <c r="G21" s="7"/>
      <c r="H21" s="7" t="s">
        <v>52</v>
      </c>
      <c r="I21" s="11">
        <v>2</v>
      </c>
      <c r="J21" s="11">
        <v>3</v>
      </c>
      <c r="K21" s="11">
        <v>0</v>
      </c>
      <c r="L21" s="11">
        <v>7.249999999999998</v>
      </c>
      <c r="M21" s="11">
        <v>0.49</v>
      </c>
      <c r="N21" s="11">
        <v>0</v>
      </c>
      <c r="O21" s="11">
        <v>0.9399999999999999</v>
      </c>
      <c r="P21" s="11">
        <v>0</v>
      </c>
      <c r="Q21" s="11">
        <v>8.679999999999998</v>
      </c>
      <c r="R21" s="11">
        <v>26.71</v>
      </c>
      <c r="S21" s="11">
        <v>35.39</v>
      </c>
      <c r="T21" s="11">
        <v>2</v>
      </c>
      <c r="U21" s="11">
        <v>3</v>
      </c>
      <c r="V21" s="11">
        <v>30.39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81</v>
      </c>
      <c r="E22" s="7" t="s">
        <v>82</v>
      </c>
      <c r="F22" s="7" t="s">
        <v>78</v>
      </c>
      <c r="G22" s="7"/>
      <c r="H22" s="7" t="s">
        <v>52</v>
      </c>
      <c r="I22" s="11">
        <v>2</v>
      </c>
      <c r="J22" s="11">
        <v>3</v>
      </c>
      <c r="K22" s="11">
        <v>0</v>
      </c>
      <c r="L22" s="11">
        <v>4.640000000000001</v>
      </c>
      <c r="M22" s="11">
        <v>0.99</v>
      </c>
      <c r="N22" s="11">
        <v>0</v>
      </c>
      <c r="O22" s="11">
        <v>0.42</v>
      </c>
      <c r="P22" s="11">
        <v>0</v>
      </c>
      <c r="Q22" s="11">
        <v>6.05</v>
      </c>
      <c r="R22" s="11">
        <v>40.28999999999999</v>
      </c>
      <c r="S22" s="11">
        <v>46.33999999999999</v>
      </c>
      <c r="T22" s="11">
        <v>2</v>
      </c>
      <c r="U22" s="11">
        <v>3</v>
      </c>
      <c r="V22" s="11">
        <v>41.33999999999999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85</v>
      </c>
      <c r="E23" s="7" t="s">
        <v>77</v>
      </c>
      <c r="F23" s="7" t="s">
        <v>78</v>
      </c>
      <c r="G23" s="7"/>
      <c r="H23" s="7" t="s">
        <v>52</v>
      </c>
      <c r="I23" s="11">
        <v>2</v>
      </c>
      <c r="J23" s="11">
        <v>3</v>
      </c>
      <c r="K23" s="11">
        <v>0</v>
      </c>
      <c r="L23" s="11">
        <v>6.400000000000001</v>
      </c>
      <c r="M23" s="11">
        <v>0.66</v>
      </c>
      <c r="N23" s="11">
        <v>0</v>
      </c>
      <c r="O23" s="11">
        <v>0.18</v>
      </c>
      <c r="P23" s="11">
        <v>0</v>
      </c>
      <c r="Q23" s="11">
        <v>7.240000000000001</v>
      </c>
      <c r="R23" s="11">
        <v>49.65999999999999</v>
      </c>
      <c r="S23" s="11">
        <v>56.89999999999999</v>
      </c>
      <c r="T23" s="11">
        <v>2</v>
      </c>
      <c r="U23" s="11">
        <v>3</v>
      </c>
      <c r="V23" s="11">
        <v>51.89999999999999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86</v>
      </c>
      <c r="C24" s="10" t="s">
        <v>87</v>
      </c>
      <c r="D24" s="7" t="s">
        <v>46</v>
      </c>
      <c r="E24" s="7" t="s">
        <v>77</v>
      </c>
      <c r="F24" s="7" t="s">
        <v>78</v>
      </c>
      <c r="G24" s="7"/>
      <c r="H24" s="7" t="s">
        <v>52</v>
      </c>
      <c r="I24" s="11">
        <v>2</v>
      </c>
      <c r="J24" s="11">
        <v>3</v>
      </c>
      <c r="K24" s="11">
        <v>0</v>
      </c>
      <c r="L24" s="11">
        <v>8.539999999999999</v>
      </c>
      <c r="M24" s="11">
        <v>0.92</v>
      </c>
      <c r="N24" s="11">
        <v>0</v>
      </c>
      <c r="O24" s="11">
        <v>0.76</v>
      </c>
      <c r="P24" s="11">
        <v>0</v>
      </c>
      <c r="Q24" s="11">
        <v>10.22</v>
      </c>
      <c r="R24" s="11">
        <v>51.92999999999998</v>
      </c>
      <c r="S24" s="11">
        <v>62.14999999999998</v>
      </c>
      <c r="T24" s="11">
        <v>2</v>
      </c>
      <c r="U24" s="11">
        <v>3</v>
      </c>
      <c r="V24" s="11">
        <v>57.14999999999998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90</v>
      </c>
      <c r="E25" s="7" t="s">
        <v>77</v>
      </c>
      <c r="F25" s="7" t="s">
        <v>78</v>
      </c>
      <c r="G25" s="7"/>
      <c r="H25" s="7" t="s">
        <v>52</v>
      </c>
      <c r="I25" s="11">
        <v>2</v>
      </c>
      <c r="J25" s="11">
        <v>3</v>
      </c>
      <c r="K25" s="11">
        <v>0</v>
      </c>
      <c r="L25" s="11">
        <v>4.84</v>
      </c>
      <c r="M25" s="11">
        <v>1.33</v>
      </c>
      <c r="N25" s="11">
        <v>0</v>
      </c>
      <c r="O25" s="11">
        <v>0</v>
      </c>
      <c r="P25" s="11">
        <v>0</v>
      </c>
      <c r="Q25" s="11">
        <v>6.169999999999999</v>
      </c>
      <c r="R25" s="11">
        <v>52.26999999999999</v>
      </c>
      <c r="S25" s="11">
        <v>58.43999999999999</v>
      </c>
      <c r="T25" s="11">
        <v>2</v>
      </c>
      <c r="U25" s="11">
        <v>3</v>
      </c>
      <c r="V25" s="11">
        <v>53.43999999999999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91</v>
      </c>
      <c r="C26" s="10" t="s">
        <v>92</v>
      </c>
      <c r="D26" s="7" t="s">
        <v>93</v>
      </c>
      <c r="E26" s="7" t="s">
        <v>82</v>
      </c>
      <c r="F26" s="7" t="s">
        <v>78</v>
      </c>
      <c r="G26" s="7"/>
      <c r="H26" s="7" t="s">
        <v>52</v>
      </c>
      <c r="I26" s="11">
        <v>2</v>
      </c>
      <c r="J26" s="11">
        <v>3</v>
      </c>
      <c r="K26" s="11">
        <v>0</v>
      </c>
      <c r="L26" s="11">
        <v>6.589999999999999</v>
      </c>
      <c r="M26" s="11">
        <v>0</v>
      </c>
      <c r="N26" s="11">
        <v>0</v>
      </c>
      <c r="O26" s="11">
        <v>0</v>
      </c>
      <c r="P26" s="11">
        <v>0</v>
      </c>
      <c r="Q26" s="11">
        <v>6.589999999999999</v>
      </c>
      <c r="R26" s="11">
        <v>43.99999999999999</v>
      </c>
      <c r="S26" s="11">
        <v>50.58999999999999</v>
      </c>
      <c r="T26" s="11">
        <v>2</v>
      </c>
      <c r="U26" s="11">
        <v>3</v>
      </c>
      <c r="V26" s="11">
        <v>45.58999999999999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94</v>
      </c>
      <c r="C27" s="10" t="s">
        <v>95</v>
      </c>
      <c r="D27" s="7" t="s">
        <v>93</v>
      </c>
      <c r="E27" s="7" t="s">
        <v>66</v>
      </c>
      <c r="F27" s="7" t="s">
        <v>78</v>
      </c>
      <c r="G27" s="7"/>
      <c r="H27" s="7" t="s">
        <v>52</v>
      </c>
      <c r="I27" s="11">
        <v>2</v>
      </c>
      <c r="J27" s="11">
        <v>3</v>
      </c>
      <c r="K27" s="11">
        <v>0</v>
      </c>
      <c r="L27" s="11">
        <v>6.379999999999996</v>
      </c>
      <c r="M27" s="11">
        <v>0.49</v>
      </c>
      <c r="N27" s="11">
        <v>0</v>
      </c>
      <c r="O27" s="11">
        <v>1.24</v>
      </c>
      <c r="P27" s="11">
        <v>0</v>
      </c>
      <c r="Q27" s="11">
        <v>8.109999999999996</v>
      </c>
      <c r="R27" s="11">
        <v>52.68999999999998</v>
      </c>
      <c r="S27" s="11">
        <v>60.79999999999998</v>
      </c>
      <c r="T27" s="11">
        <v>2</v>
      </c>
      <c r="U27" s="11">
        <v>3</v>
      </c>
      <c r="V27" s="11">
        <v>55.79999999999998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96</v>
      </c>
      <c r="C28" s="10" t="s">
        <v>97</v>
      </c>
      <c r="D28" s="7" t="s">
        <v>46</v>
      </c>
      <c r="E28" s="7" t="s">
        <v>66</v>
      </c>
      <c r="F28" s="7" t="s">
        <v>78</v>
      </c>
      <c r="G28" s="7"/>
      <c r="H28" s="7" t="s">
        <v>52</v>
      </c>
      <c r="I28" s="11">
        <v>2</v>
      </c>
      <c r="J28" s="11">
        <v>3</v>
      </c>
      <c r="K28" s="11">
        <v>0</v>
      </c>
      <c r="L28" s="11">
        <v>8.770000000000001</v>
      </c>
      <c r="M28" s="11">
        <v>0.8300000000000001</v>
      </c>
      <c r="N28" s="11">
        <v>0</v>
      </c>
      <c r="O28" s="11">
        <v>0.7899999999999999</v>
      </c>
      <c r="P28" s="11">
        <v>0</v>
      </c>
      <c r="Q28" s="11">
        <v>10.39</v>
      </c>
      <c r="R28" s="11">
        <v>38.24</v>
      </c>
      <c r="S28" s="11">
        <v>48.63</v>
      </c>
      <c r="T28" s="11">
        <v>2</v>
      </c>
      <c r="U28" s="11">
        <v>3</v>
      </c>
      <c r="V28" s="11">
        <v>43.63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98</v>
      </c>
      <c r="C29" s="10" t="s">
        <v>99</v>
      </c>
      <c r="D29" s="7" t="s">
        <v>51</v>
      </c>
      <c r="E29" s="7" t="s">
        <v>77</v>
      </c>
      <c r="F29" s="7" t="s">
        <v>78</v>
      </c>
      <c r="G29" s="7"/>
      <c r="H29" s="7" t="s">
        <v>100</v>
      </c>
      <c r="I29" s="11">
        <v>2</v>
      </c>
      <c r="J29" s="11">
        <v>3</v>
      </c>
      <c r="K29" s="11">
        <v>0.95</v>
      </c>
      <c r="L29" s="11">
        <v>3.86</v>
      </c>
      <c r="M29" s="11">
        <v>0.5</v>
      </c>
      <c r="N29" s="11">
        <v>0</v>
      </c>
      <c r="O29" s="11">
        <v>2.16</v>
      </c>
      <c r="P29" s="11">
        <v>0</v>
      </c>
      <c r="Q29" s="11">
        <v>7.470000000000001</v>
      </c>
      <c r="R29" s="11">
        <v>47.94</v>
      </c>
      <c r="S29" s="11">
        <v>55.41</v>
      </c>
      <c r="T29" s="11">
        <v>2</v>
      </c>
      <c r="U29" s="11">
        <v>3</v>
      </c>
      <c r="V29" s="11">
        <v>50.41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101</v>
      </c>
      <c r="C30" s="10" t="s">
        <v>102</v>
      </c>
      <c r="D30" s="7" t="s">
        <v>93</v>
      </c>
      <c r="E30" s="7" t="s">
        <v>82</v>
      </c>
      <c r="F30" s="7" t="s">
        <v>78</v>
      </c>
      <c r="G30" s="7"/>
      <c r="H30" s="7" t="s">
        <v>103</v>
      </c>
      <c r="I30" s="11">
        <v>2</v>
      </c>
      <c r="J30" s="11">
        <v>3</v>
      </c>
      <c r="K30" s="11">
        <v>0.83</v>
      </c>
      <c r="L30" s="11">
        <v>5.409999999999999</v>
      </c>
      <c r="M30" s="11">
        <v>1.5</v>
      </c>
      <c r="N30" s="11">
        <v>0</v>
      </c>
      <c r="O30" s="11">
        <v>0</v>
      </c>
      <c r="P30" s="11">
        <v>0</v>
      </c>
      <c r="Q30" s="11">
        <v>7.74</v>
      </c>
      <c r="R30" s="11">
        <v>49.02</v>
      </c>
      <c r="S30" s="11">
        <v>56.76</v>
      </c>
      <c r="T30" s="11">
        <v>2</v>
      </c>
      <c r="U30" s="11">
        <v>3</v>
      </c>
      <c r="V30" s="11">
        <v>51.76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104</v>
      </c>
      <c r="C31" s="10" t="s">
        <v>105</v>
      </c>
      <c r="D31" s="7" t="s">
        <v>40</v>
      </c>
      <c r="E31" s="7" t="s">
        <v>82</v>
      </c>
      <c r="F31" s="7" t="s">
        <v>78</v>
      </c>
      <c r="G31" s="7"/>
      <c r="H31" s="7" t="s">
        <v>52</v>
      </c>
      <c r="I31" s="11">
        <v>2</v>
      </c>
      <c r="J31" s="11">
        <v>3</v>
      </c>
      <c r="K31" s="11">
        <v>0</v>
      </c>
      <c r="L31" s="11">
        <v>12.30999999999999</v>
      </c>
      <c r="M31" s="11">
        <v>1.25</v>
      </c>
      <c r="N31" s="11">
        <v>0</v>
      </c>
      <c r="O31" s="11">
        <v>0</v>
      </c>
      <c r="P31" s="11">
        <v>0</v>
      </c>
      <c r="Q31" s="11">
        <v>13.56</v>
      </c>
      <c r="R31" s="11">
        <v>76.40999999999997</v>
      </c>
      <c r="S31" s="11">
        <v>89.96999999999997</v>
      </c>
      <c r="T31" s="11">
        <v>2</v>
      </c>
      <c r="U31" s="11">
        <v>3</v>
      </c>
      <c r="V31" s="11">
        <v>84.96999999999997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106</v>
      </c>
      <c r="C32" s="10" t="s">
        <v>107</v>
      </c>
      <c r="D32" s="7" t="s">
        <v>40</v>
      </c>
      <c r="E32" s="7" t="s">
        <v>82</v>
      </c>
      <c r="F32" s="7" t="s">
        <v>78</v>
      </c>
      <c r="G32" s="7"/>
      <c r="H32" s="7" t="s">
        <v>52</v>
      </c>
      <c r="I32" s="11">
        <v>2</v>
      </c>
      <c r="J32" s="11">
        <v>3</v>
      </c>
      <c r="K32" s="11">
        <v>0</v>
      </c>
      <c r="L32" s="11">
        <v>6.569999999999999</v>
      </c>
      <c r="M32" s="11">
        <v>1.65</v>
      </c>
      <c r="N32" s="11">
        <v>0</v>
      </c>
      <c r="O32" s="11">
        <v>0.3200000000000001</v>
      </c>
      <c r="P32" s="11">
        <v>0</v>
      </c>
      <c r="Q32" s="11">
        <v>8.539999999999997</v>
      </c>
      <c r="R32" s="11">
        <v>47.89999999999998</v>
      </c>
      <c r="S32" s="11">
        <v>56.43999999999998</v>
      </c>
      <c r="T32" s="11">
        <v>2</v>
      </c>
      <c r="U32" s="11">
        <v>3</v>
      </c>
      <c r="V32" s="11">
        <v>51.43999999999998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108</v>
      </c>
      <c r="C33" s="10" t="s">
        <v>109</v>
      </c>
      <c r="D33" s="7" t="s">
        <v>93</v>
      </c>
      <c r="E33" s="7" t="s">
        <v>77</v>
      </c>
      <c r="F33" s="7" t="s">
        <v>78</v>
      </c>
      <c r="G33" s="7"/>
      <c r="H33" s="7" t="s">
        <v>110</v>
      </c>
      <c r="I33" s="11">
        <v>2</v>
      </c>
      <c r="J33" s="11">
        <v>3</v>
      </c>
      <c r="K33" s="11">
        <v>0.95</v>
      </c>
      <c r="L33" s="11">
        <v>5.67</v>
      </c>
      <c r="M33" s="11">
        <v>0.66</v>
      </c>
      <c r="N33" s="11">
        <v>0</v>
      </c>
      <c r="O33" s="11">
        <v>0</v>
      </c>
      <c r="P33" s="11">
        <v>0</v>
      </c>
      <c r="Q33" s="11">
        <v>7.279999999999999</v>
      </c>
      <c r="R33" s="11">
        <v>61.58999999999998</v>
      </c>
      <c r="S33" s="11">
        <v>68.86999999999998</v>
      </c>
      <c r="T33" s="11">
        <v>2</v>
      </c>
      <c r="U33" s="11">
        <v>3</v>
      </c>
      <c r="V33" s="11">
        <v>63.86999999999998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111</v>
      </c>
      <c r="C34" s="10" t="s">
        <v>112</v>
      </c>
      <c r="D34" s="7" t="s">
        <v>113</v>
      </c>
      <c r="E34" s="7" t="s">
        <v>77</v>
      </c>
      <c r="F34" s="7" t="s">
        <v>78</v>
      </c>
      <c r="G34" s="7"/>
      <c r="H34" s="7" t="s">
        <v>52</v>
      </c>
      <c r="I34" s="11">
        <v>2</v>
      </c>
      <c r="J34" s="11">
        <v>3</v>
      </c>
      <c r="K34" s="11">
        <v>0</v>
      </c>
      <c r="L34" s="11">
        <v>9.829999999999998</v>
      </c>
      <c r="M34" s="11">
        <v>0</v>
      </c>
      <c r="N34" s="11">
        <v>0</v>
      </c>
      <c r="O34" s="11">
        <v>0</v>
      </c>
      <c r="P34" s="11">
        <v>0</v>
      </c>
      <c r="Q34" s="11">
        <v>9.829999999999998</v>
      </c>
      <c r="R34" s="11">
        <v>56.17999999999996</v>
      </c>
      <c r="S34" s="11">
        <v>66.00999999999996</v>
      </c>
      <c r="T34" s="11">
        <v>2</v>
      </c>
      <c r="U34" s="11">
        <v>3</v>
      </c>
      <c r="V34" s="11">
        <v>61.00999999999996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114</v>
      </c>
      <c r="C35" s="10" t="s">
        <v>115</v>
      </c>
      <c r="D35" s="7" t="s">
        <v>40</v>
      </c>
      <c r="E35" s="7" t="s">
        <v>116</v>
      </c>
      <c r="F35" s="7" t="s">
        <v>117</v>
      </c>
      <c r="G35" s="7"/>
      <c r="H35" s="7" t="s">
        <v>52</v>
      </c>
      <c r="I35" s="11">
        <v>2</v>
      </c>
      <c r="J35" s="11">
        <v>3</v>
      </c>
      <c r="K35" s="11">
        <v>0</v>
      </c>
      <c r="L35" s="11">
        <v>6.890000000000001</v>
      </c>
      <c r="M35" s="11">
        <v>1.33</v>
      </c>
      <c r="N35" s="11">
        <v>0</v>
      </c>
      <c r="O35" s="11">
        <v>1.12</v>
      </c>
      <c r="P35" s="11">
        <v>0</v>
      </c>
      <c r="Q35" s="11">
        <v>9.34</v>
      </c>
      <c r="R35" s="11">
        <v>42.66</v>
      </c>
      <c r="S35" s="11">
        <v>52</v>
      </c>
      <c r="T35" s="11">
        <v>2</v>
      </c>
      <c r="U35" s="11">
        <v>3</v>
      </c>
      <c r="V35" s="11">
        <v>47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118</v>
      </c>
      <c r="C36" s="10" t="s">
        <v>119</v>
      </c>
      <c r="D36" s="7" t="s">
        <v>93</v>
      </c>
      <c r="E36" s="7" t="s">
        <v>77</v>
      </c>
      <c r="F36" s="7" t="s">
        <v>78</v>
      </c>
      <c r="G36" s="7"/>
      <c r="H36" s="7" t="s">
        <v>52</v>
      </c>
      <c r="I36" s="11">
        <v>2</v>
      </c>
      <c r="J36" s="11">
        <v>3</v>
      </c>
      <c r="K36" s="11">
        <v>0</v>
      </c>
      <c r="L36" s="11">
        <v>4.4</v>
      </c>
      <c r="M36" s="11">
        <v>0.66</v>
      </c>
      <c r="N36" s="11">
        <v>0</v>
      </c>
      <c r="O36" s="11">
        <v>1.42</v>
      </c>
      <c r="P36" s="11">
        <v>0</v>
      </c>
      <c r="Q36" s="11">
        <v>6.48</v>
      </c>
      <c r="R36" s="11">
        <v>45.87999999999999</v>
      </c>
      <c r="S36" s="11">
        <v>52.35999999999999</v>
      </c>
      <c r="T36" s="11">
        <v>2</v>
      </c>
      <c r="U36" s="11">
        <v>3</v>
      </c>
      <c r="V36" s="11">
        <v>47.35999999999999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120</v>
      </c>
      <c r="C37" s="10" t="s">
        <v>121</v>
      </c>
      <c r="D37" s="7" t="s">
        <v>93</v>
      </c>
      <c r="E37" s="7" t="s">
        <v>82</v>
      </c>
      <c r="F37" s="7" t="s">
        <v>78</v>
      </c>
      <c r="G37" s="7"/>
      <c r="H37" s="7" t="s">
        <v>122</v>
      </c>
      <c r="I37" s="11">
        <v>2</v>
      </c>
      <c r="J37" s="11">
        <v>3</v>
      </c>
      <c r="K37" s="11">
        <v>1.33</v>
      </c>
      <c r="L37" s="11">
        <v>4.080000000000001</v>
      </c>
      <c r="M37" s="11">
        <v>1</v>
      </c>
      <c r="N37" s="11">
        <v>0</v>
      </c>
      <c r="O37" s="11">
        <v>3</v>
      </c>
      <c r="P37" s="11">
        <v>0</v>
      </c>
      <c r="Q37" s="11">
        <v>9.409999999999998</v>
      </c>
      <c r="R37" s="11">
        <v>66.36</v>
      </c>
      <c r="S37" s="11">
        <v>75.77</v>
      </c>
      <c r="T37" s="11">
        <v>2</v>
      </c>
      <c r="U37" s="11">
        <v>3</v>
      </c>
      <c r="V37" s="11">
        <v>70.77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123</v>
      </c>
      <c r="C38" s="10" t="s">
        <v>124</v>
      </c>
      <c r="D38" s="7" t="s">
        <v>81</v>
      </c>
      <c r="E38" s="7" t="s">
        <v>77</v>
      </c>
      <c r="F38" s="7" t="s">
        <v>78</v>
      </c>
      <c r="G38" s="7"/>
      <c r="H38" s="7" t="s">
        <v>52</v>
      </c>
      <c r="I38" s="11">
        <v>2</v>
      </c>
      <c r="J38" s="11">
        <v>3</v>
      </c>
      <c r="K38" s="11">
        <v>0</v>
      </c>
      <c r="L38" s="11">
        <v>5.770000000000001</v>
      </c>
      <c r="M38" s="11">
        <v>0.42</v>
      </c>
      <c r="N38" s="11">
        <v>0</v>
      </c>
      <c r="O38" s="11">
        <v>0.26</v>
      </c>
      <c r="P38" s="11">
        <v>0</v>
      </c>
      <c r="Q38" s="11">
        <v>6.45</v>
      </c>
      <c r="R38" s="11">
        <v>35.17</v>
      </c>
      <c r="S38" s="11">
        <v>41.62</v>
      </c>
      <c r="T38" s="11">
        <v>2</v>
      </c>
      <c r="U38" s="11">
        <v>3</v>
      </c>
      <c r="V38" s="11">
        <v>36.62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125</v>
      </c>
      <c r="C39" s="10" t="s">
        <v>126</v>
      </c>
      <c r="D39" s="7" t="s">
        <v>81</v>
      </c>
      <c r="E39" s="7" t="s">
        <v>66</v>
      </c>
      <c r="F39" s="7" t="s">
        <v>78</v>
      </c>
      <c r="G39" s="7"/>
      <c r="H39" s="7" t="s">
        <v>52</v>
      </c>
      <c r="I39" s="11">
        <v>2</v>
      </c>
      <c r="J39" s="11">
        <v>3</v>
      </c>
      <c r="K39" s="11">
        <v>0</v>
      </c>
      <c r="L39" s="11">
        <v>4.81</v>
      </c>
      <c r="M39" s="11">
        <v>0.5</v>
      </c>
      <c r="N39" s="11">
        <v>0</v>
      </c>
      <c r="O39" s="11">
        <v>0.22</v>
      </c>
      <c r="P39" s="11">
        <v>0</v>
      </c>
      <c r="Q39" s="11">
        <v>5.53</v>
      </c>
      <c r="R39" s="11">
        <v>35.08</v>
      </c>
      <c r="S39" s="11">
        <v>40.61</v>
      </c>
      <c r="T39" s="11">
        <v>2</v>
      </c>
      <c r="U39" s="11">
        <v>3</v>
      </c>
      <c r="V39" s="11">
        <v>35.61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127</v>
      </c>
      <c r="C40" s="10" t="s">
        <v>128</v>
      </c>
      <c r="D40" s="7" t="s">
        <v>40</v>
      </c>
      <c r="E40" s="7" t="s">
        <v>77</v>
      </c>
      <c r="F40" s="7" t="s">
        <v>78</v>
      </c>
      <c r="G40" s="7"/>
      <c r="H40" s="7" t="s">
        <v>52</v>
      </c>
      <c r="I40" s="11">
        <v>2</v>
      </c>
      <c r="J40" s="11">
        <v>3</v>
      </c>
      <c r="K40" s="11">
        <v>0</v>
      </c>
      <c r="L40" s="11">
        <v>6.710000000000001</v>
      </c>
      <c r="M40" s="11">
        <v>1.49</v>
      </c>
      <c r="N40" s="11">
        <v>0</v>
      </c>
      <c r="O40" s="11">
        <v>0</v>
      </c>
      <c r="P40" s="11">
        <v>0</v>
      </c>
      <c r="Q40" s="11">
        <v>8.199999999999999</v>
      </c>
      <c r="R40" s="11">
        <v>62.49000000000001</v>
      </c>
      <c r="S40" s="11">
        <v>70.69000000000001</v>
      </c>
      <c r="T40" s="11">
        <v>2</v>
      </c>
      <c r="U40" s="11">
        <v>3</v>
      </c>
      <c r="V40" s="11">
        <v>65.69000000000001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129</v>
      </c>
      <c r="C41" s="10" t="s">
        <v>130</v>
      </c>
      <c r="D41" s="7" t="s">
        <v>40</v>
      </c>
      <c r="E41" s="7" t="s">
        <v>77</v>
      </c>
      <c r="F41" s="7" t="s">
        <v>78</v>
      </c>
      <c r="G41" s="7"/>
      <c r="H41" s="7" t="s">
        <v>52</v>
      </c>
      <c r="I41" s="11">
        <v>2</v>
      </c>
      <c r="J41" s="11">
        <v>3</v>
      </c>
      <c r="K41" s="11">
        <v>0</v>
      </c>
      <c r="L41" s="11">
        <v>3.160000000000001</v>
      </c>
      <c r="M41" s="11">
        <v>0.33</v>
      </c>
      <c r="N41" s="11">
        <v>0</v>
      </c>
      <c r="O41" s="11">
        <v>0.1</v>
      </c>
      <c r="P41" s="11">
        <v>0</v>
      </c>
      <c r="Q41" s="11">
        <v>3.590000000000001</v>
      </c>
      <c r="R41" s="11">
        <v>13.79</v>
      </c>
      <c r="S41" s="11">
        <v>17.38000000000001</v>
      </c>
      <c r="T41" s="11">
        <v>2</v>
      </c>
      <c r="U41" s="11">
        <v>3</v>
      </c>
      <c r="V41" s="11">
        <v>12.38000000000001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131</v>
      </c>
      <c r="C42" s="10" t="s">
        <v>132</v>
      </c>
      <c r="D42" s="7" t="s">
        <v>81</v>
      </c>
      <c r="E42" s="7" t="s">
        <v>66</v>
      </c>
      <c r="F42" s="7" t="s">
        <v>78</v>
      </c>
      <c r="G42" s="7"/>
      <c r="H42" s="7" t="s">
        <v>52</v>
      </c>
      <c r="I42" s="11">
        <v>2</v>
      </c>
      <c r="J42" s="11">
        <v>3</v>
      </c>
      <c r="K42" s="11">
        <v>0</v>
      </c>
      <c r="L42" s="11">
        <v>4.550000000000002</v>
      </c>
      <c r="M42" s="11">
        <v>1</v>
      </c>
      <c r="N42" s="11">
        <v>0</v>
      </c>
      <c r="O42" s="11">
        <v>0</v>
      </c>
      <c r="P42" s="11">
        <v>0</v>
      </c>
      <c r="Q42" s="11">
        <v>5.55</v>
      </c>
      <c r="R42" s="11">
        <v>37.70000000000001</v>
      </c>
      <c r="S42" s="11">
        <v>43.25000000000001</v>
      </c>
      <c r="T42" s="11">
        <v>2</v>
      </c>
      <c r="U42" s="11">
        <v>3</v>
      </c>
      <c r="V42" s="11">
        <v>38.25000000000001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133</v>
      </c>
      <c r="C43" s="10" t="s">
        <v>134</v>
      </c>
      <c r="D43" s="7" t="s">
        <v>90</v>
      </c>
      <c r="E43" s="7" t="s">
        <v>77</v>
      </c>
      <c r="F43" s="7" t="s">
        <v>78</v>
      </c>
      <c r="G43" s="7"/>
      <c r="H43" s="7" t="s">
        <v>52</v>
      </c>
      <c r="I43" s="11">
        <v>2</v>
      </c>
      <c r="J43" s="11">
        <v>3</v>
      </c>
      <c r="K43" s="11">
        <v>0</v>
      </c>
      <c r="L43" s="11">
        <v>4.580000000000002</v>
      </c>
      <c r="M43" s="11">
        <v>0.17</v>
      </c>
      <c r="N43" s="11">
        <v>0</v>
      </c>
      <c r="O43" s="11">
        <v>0</v>
      </c>
      <c r="P43" s="11">
        <v>0</v>
      </c>
      <c r="Q43" s="11">
        <v>4.750000000000002</v>
      </c>
      <c r="R43" s="11">
        <v>35.16</v>
      </c>
      <c r="S43" s="11">
        <v>39.91</v>
      </c>
      <c r="T43" s="11">
        <v>2</v>
      </c>
      <c r="U43" s="11">
        <v>3</v>
      </c>
      <c r="V43" s="11">
        <v>34.91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135</v>
      </c>
      <c r="C44" s="10" t="s">
        <v>136</v>
      </c>
      <c r="D44" s="7" t="s">
        <v>40</v>
      </c>
      <c r="E44" s="7" t="s">
        <v>82</v>
      </c>
      <c r="F44" s="7" t="s">
        <v>78</v>
      </c>
      <c r="G44" s="7"/>
      <c r="H44" s="7" t="s">
        <v>110</v>
      </c>
      <c r="I44" s="11">
        <v>2</v>
      </c>
      <c r="J44" s="11">
        <v>3</v>
      </c>
      <c r="K44" s="11">
        <v>0.95</v>
      </c>
      <c r="L44" s="11">
        <v>4.119999999999999</v>
      </c>
      <c r="M44" s="11">
        <v>1.34</v>
      </c>
      <c r="N44" s="11">
        <v>0</v>
      </c>
      <c r="O44" s="11">
        <v>0.9</v>
      </c>
      <c r="P44" s="11">
        <v>0</v>
      </c>
      <c r="Q44" s="11">
        <v>7.31</v>
      </c>
      <c r="R44" s="11">
        <v>62.21999999999998</v>
      </c>
      <c r="S44" s="11">
        <v>69.52999999999999</v>
      </c>
      <c r="T44" s="11">
        <v>2</v>
      </c>
      <c r="U44" s="11">
        <v>3</v>
      </c>
      <c r="V44" s="11">
        <v>64.52999999999999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137</v>
      </c>
      <c r="C45" s="10" t="s">
        <v>138</v>
      </c>
      <c r="D45" s="7" t="s">
        <v>51</v>
      </c>
      <c r="E45" s="7" t="s">
        <v>82</v>
      </c>
      <c r="F45" s="7" t="s">
        <v>78</v>
      </c>
      <c r="G45" s="7"/>
      <c r="H45" s="7" t="s">
        <v>52</v>
      </c>
      <c r="I45" s="11">
        <v>2</v>
      </c>
      <c r="J45" s="11">
        <v>3</v>
      </c>
      <c r="K45" s="11">
        <v>0</v>
      </c>
      <c r="L45" s="11">
        <v>4.490000000000001</v>
      </c>
      <c r="M45" s="11">
        <v>1</v>
      </c>
      <c r="N45" s="11">
        <v>0</v>
      </c>
      <c r="O45" s="11">
        <v>0.18</v>
      </c>
      <c r="P45" s="11">
        <v>0</v>
      </c>
      <c r="Q45" s="11">
        <v>5.669999999999999</v>
      </c>
      <c r="R45" s="11">
        <v>35.37</v>
      </c>
      <c r="S45" s="11">
        <v>41.04</v>
      </c>
      <c r="T45" s="11">
        <v>2</v>
      </c>
      <c r="U45" s="11">
        <v>3</v>
      </c>
      <c r="V45" s="11">
        <v>36.04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139</v>
      </c>
      <c r="C46" s="10" t="s">
        <v>140</v>
      </c>
      <c r="D46" s="7" t="s">
        <v>46</v>
      </c>
      <c r="E46" s="7" t="s">
        <v>77</v>
      </c>
      <c r="F46" s="7" t="s">
        <v>78</v>
      </c>
      <c r="G46" s="7"/>
      <c r="H46" s="7" t="s">
        <v>52</v>
      </c>
      <c r="I46" s="11">
        <v>2</v>
      </c>
      <c r="J46" s="11">
        <v>3</v>
      </c>
      <c r="K46" s="11">
        <v>0</v>
      </c>
      <c r="L46" s="11">
        <v>9.119999999999989</v>
      </c>
      <c r="M46" s="11">
        <v>0.5</v>
      </c>
      <c r="N46" s="11">
        <v>0</v>
      </c>
      <c r="O46" s="11">
        <v>0.7499999999999999</v>
      </c>
      <c r="P46" s="11">
        <v>0</v>
      </c>
      <c r="Q46" s="11">
        <v>10.36999999999999</v>
      </c>
      <c r="R46" s="11">
        <v>27.26</v>
      </c>
      <c r="S46" s="11">
        <v>37.63</v>
      </c>
      <c r="T46" s="11">
        <v>2</v>
      </c>
      <c r="U46" s="11">
        <v>3</v>
      </c>
      <c r="V46" s="11">
        <v>32.63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141</v>
      </c>
      <c r="C47" s="10" t="s">
        <v>142</v>
      </c>
      <c r="D47" s="7" t="s">
        <v>51</v>
      </c>
      <c r="E47" s="7" t="s">
        <v>77</v>
      </c>
      <c r="F47" s="7" t="s">
        <v>78</v>
      </c>
      <c r="G47" s="7"/>
      <c r="H47" s="7" t="s">
        <v>143</v>
      </c>
      <c r="I47" s="11">
        <v>2</v>
      </c>
      <c r="J47" s="11">
        <v>3</v>
      </c>
      <c r="K47" s="11">
        <v>0.95</v>
      </c>
      <c r="L47" s="11">
        <v>6.399999999999998</v>
      </c>
      <c r="M47" s="11">
        <v>1</v>
      </c>
      <c r="N47" s="11">
        <v>0</v>
      </c>
      <c r="O47" s="11">
        <v>0.72</v>
      </c>
      <c r="P47" s="11">
        <v>0</v>
      </c>
      <c r="Q47" s="11">
        <v>9.069999999999999</v>
      </c>
      <c r="R47" s="11">
        <v>41.11</v>
      </c>
      <c r="S47" s="11">
        <v>50.18</v>
      </c>
      <c r="T47" s="11">
        <v>2</v>
      </c>
      <c r="U47" s="11">
        <v>3</v>
      </c>
      <c r="V47" s="11">
        <v>45.18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144</v>
      </c>
      <c r="C48" s="10" t="s">
        <v>145</v>
      </c>
      <c r="D48" s="7" t="s">
        <v>81</v>
      </c>
      <c r="E48" s="7" t="s">
        <v>77</v>
      </c>
      <c r="F48" s="7" t="s">
        <v>78</v>
      </c>
      <c r="G48" s="7"/>
      <c r="H48" s="7" t="s">
        <v>143</v>
      </c>
      <c r="I48" s="11">
        <v>2</v>
      </c>
      <c r="J48" s="11">
        <v>3</v>
      </c>
      <c r="K48" s="11">
        <v>0.95</v>
      </c>
      <c r="L48" s="11">
        <v>2.970000000000001</v>
      </c>
      <c r="M48" s="11">
        <v>1.33</v>
      </c>
      <c r="N48" s="11">
        <v>0</v>
      </c>
      <c r="O48" s="11">
        <v>1.2</v>
      </c>
      <c r="P48" s="11">
        <v>0</v>
      </c>
      <c r="Q48" s="11">
        <v>6.450000000000001</v>
      </c>
      <c r="R48" s="11">
        <v>34.64000000000001</v>
      </c>
      <c r="S48" s="11">
        <v>41.09000000000001</v>
      </c>
      <c r="T48" s="11">
        <v>2</v>
      </c>
      <c r="U48" s="11">
        <v>3</v>
      </c>
      <c r="V48" s="11">
        <v>36.09000000000001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146</v>
      </c>
      <c r="C49" s="10" t="s">
        <v>147</v>
      </c>
      <c r="D49" s="7" t="s">
        <v>51</v>
      </c>
      <c r="E49" s="7" t="s">
        <v>66</v>
      </c>
      <c r="F49" s="7" t="s">
        <v>78</v>
      </c>
      <c r="G49" s="7"/>
      <c r="H49" s="7" t="s">
        <v>52</v>
      </c>
      <c r="I49" s="11">
        <v>2</v>
      </c>
      <c r="J49" s="11">
        <v>3</v>
      </c>
      <c r="K49" s="11">
        <v>0</v>
      </c>
      <c r="L49" s="11">
        <v>5.939999999999999</v>
      </c>
      <c r="M49" s="11">
        <v>1.49</v>
      </c>
      <c r="N49" s="11">
        <v>0</v>
      </c>
      <c r="O49" s="11">
        <v>0.66</v>
      </c>
      <c r="P49" s="11">
        <v>0.8</v>
      </c>
      <c r="Q49" s="11">
        <v>8.889999999999997</v>
      </c>
      <c r="R49" s="11">
        <v>37.5</v>
      </c>
      <c r="S49" s="11">
        <v>46.39</v>
      </c>
      <c r="T49" s="11">
        <v>2</v>
      </c>
      <c r="U49" s="11">
        <v>3</v>
      </c>
      <c r="V49" s="11">
        <v>41.39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148</v>
      </c>
      <c r="C50" s="10" t="s">
        <v>149</v>
      </c>
      <c r="D50" s="7" t="s">
        <v>81</v>
      </c>
      <c r="E50" s="7" t="s">
        <v>82</v>
      </c>
      <c r="F50" s="7" t="s">
        <v>78</v>
      </c>
      <c r="G50" s="7"/>
      <c r="H50" s="7" t="s">
        <v>52</v>
      </c>
      <c r="I50" s="11">
        <v>2</v>
      </c>
      <c r="J50" s="11">
        <v>3</v>
      </c>
      <c r="K50" s="11">
        <v>0</v>
      </c>
      <c r="L50" s="11">
        <v>5.930000000000001</v>
      </c>
      <c r="M50" s="11">
        <v>1.16</v>
      </c>
      <c r="N50" s="11">
        <v>0</v>
      </c>
      <c r="O50" s="11">
        <v>0.18</v>
      </c>
      <c r="P50" s="11">
        <v>0.5</v>
      </c>
      <c r="Q50" s="11">
        <v>7.77</v>
      </c>
      <c r="R50" s="11">
        <v>47.89</v>
      </c>
      <c r="S50" s="11">
        <v>55.66</v>
      </c>
      <c r="T50" s="11">
        <v>2</v>
      </c>
      <c r="U50" s="11">
        <v>3</v>
      </c>
      <c r="V50" s="11">
        <v>50.66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150</v>
      </c>
      <c r="C51" s="10" t="s">
        <v>151</v>
      </c>
      <c r="D51" s="7" t="s">
        <v>81</v>
      </c>
      <c r="E51" s="7" t="s">
        <v>66</v>
      </c>
      <c r="F51" s="7" t="s">
        <v>78</v>
      </c>
      <c r="G51" s="7"/>
      <c r="H51" s="7" t="s">
        <v>52</v>
      </c>
      <c r="I51" s="11">
        <v>2</v>
      </c>
      <c r="J51" s="11">
        <v>3</v>
      </c>
      <c r="K51" s="11">
        <v>0</v>
      </c>
      <c r="L51" s="11">
        <v>4.49</v>
      </c>
      <c r="M51" s="11">
        <v>0.8400000000000001</v>
      </c>
      <c r="N51" s="11">
        <v>0</v>
      </c>
      <c r="O51" s="11">
        <v>0.26</v>
      </c>
      <c r="P51" s="11">
        <v>0</v>
      </c>
      <c r="Q51" s="11">
        <v>5.589999999999999</v>
      </c>
      <c r="R51" s="11">
        <v>37.45</v>
      </c>
      <c r="S51" s="11">
        <v>43.04</v>
      </c>
      <c r="T51" s="11">
        <v>2</v>
      </c>
      <c r="U51" s="11">
        <v>3</v>
      </c>
      <c r="V51" s="11">
        <v>38.04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152</v>
      </c>
      <c r="C52" s="10" t="s">
        <v>153</v>
      </c>
      <c r="D52" s="7" t="s">
        <v>51</v>
      </c>
      <c r="E52" s="7" t="s">
        <v>82</v>
      </c>
      <c r="F52" s="7" t="s">
        <v>78</v>
      </c>
      <c r="G52" s="7"/>
      <c r="H52" s="7" t="s">
        <v>52</v>
      </c>
      <c r="I52" s="11">
        <v>2</v>
      </c>
      <c r="J52" s="11">
        <v>3</v>
      </c>
      <c r="K52" s="11">
        <v>0</v>
      </c>
      <c r="L52" s="11">
        <v>4.520000000000001</v>
      </c>
      <c r="M52" s="11">
        <v>0.42</v>
      </c>
      <c r="N52" s="11">
        <v>0</v>
      </c>
      <c r="O52" s="11">
        <v>0.9400000000000001</v>
      </c>
      <c r="P52" s="11">
        <v>0</v>
      </c>
      <c r="Q52" s="11">
        <v>5.880000000000002</v>
      </c>
      <c r="R52" s="11">
        <v>34.70999999999999</v>
      </c>
      <c r="S52" s="11">
        <v>40.59</v>
      </c>
      <c r="T52" s="11">
        <v>2</v>
      </c>
      <c r="U52" s="11">
        <v>3</v>
      </c>
      <c r="V52" s="11">
        <v>35.59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154</v>
      </c>
      <c r="C53" s="10" t="s">
        <v>155</v>
      </c>
      <c r="D53" s="7" t="s">
        <v>93</v>
      </c>
      <c r="E53" s="7" t="s">
        <v>82</v>
      </c>
      <c r="F53" s="7" t="s">
        <v>78</v>
      </c>
      <c r="G53" s="7"/>
      <c r="H53" s="7" t="s">
        <v>52</v>
      </c>
      <c r="I53" s="11">
        <v>2</v>
      </c>
      <c r="J53" s="11">
        <v>3</v>
      </c>
      <c r="K53" s="11">
        <v>0</v>
      </c>
      <c r="L53" s="11">
        <v>4.220000000000002</v>
      </c>
      <c r="M53" s="11">
        <v>0.8200000000000001</v>
      </c>
      <c r="N53" s="11">
        <v>0</v>
      </c>
      <c r="O53" s="11">
        <v>1</v>
      </c>
      <c r="P53" s="11">
        <v>0</v>
      </c>
      <c r="Q53" s="11">
        <v>6.040000000000002</v>
      </c>
      <c r="R53" s="11">
        <v>29.26</v>
      </c>
      <c r="S53" s="11">
        <v>35.3</v>
      </c>
      <c r="T53" s="11">
        <v>2</v>
      </c>
      <c r="U53" s="11">
        <v>3</v>
      </c>
      <c r="V53" s="11">
        <v>30.3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156</v>
      </c>
      <c r="C54" s="10" t="s">
        <v>157</v>
      </c>
      <c r="D54" s="7" t="s">
        <v>62</v>
      </c>
      <c r="E54" s="7" t="s">
        <v>66</v>
      </c>
      <c r="F54" s="7" t="s">
        <v>78</v>
      </c>
      <c r="G54" s="7"/>
      <c r="H54" s="7" t="s">
        <v>52</v>
      </c>
      <c r="I54" s="11">
        <v>2</v>
      </c>
      <c r="J54" s="11">
        <v>3</v>
      </c>
      <c r="K54" s="11">
        <v>0</v>
      </c>
      <c r="L54" s="11">
        <v>5.550000000000001</v>
      </c>
      <c r="M54" s="11">
        <v>0</v>
      </c>
      <c r="N54" s="11">
        <v>0</v>
      </c>
      <c r="O54" s="11">
        <v>0.5400000000000001</v>
      </c>
      <c r="P54" s="11">
        <v>0</v>
      </c>
      <c r="Q54" s="11">
        <v>6.090000000000001</v>
      </c>
      <c r="R54" s="11">
        <v>33.06</v>
      </c>
      <c r="S54" s="11">
        <v>39.15000000000001</v>
      </c>
      <c r="T54" s="11">
        <v>2</v>
      </c>
      <c r="U54" s="11">
        <v>3</v>
      </c>
      <c r="V54" s="11">
        <v>34.15000000000001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158</v>
      </c>
      <c r="C55" s="10" t="s">
        <v>159</v>
      </c>
      <c r="D55" s="7" t="s">
        <v>74</v>
      </c>
      <c r="E55" s="7" t="s">
        <v>82</v>
      </c>
      <c r="F55" s="7" t="s">
        <v>78</v>
      </c>
      <c r="G55" s="7"/>
      <c r="H55" s="7" t="s">
        <v>52</v>
      </c>
      <c r="I55" s="11">
        <v>2</v>
      </c>
      <c r="J55" s="11">
        <v>3</v>
      </c>
      <c r="K55" s="11">
        <v>0</v>
      </c>
      <c r="L55" s="11">
        <v>5.569999999999999</v>
      </c>
      <c r="M55" s="11">
        <v>1</v>
      </c>
      <c r="N55" s="11">
        <v>0</v>
      </c>
      <c r="O55" s="11">
        <v>1.06</v>
      </c>
      <c r="P55" s="11">
        <v>0</v>
      </c>
      <c r="Q55" s="11">
        <v>7.629999999999999</v>
      </c>
      <c r="R55" s="11">
        <v>27.64</v>
      </c>
      <c r="S55" s="11">
        <v>35.27</v>
      </c>
      <c r="T55" s="11">
        <v>2</v>
      </c>
      <c r="U55" s="11">
        <v>3</v>
      </c>
      <c r="V55" s="11">
        <v>30.27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160</v>
      </c>
      <c r="C56" s="10" t="s">
        <v>161</v>
      </c>
      <c r="D56" s="7" t="s">
        <v>51</v>
      </c>
      <c r="E56" s="7" t="s">
        <v>77</v>
      </c>
      <c r="F56" s="7" t="s">
        <v>78</v>
      </c>
      <c r="G56" s="7"/>
      <c r="H56" s="7" t="s">
        <v>52</v>
      </c>
      <c r="I56" s="11">
        <v>2</v>
      </c>
      <c r="J56" s="11">
        <v>3</v>
      </c>
      <c r="K56" s="11">
        <v>0</v>
      </c>
      <c r="L56" s="11">
        <v>3.570000000000001</v>
      </c>
      <c r="M56" s="11">
        <v>0.66</v>
      </c>
      <c r="N56" s="11">
        <v>0</v>
      </c>
      <c r="O56" s="11">
        <v>1.14</v>
      </c>
      <c r="P56" s="11">
        <v>0</v>
      </c>
      <c r="Q56" s="11">
        <v>5.370000000000001</v>
      </c>
      <c r="R56" s="11">
        <v>36.05</v>
      </c>
      <c r="S56" s="11">
        <v>41.42</v>
      </c>
      <c r="T56" s="11">
        <v>2</v>
      </c>
      <c r="U56" s="11">
        <v>3</v>
      </c>
      <c r="V56" s="11">
        <v>36.42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162</v>
      </c>
      <c r="C57" s="10" t="s">
        <v>163</v>
      </c>
      <c r="D57" s="7" t="s">
        <v>74</v>
      </c>
      <c r="E57" s="7" t="s">
        <v>77</v>
      </c>
      <c r="F57" s="7" t="s">
        <v>78</v>
      </c>
      <c r="G57" s="7"/>
      <c r="H57" s="7" t="s">
        <v>52</v>
      </c>
      <c r="I57" s="11">
        <v>2</v>
      </c>
      <c r="J57" s="11">
        <v>3</v>
      </c>
      <c r="K57" s="11">
        <v>0</v>
      </c>
      <c r="L57" s="11">
        <v>5.3</v>
      </c>
      <c r="M57" s="11">
        <v>0.8400000000000001</v>
      </c>
      <c r="N57" s="11">
        <v>0</v>
      </c>
      <c r="O57" s="11">
        <v>0.64</v>
      </c>
      <c r="P57" s="11">
        <v>0</v>
      </c>
      <c r="Q57" s="11">
        <v>6.779999999999999</v>
      </c>
      <c r="R57" s="11">
        <v>26.37</v>
      </c>
      <c r="S57" s="11">
        <v>33.15</v>
      </c>
      <c r="T57" s="11">
        <v>2</v>
      </c>
      <c r="U57" s="11">
        <v>3</v>
      </c>
      <c r="V57" s="11">
        <v>28.15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164</v>
      </c>
      <c r="C58" s="10" t="s">
        <v>165</v>
      </c>
      <c r="D58" s="7" t="s">
        <v>74</v>
      </c>
      <c r="E58" s="7" t="s">
        <v>77</v>
      </c>
      <c r="F58" s="7" t="s">
        <v>78</v>
      </c>
      <c r="G58" s="7"/>
      <c r="H58" s="7" t="s">
        <v>52</v>
      </c>
      <c r="I58" s="11">
        <v>2</v>
      </c>
      <c r="J58" s="11">
        <v>3</v>
      </c>
      <c r="K58" s="11">
        <v>0</v>
      </c>
      <c r="L58" s="11">
        <v>5.719999999999999</v>
      </c>
      <c r="M58" s="11">
        <v>0.8400000000000001</v>
      </c>
      <c r="N58" s="11">
        <v>0</v>
      </c>
      <c r="O58" s="11">
        <v>0.62</v>
      </c>
      <c r="P58" s="11">
        <v>0</v>
      </c>
      <c r="Q58" s="11">
        <v>7.179999999999997</v>
      </c>
      <c r="R58" s="11">
        <v>46.45999999999999</v>
      </c>
      <c r="S58" s="11">
        <v>53.63999999999999</v>
      </c>
      <c r="T58" s="11">
        <v>2</v>
      </c>
      <c r="U58" s="11">
        <v>3</v>
      </c>
      <c r="V58" s="11">
        <v>48.63999999999999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166</v>
      </c>
      <c r="C59" s="10" t="s">
        <v>167</v>
      </c>
      <c r="D59" s="7" t="s">
        <v>90</v>
      </c>
      <c r="E59" s="7" t="s">
        <v>77</v>
      </c>
      <c r="F59" s="7" t="s">
        <v>78</v>
      </c>
      <c r="G59" s="7"/>
      <c r="H59" s="7" t="s">
        <v>52</v>
      </c>
      <c r="I59" s="11">
        <v>2</v>
      </c>
      <c r="J59" s="11">
        <v>3</v>
      </c>
      <c r="K59" s="11">
        <v>0</v>
      </c>
      <c r="L59" s="11">
        <v>3.420000000000001</v>
      </c>
      <c r="M59" s="11">
        <v>0.67</v>
      </c>
      <c r="N59" s="11">
        <v>0</v>
      </c>
      <c r="O59" s="11">
        <v>0.3</v>
      </c>
      <c r="P59" s="11">
        <v>0</v>
      </c>
      <c r="Q59" s="11">
        <v>4.390000000000001</v>
      </c>
      <c r="R59" s="11">
        <v>21.02</v>
      </c>
      <c r="S59" s="11">
        <v>25.41</v>
      </c>
      <c r="T59" s="11">
        <v>2</v>
      </c>
      <c r="U59" s="11">
        <v>3</v>
      </c>
      <c r="V59" s="11">
        <v>20.41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168</v>
      </c>
      <c r="C60" s="10" t="s">
        <v>169</v>
      </c>
      <c r="D60" s="7" t="s">
        <v>93</v>
      </c>
      <c r="E60" s="7" t="s">
        <v>82</v>
      </c>
      <c r="F60" s="7" t="s">
        <v>78</v>
      </c>
      <c r="G60" s="7"/>
      <c r="H60" s="7" t="s">
        <v>52</v>
      </c>
      <c r="I60" s="11">
        <v>2</v>
      </c>
      <c r="J60" s="11">
        <v>3</v>
      </c>
      <c r="K60" s="11">
        <v>0</v>
      </c>
      <c r="L60" s="11">
        <v>0.06</v>
      </c>
      <c r="M60" s="11">
        <v>0</v>
      </c>
      <c r="N60" s="11">
        <v>0</v>
      </c>
      <c r="O60" s="11">
        <v>0</v>
      </c>
      <c r="P60" s="11">
        <v>0</v>
      </c>
      <c r="Q60" s="11">
        <v>0.06</v>
      </c>
      <c r="R60" s="11">
        <v>0.12</v>
      </c>
      <c r="S60" s="11">
        <v>0.18</v>
      </c>
      <c r="T60" s="11">
        <v>0.18</v>
      </c>
      <c r="U60" s="11">
        <v>0</v>
      </c>
      <c r="V60" s="11">
        <v>0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170</v>
      </c>
      <c r="C61" s="10" t="s">
        <v>171</v>
      </c>
      <c r="D61" s="7" t="s">
        <v>51</v>
      </c>
      <c r="E61" s="7" t="s">
        <v>77</v>
      </c>
      <c r="F61" s="7" t="s">
        <v>78</v>
      </c>
      <c r="G61" s="7"/>
      <c r="H61" s="7" t="s">
        <v>52</v>
      </c>
      <c r="I61" s="11">
        <v>2</v>
      </c>
      <c r="J61" s="11">
        <v>3</v>
      </c>
      <c r="K61" s="11">
        <v>0</v>
      </c>
      <c r="L61" s="11">
        <v>2.91</v>
      </c>
      <c r="M61" s="11">
        <v>0.34</v>
      </c>
      <c r="N61" s="11">
        <v>0</v>
      </c>
      <c r="O61" s="11">
        <v>1.520000000000001</v>
      </c>
      <c r="P61" s="11">
        <v>0</v>
      </c>
      <c r="Q61" s="11">
        <v>4.770000000000001</v>
      </c>
      <c r="R61" s="11">
        <v>27.2</v>
      </c>
      <c r="S61" s="11">
        <v>31.97000000000001</v>
      </c>
      <c r="T61" s="11">
        <v>2</v>
      </c>
      <c r="U61" s="11">
        <v>3</v>
      </c>
      <c r="V61" s="11">
        <v>26.97000000000001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172</v>
      </c>
      <c r="C62" s="10" t="s">
        <v>173</v>
      </c>
      <c r="D62" s="7" t="s">
        <v>81</v>
      </c>
      <c r="E62" s="7" t="s">
        <v>77</v>
      </c>
      <c r="F62" s="7" t="s">
        <v>78</v>
      </c>
      <c r="G62" s="7"/>
      <c r="H62" s="7" t="s">
        <v>52</v>
      </c>
      <c r="I62" s="11">
        <v>2</v>
      </c>
      <c r="J62" s="11">
        <v>3</v>
      </c>
      <c r="K62" s="11">
        <v>0</v>
      </c>
      <c r="L62" s="11">
        <v>5.069999999999999</v>
      </c>
      <c r="M62" s="11">
        <v>0.8300000000000001</v>
      </c>
      <c r="N62" s="11">
        <v>0</v>
      </c>
      <c r="O62" s="11">
        <v>0.46</v>
      </c>
      <c r="P62" s="11">
        <v>0</v>
      </c>
      <c r="Q62" s="11">
        <v>6.359999999999999</v>
      </c>
      <c r="R62" s="11">
        <v>32.48</v>
      </c>
      <c r="S62" s="11">
        <v>38.84</v>
      </c>
      <c r="T62" s="11">
        <v>2</v>
      </c>
      <c r="U62" s="11">
        <v>3</v>
      </c>
      <c r="V62" s="11">
        <v>33.84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51</v>
      </c>
      <c r="E63" s="7" t="s">
        <v>77</v>
      </c>
      <c r="F63" s="7" t="s">
        <v>78</v>
      </c>
      <c r="G63" s="7"/>
      <c r="H63" s="7" t="s">
        <v>52</v>
      </c>
      <c r="I63" s="11">
        <v>2</v>
      </c>
      <c r="J63" s="11">
        <v>3</v>
      </c>
      <c r="K63" s="11">
        <v>0</v>
      </c>
      <c r="L63" s="11">
        <v>4.339999999999999</v>
      </c>
      <c r="M63" s="11">
        <v>0.66</v>
      </c>
      <c r="N63" s="11">
        <v>0</v>
      </c>
      <c r="O63" s="11">
        <v>0.9</v>
      </c>
      <c r="P63" s="11">
        <v>0</v>
      </c>
      <c r="Q63" s="11">
        <v>5.899999999999999</v>
      </c>
      <c r="R63" s="11">
        <v>33.91</v>
      </c>
      <c r="S63" s="11">
        <v>39.81</v>
      </c>
      <c r="T63" s="11">
        <v>2</v>
      </c>
      <c r="U63" s="11">
        <v>3</v>
      </c>
      <c r="V63" s="11">
        <v>34.81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85</v>
      </c>
      <c r="E64" s="7" t="s">
        <v>66</v>
      </c>
      <c r="F64" s="7" t="s">
        <v>78</v>
      </c>
      <c r="G64" s="7"/>
      <c r="H64" s="7" t="s">
        <v>52</v>
      </c>
      <c r="I64" s="11">
        <v>2</v>
      </c>
      <c r="J64" s="11">
        <v>3</v>
      </c>
      <c r="K64" s="11">
        <v>0</v>
      </c>
      <c r="L64" s="11">
        <v>5.13</v>
      </c>
      <c r="M64" s="11">
        <v>1.16</v>
      </c>
      <c r="N64" s="11">
        <v>0</v>
      </c>
      <c r="O64" s="11">
        <v>1.48</v>
      </c>
      <c r="P64" s="11">
        <v>0</v>
      </c>
      <c r="Q64" s="11">
        <v>7.77</v>
      </c>
      <c r="R64" s="11">
        <v>45.29000000000001</v>
      </c>
      <c r="S64" s="11">
        <v>53.06</v>
      </c>
      <c r="T64" s="11">
        <v>2</v>
      </c>
      <c r="U64" s="11">
        <v>3</v>
      </c>
      <c r="V64" s="11">
        <v>48.06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81</v>
      </c>
      <c r="E65" s="7" t="s">
        <v>82</v>
      </c>
      <c r="F65" s="7" t="s">
        <v>78</v>
      </c>
      <c r="G65" s="7"/>
      <c r="H65" s="7" t="s">
        <v>52</v>
      </c>
      <c r="I65" s="11">
        <v>2</v>
      </c>
      <c r="J65" s="11">
        <v>3</v>
      </c>
      <c r="K65" s="11">
        <v>0</v>
      </c>
      <c r="L65" s="11">
        <v>4.890000000000001</v>
      </c>
      <c r="M65" s="11">
        <v>0.5</v>
      </c>
      <c r="N65" s="11">
        <v>0</v>
      </c>
      <c r="O65" s="11">
        <v>0.58</v>
      </c>
      <c r="P65" s="11">
        <v>0</v>
      </c>
      <c r="Q65" s="11">
        <v>5.970000000000002</v>
      </c>
      <c r="R65" s="11">
        <v>37.28000000000001</v>
      </c>
      <c r="S65" s="11">
        <v>43.25000000000001</v>
      </c>
      <c r="T65" s="11">
        <v>2</v>
      </c>
      <c r="U65" s="11">
        <v>3</v>
      </c>
      <c r="V65" s="11">
        <v>38.25000000000001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51</v>
      </c>
      <c r="E66" s="7" t="s">
        <v>77</v>
      </c>
      <c r="F66" s="7" t="s">
        <v>78</v>
      </c>
      <c r="G66" s="7"/>
      <c r="H66" s="7" t="s">
        <v>52</v>
      </c>
      <c r="I66" s="11">
        <v>2</v>
      </c>
      <c r="J66" s="11">
        <v>3</v>
      </c>
      <c r="K66" s="11">
        <v>0</v>
      </c>
      <c r="L66" s="11">
        <v>3.55</v>
      </c>
      <c r="M66" s="11">
        <v>1</v>
      </c>
      <c r="N66" s="11">
        <v>0</v>
      </c>
      <c r="O66" s="11">
        <v>0.24</v>
      </c>
      <c r="P66" s="11">
        <v>0</v>
      </c>
      <c r="Q66" s="11">
        <v>4.790000000000001</v>
      </c>
      <c r="R66" s="11">
        <v>36.06999999999999</v>
      </c>
      <c r="S66" s="11">
        <v>40.85999999999999</v>
      </c>
      <c r="T66" s="11">
        <v>2</v>
      </c>
      <c r="U66" s="11">
        <v>3</v>
      </c>
      <c r="V66" s="11">
        <v>35.85999999999999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81</v>
      </c>
      <c r="E67" s="7" t="s">
        <v>82</v>
      </c>
      <c r="F67" s="7" t="s">
        <v>78</v>
      </c>
      <c r="G67" s="7"/>
      <c r="H67" s="7" t="s">
        <v>52</v>
      </c>
      <c r="I67" s="11">
        <v>2</v>
      </c>
      <c r="J67" s="11">
        <v>3</v>
      </c>
      <c r="K67" s="11">
        <v>0</v>
      </c>
      <c r="L67" s="11">
        <v>5.470000000000001</v>
      </c>
      <c r="M67" s="11">
        <v>0.58</v>
      </c>
      <c r="N67" s="11">
        <v>0</v>
      </c>
      <c r="O67" s="11">
        <v>0.36</v>
      </c>
      <c r="P67" s="11">
        <v>0</v>
      </c>
      <c r="Q67" s="11">
        <v>6.409999999999999</v>
      </c>
      <c r="R67" s="11">
        <v>34.84</v>
      </c>
      <c r="S67" s="11">
        <v>41.25</v>
      </c>
      <c r="T67" s="11">
        <v>2</v>
      </c>
      <c r="U67" s="11">
        <v>3</v>
      </c>
      <c r="V67" s="11">
        <v>36.25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93</v>
      </c>
      <c r="E68" s="7" t="s">
        <v>77</v>
      </c>
      <c r="F68" s="7" t="s">
        <v>78</v>
      </c>
      <c r="G68" s="7"/>
      <c r="H68" s="7" t="s">
        <v>52</v>
      </c>
      <c r="I68" s="11">
        <v>2</v>
      </c>
      <c r="J68" s="11">
        <v>3</v>
      </c>
      <c r="K68" s="11">
        <v>0</v>
      </c>
      <c r="L68" s="11">
        <v>6.27</v>
      </c>
      <c r="M68" s="11">
        <v>0.41</v>
      </c>
      <c r="N68" s="11">
        <v>0</v>
      </c>
      <c r="O68" s="11">
        <v>0.7400000000000001</v>
      </c>
      <c r="P68" s="11">
        <v>0</v>
      </c>
      <c r="Q68" s="11">
        <v>7.420000000000001</v>
      </c>
      <c r="R68" s="11">
        <v>48.93999999999999</v>
      </c>
      <c r="S68" s="11">
        <v>56.35999999999999</v>
      </c>
      <c r="T68" s="11">
        <v>2</v>
      </c>
      <c r="U68" s="11">
        <v>3</v>
      </c>
      <c r="V68" s="11">
        <v>51.35999999999999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81</v>
      </c>
      <c r="E69" s="7" t="s">
        <v>82</v>
      </c>
      <c r="F69" s="7" t="s">
        <v>78</v>
      </c>
      <c r="G69" s="7"/>
      <c r="H69" s="7" t="s">
        <v>52</v>
      </c>
      <c r="I69" s="11">
        <v>2</v>
      </c>
      <c r="J69" s="11">
        <v>3</v>
      </c>
      <c r="K69" s="11">
        <v>0</v>
      </c>
      <c r="L69" s="11">
        <v>3.749999999999999</v>
      </c>
      <c r="M69" s="11">
        <v>0.5</v>
      </c>
      <c r="N69" s="11">
        <v>0</v>
      </c>
      <c r="O69" s="11">
        <v>0.4000000000000001</v>
      </c>
      <c r="P69" s="11">
        <v>0</v>
      </c>
      <c r="Q69" s="11">
        <v>4.649999999999999</v>
      </c>
      <c r="R69" s="11">
        <v>31.04000000000001</v>
      </c>
      <c r="S69" s="11">
        <v>35.69000000000001</v>
      </c>
      <c r="T69" s="11">
        <v>2</v>
      </c>
      <c r="U69" s="11">
        <v>3</v>
      </c>
      <c r="V69" s="11">
        <v>30.69000000000001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81</v>
      </c>
      <c r="E70" s="7" t="s">
        <v>82</v>
      </c>
      <c r="F70" s="7" t="s">
        <v>78</v>
      </c>
      <c r="G70" s="7"/>
      <c r="H70" s="7" t="s">
        <v>67</v>
      </c>
      <c r="I70" s="11">
        <v>2</v>
      </c>
      <c r="J70" s="11">
        <v>3</v>
      </c>
      <c r="K70" s="11">
        <v>1.33</v>
      </c>
      <c r="L70" s="11">
        <v>4.080000000000001</v>
      </c>
      <c r="M70" s="11">
        <v>0.42</v>
      </c>
      <c r="N70" s="11">
        <v>0</v>
      </c>
      <c r="O70" s="11">
        <v>0.26</v>
      </c>
      <c r="P70" s="11">
        <v>0</v>
      </c>
      <c r="Q70" s="11">
        <v>6.09</v>
      </c>
      <c r="R70" s="11">
        <v>49.11</v>
      </c>
      <c r="S70" s="11">
        <v>55.2</v>
      </c>
      <c r="T70" s="11">
        <v>2</v>
      </c>
      <c r="U70" s="11">
        <v>3</v>
      </c>
      <c r="V70" s="11">
        <v>50.2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58</v>
      </c>
      <c r="E71" s="7"/>
      <c r="F71" s="7" t="s">
        <v>78</v>
      </c>
      <c r="G71" s="7"/>
      <c r="H71" s="7" t="s">
        <v>52</v>
      </c>
      <c r="I71" s="11">
        <v>2</v>
      </c>
      <c r="J71" s="11">
        <v>3</v>
      </c>
      <c r="K71" s="11">
        <v>0</v>
      </c>
      <c r="L71" s="11">
        <v>7.059999999999999</v>
      </c>
      <c r="M71" s="11">
        <v>0.33</v>
      </c>
      <c r="N71" s="11">
        <v>0</v>
      </c>
      <c r="O71" s="11">
        <v>0</v>
      </c>
      <c r="P71" s="11">
        <v>0</v>
      </c>
      <c r="Q71" s="11">
        <v>7.389999999999998</v>
      </c>
      <c r="R71" s="11">
        <v>38.91999999999999</v>
      </c>
      <c r="S71" s="11">
        <v>46.31</v>
      </c>
      <c r="T71" s="11">
        <v>2</v>
      </c>
      <c r="U71" s="11">
        <v>3</v>
      </c>
      <c r="V71" s="11">
        <v>41.31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51</v>
      </c>
      <c r="E72" s="7" t="s">
        <v>77</v>
      </c>
      <c r="F72" s="7" t="s">
        <v>78</v>
      </c>
      <c r="G72" s="7"/>
      <c r="H72" s="7" t="s">
        <v>52</v>
      </c>
      <c r="I72" s="11">
        <v>2</v>
      </c>
      <c r="J72" s="11">
        <v>3</v>
      </c>
      <c r="K72" s="11">
        <v>0</v>
      </c>
      <c r="L72" s="11">
        <v>5.240000000000002</v>
      </c>
      <c r="M72" s="11">
        <v>0.67</v>
      </c>
      <c r="N72" s="11">
        <v>0</v>
      </c>
      <c r="O72" s="11">
        <v>0.34</v>
      </c>
      <c r="P72" s="11">
        <v>0</v>
      </c>
      <c r="Q72" s="11">
        <v>6.250000000000002</v>
      </c>
      <c r="R72" s="11">
        <v>25.24</v>
      </c>
      <c r="S72" s="11">
        <v>31.49</v>
      </c>
      <c r="T72" s="11">
        <v>2</v>
      </c>
      <c r="U72" s="11">
        <v>3</v>
      </c>
      <c r="V72" s="11">
        <v>26.49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85</v>
      </c>
      <c r="E73" s="7" t="s">
        <v>82</v>
      </c>
      <c r="F73" s="7" t="s">
        <v>117</v>
      </c>
      <c r="G73" s="7"/>
      <c r="H73" s="7" t="s">
        <v>52</v>
      </c>
      <c r="I73" s="11">
        <v>2</v>
      </c>
      <c r="J73" s="11">
        <v>3</v>
      </c>
      <c r="K73" s="11">
        <v>0</v>
      </c>
      <c r="L73" s="11">
        <v>3.590000000000001</v>
      </c>
      <c r="M73" s="11">
        <v>0.8400000000000001</v>
      </c>
      <c r="N73" s="11">
        <v>0</v>
      </c>
      <c r="O73" s="11">
        <v>0.6200000000000001</v>
      </c>
      <c r="P73" s="11">
        <v>0</v>
      </c>
      <c r="Q73" s="11">
        <v>5.05</v>
      </c>
      <c r="R73" s="11">
        <v>34.33</v>
      </c>
      <c r="S73" s="11">
        <v>39.38</v>
      </c>
      <c r="T73" s="11">
        <v>2</v>
      </c>
      <c r="U73" s="11">
        <v>3</v>
      </c>
      <c r="V73" s="11">
        <v>34.38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46</v>
      </c>
      <c r="E74" s="7" t="s">
        <v>77</v>
      </c>
      <c r="F74" s="7" t="s">
        <v>78</v>
      </c>
      <c r="G74" s="7"/>
      <c r="H74" s="7" t="s">
        <v>52</v>
      </c>
      <c r="I74" s="11">
        <v>2</v>
      </c>
      <c r="J74" s="11">
        <v>3</v>
      </c>
      <c r="K74" s="11">
        <v>0</v>
      </c>
      <c r="L74" s="11">
        <v>8.449999999999992</v>
      </c>
      <c r="M74" s="11">
        <v>0.5</v>
      </c>
      <c r="N74" s="11">
        <v>0</v>
      </c>
      <c r="O74" s="11">
        <v>0.46</v>
      </c>
      <c r="P74" s="11">
        <v>0</v>
      </c>
      <c r="Q74" s="11">
        <v>9.409999999999997</v>
      </c>
      <c r="R74" s="11">
        <v>32.14</v>
      </c>
      <c r="S74" s="11">
        <v>41.55</v>
      </c>
      <c r="T74" s="11">
        <v>2</v>
      </c>
      <c r="U74" s="11">
        <v>3</v>
      </c>
      <c r="V74" s="11">
        <v>36.55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81</v>
      </c>
      <c r="E75" s="7" t="s">
        <v>82</v>
      </c>
      <c r="F75" s="7" t="s">
        <v>78</v>
      </c>
      <c r="G75" s="7"/>
      <c r="H75" s="7" t="s">
        <v>52</v>
      </c>
      <c r="I75" s="11">
        <v>2</v>
      </c>
      <c r="J75" s="11">
        <v>3</v>
      </c>
      <c r="K75" s="11">
        <v>0</v>
      </c>
      <c r="L75" s="11">
        <v>3.22</v>
      </c>
      <c r="M75" s="11">
        <v>0.58</v>
      </c>
      <c r="N75" s="11">
        <v>0</v>
      </c>
      <c r="O75" s="11">
        <v>0.37</v>
      </c>
      <c r="P75" s="11">
        <v>0</v>
      </c>
      <c r="Q75" s="11">
        <v>4.17</v>
      </c>
      <c r="R75" s="11">
        <v>17.68</v>
      </c>
      <c r="S75" s="11">
        <v>21.85</v>
      </c>
      <c r="T75" s="11">
        <v>2</v>
      </c>
      <c r="U75" s="11">
        <v>3</v>
      </c>
      <c r="V75" s="11">
        <v>16.85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200</v>
      </c>
      <c r="C76" s="10" t="s">
        <v>201</v>
      </c>
      <c r="D76" s="7" t="s">
        <v>74</v>
      </c>
      <c r="E76" s="7" t="s">
        <v>82</v>
      </c>
      <c r="F76" s="7" t="s">
        <v>78</v>
      </c>
      <c r="G76" s="7"/>
      <c r="H76" s="7"/>
      <c r="I76" s="11">
        <v>2</v>
      </c>
      <c r="J76" s="11">
        <v>3</v>
      </c>
      <c r="K76" s="11">
        <v>0</v>
      </c>
      <c r="L76" s="11">
        <v>4.090000000000001</v>
      </c>
      <c r="M76" s="11">
        <v>0.25</v>
      </c>
      <c r="N76" s="11">
        <v>0</v>
      </c>
      <c r="O76" s="11">
        <v>0.5800000000000001</v>
      </c>
      <c r="P76" s="11">
        <v>0</v>
      </c>
      <c r="Q76" s="11">
        <v>4.920000000000001</v>
      </c>
      <c r="R76" s="11">
        <v>25.67</v>
      </c>
      <c r="S76" s="11">
        <v>30.59</v>
      </c>
      <c r="T76" s="11">
        <v>2</v>
      </c>
      <c r="U76" s="11">
        <v>3</v>
      </c>
      <c r="V76" s="11">
        <v>25.59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202</v>
      </c>
      <c r="C77" s="10" t="s">
        <v>203</v>
      </c>
      <c r="D77" s="7" t="s">
        <v>85</v>
      </c>
      <c r="E77" s="7" t="s">
        <v>77</v>
      </c>
      <c r="F77" s="7" t="s">
        <v>78</v>
      </c>
      <c r="G77" s="7"/>
      <c r="H77" s="7" t="s">
        <v>52</v>
      </c>
      <c r="I77" s="11">
        <v>2</v>
      </c>
      <c r="J77" s="11">
        <v>3</v>
      </c>
      <c r="K77" s="11">
        <v>0</v>
      </c>
      <c r="L77" s="11">
        <v>5.269999999999999</v>
      </c>
      <c r="M77" s="11">
        <v>0.5</v>
      </c>
      <c r="N77" s="11">
        <v>0</v>
      </c>
      <c r="O77" s="11">
        <v>0.5800000000000001</v>
      </c>
      <c r="P77" s="11">
        <v>0</v>
      </c>
      <c r="Q77" s="11">
        <v>6.349999999999999</v>
      </c>
      <c r="R77" s="11">
        <v>32.24000000000001</v>
      </c>
      <c r="S77" s="11">
        <v>38.59000000000001</v>
      </c>
      <c r="T77" s="11">
        <v>2</v>
      </c>
      <c r="U77" s="11">
        <v>3</v>
      </c>
      <c r="V77" s="11">
        <v>33.59000000000001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204</v>
      </c>
      <c r="C78" s="10" t="s">
        <v>205</v>
      </c>
      <c r="D78" s="7" t="s">
        <v>46</v>
      </c>
      <c r="E78" s="7" t="s">
        <v>77</v>
      </c>
      <c r="F78" s="7" t="s">
        <v>78</v>
      </c>
      <c r="G78" s="7"/>
      <c r="H78" s="7" t="s">
        <v>52</v>
      </c>
      <c r="I78" s="11">
        <v>2</v>
      </c>
      <c r="J78" s="11">
        <v>3</v>
      </c>
      <c r="K78" s="11">
        <v>0</v>
      </c>
      <c r="L78" s="11">
        <v>5.189999999999999</v>
      </c>
      <c r="M78" s="11">
        <v>0.34</v>
      </c>
      <c r="N78" s="11">
        <v>0</v>
      </c>
      <c r="O78" s="11">
        <v>1.5</v>
      </c>
      <c r="P78" s="11">
        <v>0</v>
      </c>
      <c r="Q78" s="11">
        <v>7.029999999999999</v>
      </c>
      <c r="R78" s="11">
        <v>24.90000000000001</v>
      </c>
      <c r="S78" s="11">
        <v>31.93000000000001</v>
      </c>
      <c r="T78" s="11">
        <v>2</v>
      </c>
      <c r="U78" s="11">
        <v>3</v>
      </c>
      <c r="V78" s="11">
        <v>26.93000000000001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206</v>
      </c>
      <c r="C79" s="10" t="s">
        <v>207</v>
      </c>
      <c r="D79" s="7" t="s">
        <v>51</v>
      </c>
      <c r="E79" s="7" t="s">
        <v>77</v>
      </c>
      <c r="F79" s="7" t="s">
        <v>78</v>
      </c>
      <c r="G79" s="7"/>
      <c r="H79" s="7" t="s">
        <v>52</v>
      </c>
      <c r="I79" s="11">
        <v>2</v>
      </c>
      <c r="J79" s="11">
        <v>3</v>
      </c>
      <c r="K79" s="11">
        <v>0</v>
      </c>
      <c r="L79" s="11">
        <v>5.700000000000001</v>
      </c>
      <c r="M79" s="11">
        <v>1.01</v>
      </c>
      <c r="N79" s="11">
        <v>0</v>
      </c>
      <c r="O79" s="11">
        <v>0.34</v>
      </c>
      <c r="P79" s="11">
        <v>0</v>
      </c>
      <c r="Q79" s="11">
        <v>7.050000000000001</v>
      </c>
      <c r="R79" s="11">
        <v>33.41</v>
      </c>
      <c r="S79" s="11">
        <v>40.45999999999999</v>
      </c>
      <c r="T79" s="11">
        <v>2</v>
      </c>
      <c r="U79" s="11">
        <v>3</v>
      </c>
      <c r="V79" s="11">
        <v>35.45999999999999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208</v>
      </c>
      <c r="C80" s="10" t="s">
        <v>209</v>
      </c>
      <c r="D80" s="7" t="s">
        <v>58</v>
      </c>
      <c r="E80" s="7" t="s">
        <v>77</v>
      </c>
      <c r="F80" s="7" t="s">
        <v>78</v>
      </c>
      <c r="G80" s="7"/>
      <c r="H80" s="7" t="s">
        <v>210</v>
      </c>
      <c r="I80" s="11">
        <v>2</v>
      </c>
      <c r="J80" s="11">
        <v>3</v>
      </c>
      <c r="K80" s="11">
        <v>1</v>
      </c>
      <c r="L80" s="11">
        <v>6.14</v>
      </c>
      <c r="M80" s="11">
        <v>0.66</v>
      </c>
      <c r="N80" s="11">
        <v>0</v>
      </c>
      <c r="O80" s="11">
        <v>0.51</v>
      </c>
      <c r="P80" s="11">
        <v>0</v>
      </c>
      <c r="Q80" s="11">
        <v>8.309999999999997</v>
      </c>
      <c r="R80" s="11">
        <v>49.02999999999998</v>
      </c>
      <c r="S80" s="11">
        <v>57.33999999999997</v>
      </c>
      <c r="T80" s="11">
        <v>2</v>
      </c>
      <c r="U80" s="11">
        <v>3</v>
      </c>
      <c r="V80" s="11">
        <v>52.33999999999997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62</v>
      </c>
      <c r="E81" s="7" t="s">
        <v>77</v>
      </c>
      <c r="F81" s="7" t="s">
        <v>78</v>
      </c>
      <c r="G81" s="7"/>
      <c r="H81" s="7" t="s">
        <v>52</v>
      </c>
      <c r="I81" s="11">
        <v>2</v>
      </c>
      <c r="J81" s="11">
        <v>3</v>
      </c>
      <c r="K81" s="11">
        <v>0</v>
      </c>
      <c r="L81" s="11">
        <v>3.739999999999999</v>
      </c>
      <c r="M81" s="11">
        <v>0.16</v>
      </c>
      <c r="N81" s="11">
        <v>0</v>
      </c>
      <c r="O81" s="11">
        <v>0</v>
      </c>
      <c r="P81" s="11">
        <v>0</v>
      </c>
      <c r="Q81" s="11">
        <v>3.899999999999999</v>
      </c>
      <c r="R81" s="11">
        <v>28.76</v>
      </c>
      <c r="S81" s="11">
        <v>32.66</v>
      </c>
      <c r="T81" s="11">
        <v>2</v>
      </c>
      <c r="U81" s="11">
        <v>3</v>
      </c>
      <c r="V81" s="11">
        <v>27.66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90</v>
      </c>
      <c r="E82" s="7" t="s">
        <v>77</v>
      </c>
      <c r="F82" s="7" t="s">
        <v>78</v>
      </c>
      <c r="G82" s="7"/>
      <c r="H82" s="7" t="s">
        <v>52</v>
      </c>
      <c r="I82" s="11">
        <v>2</v>
      </c>
      <c r="J82" s="11">
        <v>3</v>
      </c>
      <c r="K82" s="11">
        <v>0</v>
      </c>
      <c r="L82" s="11">
        <v>3.530000000000002</v>
      </c>
      <c r="M82" s="11">
        <v>0.17</v>
      </c>
      <c r="N82" s="11">
        <v>0</v>
      </c>
      <c r="O82" s="11">
        <v>0.21</v>
      </c>
      <c r="P82" s="11">
        <v>0</v>
      </c>
      <c r="Q82" s="11">
        <v>3.910000000000002</v>
      </c>
      <c r="R82" s="11">
        <v>19.14</v>
      </c>
      <c r="S82" s="11">
        <v>23.05000000000001</v>
      </c>
      <c r="T82" s="11">
        <v>2</v>
      </c>
      <c r="U82" s="11">
        <v>3</v>
      </c>
      <c r="V82" s="11">
        <v>18.05000000000001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215</v>
      </c>
      <c r="C83" s="10" t="s">
        <v>216</v>
      </c>
      <c r="D83" s="7" t="s">
        <v>217</v>
      </c>
      <c r="E83" s="7" t="s">
        <v>77</v>
      </c>
      <c r="F83" s="7" t="s">
        <v>78</v>
      </c>
      <c r="G83" s="7"/>
      <c r="H83" s="7" t="s">
        <v>52</v>
      </c>
      <c r="I83" s="11">
        <v>2</v>
      </c>
      <c r="J83" s="11">
        <v>3</v>
      </c>
      <c r="K83" s="11">
        <v>0</v>
      </c>
      <c r="L83" s="11">
        <v>3.430000000000001</v>
      </c>
      <c r="M83" s="11">
        <v>0</v>
      </c>
      <c r="N83" s="11">
        <v>0</v>
      </c>
      <c r="O83" s="11">
        <v>0.7599999999999999</v>
      </c>
      <c r="P83" s="11">
        <v>0</v>
      </c>
      <c r="Q83" s="11">
        <v>4.190000000000001</v>
      </c>
      <c r="R83" s="11">
        <v>30.12999999999999</v>
      </c>
      <c r="S83" s="11">
        <v>34.31999999999999</v>
      </c>
      <c r="T83" s="11">
        <v>2</v>
      </c>
      <c r="U83" s="11">
        <v>3</v>
      </c>
      <c r="V83" s="11">
        <v>29.31999999999999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85</v>
      </c>
      <c r="E84" s="7" t="s">
        <v>77</v>
      </c>
      <c r="F84" s="7" t="s">
        <v>78</v>
      </c>
      <c r="G84" s="7"/>
      <c r="H84" s="7" t="s">
        <v>52</v>
      </c>
      <c r="I84" s="11">
        <v>2</v>
      </c>
      <c r="J84" s="11">
        <v>3</v>
      </c>
      <c r="K84" s="11">
        <v>0</v>
      </c>
      <c r="L84" s="11">
        <v>4.130000000000001</v>
      </c>
      <c r="M84" s="11">
        <v>0.51</v>
      </c>
      <c r="N84" s="11">
        <v>0</v>
      </c>
      <c r="O84" s="11">
        <v>0.18</v>
      </c>
      <c r="P84" s="11">
        <v>0</v>
      </c>
      <c r="Q84" s="11">
        <v>4.820000000000001</v>
      </c>
      <c r="R84" s="11">
        <v>31.01000000000001</v>
      </c>
      <c r="S84" s="11">
        <v>35.83000000000001</v>
      </c>
      <c r="T84" s="11">
        <v>2</v>
      </c>
      <c r="U84" s="11">
        <v>3</v>
      </c>
      <c r="V84" s="11">
        <v>30.83000000000001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81</v>
      </c>
      <c r="E85" s="7" t="s">
        <v>82</v>
      </c>
      <c r="F85" s="7" t="s">
        <v>78</v>
      </c>
      <c r="G85" s="7"/>
      <c r="H85" s="7" t="s">
        <v>210</v>
      </c>
      <c r="I85" s="11">
        <v>2</v>
      </c>
      <c r="J85" s="11">
        <v>3</v>
      </c>
      <c r="K85" s="11">
        <v>1</v>
      </c>
      <c r="L85" s="11">
        <v>3.970000000000002</v>
      </c>
      <c r="M85" s="11">
        <v>0.7500000000000001</v>
      </c>
      <c r="N85" s="11">
        <v>0</v>
      </c>
      <c r="O85" s="11">
        <v>0.32</v>
      </c>
      <c r="P85" s="11">
        <v>0</v>
      </c>
      <c r="Q85" s="11">
        <v>6.040000000000002</v>
      </c>
      <c r="R85" s="11">
        <v>37.11</v>
      </c>
      <c r="S85" s="11">
        <v>43.15</v>
      </c>
      <c r="T85" s="11">
        <v>2</v>
      </c>
      <c r="U85" s="11">
        <v>3</v>
      </c>
      <c r="V85" s="11">
        <v>38.15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217</v>
      </c>
      <c r="E86" s="7" t="s">
        <v>77</v>
      </c>
      <c r="F86" s="7" t="s">
        <v>78</v>
      </c>
      <c r="G86" s="7"/>
      <c r="H86" s="7" t="s">
        <v>52</v>
      </c>
      <c r="I86" s="11">
        <v>2</v>
      </c>
      <c r="J86" s="11">
        <v>3</v>
      </c>
      <c r="K86" s="11">
        <v>0</v>
      </c>
      <c r="L86" s="11">
        <v>4.920000000000002</v>
      </c>
      <c r="M86" s="11">
        <v>0.8300000000000001</v>
      </c>
      <c r="N86" s="11">
        <v>0</v>
      </c>
      <c r="O86" s="11">
        <v>0.16</v>
      </c>
      <c r="P86" s="11">
        <v>0</v>
      </c>
      <c r="Q86" s="11">
        <v>5.910000000000003</v>
      </c>
      <c r="R86" s="11">
        <v>34.91999999999999</v>
      </c>
      <c r="S86" s="11">
        <v>40.82999999999999</v>
      </c>
      <c r="T86" s="11">
        <v>2</v>
      </c>
      <c r="U86" s="11">
        <v>3</v>
      </c>
      <c r="V86" s="11">
        <v>35.82999999999999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90</v>
      </c>
      <c r="E87" s="7" t="s">
        <v>77</v>
      </c>
      <c r="F87" s="7" t="s">
        <v>78</v>
      </c>
      <c r="G87" s="7"/>
      <c r="H87" s="7" t="s">
        <v>52</v>
      </c>
      <c r="I87" s="11">
        <v>2</v>
      </c>
      <c r="J87" s="11">
        <v>3</v>
      </c>
      <c r="K87" s="11">
        <v>0</v>
      </c>
      <c r="L87" s="11">
        <v>4.880000000000003</v>
      </c>
      <c r="M87" s="11">
        <v>0.67</v>
      </c>
      <c r="N87" s="11">
        <v>0</v>
      </c>
      <c r="O87" s="11">
        <v>0.6</v>
      </c>
      <c r="P87" s="11">
        <v>0</v>
      </c>
      <c r="Q87" s="11">
        <v>6.150000000000002</v>
      </c>
      <c r="R87" s="11">
        <v>29.51</v>
      </c>
      <c r="S87" s="11">
        <v>35.66</v>
      </c>
      <c r="T87" s="11">
        <v>2</v>
      </c>
      <c r="U87" s="11">
        <v>3</v>
      </c>
      <c r="V87" s="11">
        <v>30.66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85</v>
      </c>
      <c r="E88" s="7" t="s">
        <v>77</v>
      </c>
      <c r="F88" s="7" t="s">
        <v>78</v>
      </c>
      <c r="G88" s="7"/>
      <c r="H88" s="7" t="s">
        <v>52</v>
      </c>
      <c r="I88" s="11">
        <v>2</v>
      </c>
      <c r="J88" s="11">
        <v>3</v>
      </c>
      <c r="K88" s="11">
        <v>0</v>
      </c>
      <c r="L88" s="11">
        <v>4.030000000000001</v>
      </c>
      <c r="M88" s="11">
        <v>0.58</v>
      </c>
      <c r="N88" s="11">
        <v>0</v>
      </c>
      <c r="O88" s="11">
        <v>0.62</v>
      </c>
      <c r="P88" s="11">
        <v>0</v>
      </c>
      <c r="Q88" s="11">
        <v>5.23</v>
      </c>
      <c r="R88" s="11">
        <v>28.78</v>
      </c>
      <c r="S88" s="11">
        <v>34.01000000000001</v>
      </c>
      <c r="T88" s="11">
        <v>2</v>
      </c>
      <c r="U88" s="11">
        <v>3</v>
      </c>
      <c r="V88" s="11">
        <v>29.01000000000001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93</v>
      </c>
      <c r="E89" s="7" t="s">
        <v>77</v>
      </c>
      <c r="F89" s="7" t="s">
        <v>78</v>
      </c>
      <c r="G89" s="7"/>
      <c r="H89" s="7" t="s">
        <v>52</v>
      </c>
      <c r="I89" s="11">
        <v>2</v>
      </c>
      <c r="J89" s="11">
        <v>3</v>
      </c>
      <c r="K89" s="11">
        <v>0</v>
      </c>
      <c r="L89" s="11">
        <v>5.809999999999998</v>
      </c>
      <c r="M89" s="11">
        <v>0.41</v>
      </c>
      <c r="N89" s="11">
        <v>0</v>
      </c>
      <c r="O89" s="11">
        <v>0.32</v>
      </c>
      <c r="P89" s="11">
        <v>0</v>
      </c>
      <c r="Q89" s="11">
        <v>6.539999999999998</v>
      </c>
      <c r="R89" s="11">
        <v>44.64999999999999</v>
      </c>
      <c r="S89" s="11">
        <v>51.18999999999999</v>
      </c>
      <c r="T89" s="11">
        <v>2</v>
      </c>
      <c r="U89" s="11">
        <v>3</v>
      </c>
      <c r="V89" s="11">
        <v>46.18999999999999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93</v>
      </c>
      <c r="E90" s="7" t="s">
        <v>66</v>
      </c>
      <c r="F90" s="7" t="s">
        <v>78</v>
      </c>
      <c r="G90" s="7"/>
      <c r="H90" s="7" t="s">
        <v>100</v>
      </c>
      <c r="I90" s="11">
        <v>2</v>
      </c>
      <c r="J90" s="11">
        <v>3</v>
      </c>
      <c r="K90" s="11">
        <v>0.95</v>
      </c>
      <c r="L90" s="11">
        <v>8.960000000000001</v>
      </c>
      <c r="M90" s="11">
        <v>0.5</v>
      </c>
      <c r="N90" s="11">
        <v>0</v>
      </c>
      <c r="O90" s="11">
        <v>0</v>
      </c>
      <c r="P90" s="11">
        <v>0</v>
      </c>
      <c r="Q90" s="11">
        <v>10.41</v>
      </c>
      <c r="R90" s="11">
        <v>65.38999999999996</v>
      </c>
      <c r="S90" s="11">
        <v>75.79999999999995</v>
      </c>
      <c r="T90" s="11">
        <v>2</v>
      </c>
      <c r="U90" s="11">
        <v>3</v>
      </c>
      <c r="V90" s="11">
        <v>70.79999999999995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85</v>
      </c>
      <c r="E91" s="7" t="s">
        <v>77</v>
      </c>
      <c r="F91" s="7" t="s">
        <v>78</v>
      </c>
      <c r="G91" s="7"/>
      <c r="H91" s="7" t="s">
        <v>100</v>
      </c>
      <c r="I91" s="11">
        <v>2</v>
      </c>
      <c r="J91" s="11">
        <v>3</v>
      </c>
      <c r="K91" s="11">
        <v>0.95</v>
      </c>
      <c r="L91" s="11">
        <v>4.409999999999999</v>
      </c>
      <c r="M91" s="11">
        <v>0.67</v>
      </c>
      <c r="N91" s="11">
        <v>0</v>
      </c>
      <c r="O91" s="11">
        <v>0.54</v>
      </c>
      <c r="P91" s="11">
        <v>0</v>
      </c>
      <c r="Q91" s="11">
        <v>6.569999999999998</v>
      </c>
      <c r="R91" s="11">
        <v>43.12</v>
      </c>
      <c r="S91" s="11">
        <v>49.69</v>
      </c>
      <c r="T91" s="11">
        <v>2</v>
      </c>
      <c r="U91" s="11">
        <v>3</v>
      </c>
      <c r="V91" s="11">
        <v>44.69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40</v>
      </c>
      <c r="E92" s="7" t="s">
        <v>82</v>
      </c>
      <c r="F92" s="7" t="s">
        <v>78</v>
      </c>
      <c r="G92" s="7"/>
      <c r="H92" s="7" t="s">
        <v>100</v>
      </c>
      <c r="I92" s="11">
        <v>2</v>
      </c>
      <c r="J92" s="11">
        <v>3</v>
      </c>
      <c r="K92" s="11">
        <v>0.95</v>
      </c>
      <c r="L92" s="11">
        <v>4.62</v>
      </c>
      <c r="M92" s="11">
        <v>1</v>
      </c>
      <c r="N92" s="11">
        <v>0</v>
      </c>
      <c r="O92" s="11">
        <v>0.54</v>
      </c>
      <c r="P92" s="11">
        <v>0</v>
      </c>
      <c r="Q92" s="11">
        <v>7.110000000000001</v>
      </c>
      <c r="R92" s="11">
        <v>47.48</v>
      </c>
      <c r="S92" s="11">
        <v>54.59</v>
      </c>
      <c r="T92" s="11">
        <v>2</v>
      </c>
      <c r="U92" s="11">
        <v>3</v>
      </c>
      <c r="V92" s="11">
        <v>49.59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74</v>
      </c>
      <c r="E93" s="7" t="s">
        <v>77</v>
      </c>
      <c r="F93" s="7" t="s">
        <v>78</v>
      </c>
      <c r="G93" s="7"/>
      <c r="H93" s="7" t="s">
        <v>143</v>
      </c>
      <c r="I93" s="11">
        <v>2</v>
      </c>
      <c r="J93" s="11">
        <v>3</v>
      </c>
      <c r="K93" s="11">
        <v>0.95</v>
      </c>
      <c r="L93" s="11">
        <v>4.470000000000001</v>
      </c>
      <c r="M93" s="11">
        <v>0.5</v>
      </c>
      <c r="N93" s="11">
        <v>0</v>
      </c>
      <c r="O93" s="11">
        <v>1.82</v>
      </c>
      <c r="P93" s="11">
        <v>0</v>
      </c>
      <c r="Q93" s="11">
        <v>7.739999999999999</v>
      </c>
      <c r="R93" s="11">
        <v>44.59</v>
      </c>
      <c r="S93" s="11">
        <v>52.33</v>
      </c>
      <c r="T93" s="11">
        <v>2</v>
      </c>
      <c r="U93" s="11">
        <v>3</v>
      </c>
      <c r="V93" s="11">
        <v>47.33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85</v>
      </c>
      <c r="E94" s="7" t="s">
        <v>66</v>
      </c>
      <c r="F94" s="7" t="s">
        <v>78</v>
      </c>
      <c r="G94" s="7"/>
      <c r="H94" s="7" t="s">
        <v>52</v>
      </c>
      <c r="I94" s="11">
        <v>2</v>
      </c>
      <c r="J94" s="11">
        <v>3</v>
      </c>
      <c r="K94" s="11">
        <v>0</v>
      </c>
      <c r="L94" s="11">
        <v>4.760000000000001</v>
      </c>
      <c r="M94" s="11">
        <v>0.33</v>
      </c>
      <c r="N94" s="11">
        <v>0</v>
      </c>
      <c r="O94" s="11">
        <v>0.5800000000000001</v>
      </c>
      <c r="P94" s="11">
        <v>0</v>
      </c>
      <c r="Q94" s="11">
        <v>5.670000000000001</v>
      </c>
      <c r="R94" s="11">
        <v>37.91999999999999</v>
      </c>
      <c r="S94" s="11">
        <v>43.59</v>
      </c>
      <c r="T94" s="11">
        <v>2</v>
      </c>
      <c r="U94" s="11">
        <v>3</v>
      </c>
      <c r="V94" s="11">
        <v>38.59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46</v>
      </c>
      <c r="E95" s="7" t="s">
        <v>82</v>
      </c>
      <c r="F95" s="7" t="s">
        <v>78</v>
      </c>
      <c r="G95" s="7"/>
      <c r="H95" s="7" t="s">
        <v>100</v>
      </c>
      <c r="I95" s="11">
        <v>2</v>
      </c>
      <c r="J95" s="11">
        <v>3</v>
      </c>
      <c r="K95" s="11">
        <v>0.95</v>
      </c>
      <c r="L95" s="11">
        <v>8.970000000000004</v>
      </c>
      <c r="M95" s="11">
        <v>0.8400000000000001</v>
      </c>
      <c r="N95" s="11">
        <v>0</v>
      </c>
      <c r="O95" s="11">
        <v>0.42</v>
      </c>
      <c r="P95" s="11">
        <v>0</v>
      </c>
      <c r="Q95" s="11">
        <v>11.18</v>
      </c>
      <c r="R95" s="11">
        <v>41.76</v>
      </c>
      <c r="S95" s="11">
        <v>52.94</v>
      </c>
      <c r="T95" s="11">
        <v>2</v>
      </c>
      <c r="U95" s="11">
        <v>3</v>
      </c>
      <c r="V95" s="11">
        <v>47.94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85</v>
      </c>
      <c r="E96" s="7" t="s">
        <v>116</v>
      </c>
      <c r="F96" s="7" t="s">
        <v>117</v>
      </c>
      <c r="G96" s="7"/>
      <c r="H96" s="7" t="s">
        <v>143</v>
      </c>
      <c r="I96" s="11">
        <v>2</v>
      </c>
      <c r="J96" s="11">
        <v>3</v>
      </c>
      <c r="K96" s="11">
        <v>0.95</v>
      </c>
      <c r="L96" s="11">
        <v>4.020000000000001</v>
      </c>
      <c r="M96" s="11">
        <v>0.8400000000000001</v>
      </c>
      <c r="N96" s="11">
        <v>0</v>
      </c>
      <c r="O96" s="11">
        <v>0.8999999999999999</v>
      </c>
      <c r="P96" s="11">
        <v>0</v>
      </c>
      <c r="Q96" s="11">
        <v>6.71</v>
      </c>
      <c r="R96" s="11">
        <v>37.29000000000001</v>
      </c>
      <c r="S96" s="11">
        <v>44.00000000000001</v>
      </c>
      <c r="T96" s="11">
        <v>2</v>
      </c>
      <c r="U96" s="11">
        <v>3</v>
      </c>
      <c r="V96" s="11">
        <v>39.00000000000001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74</v>
      </c>
      <c r="E97" s="7" t="s">
        <v>77</v>
      </c>
      <c r="F97" s="7" t="s">
        <v>78</v>
      </c>
      <c r="G97" s="7"/>
      <c r="H97" s="7" t="s">
        <v>52</v>
      </c>
      <c r="I97" s="11">
        <v>2</v>
      </c>
      <c r="J97" s="11">
        <v>3</v>
      </c>
      <c r="K97" s="11">
        <v>0</v>
      </c>
      <c r="L97" s="11">
        <v>7.039999999999994</v>
      </c>
      <c r="M97" s="11">
        <v>0.8300000000000001</v>
      </c>
      <c r="N97" s="11">
        <v>0</v>
      </c>
      <c r="O97" s="11">
        <v>0.9000000000000001</v>
      </c>
      <c r="P97" s="11">
        <v>0</v>
      </c>
      <c r="Q97" s="11">
        <v>8.769999999999994</v>
      </c>
      <c r="R97" s="11">
        <v>47.45999999999999</v>
      </c>
      <c r="S97" s="11">
        <v>56.22999999999998</v>
      </c>
      <c r="T97" s="11">
        <v>2</v>
      </c>
      <c r="U97" s="11">
        <v>3</v>
      </c>
      <c r="V97" s="11">
        <v>51.22999999999998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74</v>
      </c>
      <c r="E98" s="7" t="s">
        <v>77</v>
      </c>
      <c r="F98" s="7" t="s">
        <v>78</v>
      </c>
      <c r="G98" s="7"/>
      <c r="H98" s="7" t="s">
        <v>52</v>
      </c>
      <c r="I98" s="11">
        <v>2</v>
      </c>
      <c r="J98" s="11">
        <v>3</v>
      </c>
      <c r="K98" s="11">
        <v>0</v>
      </c>
      <c r="L98" s="11">
        <v>6.11</v>
      </c>
      <c r="M98" s="11">
        <v>0.8300000000000001</v>
      </c>
      <c r="N98" s="11">
        <v>0</v>
      </c>
      <c r="O98" s="11">
        <v>1.62</v>
      </c>
      <c r="P98" s="11">
        <v>0</v>
      </c>
      <c r="Q98" s="11">
        <v>8.56</v>
      </c>
      <c r="R98" s="11">
        <v>42.23999999999999</v>
      </c>
      <c r="S98" s="11">
        <v>50.8</v>
      </c>
      <c r="T98" s="11">
        <v>2</v>
      </c>
      <c r="U98" s="11">
        <v>3</v>
      </c>
      <c r="V98" s="11">
        <v>45.8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85</v>
      </c>
      <c r="E99" s="7" t="s">
        <v>77</v>
      </c>
      <c r="F99" s="7" t="s">
        <v>78</v>
      </c>
      <c r="G99" s="7"/>
      <c r="H99" s="7" t="s">
        <v>52</v>
      </c>
      <c r="I99" s="11">
        <v>2</v>
      </c>
      <c r="J99" s="11">
        <v>3</v>
      </c>
      <c r="K99" s="11">
        <v>0</v>
      </c>
      <c r="L99" s="11">
        <v>4.030000000000001</v>
      </c>
      <c r="M99" s="11">
        <v>0.5</v>
      </c>
      <c r="N99" s="11">
        <v>0</v>
      </c>
      <c r="O99" s="11">
        <v>0.38</v>
      </c>
      <c r="P99" s="11">
        <v>0</v>
      </c>
      <c r="Q99" s="11">
        <v>4.910000000000001</v>
      </c>
      <c r="R99" s="11">
        <v>33.95999999999999</v>
      </c>
      <c r="S99" s="11">
        <v>38.87</v>
      </c>
      <c r="T99" s="11">
        <v>2</v>
      </c>
      <c r="U99" s="11">
        <v>3</v>
      </c>
      <c r="V99" s="11">
        <v>33.87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85</v>
      </c>
      <c r="E100" s="7" t="s">
        <v>82</v>
      </c>
      <c r="F100" s="7" t="s">
        <v>78</v>
      </c>
      <c r="G100" s="7"/>
      <c r="H100" s="7" t="s">
        <v>252</v>
      </c>
      <c r="I100" s="11">
        <v>2</v>
      </c>
      <c r="J100" s="11">
        <v>3</v>
      </c>
      <c r="K100" s="11">
        <v>1.33</v>
      </c>
      <c r="L100" s="11">
        <v>4.070000000000001</v>
      </c>
      <c r="M100" s="11">
        <v>0.51</v>
      </c>
      <c r="N100" s="11">
        <v>0</v>
      </c>
      <c r="O100" s="11">
        <v>2.86</v>
      </c>
      <c r="P100" s="11">
        <v>0</v>
      </c>
      <c r="Q100" s="11">
        <v>8.770000000000001</v>
      </c>
      <c r="R100" s="11">
        <v>53.71000000000001</v>
      </c>
      <c r="S100" s="11">
        <v>62.48000000000001</v>
      </c>
      <c r="T100" s="11">
        <v>2</v>
      </c>
      <c r="U100" s="11">
        <v>3</v>
      </c>
      <c r="V100" s="11">
        <v>57.48000000000001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253</v>
      </c>
      <c r="C101" s="10" t="s">
        <v>254</v>
      </c>
      <c r="D101" s="7" t="s">
        <v>74</v>
      </c>
      <c r="E101" s="7" t="s">
        <v>77</v>
      </c>
      <c r="F101" s="7" t="s">
        <v>78</v>
      </c>
      <c r="G101" s="7"/>
      <c r="H101" s="7" t="s">
        <v>52</v>
      </c>
      <c r="I101" s="11">
        <v>2</v>
      </c>
      <c r="J101" s="11">
        <v>3</v>
      </c>
      <c r="K101" s="11">
        <v>0</v>
      </c>
      <c r="L101" s="11">
        <v>5.099999999999999</v>
      </c>
      <c r="M101" s="11">
        <v>0.8300000000000001</v>
      </c>
      <c r="N101" s="11">
        <v>0</v>
      </c>
      <c r="O101" s="11">
        <v>1.06</v>
      </c>
      <c r="P101" s="11">
        <v>0</v>
      </c>
      <c r="Q101" s="11">
        <v>6.989999999999998</v>
      </c>
      <c r="R101" s="11">
        <v>31.03</v>
      </c>
      <c r="S101" s="11">
        <v>38.02</v>
      </c>
      <c r="T101" s="11">
        <v>2</v>
      </c>
      <c r="U101" s="11">
        <v>3</v>
      </c>
      <c r="V101" s="11">
        <v>33.02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255</v>
      </c>
      <c r="C102" s="10" t="s">
        <v>256</v>
      </c>
      <c r="D102" s="7" t="s">
        <v>58</v>
      </c>
      <c r="E102" s="7" t="s">
        <v>77</v>
      </c>
      <c r="F102" s="7" t="s">
        <v>78</v>
      </c>
      <c r="G102" s="7"/>
      <c r="H102" s="7" t="s">
        <v>52</v>
      </c>
      <c r="I102" s="11">
        <v>2</v>
      </c>
      <c r="J102" s="11">
        <v>3</v>
      </c>
      <c r="K102" s="11">
        <v>0</v>
      </c>
      <c r="L102" s="11">
        <v>7.749999999999999</v>
      </c>
      <c r="M102" s="11">
        <v>0.5</v>
      </c>
      <c r="N102" s="11">
        <v>0</v>
      </c>
      <c r="O102" s="11">
        <v>0</v>
      </c>
      <c r="P102" s="11">
        <v>0</v>
      </c>
      <c r="Q102" s="11">
        <v>8.25</v>
      </c>
      <c r="R102" s="11">
        <v>38.9</v>
      </c>
      <c r="S102" s="11">
        <v>47.15</v>
      </c>
      <c r="T102" s="11">
        <v>2</v>
      </c>
      <c r="U102" s="11">
        <v>3</v>
      </c>
      <c r="V102" s="11">
        <v>42.15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257</v>
      </c>
      <c r="C103" s="10" t="s">
        <v>258</v>
      </c>
      <c r="D103" s="7" t="s">
        <v>90</v>
      </c>
      <c r="E103" s="7" t="s">
        <v>77</v>
      </c>
      <c r="F103" s="7" t="s">
        <v>78</v>
      </c>
      <c r="G103" s="7"/>
      <c r="H103" s="7" t="s">
        <v>143</v>
      </c>
      <c r="I103" s="11">
        <v>2</v>
      </c>
      <c r="J103" s="11">
        <v>3</v>
      </c>
      <c r="K103" s="11">
        <v>0.95</v>
      </c>
      <c r="L103" s="11">
        <v>3.700000000000002</v>
      </c>
      <c r="M103" s="11">
        <v>0.8400000000000001</v>
      </c>
      <c r="N103" s="11">
        <v>0</v>
      </c>
      <c r="O103" s="11">
        <v>1</v>
      </c>
      <c r="P103" s="11">
        <v>0</v>
      </c>
      <c r="Q103" s="11">
        <v>6.490000000000002</v>
      </c>
      <c r="R103" s="11">
        <v>28.84000000000001</v>
      </c>
      <c r="S103" s="11">
        <v>35.33000000000001</v>
      </c>
      <c r="T103" s="11">
        <v>2</v>
      </c>
      <c r="U103" s="11">
        <v>3</v>
      </c>
      <c r="V103" s="11">
        <v>30.33000000000001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259</v>
      </c>
      <c r="C104" s="10" t="s">
        <v>260</v>
      </c>
      <c r="D104" s="7" t="s">
        <v>85</v>
      </c>
      <c r="E104" s="7" t="s">
        <v>77</v>
      </c>
      <c r="F104" s="7" t="s">
        <v>78</v>
      </c>
      <c r="G104" s="7"/>
      <c r="H104" s="7" t="s">
        <v>52</v>
      </c>
      <c r="I104" s="11">
        <v>2</v>
      </c>
      <c r="J104" s="11">
        <v>3</v>
      </c>
      <c r="K104" s="11">
        <v>0</v>
      </c>
      <c r="L104" s="11">
        <v>4.520000000000001</v>
      </c>
      <c r="M104" s="11">
        <v>0.8300000000000001</v>
      </c>
      <c r="N104" s="11">
        <v>0</v>
      </c>
      <c r="O104" s="11">
        <v>0.18</v>
      </c>
      <c r="P104" s="11">
        <v>0</v>
      </c>
      <c r="Q104" s="11">
        <v>5.53</v>
      </c>
      <c r="R104" s="11">
        <v>29.01000000000001</v>
      </c>
      <c r="S104" s="11">
        <v>34.54000000000001</v>
      </c>
      <c r="T104" s="11">
        <v>2</v>
      </c>
      <c r="U104" s="11">
        <v>3</v>
      </c>
      <c r="V104" s="11">
        <v>29.54000000000001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261</v>
      </c>
      <c r="C105" s="10" t="s">
        <v>262</v>
      </c>
      <c r="D105" s="7" t="s">
        <v>81</v>
      </c>
      <c r="E105" s="7" t="s">
        <v>116</v>
      </c>
      <c r="F105" s="7" t="s">
        <v>117</v>
      </c>
      <c r="G105" s="7"/>
      <c r="H105" s="7" t="s">
        <v>52</v>
      </c>
      <c r="I105" s="11">
        <v>2</v>
      </c>
      <c r="J105" s="11">
        <v>3</v>
      </c>
      <c r="K105" s="11">
        <v>0</v>
      </c>
      <c r="L105" s="11">
        <v>3.62</v>
      </c>
      <c r="M105" s="11">
        <v>0.8400000000000001</v>
      </c>
      <c r="N105" s="11">
        <v>0</v>
      </c>
      <c r="O105" s="11">
        <v>0.21</v>
      </c>
      <c r="P105" s="11">
        <v>0</v>
      </c>
      <c r="Q105" s="11">
        <v>4.67</v>
      </c>
      <c r="R105" s="11">
        <v>34.47000000000001</v>
      </c>
      <c r="S105" s="11">
        <v>39.14000000000001</v>
      </c>
      <c r="T105" s="11">
        <v>2</v>
      </c>
      <c r="U105" s="11">
        <v>3</v>
      </c>
      <c r="V105" s="11">
        <v>34.14000000000001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263</v>
      </c>
      <c r="C106" s="10" t="s">
        <v>264</v>
      </c>
      <c r="D106" s="7" t="s">
        <v>90</v>
      </c>
      <c r="E106" s="7" t="s">
        <v>77</v>
      </c>
      <c r="F106" s="7" t="s">
        <v>78</v>
      </c>
      <c r="G106" s="7"/>
      <c r="H106" s="7" t="s">
        <v>52</v>
      </c>
      <c r="I106" s="11">
        <v>2</v>
      </c>
      <c r="J106" s="11">
        <v>3</v>
      </c>
      <c r="K106" s="11">
        <v>0</v>
      </c>
      <c r="L106" s="11">
        <v>6.040000000000002</v>
      </c>
      <c r="M106" s="11">
        <v>0</v>
      </c>
      <c r="N106" s="11">
        <v>0</v>
      </c>
      <c r="O106" s="11">
        <v>1.14</v>
      </c>
      <c r="P106" s="11">
        <v>0</v>
      </c>
      <c r="Q106" s="11">
        <v>7.180000000000001</v>
      </c>
      <c r="R106" s="11">
        <v>28.75999999999999</v>
      </c>
      <c r="S106" s="11">
        <v>35.94</v>
      </c>
      <c r="T106" s="11">
        <v>2</v>
      </c>
      <c r="U106" s="11">
        <v>3</v>
      </c>
      <c r="V106" s="11">
        <v>30.94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265</v>
      </c>
      <c r="C107" s="10" t="s">
        <v>266</v>
      </c>
      <c r="D107" s="7" t="s">
        <v>85</v>
      </c>
      <c r="E107" s="7" t="s">
        <v>77</v>
      </c>
      <c r="F107" s="7" t="s">
        <v>78</v>
      </c>
      <c r="G107" s="7"/>
      <c r="H107" s="7" t="s">
        <v>52</v>
      </c>
      <c r="I107" s="11">
        <v>2</v>
      </c>
      <c r="J107" s="11">
        <v>3</v>
      </c>
      <c r="K107" s="11">
        <v>0</v>
      </c>
      <c r="L107" s="11">
        <v>4.340000000000001</v>
      </c>
      <c r="M107" s="11">
        <v>0.67</v>
      </c>
      <c r="N107" s="11">
        <v>0</v>
      </c>
      <c r="O107" s="11">
        <v>0.5</v>
      </c>
      <c r="P107" s="11">
        <v>0</v>
      </c>
      <c r="Q107" s="11">
        <v>5.509999999999999</v>
      </c>
      <c r="R107" s="11">
        <v>29.57</v>
      </c>
      <c r="S107" s="11">
        <v>35.08</v>
      </c>
      <c r="T107" s="11">
        <v>2</v>
      </c>
      <c r="U107" s="11">
        <v>3</v>
      </c>
      <c r="V107" s="11">
        <v>30.08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267</v>
      </c>
      <c r="C108" s="10" t="s">
        <v>268</v>
      </c>
      <c r="D108" s="7" t="s">
        <v>40</v>
      </c>
      <c r="E108" s="7" t="s">
        <v>77</v>
      </c>
      <c r="F108" s="7" t="s">
        <v>78</v>
      </c>
      <c r="G108" s="7"/>
      <c r="H108" s="7" t="s">
        <v>52</v>
      </c>
      <c r="I108" s="11">
        <v>2</v>
      </c>
      <c r="J108" s="11">
        <v>3</v>
      </c>
      <c r="K108" s="11">
        <v>0</v>
      </c>
      <c r="L108" s="11">
        <v>5.519999999999999</v>
      </c>
      <c r="M108" s="11">
        <v>0.17</v>
      </c>
      <c r="N108" s="11">
        <v>0</v>
      </c>
      <c r="O108" s="11">
        <v>0.1</v>
      </c>
      <c r="P108" s="11">
        <v>0</v>
      </c>
      <c r="Q108" s="11">
        <v>5.789999999999998</v>
      </c>
      <c r="R108" s="11">
        <v>25.95</v>
      </c>
      <c r="S108" s="11">
        <v>31.74</v>
      </c>
      <c r="T108" s="11">
        <v>2</v>
      </c>
      <c r="U108" s="11">
        <v>3</v>
      </c>
      <c r="V108" s="11">
        <v>26.74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269</v>
      </c>
      <c r="C109" s="10" t="s">
        <v>270</v>
      </c>
      <c r="D109" s="7" t="s">
        <v>113</v>
      </c>
      <c r="E109" s="7" t="s">
        <v>77</v>
      </c>
      <c r="F109" s="7" t="s">
        <v>78</v>
      </c>
      <c r="G109" s="7"/>
      <c r="H109" s="7" t="s">
        <v>100</v>
      </c>
      <c r="I109" s="11">
        <v>2</v>
      </c>
      <c r="J109" s="11">
        <v>3</v>
      </c>
      <c r="K109" s="11">
        <v>0.95</v>
      </c>
      <c r="L109" s="11">
        <v>9.110000000000001</v>
      </c>
      <c r="M109" s="11">
        <v>1</v>
      </c>
      <c r="N109" s="11">
        <v>0</v>
      </c>
      <c r="O109" s="11">
        <v>0.3</v>
      </c>
      <c r="P109" s="11">
        <v>0</v>
      </c>
      <c r="Q109" s="11">
        <v>11.36</v>
      </c>
      <c r="R109" s="11">
        <v>58.14999999999998</v>
      </c>
      <c r="S109" s="11">
        <v>69.50999999999999</v>
      </c>
      <c r="T109" s="11">
        <v>2</v>
      </c>
      <c r="U109" s="11">
        <v>3</v>
      </c>
      <c r="V109" s="11">
        <v>64.50999999999999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271</v>
      </c>
      <c r="C110" s="10" t="s">
        <v>272</v>
      </c>
      <c r="D110" s="7" t="s">
        <v>74</v>
      </c>
      <c r="E110" s="7" t="s">
        <v>273</v>
      </c>
      <c r="F110" s="7" t="s">
        <v>274</v>
      </c>
      <c r="G110" s="7"/>
      <c r="H110" s="7" t="s">
        <v>100</v>
      </c>
      <c r="I110" s="11">
        <v>2</v>
      </c>
      <c r="J110" s="11">
        <v>3</v>
      </c>
      <c r="K110" s="11">
        <v>0.95</v>
      </c>
      <c r="L110" s="11">
        <v>2.81</v>
      </c>
      <c r="M110" s="11">
        <v>1.01</v>
      </c>
      <c r="N110" s="11">
        <v>0</v>
      </c>
      <c r="O110" s="11">
        <v>1.02</v>
      </c>
      <c r="P110" s="11">
        <v>0</v>
      </c>
      <c r="Q110" s="11">
        <v>5.79</v>
      </c>
      <c r="R110" s="11">
        <v>41.68000000000001</v>
      </c>
      <c r="S110" s="11">
        <v>47.47000000000001</v>
      </c>
      <c r="T110" s="11">
        <v>2</v>
      </c>
      <c r="U110" s="11">
        <v>3</v>
      </c>
      <c r="V110" s="11">
        <v>42.47000000000001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275</v>
      </c>
      <c r="C111" s="10" t="s">
        <v>276</v>
      </c>
      <c r="D111" s="7" t="s">
        <v>93</v>
      </c>
      <c r="E111" s="7" t="s">
        <v>273</v>
      </c>
      <c r="F111" s="7" t="s">
        <v>274</v>
      </c>
      <c r="G111" s="7"/>
      <c r="H111" s="7" t="s">
        <v>52</v>
      </c>
      <c r="I111" s="11">
        <v>2</v>
      </c>
      <c r="J111" s="11">
        <v>3</v>
      </c>
      <c r="K111" s="11">
        <v>0</v>
      </c>
      <c r="L111" s="11">
        <v>2.57</v>
      </c>
      <c r="M111" s="11">
        <v>0.17</v>
      </c>
      <c r="N111" s="11">
        <v>0</v>
      </c>
      <c r="O111" s="11">
        <v>0</v>
      </c>
      <c r="P111" s="11">
        <v>0</v>
      </c>
      <c r="Q111" s="11">
        <v>2.74</v>
      </c>
      <c r="R111" s="11">
        <v>12.72</v>
      </c>
      <c r="S111" s="11">
        <v>15.46</v>
      </c>
      <c r="T111" s="11">
        <v>2</v>
      </c>
      <c r="U111" s="11">
        <v>3</v>
      </c>
      <c r="V111" s="11">
        <v>10.46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277</v>
      </c>
      <c r="C112" s="10" t="s">
        <v>278</v>
      </c>
      <c r="D112" s="7" t="s">
        <v>93</v>
      </c>
      <c r="E112" s="7" t="s">
        <v>279</v>
      </c>
      <c r="F112" s="7" t="s">
        <v>274</v>
      </c>
      <c r="G112" s="7"/>
      <c r="H112" s="7" t="s">
        <v>52</v>
      </c>
      <c r="I112" s="11">
        <v>2</v>
      </c>
      <c r="J112" s="11">
        <v>3</v>
      </c>
      <c r="K112" s="11">
        <v>0</v>
      </c>
      <c r="L112" s="11">
        <v>4.829999999999997</v>
      </c>
      <c r="M112" s="11">
        <v>0.41</v>
      </c>
      <c r="N112" s="11">
        <v>0</v>
      </c>
      <c r="O112" s="11">
        <v>0.8999999999999999</v>
      </c>
      <c r="P112" s="11">
        <v>0</v>
      </c>
      <c r="Q112" s="11">
        <v>6.139999999999999</v>
      </c>
      <c r="R112" s="11">
        <v>38.67</v>
      </c>
      <c r="S112" s="11">
        <v>44.81</v>
      </c>
      <c r="T112" s="11">
        <v>2</v>
      </c>
      <c r="U112" s="11">
        <v>3</v>
      </c>
      <c r="V112" s="11">
        <v>39.81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46</v>
      </c>
      <c r="E113" s="7" t="s">
        <v>273</v>
      </c>
      <c r="F113" s="7" t="s">
        <v>274</v>
      </c>
      <c r="G113" s="7"/>
      <c r="H113" s="7" t="s">
        <v>52</v>
      </c>
      <c r="I113" s="11">
        <v>2</v>
      </c>
      <c r="J113" s="11">
        <v>3</v>
      </c>
      <c r="K113" s="11">
        <v>0</v>
      </c>
      <c r="L113" s="11">
        <v>6.439999999999997</v>
      </c>
      <c r="M113" s="11">
        <v>0.34</v>
      </c>
      <c r="N113" s="11">
        <v>0</v>
      </c>
      <c r="O113" s="11">
        <v>0.18</v>
      </c>
      <c r="P113" s="11">
        <v>0</v>
      </c>
      <c r="Q113" s="11">
        <v>6.959999999999996</v>
      </c>
      <c r="R113" s="11">
        <v>27.64</v>
      </c>
      <c r="S113" s="11">
        <v>34.6</v>
      </c>
      <c r="T113" s="11">
        <v>2</v>
      </c>
      <c r="U113" s="11">
        <v>3</v>
      </c>
      <c r="V113" s="11">
        <v>29.6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93</v>
      </c>
      <c r="E114" s="7" t="s">
        <v>273</v>
      </c>
      <c r="F114" s="7" t="s">
        <v>274</v>
      </c>
      <c r="G114" s="7"/>
      <c r="H114" s="7" t="s">
        <v>52</v>
      </c>
      <c r="I114" s="11">
        <v>2</v>
      </c>
      <c r="J114" s="11">
        <v>3</v>
      </c>
      <c r="K114" s="11">
        <v>0</v>
      </c>
      <c r="L114" s="11">
        <v>4.23</v>
      </c>
      <c r="M114" s="11">
        <v>0.25</v>
      </c>
      <c r="N114" s="11">
        <v>0</v>
      </c>
      <c r="O114" s="11">
        <v>0.66</v>
      </c>
      <c r="P114" s="11">
        <v>0</v>
      </c>
      <c r="Q114" s="11">
        <v>5.14</v>
      </c>
      <c r="R114" s="11">
        <v>33.24000000000001</v>
      </c>
      <c r="S114" s="11">
        <v>38.38000000000001</v>
      </c>
      <c r="T114" s="11">
        <v>2</v>
      </c>
      <c r="U114" s="11">
        <v>3</v>
      </c>
      <c r="V114" s="11">
        <v>33.38000000000001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81</v>
      </c>
      <c r="E115" s="7" t="s">
        <v>273</v>
      </c>
      <c r="F115" s="7" t="s">
        <v>274</v>
      </c>
      <c r="G115" s="7"/>
      <c r="H115" s="7" t="s">
        <v>52</v>
      </c>
      <c r="I115" s="11">
        <v>2</v>
      </c>
      <c r="J115" s="11">
        <v>3</v>
      </c>
      <c r="K115" s="11">
        <v>0</v>
      </c>
      <c r="L115" s="11">
        <v>4.090000000000001</v>
      </c>
      <c r="M115" s="11">
        <v>1.08</v>
      </c>
      <c r="N115" s="11">
        <v>0</v>
      </c>
      <c r="O115" s="11">
        <v>0.2</v>
      </c>
      <c r="P115" s="11">
        <v>0</v>
      </c>
      <c r="Q115" s="11">
        <v>5.37</v>
      </c>
      <c r="R115" s="11">
        <v>29.49</v>
      </c>
      <c r="S115" s="11">
        <v>34.86</v>
      </c>
      <c r="T115" s="11">
        <v>2</v>
      </c>
      <c r="U115" s="11">
        <v>3</v>
      </c>
      <c r="V115" s="11">
        <v>29.86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40</v>
      </c>
      <c r="E116" s="7" t="s">
        <v>273</v>
      </c>
      <c r="F116" s="7" t="s">
        <v>274</v>
      </c>
      <c r="G116" s="7"/>
      <c r="H116" s="7" t="s">
        <v>52</v>
      </c>
      <c r="I116" s="11">
        <v>2</v>
      </c>
      <c r="J116" s="11">
        <v>3</v>
      </c>
      <c r="K116" s="11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0</v>
      </c>
      <c r="Q116" s="11">
        <v>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93</v>
      </c>
      <c r="E117" s="7" t="s">
        <v>273</v>
      </c>
      <c r="F117" s="7" t="s">
        <v>274</v>
      </c>
      <c r="G117" s="7"/>
      <c r="H117" s="7" t="s">
        <v>52</v>
      </c>
      <c r="I117" s="11">
        <v>2</v>
      </c>
      <c r="J117" s="11">
        <v>3</v>
      </c>
      <c r="K117" s="11">
        <v>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0.18</v>
      </c>
      <c r="S117" s="11">
        <v>0.18</v>
      </c>
      <c r="T117" s="11">
        <v>0.18</v>
      </c>
      <c r="U117" s="11">
        <v>0</v>
      </c>
      <c r="V117" s="11">
        <v>0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74</v>
      </c>
      <c r="E118" s="7" t="s">
        <v>116</v>
      </c>
      <c r="F118" s="7" t="s">
        <v>274</v>
      </c>
      <c r="G118" s="7"/>
      <c r="H118" s="7" t="s">
        <v>52</v>
      </c>
      <c r="I118" s="11">
        <v>2</v>
      </c>
      <c r="J118" s="11">
        <v>3</v>
      </c>
      <c r="K118" s="11">
        <v>0</v>
      </c>
      <c r="L118" s="11">
        <v>5.950000000000001</v>
      </c>
      <c r="M118" s="11">
        <v>0.8400000000000001</v>
      </c>
      <c r="N118" s="11">
        <v>0</v>
      </c>
      <c r="O118" s="11">
        <v>1.48</v>
      </c>
      <c r="P118" s="11">
        <v>0</v>
      </c>
      <c r="Q118" s="11">
        <v>8.270000000000001</v>
      </c>
      <c r="R118" s="11">
        <v>40.23</v>
      </c>
      <c r="S118" s="11">
        <v>48.50000000000001</v>
      </c>
      <c r="T118" s="11">
        <v>2</v>
      </c>
      <c r="U118" s="11">
        <v>3</v>
      </c>
      <c r="V118" s="11">
        <v>43.50000000000001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74</v>
      </c>
      <c r="E119" s="7" t="s">
        <v>116</v>
      </c>
      <c r="F119" s="7" t="s">
        <v>274</v>
      </c>
      <c r="G119" s="7"/>
      <c r="H119" s="7" t="s">
        <v>110</v>
      </c>
      <c r="I119" s="11">
        <v>2</v>
      </c>
      <c r="J119" s="11">
        <v>3</v>
      </c>
      <c r="K119" s="11">
        <v>0.95</v>
      </c>
      <c r="L119" s="11">
        <v>5.08</v>
      </c>
      <c r="M119" s="11">
        <v>0.67</v>
      </c>
      <c r="N119" s="11">
        <v>0</v>
      </c>
      <c r="O119" s="11">
        <v>2.16</v>
      </c>
      <c r="P119" s="11">
        <v>0</v>
      </c>
      <c r="Q119" s="11">
        <v>8.859999999999999</v>
      </c>
      <c r="R119" s="11">
        <v>40.7</v>
      </c>
      <c r="S119" s="11">
        <v>49.56</v>
      </c>
      <c r="T119" s="11">
        <v>2</v>
      </c>
      <c r="U119" s="11">
        <v>3</v>
      </c>
      <c r="V119" s="11">
        <v>44.56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296</v>
      </c>
      <c r="E120" s="7" t="s">
        <v>273</v>
      </c>
      <c r="F120" s="7" t="s">
        <v>274</v>
      </c>
      <c r="G120" s="7"/>
      <c r="H120" s="7" t="s">
        <v>52</v>
      </c>
      <c r="I120" s="11">
        <v>2</v>
      </c>
      <c r="J120" s="11">
        <v>3</v>
      </c>
      <c r="K120" s="11">
        <v>0</v>
      </c>
      <c r="L120" s="11">
        <v>3.300000000000001</v>
      </c>
      <c r="M120" s="11">
        <v>0.25</v>
      </c>
      <c r="N120" s="11">
        <v>0</v>
      </c>
      <c r="O120" s="11">
        <v>0</v>
      </c>
      <c r="P120" s="11">
        <v>0</v>
      </c>
      <c r="Q120" s="11">
        <v>3.550000000000001</v>
      </c>
      <c r="R120" s="11">
        <v>28.3</v>
      </c>
      <c r="S120" s="11">
        <v>31.85</v>
      </c>
      <c r="T120" s="11">
        <v>2</v>
      </c>
      <c r="U120" s="11">
        <v>3</v>
      </c>
      <c r="V120" s="11">
        <v>26.85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297</v>
      </c>
      <c r="C121" s="10" t="s">
        <v>298</v>
      </c>
      <c r="D121" s="7" t="s">
        <v>40</v>
      </c>
      <c r="E121" s="7" t="s">
        <v>116</v>
      </c>
      <c r="F121" s="7" t="s">
        <v>274</v>
      </c>
      <c r="G121" s="7"/>
      <c r="H121" s="7" t="s">
        <v>52</v>
      </c>
      <c r="I121" s="11">
        <v>2</v>
      </c>
      <c r="J121" s="11">
        <v>3</v>
      </c>
      <c r="K121" s="11">
        <v>0</v>
      </c>
      <c r="L121" s="11">
        <v>5.440000000000001</v>
      </c>
      <c r="M121" s="11">
        <v>1.98</v>
      </c>
      <c r="N121" s="11">
        <v>0</v>
      </c>
      <c r="O121" s="11">
        <v>0.1</v>
      </c>
      <c r="P121" s="11">
        <v>0</v>
      </c>
      <c r="Q121" s="11">
        <v>7.519999999999996</v>
      </c>
      <c r="R121" s="11">
        <v>29.86</v>
      </c>
      <c r="S121" s="11">
        <v>37.38</v>
      </c>
      <c r="T121" s="11">
        <v>2</v>
      </c>
      <c r="U121" s="11">
        <v>3</v>
      </c>
      <c r="V121" s="11">
        <v>32.38</v>
      </c>
      <c r="W121" s="13">
        <v>18</v>
      </c>
      <c r="X121" s="13">
        <v>27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40</v>
      </c>
      <c r="E122" s="7" t="s">
        <v>273</v>
      </c>
      <c r="F122" s="7" t="s">
        <v>274</v>
      </c>
      <c r="G122" s="7"/>
      <c r="H122" s="7" t="s">
        <v>52</v>
      </c>
      <c r="I122" s="11">
        <v>2</v>
      </c>
      <c r="J122" s="11">
        <v>3</v>
      </c>
      <c r="K122" s="11">
        <v>0</v>
      </c>
      <c r="L122" s="11">
        <v>5.429999999999999</v>
      </c>
      <c r="M122" s="11">
        <v>0.51</v>
      </c>
      <c r="N122" s="11">
        <v>0</v>
      </c>
      <c r="O122" s="11">
        <v>0.4400000000000001</v>
      </c>
      <c r="P122" s="11">
        <v>0</v>
      </c>
      <c r="Q122" s="11">
        <v>6.38</v>
      </c>
      <c r="R122" s="11">
        <v>34.31</v>
      </c>
      <c r="S122" s="11">
        <v>40.69</v>
      </c>
      <c r="T122" s="11">
        <v>2</v>
      </c>
      <c r="U122" s="11">
        <v>3</v>
      </c>
      <c r="V122" s="11">
        <v>35.69</v>
      </c>
      <c r="W122" s="13">
        <v>18</v>
      </c>
      <c r="X122" s="13">
        <v>27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90</v>
      </c>
      <c r="E123" s="7" t="s">
        <v>82</v>
      </c>
      <c r="F123" s="7" t="s">
        <v>303</v>
      </c>
      <c r="G123" s="7"/>
      <c r="H123" s="7" t="s">
        <v>304</v>
      </c>
      <c r="I123" s="11">
        <v>2</v>
      </c>
      <c r="J123" s="11">
        <v>3</v>
      </c>
      <c r="K123" s="11">
        <v>1.33</v>
      </c>
      <c r="L123" s="11">
        <v>4.240000000000002</v>
      </c>
      <c r="M123" s="11">
        <v>0.8300000000000001</v>
      </c>
      <c r="N123" s="11">
        <v>0</v>
      </c>
      <c r="O123" s="11">
        <v>3.279999999999999</v>
      </c>
      <c r="P123" s="11">
        <v>0</v>
      </c>
      <c r="Q123" s="11">
        <v>9.680000000000001</v>
      </c>
      <c r="R123" s="11">
        <v>39.11000000000001</v>
      </c>
      <c r="S123" s="11">
        <v>48.79000000000001</v>
      </c>
      <c r="T123" s="11">
        <v>2</v>
      </c>
      <c r="U123" s="11">
        <v>3</v>
      </c>
      <c r="V123" s="11">
        <v>43.79000000000001</v>
      </c>
      <c r="W123" s="13">
        <v>18</v>
      </c>
      <c r="X123" s="13">
        <v>27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305</v>
      </c>
      <c r="C124" s="10" t="s">
        <v>306</v>
      </c>
      <c r="D124" s="7" t="s">
        <v>62</v>
      </c>
      <c r="E124" s="7" t="s">
        <v>116</v>
      </c>
      <c r="F124" s="7" t="s">
        <v>274</v>
      </c>
      <c r="G124" s="7"/>
      <c r="H124" s="7" t="s">
        <v>307</v>
      </c>
      <c r="I124" s="11">
        <v>2</v>
      </c>
      <c r="J124" s="11">
        <v>3</v>
      </c>
      <c r="K124" s="11">
        <v>1</v>
      </c>
      <c r="L124" s="11">
        <v>7.039999999999998</v>
      </c>
      <c r="M124" s="11">
        <v>1.82</v>
      </c>
      <c r="N124" s="11">
        <v>0</v>
      </c>
      <c r="O124" s="11">
        <v>0.24</v>
      </c>
      <c r="P124" s="11">
        <v>0</v>
      </c>
      <c r="Q124" s="11">
        <v>10.1</v>
      </c>
      <c r="R124" s="11">
        <v>33.02</v>
      </c>
      <c r="S124" s="11">
        <v>43.11999999999999</v>
      </c>
      <c r="T124" s="11">
        <v>2</v>
      </c>
      <c r="U124" s="11">
        <v>3</v>
      </c>
      <c r="V124" s="11">
        <v>38.11999999999999</v>
      </c>
      <c r="W124" s="13">
        <v>18</v>
      </c>
      <c r="X124" s="13">
        <v>27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308</v>
      </c>
      <c r="C125" s="10" t="s">
        <v>309</v>
      </c>
      <c r="D125" s="7" t="s">
        <v>296</v>
      </c>
      <c r="E125" s="7" t="s">
        <v>273</v>
      </c>
      <c r="F125" s="7" t="s">
        <v>274</v>
      </c>
      <c r="G125" s="7"/>
      <c r="H125" s="7" t="s">
        <v>52</v>
      </c>
      <c r="I125" s="11">
        <v>2</v>
      </c>
      <c r="J125" s="11">
        <v>3</v>
      </c>
      <c r="K125" s="11">
        <v>0</v>
      </c>
      <c r="L125" s="11">
        <v>7.079999999999998</v>
      </c>
      <c r="M125" s="11">
        <v>0</v>
      </c>
      <c r="N125" s="11">
        <v>0</v>
      </c>
      <c r="O125" s="11">
        <v>0.8799999999999999</v>
      </c>
      <c r="P125" s="11">
        <v>0</v>
      </c>
      <c r="Q125" s="11">
        <v>7.959999999999998</v>
      </c>
      <c r="R125" s="11">
        <v>35.04999999999999</v>
      </c>
      <c r="S125" s="11">
        <v>43.00999999999999</v>
      </c>
      <c r="T125" s="11">
        <v>2</v>
      </c>
      <c r="U125" s="11">
        <v>3</v>
      </c>
      <c r="V125" s="11">
        <v>38.00999999999999</v>
      </c>
      <c r="W125" s="13">
        <v>18</v>
      </c>
      <c r="X125" s="13">
        <v>27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310</v>
      </c>
      <c r="C126" s="10" t="s">
        <v>311</v>
      </c>
      <c r="D126" s="7" t="s">
        <v>93</v>
      </c>
      <c r="E126" s="7" t="s">
        <v>273</v>
      </c>
      <c r="F126" s="7" t="s">
        <v>274</v>
      </c>
      <c r="G126" s="7"/>
      <c r="H126" s="7" t="s">
        <v>52</v>
      </c>
      <c r="I126" s="11">
        <v>2</v>
      </c>
      <c r="J126" s="11">
        <v>3</v>
      </c>
      <c r="K126" s="11">
        <v>0</v>
      </c>
      <c r="L126" s="11">
        <v>3.610000000000001</v>
      </c>
      <c r="M126" s="11">
        <v>1.01</v>
      </c>
      <c r="N126" s="11">
        <v>0</v>
      </c>
      <c r="O126" s="11">
        <v>0.53</v>
      </c>
      <c r="P126" s="11">
        <v>0</v>
      </c>
      <c r="Q126" s="11">
        <v>5.150000000000001</v>
      </c>
      <c r="R126" s="11">
        <v>32.84</v>
      </c>
      <c r="S126" s="11">
        <v>37.99</v>
      </c>
      <c r="T126" s="11">
        <v>2</v>
      </c>
      <c r="U126" s="11">
        <v>3</v>
      </c>
      <c r="V126" s="11">
        <v>32.99</v>
      </c>
      <c r="W126" s="13">
        <v>18</v>
      </c>
      <c r="X126" s="13">
        <v>27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312</v>
      </c>
      <c r="C127" s="10" t="s">
        <v>313</v>
      </c>
      <c r="D127" s="7" t="s">
        <v>93</v>
      </c>
      <c r="E127" s="7" t="s">
        <v>273</v>
      </c>
      <c r="F127" s="7" t="s">
        <v>274</v>
      </c>
      <c r="G127" s="7"/>
      <c r="H127" s="7" t="s">
        <v>52</v>
      </c>
      <c r="I127" s="11">
        <v>2</v>
      </c>
      <c r="J127" s="11">
        <v>3</v>
      </c>
      <c r="K127" s="11">
        <v>0</v>
      </c>
      <c r="L127" s="11">
        <v>1.08</v>
      </c>
      <c r="M127" s="11">
        <v>0</v>
      </c>
      <c r="N127" s="11">
        <v>0</v>
      </c>
      <c r="O127" s="11">
        <v>0</v>
      </c>
      <c r="P127" s="11">
        <v>0</v>
      </c>
      <c r="Q127" s="11">
        <v>1.08</v>
      </c>
      <c r="R127" s="11">
        <v>12.34</v>
      </c>
      <c r="S127" s="11">
        <v>13.42</v>
      </c>
      <c r="T127" s="11">
        <v>2</v>
      </c>
      <c r="U127" s="11">
        <v>3</v>
      </c>
      <c r="V127" s="11">
        <v>8.420000000000003</v>
      </c>
      <c r="W127" s="13">
        <v>18</v>
      </c>
      <c r="X127" s="13">
        <v>27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314</v>
      </c>
      <c r="C128" s="10" t="s">
        <v>315</v>
      </c>
      <c r="D128" s="7" t="s">
        <v>93</v>
      </c>
      <c r="E128" s="7" t="s">
        <v>273</v>
      </c>
      <c r="F128" s="7" t="s">
        <v>274</v>
      </c>
      <c r="G128" s="7"/>
      <c r="H128" s="7" t="s">
        <v>52</v>
      </c>
      <c r="I128" s="11">
        <v>2</v>
      </c>
      <c r="J128" s="11">
        <v>3</v>
      </c>
      <c r="K128" s="11">
        <v>0</v>
      </c>
      <c r="L128" s="11">
        <v>5.139999999999999</v>
      </c>
      <c r="M128" s="11">
        <v>0.08</v>
      </c>
      <c r="N128" s="11">
        <v>0</v>
      </c>
      <c r="O128" s="11">
        <v>1.12</v>
      </c>
      <c r="P128" s="11">
        <v>0</v>
      </c>
      <c r="Q128" s="11">
        <v>6.339999999999999</v>
      </c>
      <c r="R128" s="11">
        <v>35.45</v>
      </c>
      <c r="S128" s="11">
        <v>41.79</v>
      </c>
      <c r="T128" s="11">
        <v>2</v>
      </c>
      <c r="U128" s="11">
        <v>3</v>
      </c>
      <c r="V128" s="11">
        <v>36.79</v>
      </c>
      <c r="W128" s="13">
        <v>18</v>
      </c>
      <c r="X128" s="13">
        <v>27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316</v>
      </c>
      <c r="C129" s="10" t="s">
        <v>317</v>
      </c>
      <c r="D129" s="7" t="s">
        <v>93</v>
      </c>
      <c r="E129" s="7" t="s">
        <v>273</v>
      </c>
      <c r="F129" s="7" t="s">
        <v>274</v>
      </c>
      <c r="G129" s="7"/>
      <c r="H129" s="7" t="s">
        <v>52</v>
      </c>
      <c r="I129" s="11">
        <v>2</v>
      </c>
      <c r="J129" s="11">
        <v>3</v>
      </c>
      <c r="K129" s="11">
        <v>0</v>
      </c>
      <c r="L129" s="11">
        <v>4.6</v>
      </c>
      <c r="M129" s="11">
        <v>0.8400000000000001</v>
      </c>
      <c r="N129" s="11">
        <v>0</v>
      </c>
      <c r="O129" s="11">
        <v>0.3</v>
      </c>
      <c r="P129" s="11">
        <v>0</v>
      </c>
      <c r="Q129" s="11">
        <v>5.739999999999998</v>
      </c>
      <c r="R129" s="11">
        <v>36.06999999999999</v>
      </c>
      <c r="S129" s="11">
        <v>41.80999999999999</v>
      </c>
      <c r="T129" s="11">
        <v>2</v>
      </c>
      <c r="U129" s="11">
        <v>3</v>
      </c>
      <c r="V129" s="11">
        <v>36.80999999999999</v>
      </c>
      <c r="W129" s="13">
        <v>18</v>
      </c>
      <c r="X129" s="13">
        <v>27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318</v>
      </c>
      <c r="C130" s="10" t="s">
        <v>319</v>
      </c>
      <c r="D130" s="7" t="s">
        <v>320</v>
      </c>
      <c r="E130" s="7" t="s">
        <v>273</v>
      </c>
      <c r="F130" s="7" t="s">
        <v>274</v>
      </c>
      <c r="G130" s="7"/>
      <c r="H130" s="7" t="s">
        <v>307</v>
      </c>
      <c r="I130" s="11">
        <v>2</v>
      </c>
      <c r="J130" s="11">
        <v>3</v>
      </c>
      <c r="K130" s="11">
        <v>1</v>
      </c>
      <c r="L130" s="11">
        <v>11.72999999999998</v>
      </c>
      <c r="M130" s="11">
        <v>0.67</v>
      </c>
      <c r="N130" s="11">
        <v>0</v>
      </c>
      <c r="O130" s="11">
        <v>0.75</v>
      </c>
      <c r="P130" s="11">
        <v>0</v>
      </c>
      <c r="Q130" s="11">
        <v>14.14999999999997</v>
      </c>
      <c r="R130" s="11">
        <v>77.37999999999997</v>
      </c>
      <c r="S130" s="11">
        <v>91.52999999999994</v>
      </c>
      <c r="T130" s="11">
        <v>2</v>
      </c>
      <c r="U130" s="11">
        <v>3</v>
      </c>
      <c r="V130" s="11">
        <v>86.52999999999994</v>
      </c>
      <c r="W130" s="13">
        <v>18</v>
      </c>
      <c r="X130" s="13">
        <v>27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321</v>
      </c>
      <c r="C131" s="10" t="s">
        <v>322</v>
      </c>
      <c r="D131" s="7" t="s">
        <v>90</v>
      </c>
      <c r="E131" s="7" t="s">
        <v>82</v>
      </c>
      <c r="F131" s="7" t="s">
        <v>303</v>
      </c>
      <c r="G131" s="7"/>
      <c r="H131" s="7" t="s">
        <v>52</v>
      </c>
      <c r="I131" s="11">
        <v>2</v>
      </c>
      <c r="J131" s="11">
        <v>3</v>
      </c>
      <c r="K131" s="11">
        <v>0</v>
      </c>
      <c r="L131" s="11">
        <v>0</v>
      </c>
      <c r="M131" s="11">
        <v>0.17</v>
      </c>
      <c r="N131" s="11">
        <v>0</v>
      </c>
      <c r="O131" s="11">
        <v>0</v>
      </c>
      <c r="P131" s="11">
        <v>0</v>
      </c>
      <c r="Q131" s="11">
        <v>0.17</v>
      </c>
      <c r="R131" s="11">
        <v>3.04</v>
      </c>
      <c r="S131" s="11">
        <v>3.21</v>
      </c>
      <c r="T131" s="11">
        <v>2</v>
      </c>
      <c r="U131" s="11">
        <v>1.21</v>
      </c>
      <c r="V131" s="11">
        <v>0</v>
      </c>
      <c r="W131" s="13">
        <v>18</v>
      </c>
      <c r="X131" s="13">
        <v>27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323</v>
      </c>
      <c r="C132" s="10" t="s">
        <v>324</v>
      </c>
      <c r="D132" s="7" t="s">
        <v>81</v>
      </c>
      <c r="E132" s="7" t="s">
        <v>116</v>
      </c>
      <c r="F132" s="7" t="s">
        <v>274</v>
      </c>
      <c r="G132" s="7"/>
      <c r="H132" s="7" t="s">
        <v>52</v>
      </c>
      <c r="I132" s="11">
        <v>2</v>
      </c>
      <c r="J132" s="11">
        <v>3</v>
      </c>
      <c r="K132" s="11">
        <v>0</v>
      </c>
      <c r="L132" s="11">
        <v>3.220000000000001</v>
      </c>
      <c r="M132" s="11">
        <v>0.8400000000000001</v>
      </c>
      <c r="N132" s="11">
        <v>0</v>
      </c>
      <c r="O132" s="11">
        <v>0.16</v>
      </c>
      <c r="P132" s="11">
        <v>0</v>
      </c>
      <c r="Q132" s="11">
        <v>4.220000000000002</v>
      </c>
      <c r="R132" s="11">
        <v>23.63</v>
      </c>
      <c r="S132" s="11">
        <v>27.85</v>
      </c>
      <c r="T132" s="11">
        <v>2</v>
      </c>
      <c r="U132" s="11">
        <v>3</v>
      </c>
      <c r="V132" s="11">
        <v>22.85</v>
      </c>
      <c r="W132" s="13">
        <v>18</v>
      </c>
      <c r="X132" s="13">
        <v>27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325</v>
      </c>
      <c r="C133" s="10" t="s">
        <v>326</v>
      </c>
      <c r="D133" s="7" t="s">
        <v>93</v>
      </c>
      <c r="E133" s="7" t="s">
        <v>273</v>
      </c>
      <c r="F133" s="7" t="s">
        <v>274</v>
      </c>
      <c r="G133" s="7"/>
      <c r="H133" s="7" t="s">
        <v>52</v>
      </c>
      <c r="I133" s="11">
        <v>2</v>
      </c>
      <c r="J133" s="11">
        <v>3</v>
      </c>
      <c r="K133" s="11">
        <v>0</v>
      </c>
      <c r="L133" s="11">
        <v>4.020000000000001</v>
      </c>
      <c r="M133" s="11">
        <v>0.34</v>
      </c>
      <c r="N133" s="11">
        <v>0</v>
      </c>
      <c r="O133" s="11">
        <v>0.4399999999999999</v>
      </c>
      <c r="P133" s="11">
        <v>0</v>
      </c>
      <c r="Q133" s="11">
        <v>4.800000000000001</v>
      </c>
      <c r="R133" s="11">
        <v>25.87000000000001</v>
      </c>
      <c r="S133" s="11">
        <v>30.67000000000001</v>
      </c>
      <c r="T133" s="11">
        <v>2</v>
      </c>
      <c r="U133" s="11">
        <v>3</v>
      </c>
      <c r="V133" s="11">
        <v>25.67000000000001</v>
      </c>
      <c r="W133" s="13">
        <v>18</v>
      </c>
      <c r="X133" s="13">
        <v>27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327</v>
      </c>
      <c r="C134" s="10" t="s">
        <v>328</v>
      </c>
      <c r="D134" s="7" t="s">
        <v>296</v>
      </c>
      <c r="E134" s="7" t="s">
        <v>116</v>
      </c>
      <c r="F134" s="7" t="s">
        <v>274</v>
      </c>
      <c r="G134" s="7"/>
      <c r="H134" s="7" t="s">
        <v>52</v>
      </c>
      <c r="I134" s="11">
        <v>2</v>
      </c>
      <c r="J134" s="11">
        <v>3</v>
      </c>
      <c r="K134" s="11">
        <v>0</v>
      </c>
      <c r="L134" s="11">
        <v>4.78</v>
      </c>
      <c r="M134" s="11">
        <v>0.5</v>
      </c>
      <c r="N134" s="11">
        <v>0</v>
      </c>
      <c r="O134" s="11">
        <v>0</v>
      </c>
      <c r="P134" s="11">
        <v>0</v>
      </c>
      <c r="Q134" s="11">
        <v>5.279999999999999</v>
      </c>
      <c r="R134" s="11">
        <v>16.14</v>
      </c>
      <c r="S134" s="11">
        <v>21.42</v>
      </c>
      <c r="T134" s="11">
        <v>2</v>
      </c>
      <c r="U134" s="11">
        <v>3</v>
      </c>
      <c r="V134" s="11">
        <v>16.42</v>
      </c>
      <c r="W134" s="13">
        <v>18</v>
      </c>
      <c r="X134" s="13">
        <v>27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329</v>
      </c>
      <c r="C135" s="10" t="s">
        <v>330</v>
      </c>
      <c r="D135" s="7" t="s">
        <v>62</v>
      </c>
      <c r="E135" s="7" t="s">
        <v>273</v>
      </c>
      <c r="F135" s="7" t="s">
        <v>274</v>
      </c>
      <c r="G135" s="7"/>
      <c r="H135" s="7" t="s">
        <v>52</v>
      </c>
      <c r="I135" s="11">
        <v>2</v>
      </c>
      <c r="J135" s="11">
        <v>3</v>
      </c>
      <c r="K135" s="11">
        <v>0</v>
      </c>
      <c r="L135" s="11">
        <v>4.450000000000001</v>
      </c>
      <c r="M135" s="11">
        <v>0</v>
      </c>
      <c r="N135" s="11">
        <v>0</v>
      </c>
      <c r="O135" s="11">
        <v>0</v>
      </c>
      <c r="P135" s="11">
        <v>0</v>
      </c>
      <c r="Q135" s="11">
        <v>4.450000000000001</v>
      </c>
      <c r="R135" s="11">
        <v>25.92000000000001</v>
      </c>
      <c r="S135" s="11">
        <v>30.37</v>
      </c>
      <c r="T135" s="11">
        <v>2</v>
      </c>
      <c r="U135" s="11">
        <v>3</v>
      </c>
      <c r="V135" s="11">
        <v>25.37</v>
      </c>
      <c r="W135" s="13">
        <v>18</v>
      </c>
      <c r="X135" s="13">
        <v>27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331</v>
      </c>
      <c r="C136" s="10" t="s">
        <v>332</v>
      </c>
      <c r="D136" s="7" t="s">
        <v>113</v>
      </c>
      <c r="E136" s="7" t="s">
        <v>116</v>
      </c>
      <c r="F136" s="7" t="s">
        <v>274</v>
      </c>
      <c r="G136" s="7"/>
      <c r="H136" s="7" t="s">
        <v>333</v>
      </c>
      <c r="I136" s="11">
        <v>2</v>
      </c>
      <c r="J136" s="11">
        <v>3</v>
      </c>
      <c r="K136" s="11">
        <v>1.5</v>
      </c>
      <c r="L136" s="11">
        <v>7.460000000000002</v>
      </c>
      <c r="M136" s="11">
        <v>0.67</v>
      </c>
      <c r="N136" s="11">
        <v>0</v>
      </c>
      <c r="O136" s="11">
        <v>0</v>
      </c>
      <c r="P136" s="11">
        <v>0</v>
      </c>
      <c r="Q136" s="11">
        <v>9.630000000000003</v>
      </c>
      <c r="R136" s="11">
        <v>50.20000000000002</v>
      </c>
      <c r="S136" s="11">
        <v>59.83000000000002</v>
      </c>
      <c r="T136" s="11">
        <v>2</v>
      </c>
      <c r="U136" s="11">
        <v>3</v>
      </c>
      <c r="V136" s="11">
        <v>54.83000000000002</v>
      </c>
      <c r="W136" s="13">
        <v>18</v>
      </c>
      <c r="X136" s="13">
        <v>27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334</v>
      </c>
      <c r="C137" s="10" t="s">
        <v>335</v>
      </c>
      <c r="D137" s="7" t="s">
        <v>296</v>
      </c>
      <c r="E137" s="7" t="s">
        <v>116</v>
      </c>
      <c r="F137" s="7" t="s">
        <v>274</v>
      </c>
      <c r="G137" s="7"/>
      <c r="H137" s="7" t="s">
        <v>110</v>
      </c>
      <c r="I137" s="11">
        <v>2</v>
      </c>
      <c r="J137" s="11">
        <v>3</v>
      </c>
      <c r="K137" s="11">
        <v>0.95</v>
      </c>
      <c r="L137" s="11">
        <v>5.86</v>
      </c>
      <c r="M137" s="11">
        <v>0.33</v>
      </c>
      <c r="N137" s="11">
        <v>0</v>
      </c>
      <c r="O137" s="11">
        <v>0.9</v>
      </c>
      <c r="P137" s="11">
        <v>0</v>
      </c>
      <c r="Q137" s="11">
        <v>8.040000000000001</v>
      </c>
      <c r="R137" s="11">
        <v>32.15</v>
      </c>
      <c r="S137" s="11">
        <v>40.19</v>
      </c>
      <c r="T137" s="11">
        <v>2</v>
      </c>
      <c r="U137" s="11">
        <v>3</v>
      </c>
      <c r="V137" s="11">
        <v>35.19</v>
      </c>
      <c r="W137" s="13">
        <v>18</v>
      </c>
      <c r="X137" s="13">
        <v>27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336</v>
      </c>
      <c r="C138" s="10" t="s">
        <v>337</v>
      </c>
      <c r="D138" s="7" t="s">
        <v>46</v>
      </c>
      <c r="E138" s="7" t="s">
        <v>273</v>
      </c>
      <c r="F138" s="7" t="s">
        <v>274</v>
      </c>
      <c r="G138" s="7"/>
      <c r="H138" s="7" t="s">
        <v>307</v>
      </c>
      <c r="I138" s="11">
        <v>2</v>
      </c>
      <c r="J138" s="11">
        <v>3</v>
      </c>
      <c r="K138" s="11">
        <v>1</v>
      </c>
      <c r="L138" s="11">
        <v>5.539999999999998</v>
      </c>
      <c r="M138" s="11">
        <v>0.67</v>
      </c>
      <c r="N138" s="11">
        <v>0</v>
      </c>
      <c r="O138" s="11">
        <v>0.42</v>
      </c>
      <c r="P138" s="11">
        <v>0</v>
      </c>
      <c r="Q138" s="11">
        <v>7.629999999999998</v>
      </c>
      <c r="R138" s="11">
        <v>44.77</v>
      </c>
      <c r="S138" s="11">
        <v>52.39999999999999</v>
      </c>
      <c r="T138" s="11">
        <v>2</v>
      </c>
      <c r="U138" s="11">
        <v>3</v>
      </c>
      <c r="V138" s="11">
        <v>47.39999999999999</v>
      </c>
      <c r="W138" s="13">
        <v>18</v>
      </c>
      <c r="X138" s="13">
        <v>27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338</v>
      </c>
      <c r="C139" s="10" t="s">
        <v>339</v>
      </c>
      <c r="D139" s="7" t="s">
        <v>51</v>
      </c>
      <c r="E139" s="7" t="s">
        <v>273</v>
      </c>
      <c r="F139" s="7" t="s">
        <v>274</v>
      </c>
      <c r="G139" s="7"/>
      <c r="H139" s="7" t="s">
        <v>52</v>
      </c>
      <c r="I139" s="11">
        <v>2</v>
      </c>
      <c r="J139" s="11">
        <v>3</v>
      </c>
      <c r="K139" s="11">
        <v>0</v>
      </c>
      <c r="L139" s="11">
        <v>4.98</v>
      </c>
      <c r="M139" s="11">
        <v>0.49</v>
      </c>
      <c r="N139" s="11">
        <v>0</v>
      </c>
      <c r="O139" s="11">
        <v>0.6800000000000002</v>
      </c>
      <c r="P139" s="11">
        <v>0</v>
      </c>
      <c r="Q139" s="11">
        <v>6.15</v>
      </c>
      <c r="R139" s="11">
        <v>31.05</v>
      </c>
      <c r="S139" s="11">
        <v>37.2</v>
      </c>
      <c r="T139" s="11">
        <v>2</v>
      </c>
      <c r="U139" s="11">
        <v>3</v>
      </c>
      <c r="V139" s="11">
        <v>32.2</v>
      </c>
      <c r="W139" s="13">
        <v>18</v>
      </c>
      <c r="X139" s="13">
        <v>27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340</v>
      </c>
      <c r="C140" s="10" t="s">
        <v>341</v>
      </c>
      <c r="D140" s="7" t="s">
        <v>51</v>
      </c>
      <c r="E140" s="7" t="s">
        <v>273</v>
      </c>
      <c r="F140" s="7" t="s">
        <v>274</v>
      </c>
      <c r="G140" s="7"/>
      <c r="H140" s="7" t="s">
        <v>52</v>
      </c>
      <c r="I140" s="11">
        <v>2</v>
      </c>
      <c r="J140" s="11">
        <v>3</v>
      </c>
      <c r="K140" s="11">
        <v>0</v>
      </c>
      <c r="L140" s="11">
        <v>0.48</v>
      </c>
      <c r="M140" s="11">
        <v>0</v>
      </c>
      <c r="N140" s="11">
        <v>0</v>
      </c>
      <c r="O140" s="11">
        <v>1.85</v>
      </c>
      <c r="P140" s="11">
        <v>0</v>
      </c>
      <c r="Q140" s="11">
        <v>2.33</v>
      </c>
      <c r="R140" s="11">
        <v>2.78</v>
      </c>
      <c r="S140" s="11">
        <v>5.11</v>
      </c>
      <c r="T140" s="11">
        <v>2</v>
      </c>
      <c r="U140" s="11">
        <v>3</v>
      </c>
      <c r="V140" s="11">
        <v>0.1100000000000003</v>
      </c>
      <c r="W140" s="13">
        <v>18</v>
      </c>
      <c r="X140" s="13">
        <v>27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342</v>
      </c>
      <c r="C141" s="10" t="s">
        <v>343</v>
      </c>
      <c r="D141" s="7" t="s">
        <v>81</v>
      </c>
      <c r="E141" s="7" t="s">
        <v>116</v>
      </c>
      <c r="F141" s="7" t="s">
        <v>274</v>
      </c>
      <c r="G141" s="7"/>
      <c r="H141" s="7" t="s">
        <v>100</v>
      </c>
      <c r="I141" s="11">
        <v>2</v>
      </c>
      <c r="J141" s="11">
        <v>3</v>
      </c>
      <c r="K141" s="11">
        <v>0.95</v>
      </c>
      <c r="L141" s="11">
        <v>5.809999999999998</v>
      </c>
      <c r="M141" s="11">
        <v>1</v>
      </c>
      <c r="N141" s="11">
        <v>0</v>
      </c>
      <c r="O141" s="11">
        <v>0.6</v>
      </c>
      <c r="P141" s="11">
        <v>0</v>
      </c>
      <c r="Q141" s="11">
        <v>8.359999999999998</v>
      </c>
      <c r="R141" s="11">
        <v>48.91</v>
      </c>
      <c r="S141" s="11">
        <v>57.27</v>
      </c>
      <c r="T141" s="11">
        <v>2</v>
      </c>
      <c r="U141" s="11">
        <v>3</v>
      </c>
      <c r="V141" s="11">
        <v>52.27</v>
      </c>
      <c r="W141" s="13">
        <v>18</v>
      </c>
      <c r="X141" s="13">
        <v>27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74</v>
      </c>
      <c r="E142" s="7" t="s">
        <v>116</v>
      </c>
      <c r="F142" s="7" t="s">
        <v>274</v>
      </c>
      <c r="G142" s="7"/>
      <c r="H142" s="7" t="s">
        <v>52</v>
      </c>
      <c r="I142" s="11">
        <v>2</v>
      </c>
      <c r="J142" s="11">
        <v>3</v>
      </c>
      <c r="K142" s="11">
        <v>0</v>
      </c>
      <c r="L142" s="11">
        <v>5.479999999999998</v>
      </c>
      <c r="M142" s="11">
        <v>0.67</v>
      </c>
      <c r="N142" s="11">
        <v>0</v>
      </c>
      <c r="O142" s="11">
        <v>0.8400000000000001</v>
      </c>
      <c r="P142" s="11">
        <v>0</v>
      </c>
      <c r="Q142" s="11">
        <v>6.989999999999998</v>
      </c>
      <c r="R142" s="11">
        <v>49.5</v>
      </c>
      <c r="S142" s="11">
        <v>56.48999999999999</v>
      </c>
      <c r="T142" s="11">
        <v>2</v>
      </c>
      <c r="U142" s="11">
        <v>3</v>
      </c>
      <c r="V142" s="11">
        <v>51.48999999999999</v>
      </c>
      <c r="W142" s="13">
        <v>18</v>
      </c>
      <c r="X142" s="13">
        <v>27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348</v>
      </c>
      <c r="E143" s="7" t="s">
        <v>273</v>
      </c>
      <c r="F143" s="7" t="s">
        <v>274</v>
      </c>
      <c r="G143" s="7"/>
      <c r="H143" s="7" t="s">
        <v>52</v>
      </c>
      <c r="I143" s="11">
        <v>2</v>
      </c>
      <c r="J143" s="11">
        <v>3</v>
      </c>
      <c r="K143" s="11">
        <v>0</v>
      </c>
      <c r="L143" s="11">
        <v>4.950000000000003</v>
      </c>
      <c r="M143" s="11">
        <v>0.99</v>
      </c>
      <c r="N143" s="11">
        <v>0</v>
      </c>
      <c r="O143" s="11">
        <v>0.9000000000000001</v>
      </c>
      <c r="P143" s="11">
        <v>0</v>
      </c>
      <c r="Q143" s="11">
        <v>6.840000000000002</v>
      </c>
      <c r="R143" s="11">
        <v>5.040000000000001</v>
      </c>
      <c r="S143" s="11">
        <v>11.88</v>
      </c>
      <c r="T143" s="11">
        <v>2</v>
      </c>
      <c r="U143" s="11">
        <v>3</v>
      </c>
      <c r="V143" s="11">
        <v>6.880000000000003</v>
      </c>
      <c r="W143" s="13">
        <v>18</v>
      </c>
      <c r="X143" s="13">
        <v>27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349</v>
      </c>
      <c r="C144" s="10" t="s">
        <v>350</v>
      </c>
      <c r="D144" s="7" t="s">
        <v>51</v>
      </c>
      <c r="E144" s="7" t="s">
        <v>116</v>
      </c>
      <c r="F144" s="7" t="s">
        <v>274</v>
      </c>
      <c r="G144" s="7"/>
      <c r="H144" s="7" t="s">
        <v>52</v>
      </c>
      <c r="I144" s="11">
        <v>2</v>
      </c>
      <c r="J144" s="11">
        <v>3</v>
      </c>
      <c r="K144" s="11">
        <v>0</v>
      </c>
      <c r="L144" s="11">
        <v>3.26</v>
      </c>
      <c r="M144" s="11">
        <v>0.67</v>
      </c>
      <c r="N144" s="11">
        <v>0</v>
      </c>
      <c r="O144" s="11">
        <v>0.9200000000000004</v>
      </c>
      <c r="P144" s="11">
        <v>0</v>
      </c>
      <c r="Q144" s="11">
        <v>4.850000000000001</v>
      </c>
      <c r="R144" s="11">
        <v>26.58000000000001</v>
      </c>
      <c r="S144" s="11">
        <v>31.43000000000001</v>
      </c>
      <c r="T144" s="11">
        <v>2</v>
      </c>
      <c r="U144" s="11">
        <v>3</v>
      </c>
      <c r="V144" s="11">
        <v>26.43000000000001</v>
      </c>
      <c r="W144" s="13">
        <v>18</v>
      </c>
      <c r="X144" s="13">
        <v>27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351</v>
      </c>
      <c r="C145" s="10" t="s">
        <v>352</v>
      </c>
      <c r="D145" s="7" t="s">
        <v>90</v>
      </c>
      <c r="E145" s="7" t="s">
        <v>116</v>
      </c>
      <c r="F145" s="7" t="s">
        <v>274</v>
      </c>
      <c r="G145" s="7"/>
      <c r="H145" s="7" t="s">
        <v>52</v>
      </c>
      <c r="I145" s="11">
        <v>2</v>
      </c>
      <c r="J145" s="11">
        <v>3</v>
      </c>
      <c r="K145" s="11">
        <v>0</v>
      </c>
      <c r="L145" s="11">
        <v>3.900000000000002</v>
      </c>
      <c r="M145" s="11">
        <v>0.51</v>
      </c>
      <c r="N145" s="11">
        <v>0</v>
      </c>
      <c r="O145" s="11">
        <v>0.16</v>
      </c>
      <c r="P145" s="11">
        <v>0</v>
      </c>
      <c r="Q145" s="11">
        <v>4.570000000000002</v>
      </c>
      <c r="R145" s="11">
        <v>23.63</v>
      </c>
      <c r="S145" s="11">
        <v>28.2</v>
      </c>
      <c r="T145" s="11">
        <v>2</v>
      </c>
      <c r="U145" s="11">
        <v>3</v>
      </c>
      <c r="V145" s="11">
        <v>23.2</v>
      </c>
      <c r="W145" s="13">
        <v>18</v>
      </c>
      <c r="X145" s="13">
        <v>27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353</v>
      </c>
      <c r="C146" s="10" t="s">
        <v>354</v>
      </c>
      <c r="D146" s="7" t="s">
        <v>58</v>
      </c>
      <c r="E146" s="7" t="s">
        <v>116</v>
      </c>
      <c r="F146" s="7" t="s">
        <v>274</v>
      </c>
      <c r="G146" s="7"/>
      <c r="H146" s="7" t="s">
        <v>100</v>
      </c>
      <c r="I146" s="11">
        <v>2</v>
      </c>
      <c r="J146" s="11">
        <v>3</v>
      </c>
      <c r="K146" s="11">
        <v>0.95</v>
      </c>
      <c r="L146" s="11">
        <v>6.359999999999998</v>
      </c>
      <c r="M146" s="11">
        <v>0</v>
      </c>
      <c r="N146" s="11">
        <v>0</v>
      </c>
      <c r="O146" s="11">
        <v>0.3</v>
      </c>
      <c r="P146" s="11">
        <v>0</v>
      </c>
      <c r="Q146" s="11">
        <v>7.609999999999998</v>
      </c>
      <c r="R146" s="11">
        <v>59.29999999999999</v>
      </c>
      <c r="S146" s="11">
        <v>66.90999999999998</v>
      </c>
      <c r="T146" s="11">
        <v>2</v>
      </c>
      <c r="U146" s="11">
        <v>3</v>
      </c>
      <c r="V146" s="11">
        <v>61.90999999999998</v>
      </c>
      <c r="W146" s="13">
        <v>18</v>
      </c>
      <c r="X146" s="13">
        <v>27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355</v>
      </c>
      <c r="C147" s="10" t="s">
        <v>356</v>
      </c>
      <c r="D147" s="7" t="s">
        <v>348</v>
      </c>
      <c r="E147" s="7" t="s">
        <v>273</v>
      </c>
      <c r="F147" s="7" t="s">
        <v>274</v>
      </c>
      <c r="G147" s="7"/>
      <c r="H147" s="7" t="s">
        <v>52</v>
      </c>
      <c r="I147" s="11">
        <v>2</v>
      </c>
      <c r="J147" s="11">
        <v>3</v>
      </c>
      <c r="K147" s="11">
        <v>0</v>
      </c>
      <c r="L147" s="11">
        <v>8.619999999999994</v>
      </c>
      <c r="M147" s="11">
        <v>0.66</v>
      </c>
      <c r="N147" s="11">
        <v>0</v>
      </c>
      <c r="O147" s="11">
        <v>0.74</v>
      </c>
      <c r="P147" s="11">
        <v>0</v>
      </c>
      <c r="Q147" s="11">
        <v>10.01999999999999</v>
      </c>
      <c r="R147" s="11">
        <v>48.02</v>
      </c>
      <c r="S147" s="11">
        <v>58.03999999999998</v>
      </c>
      <c r="T147" s="11">
        <v>2</v>
      </c>
      <c r="U147" s="11">
        <v>3</v>
      </c>
      <c r="V147" s="11">
        <v>53.03999999999998</v>
      </c>
      <c r="W147" s="13">
        <v>18</v>
      </c>
      <c r="X147" s="13">
        <v>27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357</v>
      </c>
      <c r="C148" s="10" t="s">
        <v>358</v>
      </c>
      <c r="D148" s="7" t="s">
        <v>320</v>
      </c>
      <c r="E148" s="7" t="s">
        <v>116</v>
      </c>
      <c r="F148" s="7" t="s">
        <v>274</v>
      </c>
      <c r="G148" s="7"/>
      <c r="H148" s="7" t="s">
        <v>52</v>
      </c>
      <c r="I148" s="11">
        <v>2</v>
      </c>
      <c r="J148" s="11">
        <v>3</v>
      </c>
      <c r="K148" s="11">
        <v>0</v>
      </c>
      <c r="L148" s="11">
        <v>11.41999999999999</v>
      </c>
      <c r="M148" s="11">
        <v>0.33</v>
      </c>
      <c r="N148" s="11">
        <v>0</v>
      </c>
      <c r="O148" s="11">
        <v>0.48</v>
      </c>
      <c r="P148" s="11">
        <v>0</v>
      </c>
      <c r="Q148" s="11">
        <v>12.22999999999999</v>
      </c>
      <c r="R148" s="11">
        <v>67.49999999999997</v>
      </c>
      <c r="S148" s="11">
        <v>79.72999999999996</v>
      </c>
      <c r="T148" s="11">
        <v>2</v>
      </c>
      <c r="U148" s="11">
        <v>3</v>
      </c>
      <c r="V148" s="11">
        <v>74.72999999999996</v>
      </c>
      <c r="W148" s="13">
        <v>18</v>
      </c>
      <c r="X148" s="13">
        <v>27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359</v>
      </c>
      <c r="C149" s="10" t="s">
        <v>360</v>
      </c>
      <c r="D149" s="7" t="s">
        <v>320</v>
      </c>
      <c r="E149" s="7" t="s">
        <v>273</v>
      </c>
      <c r="F149" s="7" t="s">
        <v>274</v>
      </c>
      <c r="G149" s="7"/>
      <c r="H149" s="7"/>
      <c r="I149" s="11">
        <v>2</v>
      </c>
      <c r="J149" s="11">
        <v>3</v>
      </c>
      <c r="K149" s="11">
        <v>0</v>
      </c>
      <c r="L149" s="11">
        <v>2.16</v>
      </c>
      <c r="M149" s="11">
        <v>0</v>
      </c>
      <c r="N149" s="11">
        <v>0</v>
      </c>
      <c r="O149" s="11">
        <v>0.52</v>
      </c>
      <c r="P149" s="11">
        <v>0</v>
      </c>
      <c r="Q149" s="11">
        <v>2.68</v>
      </c>
      <c r="R149" s="11">
        <v>0</v>
      </c>
      <c r="S149" s="11">
        <v>2.68</v>
      </c>
      <c r="T149" s="11">
        <v>2</v>
      </c>
      <c r="U149" s="11">
        <v>0.6800000000000002</v>
      </c>
      <c r="V149" s="11">
        <v>0</v>
      </c>
      <c r="W149" s="13">
        <v>18</v>
      </c>
      <c r="X149" s="13">
        <v>27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361</v>
      </c>
      <c r="C150" s="10" t="s">
        <v>362</v>
      </c>
      <c r="D150" s="7" t="s">
        <v>296</v>
      </c>
      <c r="E150" s="7" t="s">
        <v>273</v>
      </c>
      <c r="F150" s="7" t="s">
        <v>274</v>
      </c>
      <c r="G150" s="7"/>
      <c r="H150" s="7" t="s">
        <v>52</v>
      </c>
      <c r="I150" s="11">
        <v>2</v>
      </c>
      <c r="J150" s="11">
        <v>3</v>
      </c>
      <c r="K150" s="11">
        <v>0</v>
      </c>
      <c r="L150" s="11">
        <v>7.750000000000002</v>
      </c>
      <c r="M150" s="11">
        <v>0.67</v>
      </c>
      <c r="N150" s="11">
        <v>0</v>
      </c>
      <c r="O150" s="11">
        <v>0.6400000000000001</v>
      </c>
      <c r="P150" s="11">
        <v>0</v>
      </c>
      <c r="Q150" s="11">
        <v>9.060000000000002</v>
      </c>
      <c r="R150" s="11">
        <v>45.41999999999997</v>
      </c>
      <c r="S150" s="11">
        <v>54.47999999999997</v>
      </c>
      <c r="T150" s="11">
        <v>2</v>
      </c>
      <c r="U150" s="11">
        <v>3</v>
      </c>
      <c r="V150" s="11">
        <v>49.47999999999997</v>
      </c>
      <c r="W150" s="13">
        <v>18</v>
      </c>
      <c r="X150" s="13">
        <v>27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363</v>
      </c>
      <c r="C151" s="10" t="s">
        <v>364</v>
      </c>
      <c r="D151" s="7" t="s">
        <v>40</v>
      </c>
      <c r="E151" s="7" t="s">
        <v>279</v>
      </c>
      <c r="F151" s="7" t="s">
        <v>274</v>
      </c>
      <c r="G151" s="7"/>
      <c r="H151" s="7" t="s">
        <v>52</v>
      </c>
      <c r="I151" s="11">
        <v>2</v>
      </c>
      <c r="J151" s="11">
        <v>3</v>
      </c>
      <c r="K151" s="11">
        <v>0</v>
      </c>
      <c r="L151" s="11">
        <v>6.119999999999999</v>
      </c>
      <c r="M151" s="11">
        <v>0.66</v>
      </c>
      <c r="N151" s="11">
        <v>0</v>
      </c>
      <c r="O151" s="11">
        <v>0.08</v>
      </c>
      <c r="P151" s="11">
        <v>0</v>
      </c>
      <c r="Q151" s="11">
        <v>6.859999999999999</v>
      </c>
      <c r="R151" s="11">
        <v>44.21999999999998</v>
      </c>
      <c r="S151" s="11">
        <v>51.07999999999998</v>
      </c>
      <c r="T151" s="11">
        <v>2</v>
      </c>
      <c r="U151" s="11">
        <v>3</v>
      </c>
      <c r="V151" s="11">
        <v>46.07999999999998</v>
      </c>
      <c r="W151" s="13">
        <v>18</v>
      </c>
      <c r="X151" s="13">
        <v>27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365</v>
      </c>
      <c r="C152" s="10" t="s">
        <v>366</v>
      </c>
      <c r="D152" s="7" t="s">
        <v>46</v>
      </c>
      <c r="E152" s="7" t="s">
        <v>279</v>
      </c>
      <c r="F152" s="7" t="s">
        <v>274</v>
      </c>
      <c r="G152" s="7"/>
      <c r="H152" s="7" t="s">
        <v>52</v>
      </c>
      <c r="I152" s="11">
        <v>2</v>
      </c>
      <c r="J152" s="11">
        <v>3</v>
      </c>
      <c r="K152" s="11">
        <v>0</v>
      </c>
      <c r="L152" s="11">
        <v>8.159999999999993</v>
      </c>
      <c r="M152" s="11">
        <v>0.67</v>
      </c>
      <c r="N152" s="11">
        <v>0</v>
      </c>
      <c r="O152" s="11">
        <v>1.450000000000001</v>
      </c>
      <c r="P152" s="11">
        <v>0</v>
      </c>
      <c r="Q152" s="11">
        <v>10.28</v>
      </c>
      <c r="R152" s="11">
        <v>44.74999999999999</v>
      </c>
      <c r="S152" s="11">
        <v>55.02999999999998</v>
      </c>
      <c r="T152" s="11">
        <v>2</v>
      </c>
      <c r="U152" s="11">
        <v>3</v>
      </c>
      <c r="V152" s="11">
        <v>50.02999999999998</v>
      </c>
      <c r="W152" s="13">
        <v>18</v>
      </c>
      <c r="X152" s="13">
        <v>27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367</v>
      </c>
      <c r="C153" s="10" t="s">
        <v>368</v>
      </c>
      <c r="D153" s="7" t="s">
        <v>296</v>
      </c>
      <c r="E153" s="7" t="s">
        <v>273</v>
      </c>
      <c r="F153" s="7" t="s">
        <v>274</v>
      </c>
      <c r="G153" s="7"/>
      <c r="H153" s="7" t="s">
        <v>63</v>
      </c>
      <c r="I153" s="11">
        <v>2</v>
      </c>
      <c r="J153" s="11">
        <v>3</v>
      </c>
      <c r="K153" s="11">
        <v>0.95</v>
      </c>
      <c r="L153" s="11">
        <v>5.999999999999999</v>
      </c>
      <c r="M153" s="11">
        <v>0.66</v>
      </c>
      <c r="N153" s="11">
        <v>0</v>
      </c>
      <c r="O153" s="11">
        <v>0.96</v>
      </c>
      <c r="P153" s="11">
        <v>0</v>
      </c>
      <c r="Q153" s="11">
        <v>8.569999999999999</v>
      </c>
      <c r="R153" s="11">
        <v>49.38999999999999</v>
      </c>
      <c r="S153" s="11">
        <v>57.95999999999999</v>
      </c>
      <c r="T153" s="11">
        <v>2</v>
      </c>
      <c r="U153" s="11">
        <v>3</v>
      </c>
      <c r="V153" s="11">
        <v>52.95999999999999</v>
      </c>
      <c r="W153" s="13">
        <v>18</v>
      </c>
      <c r="X153" s="13">
        <v>27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369</v>
      </c>
      <c r="C154" s="10" t="s">
        <v>370</v>
      </c>
      <c r="D154" s="7" t="s">
        <v>296</v>
      </c>
      <c r="E154" s="7" t="s">
        <v>273</v>
      </c>
      <c r="F154" s="7" t="s">
        <v>274</v>
      </c>
      <c r="G154" s="7"/>
      <c r="H154" s="7" t="s">
        <v>52</v>
      </c>
      <c r="I154" s="11">
        <v>2</v>
      </c>
      <c r="J154" s="11">
        <v>3</v>
      </c>
      <c r="K154" s="11">
        <v>0</v>
      </c>
      <c r="L154" s="11">
        <v>7.779999999999999</v>
      </c>
      <c r="M154" s="11">
        <v>0.65</v>
      </c>
      <c r="N154" s="11">
        <v>0</v>
      </c>
      <c r="O154" s="11">
        <v>1.720000000000001</v>
      </c>
      <c r="P154" s="11">
        <v>0</v>
      </c>
      <c r="Q154" s="11">
        <v>10.15</v>
      </c>
      <c r="R154" s="11">
        <v>54.61999999999998</v>
      </c>
      <c r="S154" s="11">
        <v>64.76999999999998</v>
      </c>
      <c r="T154" s="11">
        <v>2</v>
      </c>
      <c r="U154" s="11">
        <v>3</v>
      </c>
      <c r="V154" s="11">
        <v>59.76999999999998</v>
      </c>
      <c r="W154" s="13">
        <v>18</v>
      </c>
      <c r="X154" s="13">
        <v>27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371</v>
      </c>
      <c r="C155" s="10" t="s">
        <v>372</v>
      </c>
      <c r="D155" s="7" t="s">
        <v>296</v>
      </c>
      <c r="E155" s="7" t="s">
        <v>273</v>
      </c>
      <c r="F155" s="7" t="s">
        <v>274</v>
      </c>
      <c r="G155" s="7"/>
      <c r="H155" s="7" t="s">
        <v>52</v>
      </c>
      <c r="I155" s="11">
        <v>2</v>
      </c>
      <c r="J155" s="11">
        <v>3</v>
      </c>
      <c r="K155" s="11">
        <v>0</v>
      </c>
      <c r="L155" s="11">
        <v>8.739999999999995</v>
      </c>
      <c r="M155" s="11">
        <v>0.67</v>
      </c>
      <c r="N155" s="11">
        <v>0</v>
      </c>
      <c r="O155" s="11">
        <v>0.04</v>
      </c>
      <c r="P155" s="11">
        <v>0</v>
      </c>
      <c r="Q155" s="11">
        <v>9.44999999999999</v>
      </c>
      <c r="R155" s="11">
        <v>55.74999999999998</v>
      </c>
      <c r="S155" s="11">
        <v>65.19999999999997</v>
      </c>
      <c r="T155" s="11">
        <v>2</v>
      </c>
      <c r="U155" s="11">
        <v>3</v>
      </c>
      <c r="V155" s="11">
        <v>60.19999999999997</v>
      </c>
      <c r="W155" s="13">
        <v>18</v>
      </c>
      <c r="X155" s="13">
        <v>27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373</v>
      </c>
      <c r="C156" s="10" t="s">
        <v>374</v>
      </c>
      <c r="D156" s="7" t="s">
        <v>40</v>
      </c>
      <c r="E156" s="7" t="s">
        <v>273</v>
      </c>
      <c r="F156" s="7" t="s">
        <v>274</v>
      </c>
      <c r="G156" s="7"/>
      <c r="H156" s="7" t="s">
        <v>63</v>
      </c>
      <c r="I156" s="11">
        <v>2</v>
      </c>
      <c r="J156" s="11">
        <v>3</v>
      </c>
      <c r="K156" s="11">
        <v>0.95</v>
      </c>
      <c r="L156" s="11">
        <v>4.930000000000002</v>
      </c>
      <c r="M156" s="11">
        <v>0.8300000000000001</v>
      </c>
      <c r="N156" s="11">
        <v>0</v>
      </c>
      <c r="O156" s="11">
        <v>0.2</v>
      </c>
      <c r="P156" s="11">
        <v>0</v>
      </c>
      <c r="Q156" s="11">
        <v>6.910000000000001</v>
      </c>
      <c r="R156" s="11">
        <v>40.44</v>
      </c>
      <c r="S156" s="11">
        <v>47.35</v>
      </c>
      <c r="T156" s="11">
        <v>2</v>
      </c>
      <c r="U156" s="11">
        <v>3</v>
      </c>
      <c r="V156" s="11">
        <v>42.35</v>
      </c>
      <c r="W156" s="13">
        <v>18</v>
      </c>
      <c r="X156" s="13">
        <v>27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375</v>
      </c>
      <c r="C157" s="10" t="s">
        <v>376</v>
      </c>
      <c r="D157" s="7" t="s">
        <v>217</v>
      </c>
      <c r="E157" s="7" t="s">
        <v>279</v>
      </c>
      <c r="F157" s="7" t="s">
        <v>274</v>
      </c>
      <c r="G157" s="7"/>
      <c r="H157" s="7" t="s">
        <v>100</v>
      </c>
      <c r="I157" s="11">
        <v>2</v>
      </c>
      <c r="J157" s="11">
        <v>3</v>
      </c>
      <c r="K157" s="11">
        <v>0.95</v>
      </c>
      <c r="L157" s="11">
        <v>5.410000000000001</v>
      </c>
      <c r="M157" s="11">
        <v>0.5</v>
      </c>
      <c r="N157" s="11">
        <v>0</v>
      </c>
      <c r="O157" s="11">
        <v>1.2</v>
      </c>
      <c r="P157" s="11">
        <v>0</v>
      </c>
      <c r="Q157" s="11">
        <v>8.06</v>
      </c>
      <c r="R157" s="11">
        <v>43.19</v>
      </c>
      <c r="S157" s="11">
        <v>51.25000000000001</v>
      </c>
      <c r="T157" s="11">
        <v>2</v>
      </c>
      <c r="U157" s="11">
        <v>3</v>
      </c>
      <c r="V157" s="11">
        <v>46.25000000000001</v>
      </c>
      <c r="W157" s="13">
        <v>18</v>
      </c>
      <c r="X157" s="13">
        <v>27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377</v>
      </c>
      <c r="C158" s="10" t="s">
        <v>378</v>
      </c>
      <c r="D158" s="7" t="s">
        <v>74</v>
      </c>
      <c r="E158" s="7" t="s">
        <v>116</v>
      </c>
      <c r="F158" s="7" t="s">
        <v>274</v>
      </c>
      <c r="G158" s="7"/>
      <c r="H158" s="7" t="s">
        <v>52</v>
      </c>
      <c r="I158" s="11">
        <v>2</v>
      </c>
      <c r="J158" s="11">
        <v>3</v>
      </c>
      <c r="K158" s="11">
        <v>0</v>
      </c>
      <c r="L158" s="11">
        <v>5.350000000000001</v>
      </c>
      <c r="M158" s="11">
        <v>1.17</v>
      </c>
      <c r="N158" s="11">
        <v>0</v>
      </c>
      <c r="O158" s="11">
        <v>0.4</v>
      </c>
      <c r="P158" s="11">
        <v>0</v>
      </c>
      <c r="Q158" s="11">
        <v>6.92</v>
      </c>
      <c r="R158" s="11">
        <v>43.39999999999999</v>
      </c>
      <c r="S158" s="11">
        <v>50.31999999999999</v>
      </c>
      <c r="T158" s="11">
        <v>2</v>
      </c>
      <c r="U158" s="11">
        <v>3</v>
      </c>
      <c r="V158" s="11">
        <v>45.31999999999999</v>
      </c>
      <c r="W158" s="13">
        <v>18</v>
      </c>
      <c r="X158" s="13">
        <v>27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379</v>
      </c>
      <c r="C159" s="10" t="s">
        <v>380</v>
      </c>
      <c r="D159" s="7" t="s">
        <v>113</v>
      </c>
      <c r="E159" s="7" t="s">
        <v>381</v>
      </c>
      <c r="F159" s="7" t="s">
        <v>274</v>
      </c>
      <c r="G159" s="7"/>
      <c r="H159" s="7" t="s">
        <v>52</v>
      </c>
      <c r="I159" s="11">
        <v>2</v>
      </c>
      <c r="J159" s="11">
        <v>3</v>
      </c>
      <c r="K159" s="11">
        <v>0</v>
      </c>
      <c r="L159" s="11">
        <v>10.11</v>
      </c>
      <c r="M159" s="11">
        <v>0.8300000000000001</v>
      </c>
      <c r="N159" s="11">
        <v>0</v>
      </c>
      <c r="O159" s="11">
        <v>0</v>
      </c>
      <c r="P159" s="11">
        <v>0</v>
      </c>
      <c r="Q159" s="11">
        <v>10.94</v>
      </c>
      <c r="R159" s="11">
        <v>44.86999999999999</v>
      </c>
      <c r="S159" s="11">
        <v>55.80999999999999</v>
      </c>
      <c r="T159" s="11">
        <v>2</v>
      </c>
      <c r="U159" s="11">
        <v>3</v>
      </c>
      <c r="V159" s="11">
        <v>50.80999999999999</v>
      </c>
      <c r="W159" s="13">
        <v>18</v>
      </c>
      <c r="X159" s="13">
        <v>27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382</v>
      </c>
      <c r="C160" s="10" t="s">
        <v>383</v>
      </c>
      <c r="D160" s="7" t="s">
        <v>81</v>
      </c>
      <c r="E160" s="7" t="s">
        <v>381</v>
      </c>
      <c r="F160" s="7" t="s">
        <v>274</v>
      </c>
      <c r="G160" s="7"/>
      <c r="H160" s="7" t="s">
        <v>52</v>
      </c>
      <c r="I160" s="11">
        <v>2</v>
      </c>
      <c r="J160" s="11">
        <v>3</v>
      </c>
      <c r="K160" s="11">
        <v>0</v>
      </c>
      <c r="L160" s="11">
        <v>4.37</v>
      </c>
      <c r="M160" s="11">
        <v>0.8300000000000001</v>
      </c>
      <c r="N160" s="11">
        <v>0</v>
      </c>
      <c r="O160" s="11">
        <v>0.3</v>
      </c>
      <c r="P160" s="11">
        <v>0</v>
      </c>
      <c r="Q160" s="11">
        <v>5.499999999999997</v>
      </c>
      <c r="R160" s="11">
        <v>30.57</v>
      </c>
      <c r="S160" s="11">
        <v>36.07</v>
      </c>
      <c r="T160" s="11">
        <v>2</v>
      </c>
      <c r="U160" s="11">
        <v>3</v>
      </c>
      <c r="V160" s="11">
        <v>31.07</v>
      </c>
      <c r="W160" s="13">
        <v>18</v>
      </c>
      <c r="X160" s="13">
        <v>27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384</v>
      </c>
      <c r="C161" s="10" t="s">
        <v>385</v>
      </c>
      <c r="D161" s="7" t="s">
        <v>348</v>
      </c>
      <c r="E161" s="7" t="s">
        <v>279</v>
      </c>
      <c r="F161" s="7" t="s">
        <v>386</v>
      </c>
      <c r="G161" s="7"/>
      <c r="H161" s="7" t="s">
        <v>52</v>
      </c>
      <c r="I161" s="11">
        <v>2</v>
      </c>
      <c r="J161" s="11">
        <v>3</v>
      </c>
      <c r="K161" s="11">
        <v>0</v>
      </c>
      <c r="L161" s="11">
        <v>7.390000000000001</v>
      </c>
      <c r="M161" s="11">
        <v>0.41</v>
      </c>
      <c r="N161" s="11">
        <v>0</v>
      </c>
      <c r="O161" s="11">
        <v>0.3800000000000001</v>
      </c>
      <c r="P161" s="11">
        <v>0</v>
      </c>
      <c r="Q161" s="11">
        <v>8.180000000000001</v>
      </c>
      <c r="R161" s="11">
        <v>25.81</v>
      </c>
      <c r="S161" s="11">
        <v>33.99</v>
      </c>
      <c r="T161" s="11">
        <v>2</v>
      </c>
      <c r="U161" s="11">
        <v>3</v>
      </c>
      <c r="V161" s="11">
        <v>28.99</v>
      </c>
      <c r="W161" s="13">
        <v>18</v>
      </c>
      <c r="X161" s="13">
        <v>27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387</v>
      </c>
      <c r="C162" s="10" t="s">
        <v>388</v>
      </c>
      <c r="D162" s="7" t="s">
        <v>62</v>
      </c>
      <c r="E162" s="7" t="s">
        <v>279</v>
      </c>
      <c r="F162" s="7" t="s">
        <v>389</v>
      </c>
      <c r="G162" s="7"/>
      <c r="H162" s="7" t="s">
        <v>52</v>
      </c>
      <c r="I162" s="11">
        <v>2</v>
      </c>
      <c r="J162" s="11">
        <v>3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0.18</v>
      </c>
      <c r="S162" s="11">
        <v>0.18</v>
      </c>
      <c r="T162" s="11">
        <v>0.18</v>
      </c>
      <c r="U162" s="11">
        <v>0</v>
      </c>
      <c r="V162" s="11">
        <v>0</v>
      </c>
      <c r="W162" s="13">
        <v>18</v>
      </c>
      <c r="X162" s="13">
        <v>27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390</v>
      </c>
      <c r="C163" s="10" t="s">
        <v>391</v>
      </c>
      <c r="D163" s="7" t="s">
        <v>348</v>
      </c>
      <c r="E163" s="7" t="s">
        <v>381</v>
      </c>
      <c r="F163" s="7" t="s">
        <v>386</v>
      </c>
      <c r="G163" s="7"/>
      <c r="H163" s="7" t="s">
        <v>52</v>
      </c>
      <c r="I163" s="11">
        <v>2</v>
      </c>
      <c r="J163" s="11">
        <v>3</v>
      </c>
      <c r="K163" s="11">
        <v>0</v>
      </c>
      <c r="L163" s="11">
        <v>4.180000000000001</v>
      </c>
      <c r="M163" s="11">
        <v>0</v>
      </c>
      <c r="N163" s="11">
        <v>0</v>
      </c>
      <c r="O163" s="11">
        <v>1.120000000000001</v>
      </c>
      <c r="P163" s="11">
        <v>0</v>
      </c>
      <c r="Q163" s="11">
        <v>5.300000000000002</v>
      </c>
      <c r="R163" s="11">
        <v>26.78</v>
      </c>
      <c r="S163" s="11">
        <v>32.08000000000001</v>
      </c>
      <c r="T163" s="11">
        <v>2</v>
      </c>
      <c r="U163" s="11">
        <v>3</v>
      </c>
      <c r="V163" s="11">
        <v>27.08000000000001</v>
      </c>
      <c r="W163" s="13">
        <v>18</v>
      </c>
      <c r="X163" s="13">
        <v>27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392</v>
      </c>
      <c r="C164" s="10" t="s">
        <v>393</v>
      </c>
      <c r="D164" s="7" t="s">
        <v>320</v>
      </c>
      <c r="E164" s="7" t="s">
        <v>279</v>
      </c>
      <c r="F164" s="7" t="s">
        <v>394</v>
      </c>
      <c r="G164" s="7"/>
      <c r="H164" s="7" t="s">
        <v>110</v>
      </c>
      <c r="I164" s="11">
        <v>2</v>
      </c>
      <c r="J164" s="11">
        <v>3</v>
      </c>
      <c r="K164" s="11">
        <v>0.95</v>
      </c>
      <c r="L164" s="11">
        <v>6.569999999999999</v>
      </c>
      <c r="M164" s="11">
        <v>0.66</v>
      </c>
      <c r="N164" s="11">
        <v>0</v>
      </c>
      <c r="O164" s="11">
        <v>0.5400000000000001</v>
      </c>
      <c r="P164" s="11">
        <v>0</v>
      </c>
      <c r="Q164" s="11">
        <v>8.719999999999999</v>
      </c>
      <c r="R164" s="11">
        <v>68.28999999999998</v>
      </c>
      <c r="S164" s="11">
        <v>77.00999999999998</v>
      </c>
      <c r="T164" s="11">
        <v>2</v>
      </c>
      <c r="U164" s="11">
        <v>3</v>
      </c>
      <c r="V164" s="11">
        <v>72.00999999999998</v>
      </c>
      <c r="W164" s="13">
        <v>18</v>
      </c>
      <c r="X164" s="13">
        <v>27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395</v>
      </c>
      <c r="C165" s="10" t="s">
        <v>396</v>
      </c>
      <c r="D165" s="7" t="s">
        <v>320</v>
      </c>
      <c r="E165" s="7" t="s">
        <v>279</v>
      </c>
      <c r="F165" s="7" t="s">
        <v>386</v>
      </c>
      <c r="G165" s="7"/>
      <c r="H165" s="7"/>
      <c r="I165" s="11">
        <v>2</v>
      </c>
      <c r="J165" s="11">
        <v>3</v>
      </c>
      <c r="K165" s="11">
        <v>0</v>
      </c>
      <c r="L165" s="11">
        <v>6.859999999999998</v>
      </c>
      <c r="M165" s="11">
        <v>0.34</v>
      </c>
      <c r="N165" s="11">
        <v>0</v>
      </c>
      <c r="O165" s="11">
        <v>0.1</v>
      </c>
      <c r="P165" s="11">
        <v>0</v>
      </c>
      <c r="Q165" s="11">
        <v>7.299999999999997</v>
      </c>
      <c r="R165" s="11">
        <v>47.13</v>
      </c>
      <c r="S165" s="11">
        <v>54.42999999999999</v>
      </c>
      <c r="T165" s="11">
        <v>2</v>
      </c>
      <c r="U165" s="11">
        <v>3</v>
      </c>
      <c r="V165" s="11">
        <v>49.42999999999999</v>
      </c>
      <c r="W165" s="13">
        <v>18</v>
      </c>
      <c r="X165" s="13">
        <v>27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397</v>
      </c>
      <c r="C166" s="10" t="s">
        <v>398</v>
      </c>
      <c r="D166" s="7" t="s">
        <v>62</v>
      </c>
      <c r="E166" s="7" t="s">
        <v>381</v>
      </c>
      <c r="F166" s="7" t="s">
        <v>386</v>
      </c>
      <c r="G166" s="7"/>
      <c r="H166" s="7" t="s">
        <v>100</v>
      </c>
      <c r="I166" s="11">
        <v>2</v>
      </c>
      <c r="J166" s="11">
        <v>3</v>
      </c>
      <c r="K166" s="11">
        <v>0.95</v>
      </c>
      <c r="L166" s="11">
        <v>11.05999999999999</v>
      </c>
      <c r="M166" s="11">
        <v>0.8300000000000001</v>
      </c>
      <c r="N166" s="11">
        <v>0</v>
      </c>
      <c r="O166" s="11">
        <v>0</v>
      </c>
      <c r="P166" s="11">
        <v>0</v>
      </c>
      <c r="Q166" s="11">
        <v>12.83999999999999</v>
      </c>
      <c r="R166" s="11">
        <v>32.88999999999999</v>
      </c>
      <c r="S166" s="11">
        <v>45.72999999999998</v>
      </c>
      <c r="T166" s="11">
        <v>2</v>
      </c>
      <c r="U166" s="11">
        <v>3</v>
      </c>
      <c r="V166" s="11">
        <v>40.72999999999998</v>
      </c>
      <c r="W166" s="13">
        <v>18</v>
      </c>
      <c r="X166" s="13">
        <v>27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399</v>
      </c>
      <c r="C167" s="10" t="s">
        <v>400</v>
      </c>
      <c r="D167" s="7" t="s">
        <v>62</v>
      </c>
      <c r="E167" s="7" t="s">
        <v>279</v>
      </c>
      <c r="F167" s="7" t="s">
        <v>394</v>
      </c>
      <c r="G167" s="7"/>
      <c r="H167" s="7" t="s">
        <v>52</v>
      </c>
      <c r="I167" s="11">
        <v>2</v>
      </c>
      <c r="J167" s="11">
        <v>3</v>
      </c>
      <c r="K167" s="11">
        <v>0</v>
      </c>
      <c r="L167" s="11">
        <v>9.179999999999993</v>
      </c>
      <c r="M167" s="11">
        <v>1.15</v>
      </c>
      <c r="N167" s="11">
        <v>0</v>
      </c>
      <c r="O167" s="11">
        <v>0.52</v>
      </c>
      <c r="P167" s="11">
        <v>0</v>
      </c>
      <c r="Q167" s="11">
        <v>10.84999999999999</v>
      </c>
      <c r="R167" s="11">
        <v>46.96999999999997</v>
      </c>
      <c r="S167" s="11">
        <v>57.81999999999996</v>
      </c>
      <c r="T167" s="11">
        <v>2</v>
      </c>
      <c r="U167" s="11">
        <v>3</v>
      </c>
      <c r="V167" s="11">
        <v>52.81999999999996</v>
      </c>
      <c r="W167" s="13">
        <v>18</v>
      </c>
      <c r="X167" s="13">
        <v>27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401</v>
      </c>
      <c r="C168" s="10" t="s">
        <v>402</v>
      </c>
      <c r="D168" s="7" t="s">
        <v>51</v>
      </c>
      <c r="E168" s="7" t="s">
        <v>279</v>
      </c>
      <c r="F168" s="7" t="s">
        <v>394</v>
      </c>
      <c r="G168" s="7"/>
      <c r="H168" s="7" t="s">
        <v>52</v>
      </c>
      <c r="I168" s="11">
        <v>2</v>
      </c>
      <c r="J168" s="11">
        <v>3</v>
      </c>
      <c r="K168" s="11">
        <v>0</v>
      </c>
      <c r="L168" s="11">
        <v>4.01</v>
      </c>
      <c r="M168" s="11">
        <v>0.8300000000000001</v>
      </c>
      <c r="N168" s="11">
        <v>0</v>
      </c>
      <c r="O168" s="11">
        <v>0.2</v>
      </c>
      <c r="P168" s="11">
        <v>0</v>
      </c>
      <c r="Q168" s="11">
        <v>5.040000000000001</v>
      </c>
      <c r="R168" s="11">
        <v>33.81</v>
      </c>
      <c r="S168" s="11">
        <v>38.85</v>
      </c>
      <c r="T168" s="11">
        <v>2</v>
      </c>
      <c r="U168" s="11">
        <v>3</v>
      </c>
      <c r="V168" s="11">
        <v>33.85</v>
      </c>
      <c r="W168" s="13">
        <v>18</v>
      </c>
      <c r="X168" s="13">
        <v>27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403</v>
      </c>
      <c r="C169" s="10" t="s">
        <v>404</v>
      </c>
      <c r="D169" s="7" t="s">
        <v>217</v>
      </c>
      <c r="E169" s="7" t="s">
        <v>279</v>
      </c>
      <c r="F169" s="7" t="s">
        <v>386</v>
      </c>
      <c r="G169" s="7"/>
      <c r="H169" s="7" t="s">
        <v>52</v>
      </c>
      <c r="I169" s="11">
        <v>2</v>
      </c>
      <c r="J169" s="11">
        <v>3</v>
      </c>
      <c r="K169" s="11">
        <v>0</v>
      </c>
      <c r="L169" s="11">
        <v>6.429999999999999</v>
      </c>
      <c r="M169" s="11">
        <v>0.16</v>
      </c>
      <c r="N169" s="11">
        <v>0</v>
      </c>
      <c r="O169" s="11">
        <v>0.52</v>
      </c>
      <c r="P169" s="11">
        <v>0</v>
      </c>
      <c r="Q169" s="11">
        <v>7.109999999999999</v>
      </c>
      <c r="R169" s="11">
        <v>38.23</v>
      </c>
      <c r="S169" s="11">
        <v>45.34</v>
      </c>
      <c r="T169" s="11">
        <v>2</v>
      </c>
      <c r="U169" s="11">
        <v>3</v>
      </c>
      <c r="V169" s="11">
        <v>40.34</v>
      </c>
      <c r="W169" s="13">
        <v>18</v>
      </c>
      <c r="X169" s="13">
        <v>27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405</v>
      </c>
      <c r="C170" s="10" t="s">
        <v>406</v>
      </c>
      <c r="D170" s="7" t="s">
        <v>407</v>
      </c>
      <c r="E170" s="7" t="s">
        <v>279</v>
      </c>
      <c r="F170" s="7" t="s">
        <v>386</v>
      </c>
      <c r="G170" s="7"/>
      <c r="H170" s="7" t="s">
        <v>52</v>
      </c>
      <c r="I170" s="11">
        <v>2</v>
      </c>
      <c r="J170" s="11">
        <v>3</v>
      </c>
      <c r="K170" s="11">
        <v>0</v>
      </c>
      <c r="L170" s="11">
        <v>3.96</v>
      </c>
      <c r="M170" s="11">
        <v>0.34</v>
      </c>
      <c r="N170" s="11">
        <v>0</v>
      </c>
      <c r="O170" s="11">
        <v>0.18</v>
      </c>
      <c r="P170" s="11">
        <v>0</v>
      </c>
      <c r="Q170" s="11">
        <v>4.48</v>
      </c>
      <c r="R170" s="11">
        <v>25.73</v>
      </c>
      <c r="S170" s="11">
        <v>30.21</v>
      </c>
      <c r="T170" s="11">
        <v>2</v>
      </c>
      <c r="U170" s="11">
        <v>3</v>
      </c>
      <c r="V170" s="11">
        <v>25.21</v>
      </c>
      <c r="W170" s="13">
        <v>18</v>
      </c>
      <c r="X170" s="13">
        <v>27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408</v>
      </c>
      <c r="C171" s="10" t="s">
        <v>409</v>
      </c>
      <c r="D171" s="7" t="s">
        <v>217</v>
      </c>
      <c r="E171" s="7" t="s">
        <v>279</v>
      </c>
      <c r="F171" s="7" t="s">
        <v>394</v>
      </c>
      <c r="G171" s="7"/>
      <c r="H171" s="7" t="s">
        <v>52</v>
      </c>
      <c r="I171" s="11">
        <v>2</v>
      </c>
      <c r="J171" s="11">
        <v>3</v>
      </c>
      <c r="K171" s="11">
        <v>0</v>
      </c>
      <c r="L171" s="11">
        <v>8.079999999999998</v>
      </c>
      <c r="M171" s="11">
        <v>0.33</v>
      </c>
      <c r="N171" s="11">
        <v>0</v>
      </c>
      <c r="O171" s="11">
        <v>0</v>
      </c>
      <c r="P171" s="11">
        <v>0</v>
      </c>
      <c r="Q171" s="11">
        <v>8.409999999999998</v>
      </c>
      <c r="R171" s="11">
        <v>38.85</v>
      </c>
      <c r="S171" s="11">
        <v>47.26</v>
      </c>
      <c r="T171" s="11">
        <v>2</v>
      </c>
      <c r="U171" s="11">
        <v>3</v>
      </c>
      <c r="V171" s="11">
        <v>42.26</v>
      </c>
      <c r="W171" s="13">
        <v>18</v>
      </c>
      <c r="X171" s="13">
        <v>27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410</v>
      </c>
      <c r="C172" s="10" t="s">
        <v>411</v>
      </c>
      <c r="D172" s="7" t="s">
        <v>217</v>
      </c>
      <c r="E172" s="7" t="s">
        <v>381</v>
      </c>
      <c r="F172" s="7" t="s">
        <v>386</v>
      </c>
      <c r="G172" s="7"/>
      <c r="H172" s="7" t="s">
        <v>52</v>
      </c>
      <c r="I172" s="11">
        <v>2</v>
      </c>
      <c r="J172" s="11">
        <v>3</v>
      </c>
      <c r="K172" s="11">
        <v>0</v>
      </c>
      <c r="L172" s="11">
        <v>4.490000000000001</v>
      </c>
      <c r="M172" s="11">
        <v>0.33</v>
      </c>
      <c r="N172" s="11">
        <v>0</v>
      </c>
      <c r="O172" s="11">
        <v>0.5</v>
      </c>
      <c r="P172" s="11">
        <v>0</v>
      </c>
      <c r="Q172" s="11">
        <v>5.320000000000002</v>
      </c>
      <c r="R172" s="11">
        <v>28.57</v>
      </c>
      <c r="S172" s="11">
        <v>33.89</v>
      </c>
      <c r="T172" s="11">
        <v>2</v>
      </c>
      <c r="U172" s="11">
        <v>3</v>
      </c>
      <c r="V172" s="11">
        <v>28.89</v>
      </c>
      <c r="W172" s="13">
        <v>18</v>
      </c>
      <c r="X172" s="13">
        <v>27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412</v>
      </c>
      <c r="C173" s="10" t="s">
        <v>413</v>
      </c>
      <c r="D173" s="7" t="s">
        <v>93</v>
      </c>
      <c r="E173" s="7" t="s">
        <v>82</v>
      </c>
      <c r="F173" s="7" t="s">
        <v>386</v>
      </c>
      <c r="G173" s="7"/>
      <c r="H173" s="7" t="s">
        <v>52</v>
      </c>
      <c r="I173" s="11">
        <v>2</v>
      </c>
      <c r="J173" s="11">
        <v>3</v>
      </c>
      <c r="K173" s="11">
        <v>0</v>
      </c>
      <c r="L173" s="11">
        <v>6.119999999999999</v>
      </c>
      <c r="M173" s="11">
        <v>0.33</v>
      </c>
      <c r="N173" s="11">
        <v>0</v>
      </c>
      <c r="O173" s="11">
        <v>0.24</v>
      </c>
      <c r="P173" s="11">
        <v>0</v>
      </c>
      <c r="Q173" s="11">
        <v>6.689999999999998</v>
      </c>
      <c r="R173" s="11">
        <v>44.48999999999999</v>
      </c>
      <c r="S173" s="11">
        <v>51.17999999999999</v>
      </c>
      <c r="T173" s="11">
        <v>2</v>
      </c>
      <c r="U173" s="11">
        <v>3</v>
      </c>
      <c r="V173" s="11">
        <v>46.17999999999999</v>
      </c>
      <c r="W173" s="13">
        <v>18</v>
      </c>
      <c r="X173" s="13">
        <v>27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414</v>
      </c>
      <c r="C174" s="10" t="s">
        <v>415</v>
      </c>
      <c r="D174" s="7" t="s">
        <v>113</v>
      </c>
      <c r="E174" s="7" t="s">
        <v>77</v>
      </c>
      <c r="F174" s="7" t="s">
        <v>416</v>
      </c>
      <c r="G174" s="7"/>
      <c r="H174" s="7" t="s">
        <v>52</v>
      </c>
      <c r="I174" s="11">
        <v>2</v>
      </c>
      <c r="J174" s="11">
        <v>3</v>
      </c>
      <c r="K174" s="11">
        <v>0</v>
      </c>
      <c r="L174" s="11">
        <v>0</v>
      </c>
      <c r="M174" s="11">
        <v>0</v>
      </c>
      <c r="N174" s="11">
        <v>0</v>
      </c>
      <c r="O174" s="11">
        <v>0</v>
      </c>
      <c r="P174" s="11">
        <v>0</v>
      </c>
      <c r="Q174" s="11">
        <v>0</v>
      </c>
      <c r="R174" s="11">
        <v>0.42</v>
      </c>
      <c r="S174" s="11">
        <v>0.42</v>
      </c>
      <c r="T174" s="11">
        <v>0.42</v>
      </c>
      <c r="U174" s="11">
        <v>0</v>
      </c>
      <c r="V174" s="11">
        <v>0</v>
      </c>
      <c r="W174" s="13">
        <v>18</v>
      </c>
      <c r="X174" s="13">
        <v>27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417</v>
      </c>
      <c r="C175" s="10" t="s">
        <v>418</v>
      </c>
      <c r="D175" s="7" t="s">
        <v>407</v>
      </c>
      <c r="E175" s="7" t="s">
        <v>279</v>
      </c>
      <c r="F175" s="7" t="s">
        <v>394</v>
      </c>
      <c r="G175" s="7"/>
      <c r="H175" s="7" t="s">
        <v>52</v>
      </c>
      <c r="I175" s="11">
        <v>2</v>
      </c>
      <c r="J175" s="11">
        <v>3</v>
      </c>
      <c r="K175" s="11">
        <v>0</v>
      </c>
      <c r="L175" s="11">
        <v>4.23</v>
      </c>
      <c r="M175" s="11">
        <v>0.57</v>
      </c>
      <c r="N175" s="11">
        <v>0</v>
      </c>
      <c r="O175" s="11">
        <v>0.18</v>
      </c>
      <c r="P175" s="11">
        <v>0</v>
      </c>
      <c r="Q175" s="11">
        <v>4.98</v>
      </c>
      <c r="R175" s="11">
        <v>30.77</v>
      </c>
      <c r="S175" s="11">
        <v>35.75</v>
      </c>
      <c r="T175" s="11">
        <v>2</v>
      </c>
      <c r="U175" s="11">
        <v>3</v>
      </c>
      <c r="V175" s="11">
        <v>30.75</v>
      </c>
      <c r="W175" s="13">
        <v>18</v>
      </c>
      <c r="X175" s="13">
        <v>27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6" spans="1:676">
      <c r="A176" s="7">
        <v>166</v>
      </c>
      <c r="B176" s="7" t="s">
        <v>419</v>
      </c>
      <c r="C176" s="10" t="s">
        <v>420</v>
      </c>
      <c r="D176" s="7" t="s">
        <v>93</v>
      </c>
      <c r="E176" s="7" t="s">
        <v>279</v>
      </c>
      <c r="F176" s="7" t="s">
        <v>394</v>
      </c>
      <c r="G176" s="7"/>
      <c r="H176" s="7" t="s">
        <v>52</v>
      </c>
      <c r="I176" s="11">
        <v>2</v>
      </c>
      <c r="J176" s="11">
        <v>3</v>
      </c>
      <c r="K176" s="11">
        <v>0</v>
      </c>
      <c r="L176" s="11">
        <v>2.94</v>
      </c>
      <c r="M176" s="11">
        <v>0.42</v>
      </c>
      <c r="N176" s="11">
        <v>0</v>
      </c>
      <c r="O176" s="11">
        <v>1.02</v>
      </c>
      <c r="P176" s="11">
        <v>0</v>
      </c>
      <c r="Q176" s="11">
        <v>4.38</v>
      </c>
      <c r="R176" s="11">
        <v>17.35000000000001</v>
      </c>
      <c r="S176" s="11">
        <v>21.73000000000001</v>
      </c>
      <c r="T176" s="11">
        <v>2</v>
      </c>
      <c r="U176" s="11">
        <v>3</v>
      </c>
      <c r="V176" s="11">
        <v>16.73000000000001</v>
      </c>
      <c r="W176" s="13">
        <v>18</v>
      </c>
      <c r="X176" s="13">
        <v>27</v>
      </c>
      <c r="Y176" s="13" t="str">
        <f>MIN(W176,S176)</f>
        <v>0</v>
      </c>
      <c r="Z176" s="13" t="str">
        <f>MIN(X176,(S176-Y176))</f>
        <v>0</v>
      </c>
      <c r="AA176" s="13" t="str">
        <f>S176-SUM(Y176,Z176)</f>
        <v>0</v>
      </c>
      <c r="AB176" s="15"/>
      <c r="AC176" s="15"/>
      <c r="AD176" s="1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W176" s="5"/>
      <c r="BX176" s="5"/>
      <c r="BY176" s="5"/>
      <c r="BZ176" s="5"/>
      <c r="CA176" s="5"/>
      <c r="CB176" s="5"/>
      <c r="CC176" s="5"/>
      <c r="CD176" s="5"/>
      <c r="CE176" s="5"/>
      <c r="CF176" s="5"/>
      <c r="CG176" s="5"/>
      <c r="CH176" s="5"/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5"/>
      <c r="DB176" s="5"/>
      <c r="DC176" s="5"/>
      <c r="DD176" s="5"/>
      <c r="DE176" s="5"/>
      <c r="DF176" s="5"/>
      <c r="DG176" s="5"/>
      <c r="DH176" s="5"/>
      <c r="DI176" s="5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  <c r="EC176" s="5"/>
      <c r="ED176" s="5"/>
      <c r="EE176" s="5"/>
      <c r="EF176" s="5"/>
      <c r="EG176" s="5"/>
      <c r="EH176" s="5"/>
      <c r="EI176" s="5"/>
      <c r="EJ176" s="5"/>
      <c r="EK176" s="5"/>
      <c r="EL176" s="5"/>
      <c r="EM176" s="5"/>
      <c r="EN176" s="5"/>
      <c r="EO176" s="5"/>
      <c r="EP176" s="5"/>
      <c r="EQ176" s="5"/>
      <c r="ER176" s="5"/>
      <c r="ES176" s="5"/>
      <c r="ET176" s="5"/>
      <c r="EU176" s="5"/>
      <c r="EV176" s="5"/>
      <c r="EW176" s="5"/>
      <c r="EX176" s="5"/>
      <c r="EY176" s="5"/>
      <c r="EZ176" s="5"/>
      <c r="FA176" s="5"/>
      <c r="FB176" s="5"/>
      <c r="FC176" s="5"/>
      <c r="FD176" s="5"/>
      <c r="FE176" s="5"/>
      <c r="FF176" s="5"/>
      <c r="FG176" s="5"/>
      <c r="FH176" s="5"/>
      <c r="FI176" s="5"/>
      <c r="FJ176" s="5"/>
      <c r="FK176" s="5"/>
      <c r="FL176" s="5"/>
      <c r="FM176" s="5"/>
      <c r="FN176" s="5"/>
      <c r="FO176" s="5"/>
      <c r="FP176" s="5"/>
      <c r="FQ176" s="5"/>
      <c r="FR176" s="5"/>
      <c r="FS176" s="5"/>
      <c r="FT176" s="5"/>
      <c r="FU176" s="5"/>
      <c r="FV176" s="5"/>
      <c r="FW176" s="5"/>
      <c r="FX176" s="5"/>
      <c r="FY176" s="5"/>
      <c r="FZ176" s="5"/>
      <c r="GA176" s="5"/>
      <c r="GB176" s="5"/>
      <c r="GC176" s="5"/>
      <c r="GD176" s="5"/>
      <c r="GE176" s="5"/>
      <c r="GF176" s="5"/>
      <c r="GG176" s="5"/>
      <c r="GH176" s="5"/>
      <c r="GI176" s="5"/>
      <c r="GJ176" s="5"/>
      <c r="GK176" s="5"/>
      <c r="GL176" s="5"/>
      <c r="GM176" s="5"/>
      <c r="GN176" s="5"/>
      <c r="GO176" s="5"/>
      <c r="GP176" s="5"/>
      <c r="GQ176" s="5"/>
      <c r="GR176" s="5"/>
      <c r="GS176" s="5"/>
      <c r="GT176" s="5"/>
      <c r="GU176" s="5"/>
      <c r="GV176" s="5"/>
      <c r="GW176" s="5"/>
      <c r="GX176" s="5"/>
      <c r="GY176" s="5"/>
      <c r="GZ176" s="5"/>
      <c r="HA176" s="5"/>
      <c r="HB176" s="5"/>
      <c r="HC176" s="5"/>
      <c r="HD176" s="5"/>
      <c r="HE176" s="5"/>
      <c r="HF176" s="5"/>
      <c r="HG176" s="5"/>
      <c r="HH176" s="5"/>
      <c r="HI176" s="5"/>
      <c r="HJ176" s="5"/>
      <c r="HK176" s="5"/>
      <c r="HL176" s="5"/>
      <c r="HM176" s="5"/>
      <c r="HN176" s="5"/>
      <c r="HO176" s="5"/>
      <c r="HP176" s="5"/>
      <c r="HQ176" s="5"/>
      <c r="HR176" s="5"/>
      <c r="HS176" s="5"/>
      <c r="HT176" s="5"/>
      <c r="HU176" s="5"/>
      <c r="HV176" s="5"/>
      <c r="HW176" s="5"/>
      <c r="HX176" s="5"/>
      <c r="HY176" s="5"/>
      <c r="HZ176" s="5"/>
      <c r="IA176" s="5"/>
      <c r="IB176" s="5"/>
      <c r="IC176" s="5"/>
      <c r="ID176" s="5"/>
      <c r="IE176" s="5"/>
      <c r="IF176" s="5"/>
      <c r="IG176" s="5"/>
      <c r="IH176" s="5"/>
      <c r="II176" s="5"/>
      <c r="IJ176" s="5"/>
      <c r="IK176" s="5"/>
      <c r="IL176" s="5"/>
      <c r="IM176" s="5"/>
      <c r="IN176" s="5"/>
      <c r="IO176" s="5"/>
      <c r="IP176" s="5"/>
      <c r="IQ176" s="5"/>
      <c r="IR176" s="5"/>
      <c r="IS176" s="5"/>
      <c r="IT176" s="5"/>
      <c r="IU176" s="5"/>
      <c r="IV176" s="5"/>
      <c r="IW176" s="5"/>
      <c r="IX176" s="5"/>
      <c r="IY176" s="5"/>
      <c r="IZ176" s="5"/>
      <c r="JA176" s="5"/>
      <c r="JB176" s="5"/>
      <c r="JC176" s="5"/>
      <c r="JD176" s="5"/>
      <c r="JE176" s="5"/>
      <c r="JF176" s="5"/>
      <c r="JG176" s="5"/>
      <c r="JH176" s="5"/>
      <c r="JI176" s="5"/>
      <c r="JJ176" s="5"/>
      <c r="JK176" s="5"/>
      <c r="JL176" s="5"/>
      <c r="JM176" s="5"/>
      <c r="JN176" s="5"/>
      <c r="JO176" s="5"/>
      <c r="JP176" s="5"/>
      <c r="JQ176" s="5"/>
      <c r="JR176" s="5"/>
      <c r="JS176" s="5"/>
      <c r="JT176" s="5"/>
      <c r="JU176" s="5"/>
      <c r="JV176" s="5"/>
      <c r="JW176" s="5"/>
      <c r="JX176" s="5"/>
      <c r="JY176" s="5"/>
      <c r="JZ176" s="5"/>
      <c r="KA176" s="5"/>
      <c r="KB176" s="5"/>
      <c r="KC176" s="5"/>
      <c r="KD176" s="5"/>
      <c r="KE176" s="5"/>
      <c r="KF176" s="5"/>
      <c r="KG176" s="5"/>
      <c r="KH176" s="5"/>
      <c r="KI176" s="5"/>
      <c r="KJ176" s="5"/>
      <c r="KK176" s="5"/>
      <c r="KL176" s="5"/>
      <c r="KM176" s="5"/>
      <c r="KN176" s="5"/>
      <c r="KO176" s="5"/>
      <c r="KP176" s="5"/>
      <c r="KQ176" s="5"/>
      <c r="KR176" s="5"/>
      <c r="KS176" s="5"/>
      <c r="KT176" s="5"/>
      <c r="KU176" s="5"/>
      <c r="KV176" s="5"/>
      <c r="KW176" s="5"/>
      <c r="KX176" s="5"/>
      <c r="KY176" s="5"/>
      <c r="KZ176" s="5"/>
      <c r="LA176" s="5"/>
      <c r="LB176" s="5"/>
      <c r="LC176" s="5"/>
      <c r="LD176" s="5"/>
      <c r="LE176" s="5"/>
      <c r="LF176" s="5"/>
      <c r="LG176" s="5"/>
      <c r="LH176" s="5"/>
      <c r="LI176" s="5"/>
      <c r="LJ176" s="5"/>
      <c r="LK176" s="5"/>
      <c r="LL176" s="5"/>
      <c r="LM176" s="5"/>
      <c r="LN176" s="5"/>
      <c r="LO176" s="5"/>
      <c r="LP176" s="5"/>
      <c r="LQ176" s="5"/>
      <c r="LR176" s="5"/>
      <c r="LS176" s="5"/>
      <c r="LT176" s="5"/>
      <c r="LU176" s="5"/>
      <c r="LV176" s="5"/>
      <c r="LW176" s="5"/>
      <c r="LX176" s="5"/>
      <c r="LY176" s="5"/>
      <c r="LZ176" s="5"/>
      <c r="MA176" s="5"/>
      <c r="MB176" s="5"/>
      <c r="MC176" s="5"/>
      <c r="MD176" s="5"/>
      <c r="ME176" s="5"/>
      <c r="MF176" s="5"/>
      <c r="MG176" s="5"/>
      <c r="MH176" s="5"/>
      <c r="MI176" s="5"/>
      <c r="MJ176" s="5"/>
      <c r="MK176" s="5"/>
      <c r="ML176" s="5"/>
      <c r="MM176" s="5"/>
      <c r="MN176" s="5"/>
      <c r="MO176" s="5"/>
      <c r="MP176" s="5"/>
      <c r="MQ176" s="5"/>
      <c r="MR176" s="5"/>
      <c r="MS176" s="5"/>
      <c r="MT176" s="5"/>
      <c r="MU176" s="5"/>
      <c r="MV176" s="5"/>
      <c r="MW176" s="5"/>
      <c r="MX176" s="5"/>
      <c r="MY176" s="5"/>
      <c r="MZ176" s="5"/>
      <c r="NA176" s="5"/>
      <c r="NB176" s="5"/>
      <c r="NC176" s="5"/>
      <c r="ND176" s="5"/>
      <c r="NE176" s="5"/>
      <c r="NF176" s="5"/>
      <c r="NG176" s="5"/>
      <c r="NH176" s="5"/>
      <c r="NI176" s="5"/>
      <c r="NJ176" s="5"/>
      <c r="NK176" s="5"/>
      <c r="NL176" s="5"/>
      <c r="NM176" s="5"/>
      <c r="NN176" s="5"/>
      <c r="NO176" s="5"/>
      <c r="NP176" s="5"/>
      <c r="NQ176" s="5"/>
      <c r="NR176" s="5"/>
      <c r="NS176" s="5"/>
      <c r="NT176" s="5"/>
      <c r="NU176" s="5"/>
      <c r="NV176" s="5"/>
      <c r="NW176" s="5"/>
      <c r="NX176" s="5"/>
      <c r="NY176" s="5"/>
      <c r="NZ176" s="5"/>
      <c r="OA176" s="5"/>
      <c r="OB176" s="5"/>
      <c r="OC176" s="5"/>
      <c r="OD176" s="5"/>
      <c r="OE176" s="5"/>
      <c r="OF176" s="5"/>
      <c r="OG176" s="5"/>
      <c r="OH176" s="5"/>
      <c r="OI176" s="5"/>
      <c r="OJ176" s="5"/>
      <c r="OK176" s="5"/>
      <c r="OL176" s="5"/>
      <c r="OM176" s="5"/>
      <c r="ON176" s="5"/>
      <c r="OO176" s="5"/>
      <c r="OP176" s="5"/>
      <c r="OQ176" s="5"/>
      <c r="OR176" s="5"/>
      <c r="OS176" s="5"/>
      <c r="OT176" s="5"/>
      <c r="OU176" s="5"/>
      <c r="OV176" s="5"/>
      <c r="OW176" s="5"/>
      <c r="OX176" s="5"/>
      <c r="OY176" s="5"/>
      <c r="OZ176" s="5"/>
      <c r="PA176" s="5"/>
      <c r="PB176" s="5"/>
      <c r="PC176" s="5"/>
      <c r="PD176" s="5"/>
      <c r="PE176" s="5"/>
      <c r="PF176" s="5"/>
      <c r="PG176" s="5"/>
      <c r="PH176" s="5"/>
      <c r="PI176" s="5"/>
      <c r="PJ176" s="5"/>
      <c r="PK176" s="5"/>
      <c r="PL176" s="5"/>
      <c r="PM176" s="5"/>
      <c r="PN176" s="5"/>
      <c r="PO176" s="5"/>
      <c r="PP176" s="5"/>
      <c r="PQ176" s="5"/>
      <c r="PR176" s="5"/>
      <c r="PS176" s="5"/>
      <c r="PT176" s="5"/>
      <c r="PU176" s="5"/>
      <c r="PV176" s="5"/>
      <c r="PW176" s="5"/>
      <c r="PX176" s="5"/>
      <c r="PY176" s="5"/>
      <c r="PZ176" s="5"/>
      <c r="QA176" s="5"/>
      <c r="QB176" s="5"/>
      <c r="QC176" s="5"/>
      <c r="QD176" s="5"/>
      <c r="QE176" s="5"/>
      <c r="QF176" s="5"/>
      <c r="QG176" s="5"/>
      <c r="QH176" s="5"/>
      <c r="QI176" s="5"/>
      <c r="QJ176" s="5"/>
      <c r="QK176" s="5"/>
      <c r="QL176" s="5"/>
      <c r="QM176" s="5"/>
      <c r="QN176" s="5"/>
      <c r="QO176" s="5"/>
      <c r="QP176" s="5"/>
      <c r="QQ176" s="5"/>
      <c r="QR176" s="5"/>
      <c r="QS176" s="5"/>
      <c r="QT176" s="5"/>
      <c r="QU176" s="5"/>
      <c r="QV176" s="5"/>
      <c r="QW176" s="5"/>
      <c r="QX176" s="5"/>
      <c r="QY176" s="5"/>
      <c r="QZ176" s="5"/>
      <c r="RA176" s="5"/>
      <c r="RB176" s="5"/>
      <c r="RC176" s="5"/>
      <c r="RD176" s="5"/>
      <c r="RE176" s="5"/>
      <c r="RF176" s="5"/>
      <c r="RG176" s="5"/>
      <c r="RH176" s="5"/>
      <c r="RI176" s="5"/>
      <c r="RJ176" s="5"/>
      <c r="RK176" s="5"/>
      <c r="RL176" s="5"/>
      <c r="RM176" s="5"/>
      <c r="RN176" s="5"/>
      <c r="RO176" s="5"/>
      <c r="RP176" s="5"/>
      <c r="RQ176" s="5"/>
      <c r="RR176" s="5"/>
      <c r="RS176" s="5"/>
      <c r="RT176" s="5"/>
      <c r="RU176" s="5"/>
      <c r="RV176" s="5"/>
      <c r="RW176" s="5"/>
      <c r="RX176" s="5"/>
      <c r="RY176" s="5"/>
      <c r="RZ176" s="5"/>
      <c r="SA176" s="5"/>
      <c r="SB176" s="5"/>
      <c r="SC176" s="5"/>
      <c r="SD176" s="5"/>
      <c r="SE176" s="5"/>
      <c r="SF176" s="5"/>
      <c r="SG176" s="5"/>
      <c r="SH176" s="5"/>
      <c r="SI176" s="5"/>
      <c r="SJ176" s="5"/>
      <c r="SK176" s="5"/>
      <c r="SL176" s="5"/>
      <c r="SM176" s="5"/>
      <c r="SN176" s="5"/>
      <c r="SO176" s="5"/>
      <c r="SP176" s="5"/>
      <c r="SQ176" s="5"/>
      <c r="SR176" s="5"/>
      <c r="SS176" s="5"/>
      <c r="ST176" s="5"/>
      <c r="SU176" s="5"/>
      <c r="SV176" s="5"/>
      <c r="SW176" s="5"/>
      <c r="SX176" s="5"/>
      <c r="SY176" s="5"/>
      <c r="SZ176" s="5"/>
      <c r="TA176" s="5"/>
      <c r="TB176" s="5"/>
      <c r="TC176" s="5"/>
      <c r="TD176" s="5"/>
      <c r="TE176" s="5"/>
      <c r="TF176" s="5"/>
      <c r="TG176" s="5"/>
      <c r="TH176" s="5"/>
      <c r="TI176" s="5"/>
      <c r="TJ176" s="5"/>
      <c r="TK176" s="5"/>
      <c r="TL176" s="5"/>
      <c r="TM176" s="5"/>
      <c r="TN176" s="5"/>
      <c r="TO176" s="5"/>
      <c r="TP176" s="5"/>
      <c r="TQ176" s="5"/>
      <c r="TR176" s="5"/>
      <c r="TS176" s="5"/>
      <c r="TT176" s="5"/>
      <c r="TU176" s="5"/>
      <c r="TV176" s="5"/>
      <c r="TW176" s="5"/>
      <c r="TX176" s="5"/>
      <c r="TY176" s="5"/>
      <c r="TZ176" s="5"/>
      <c r="UA176" s="5"/>
      <c r="UB176" s="5"/>
      <c r="UC176" s="5"/>
      <c r="UD176" s="5"/>
      <c r="UE176" s="5"/>
      <c r="UF176" s="5"/>
      <c r="UG176" s="5"/>
      <c r="UH176" s="5"/>
      <c r="UI176" s="5"/>
      <c r="UJ176" s="5"/>
      <c r="UK176" s="5"/>
      <c r="UL176" s="5"/>
      <c r="UM176" s="5"/>
      <c r="UN176" s="5"/>
      <c r="UO176" s="5"/>
      <c r="UP176" s="5"/>
      <c r="UQ176" s="5"/>
      <c r="UR176" s="5"/>
      <c r="US176" s="5"/>
      <c r="UT176" s="5"/>
      <c r="UU176" s="5"/>
      <c r="UV176" s="5"/>
      <c r="UW176" s="5"/>
      <c r="UX176" s="5"/>
      <c r="UY176" s="5"/>
      <c r="UZ176" s="5"/>
      <c r="VA176" s="5"/>
      <c r="VB176" s="5"/>
      <c r="VC176" s="5"/>
      <c r="VD176" s="5"/>
      <c r="VE176" s="5"/>
      <c r="VF176" s="5"/>
      <c r="VG176" s="5"/>
      <c r="VH176" s="5"/>
      <c r="VI176" s="5"/>
      <c r="VJ176" s="5"/>
      <c r="VK176" s="5"/>
      <c r="VL176" s="5"/>
      <c r="VM176" s="5"/>
      <c r="VN176" s="5"/>
      <c r="VO176" s="5"/>
      <c r="VP176" s="5"/>
      <c r="VQ176" s="5"/>
      <c r="VR176" s="5"/>
      <c r="VS176" s="5"/>
      <c r="VT176" s="5"/>
      <c r="VU176" s="5"/>
      <c r="VV176" s="5"/>
      <c r="VW176" s="5"/>
      <c r="VX176" s="5"/>
      <c r="VY176" s="5"/>
      <c r="VZ176" s="5"/>
      <c r="WA176" s="5"/>
      <c r="WB176" s="5"/>
      <c r="WC176" s="5"/>
      <c r="WD176" s="5"/>
      <c r="WE176" s="5"/>
      <c r="WF176" s="5"/>
      <c r="WG176" s="5"/>
      <c r="WH176" s="5"/>
      <c r="WI176" s="5"/>
      <c r="WJ176" s="5"/>
      <c r="WK176" s="5"/>
      <c r="WL176" s="5"/>
      <c r="WM176" s="5"/>
      <c r="WN176" s="5"/>
      <c r="WO176" s="5"/>
      <c r="WP176" s="5"/>
      <c r="WQ176" s="5"/>
      <c r="WR176" s="5"/>
      <c r="WS176" s="5"/>
      <c r="WT176" s="5"/>
      <c r="WU176" s="5"/>
      <c r="WV176" s="5"/>
      <c r="WW176" s="5"/>
      <c r="WX176" s="5"/>
      <c r="WY176" s="5"/>
      <c r="WZ176" s="5"/>
      <c r="XA176" s="5"/>
      <c r="XB176" s="5"/>
      <c r="XC176" s="5"/>
      <c r="XD176" s="5"/>
      <c r="XE176" s="5"/>
      <c r="XF176" s="5"/>
      <c r="XG176" s="5"/>
      <c r="XH176" s="5"/>
      <c r="XI176" s="5"/>
      <c r="XJ176" s="5"/>
      <c r="XK176" s="5"/>
      <c r="XL176" s="5"/>
      <c r="XM176" s="5"/>
      <c r="XN176" s="5"/>
      <c r="XO176" s="5"/>
      <c r="XP176" s="5"/>
      <c r="XQ176" s="5"/>
      <c r="XR176" s="5"/>
      <c r="XS176" s="5"/>
      <c r="XT176" s="5"/>
      <c r="XU176" s="5"/>
      <c r="XV176" s="5"/>
      <c r="XW176" s="5"/>
      <c r="XX176" s="5"/>
      <c r="XY176" s="5"/>
      <c r="XZ176" s="5"/>
      <c r="YA176" s="5"/>
      <c r="YB176" s="5"/>
      <c r="YC176" s="5"/>
      <c r="YD176" s="5"/>
      <c r="YE176" s="5"/>
      <c r="YF176" s="5"/>
      <c r="YG176" s="5"/>
      <c r="YH176" s="5"/>
      <c r="YI176" s="5"/>
      <c r="YJ176" s="5"/>
      <c r="YK176" s="5"/>
      <c r="YL176" s="5"/>
      <c r="YM176" s="5"/>
      <c r="YN176" s="5"/>
      <c r="YO176" s="5"/>
      <c r="YP176" s="5"/>
      <c r="YQ176" s="5"/>
      <c r="YR176" s="5"/>
      <c r="YS176" s="5"/>
      <c r="YT176" s="5"/>
      <c r="YU176" s="5"/>
      <c r="YV176" s="5"/>
      <c r="YW176" s="5"/>
      <c r="YX176" s="5"/>
      <c r="YY176" s="5"/>
      <c r="YZ176" s="5"/>
    </row>
    <row r="177" spans="1:676">
      <c r="A177" s="7">
        <v>167</v>
      </c>
      <c r="B177" s="7" t="s">
        <v>421</v>
      </c>
      <c r="C177" s="10" t="s">
        <v>422</v>
      </c>
      <c r="D177" s="7" t="s">
        <v>51</v>
      </c>
      <c r="E177" s="7" t="s">
        <v>279</v>
      </c>
      <c r="F177" s="7" t="s">
        <v>394</v>
      </c>
      <c r="G177" s="7"/>
      <c r="H177" s="7" t="s">
        <v>52</v>
      </c>
      <c r="I177" s="11">
        <v>2</v>
      </c>
      <c r="J177" s="11">
        <v>3</v>
      </c>
      <c r="K177" s="11">
        <v>0</v>
      </c>
      <c r="L177" s="11">
        <v>1.57</v>
      </c>
      <c r="M177" s="11">
        <v>0</v>
      </c>
      <c r="N177" s="11">
        <v>0</v>
      </c>
      <c r="O177" s="11">
        <v>0.18</v>
      </c>
      <c r="P177" s="11">
        <v>0</v>
      </c>
      <c r="Q177" s="11">
        <v>1.75</v>
      </c>
      <c r="R177" s="11">
        <v>11.62</v>
      </c>
      <c r="S177" s="11">
        <v>13.37</v>
      </c>
      <c r="T177" s="11">
        <v>2</v>
      </c>
      <c r="U177" s="11">
        <v>3</v>
      </c>
      <c r="V177" s="11">
        <v>8.370000000000003</v>
      </c>
      <c r="W177" s="13">
        <v>18</v>
      </c>
      <c r="X177" s="13">
        <v>27</v>
      </c>
      <c r="Y177" s="13" t="str">
        <f>MIN(W177,S177)</f>
        <v>0</v>
      </c>
      <c r="Z177" s="13" t="str">
        <f>MIN(X177,(S177-Y177))</f>
        <v>0</v>
      </c>
      <c r="AA177" s="13" t="str">
        <f>S177-SUM(Y177,Z177)</f>
        <v>0</v>
      </c>
      <c r="AB177" s="15"/>
      <c r="AC177" s="15"/>
      <c r="AD177" s="1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  <c r="IW177" s="5"/>
      <c r="IX177" s="5"/>
      <c r="IY177" s="5"/>
      <c r="IZ177" s="5"/>
      <c r="JA177" s="5"/>
      <c r="JB177" s="5"/>
      <c r="JC177" s="5"/>
      <c r="JD177" s="5"/>
      <c r="JE177" s="5"/>
      <c r="JF177" s="5"/>
      <c r="JG177" s="5"/>
      <c r="JH177" s="5"/>
      <c r="JI177" s="5"/>
      <c r="JJ177" s="5"/>
      <c r="JK177" s="5"/>
      <c r="JL177" s="5"/>
      <c r="JM177" s="5"/>
      <c r="JN177" s="5"/>
      <c r="JO177" s="5"/>
      <c r="JP177" s="5"/>
      <c r="JQ177" s="5"/>
      <c r="JR177" s="5"/>
      <c r="JS177" s="5"/>
      <c r="JT177" s="5"/>
      <c r="JU177" s="5"/>
      <c r="JV177" s="5"/>
      <c r="JW177" s="5"/>
      <c r="JX177" s="5"/>
      <c r="JY177" s="5"/>
      <c r="JZ177" s="5"/>
      <c r="KA177" s="5"/>
      <c r="KB177" s="5"/>
      <c r="KC177" s="5"/>
      <c r="KD177" s="5"/>
      <c r="KE177" s="5"/>
      <c r="KF177" s="5"/>
      <c r="KG177" s="5"/>
      <c r="KH177" s="5"/>
      <c r="KI177" s="5"/>
      <c r="KJ177" s="5"/>
      <c r="KK177" s="5"/>
      <c r="KL177" s="5"/>
      <c r="KM177" s="5"/>
      <c r="KN177" s="5"/>
      <c r="KO177" s="5"/>
      <c r="KP177" s="5"/>
      <c r="KQ177" s="5"/>
      <c r="KR177" s="5"/>
      <c r="KS177" s="5"/>
      <c r="KT177" s="5"/>
      <c r="KU177" s="5"/>
      <c r="KV177" s="5"/>
      <c r="KW177" s="5"/>
      <c r="KX177" s="5"/>
      <c r="KY177" s="5"/>
      <c r="KZ177" s="5"/>
      <c r="LA177" s="5"/>
      <c r="LB177" s="5"/>
      <c r="LC177" s="5"/>
      <c r="LD177" s="5"/>
      <c r="LE177" s="5"/>
      <c r="LF177" s="5"/>
      <c r="LG177" s="5"/>
      <c r="LH177" s="5"/>
      <c r="LI177" s="5"/>
      <c r="LJ177" s="5"/>
      <c r="LK177" s="5"/>
      <c r="LL177" s="5"/>
      <c r="LM177" s="5"/>
      <c r="LN177" s="5"/>
      <c r="LO177" s="5"/>
      <c r="LP177" s="5"/>
      <c r="LQ177" s="5"/>
      <c r="LR177" s="5"/>
      <c r="LS177" s="5"/>
      <c r="LT177" s="5"/>
      <c r="LU177" s="5"/>
      <c r="LV177" s="5"/>
      <c r="LW177" s="5"/>
      <c r="LX177" s="5"/>
      <c r="LY177" s="5"/>
      <c r="LZ177" s="5"/>
      <c r="MA177" s="5"/>
      <c r="MB177" s="5"/>
      <c r="MC177" s="5"/>
      <c r="MD177" s="5"/>
      <c r="ME177" s="5"/>
      <c r="MF177" s="5"/>
      <c r="MG177" s="5"/>
      <c r="MH177" s="5"/>
      <c r="MI177" s="5"/>
      <c r="MJ177" s="5"/>
      <c r="MK177" s="5"/>
      <c r="ML177" s="5"/>
      <c r="MM177" s="5"/>
      <c r="MN177" s="5"/>
      <c r="MO177" s="5"/>
      <c r="MP177" s="5"/>
      <c r="MQ177" s="5"/>
      <c r="MR177" s="5"/>
      <c r="MS177" s="5"/>
      <c r="MT177" s="5"/>
      <c r="MU177" s="5"/>
      <c r="MV177" s="5"/>
      <c r="MW177" s="5"/>
      <c r="MX177" s="5"/>
      <c r="MY177" s="5"/>
      <c r="MZ177" s="5"/>
      <c r="NA177" s="5"/>
      <c r="NB177" s="5"/>
      <c r="NC177" s="5"/>
      <c r="ND177" s="5"/>
      <c r="NE177" s="5"/>
      <c r="NF177" s="5"/>
      <c r="NG177" s="5"/>
      <c r="NH177" s="5"/>
      <c r="NI177" s="5"/>
      <c r="NJ177" s="5"/>
      <c r="NK177" s="5"/>
      <c r="NL177" s="5"/>
      <c r="NM177" s="5"/>
      <c r="NN177" s="5"/>
      <c r="NO177" s="5"/>
      <c r="NP177" s="5"/>
      <c r="NQ177" s="5"/>
      <c r="NR177" s="5"/>
      <c r="NS177" s="5"/>
      <c r="NT177" s="5"/>
      <c r="NU177" s="5"/>
      <c r="NV177" s="5"/>
      <c r="NW177" s="5"/>
      <c r="NX177" s="5"/>
      <c r="NY177" s="5"/>
      <c r="NZ177" s="5"/>
      <c r="OA177" s="5"/>
      <c r="OB177" s="5"/>
      <c r="OC177" s="5"/>
      <c r="OD177" s="5"/>
      <c r="OE177" s="5"/>
      <c r="OF177" s="5"/>
      <c r="OG177" s="5"/>
      <c r="OH177" s="5"/>
      <c r="OI177" s="5"/>
      <c r="OJ177" s="5"/>
      <c r="OK177" s="5"/>
      <c r="OL177" s="5"/>
      <c r="OM177" s="5"/>
      <c r="ON177" s="5"/>
      <c r="OO177" s="5"/>
      <c r="OP177" s="5"/>
      <c r="OQ177" s="5"/>
      <c r="OR177" s="5"/>
      <c r="OS177" s="5"/>
      <c r="OT177" s="5"/>
      <c r="OU177" s="5"/>
      <c r="OV177" s="5"/>
      <c r="OW177" s="5"/>
      <c r="OX177" s="5"/>
      <c r="OY177" s="5"/>
      <c r="OZ177" s="5"/>
      <c r="PA177" s="5"/>
      <c r="PB177" s="5"/>
      <c r="PC177" s="5"/>
      <c r="PD177" s="5"/>
      <c r="PE177" s="5"/>
      <c r="PF177" s="5"/>
      <c r="PG177" s="5"/>
      <c r="PH177" s="5"/>
      <c r="PI177" s="5"/>
      <c r="PJ177" s="5"/>
      <c r="PK177" s="5"/>
      <c r="PL177" s="5"/>
      <c r="PM177" s="5"/>
      <c r="PN177" s="5"/>
      <c r="PO177" s="5"/>
      <c r="PP177" s="5"/>
      <c r="PQ177" s="5"/>
      <c r="PR177" s="5"/>
      <c r="PS177" s="5"/>
      <c r="PT177" s="5"/>
      <c r="PU177" s="5"/>
      <c r="PV177" s="5"/>
      <c r="PW177" s="5"/>
      <c r="PX177" s="5"/>
      <c r="PY177" s="5"/>
      <c r="PZ177" s="5"/>
      <c r="QA177" s="5"/>
      <c r="QB177" s="5"/>
      <c r="QC177" s="5"/>
      <c r="QD177" s="5"/>
      <c r="QE177" s="5"/>
      <c r="QF177" s="5"/>
      <c r="QG177" s="5"/>
      <c r="QH177" s="5"/>
      <c r="QI177" s="5"/>
      <c r="QJ177" s="5"/>
      <c r="QK177" s="5"/>
      <c r="QL177" s="5"/>
      <c r="QM177" s="5"/>
      <c r="QN177" s="5"/>
      <c r="QO177" s="5"/>
      <c r="QP177" s="5"/>
      <c r="QQ177" s="5"/>
      <c r="QR177" s="5"/>
      <c r="QS177" s="5"/>
      <c r="QT177" s="5"/>
      <c r="QU177" s="5"/>
      <c r="QV177" s="5"/>
      <c r="QW177" s="5"/>
      <c r="QX177" s="5"/>
      <c r="QY177" s="5"/>
      <c r="QZ177" s="5"/>
      <c r="RA177" s="5"/>
      <c r="RB177" s="5"/>
      <c r="RC177" s="5"/>
      <c r="RD177" s="5"/>
      <c r="RE177" s="5"/>
      <c r="RF177" s="5"/>
      <c r="RG177" s="5"/>
      <c r="RH177" s="5"/>
      <c r="RI177" s="5"/>
      <c r="RJ177" s="5"/>
      <c r="RK177" s="5"/>
      <c r="RL177" s="5"/>
      <c r="RM177" s="5"/>
      <c r="RN177" s="5"/>
      <c r="RO177" s="5"/>
      <c r="RP177" s="5"/>
      <c r="RQ177" s="5"/>
      <c r="RR177" s="5"/>
      <c r="RS177" s="5"/>
      <c r="RT177" s="5"/>
      <c r="RU177" s="5"/>
      <c r="RV177" s="5"/>
      <c r="RW177" s="5"/>
      <c r="RX177" s="5"/>
      <c r="RY177" s="5"/>
      <c r="RZ177" s="5"/>
      <c r="SA177" s="5"/>
      <c r="SB177" s="5"/>
      <c r="SC177" s="5"/>
      <c r="SD177" s="5"/>
      <c r="SE177" s="5"/>
      <c r="SF177" s="5"/>
      <c r="SG177" s="5"/>
      <c r="SH177" s="5"/>
      <c r="SI177" s="5"/>
      <c r="SJ177" s="5"/>
      <c r="SK177" s="5"/>
      <c r="SL177" s="5"/>
      <c r="SM177" s="5"/>
      <c r="SN177" s="5"/>
      <c r="SO177" s="5"/>
      <c r="SP177" s="5"/>
      <c r="SQ177" s="5"/>
      <c r="SR177" s="5"/>
      <c r="SS177" s="5"/>
      <c r="ST177" s="5"/>
      <c r="SU177" s="5"/>
      <c r="SV177" s="5"/>
      <c r="SW177" s="5"/>
      <c r="SX177" s="5"/>
      <c r="SY177" s="5"/>
      <c r="SZ177" s="5"/>
      <c r="TA177" s="5"/>
      <c r="TB177" s="5"/>
      <c r="TC177" s="5"/>
      <c r="TD177" s="5"/>
      <c r="TE177" s="5"/>
      <c r="TF177" s="5"/>
      <c r="TG177" s="5"/>
      <c r="TH177" s="5"/>
      <c r="TI177" s="5"/>
      <c r="TJ177" s="5"/>
      <c r="TK177" s="5"/>
      <c r="TL177" s="5"/>
      <c r="TM177" s="5"/>
      <c r="TN177" s="5"/>
      <c r="TO177" s="5"/>
      <c r="TP177" s="5"/>
      <c r="TQ177" s="5"/>
      <c r="TR177" s="5"/>
      <c r="TS177" s="5"/>
      <c r="TT177" s="5"/>
      <c r="TU177" s="5"/>
      <c r="TV177" s="5"/>
      <c r="TW177" s="5"/>
      <c r="TX177" s="5"/>
      <c r="TY177" s="5"/>
      <c r="TZ177" s="5"/>
      <c r="UA177" s="5"/>
      <c r="UB177" s="5"/>
      <c r="UC177" s="5"/>
      <c r="UD177" s="5"/>
      <c r="UE177" s="5"/>
      <c r="UF177" s="5"/>
      <c r="UG177" s="5"/>
      <c r="UH177" s="5"/>
      <c r="UI177" s="5"/>
      <c r="UJ177" s="5"/>
      <c r="UK177" s="5"/>
      <c r="UL177" s="5"/>
      <c r="UM177" s="5"/>
      <c r="UN177" s="5"/>
      <c r="UO177" s="5"/>
      <c r="UP177" s="5"/>
      <c r="UQ177" s="5"/>
      <c r="UR177" s="5"/>
      <c r="US177" s="5"/>
      <c r="UT177" s="5"/>
      <c r="UU177" s="5"/>
      <c r="UV177" s="5"/>
      <c r="UW177" s="5"/>
      <c r="UX177" s="5"/>
      <c r="UY177" s="5"/>
      <c r="UZ177" s="5"/>
      <c r="VA177" s="5"/>
      <c r="VB177" s="5"/>
      <c r="VC177" s="5"/>
      <c r="VD177" s="5"/>
      <c r="VE177" s="5"/>
      <c r="VF177" s="5"/>
      <c r="VG177" s="5"/>
      <c r="VH177" s="5"/>
      <c r="VI177" s="5"/>
      <c r="VJ177" s="5"/>
      <c r="VK177" s="5"/>
      <c r="VL177" s="5"/>
      <c r="VM177" s="5"/>
      <c r="VN177" s="5"/>
      <c r="VO177" s="5"/>
      <c r="VP177" s="5"/>
      <c r="VQ177" s="5"/>
      <c r="VR177" s="5"/>
      <c r="VS177" s="5"/>
      <c r="VT177" s="5"/>
      <c r="VU177" s="5"/>
      <c r="VV177" s="5"/>
      <c r="VW177" s="5"/>
      <c r="VX177" s="5"/>
      <c r="VY177" s="5"/>
      <c r="VZ177" s="5"/>
      <c r="WA177" s="5"/>
      <c r="WB177" s="5"/>
      <c r="WC177" s="5"/>
      <c r="WD177" s="5"/>
      <c r="WE177" s="5"/>
      <c r="WF177" s="5"/>
      <c r="WG177" s="5"/>
      <c r="WH177" s="5"/>
      <c r="WI177" s="5"/>
      <c r="WJ177" s="5"/>
      <c r="WK177" s="5"/>
      <c r="WL177" s="5"/>
      <c r="WM177" s="5"/>
      <c r="WN177" s="5"/>
      <c r="WO177" s="5"/>
      <c r="WP177" s="5"/>
      <c r="WQ177" s="5"/>
      <c r="WR177" s="5"/>
      <c r="WS177" s="5"/>
      <c r="WT177" s="5"/>
      <c r="WU177" s="5"/>
      <c r="WV177" s="5"/>
      <c r="WW177" s="5"/>
      <c r="WX177" s="5"/>
      <c r="WY177" s="5"/>
      <c r="WZ177" s="5"/>
      <c r="XA177" s="5"/>
      <c r="XB177" s="5"/>
      <c r="XC177" s="5"/>
      <c r="XD177" s="5"/>
      <c r="XE177" s="5"/>
      <c r="XF177" s="5"/>
      <c r="XG177" s="5"/>
      <c r="XH177" s="5"/>
      <c r="XI177" s="5"/>
      <c r="XJ177" s="5"/>
      <c r="XK177" s="5"/>
      <c r="XL177" s="5"/>
      <c r="XM177" s="5"/>
      <c r="XN177" s="5"/>
      <c r="XO177" s="5"/>
      <c r="XP177" s="5"/>
      <c r="XQ177" s="5"/>
      <c r="XR177" s="5"/>
      <c r="XS177" s="5"/>
      <c r="XT177" s="5"/>
      <c r="XU177" s="5"/>
      <c r="XV177" s="5"/>
      <c r="XW177" s="5"/>
      <c r="XX177" s="5"/>
      <c r="XY177" s="5"/>
      <c r="XZ177" s="5"/>
      <c r="YA177" s="5"/>
      <c r="YB177" s="5"/>
      <c r="YC177" s="5"/>
      <c r="YD177" s="5"/>
      <c r="YE177" s="5"/>
      <c r="YF177" s="5"/>
      <c r="YG177" s="5"/>
      <c r="YH177" s="5"/>
      <c r="YI177" s="5"/>
      <c r="YJ177" s="5"/>
      <c r="YK177" s="5"/>
      <c r="YL177" s="5"/>
      <c r="YM177" s="5"/>
      <c r="YN177" s="5"/>
      <c r="YO177" s="5"/>
      <c r="YP177" s="5"/>
      <c r="YQ177" s="5"/>
      <c r="YR177" s="5"/>
      <c r="YS177" s="5"/>
      <c r="YT177" s="5"/>
      <c r="YU177" s="5"/>
      <c r="YV177" s="5"/>
      <c r="YW177" s="5"/>
      <c r="YX177" s="5"/>
      <c r="YY177" s="5"/>
      <c r="YZ177" s="5"/>
    </row>
    <row r="178" spans="1:676">
      <c r="A178" s="7">
        <v>168</v>
      </c>
      <c r="B178" s="7" t="s">
        <v>423</v>
      </c>
      <c r="C178" s="10" t="s">
        <v>424</v>
      </c>
      <c r="D178" s="7" t="s">
        <v>296</v>
      </c>
      <c r="E178" s="7" t="s">
        <v>279</v>
      </c>
      <c r="F178" s="7" t="s">
        <v>394</v>
      </c>
      <c r="G178" s="7"/>
      <c r="H178" s="7" t="s">
        <v>52</v>
      </c>
      <c r="I178" s="11">
        <v>2</v>
      </c>
      <c r="J178" s="11">
        <v>3</v>
      </c>
      <c r="K178" s="11">
        <v>0</v>
      </c>
      <c r="L178" s="11">
        <v>2.82</v>
      </c>
      <c r="M178" s="11">
        <v>0</v>
      </c>
      <c r="N178" s="11">
        <v>0</v>
      </c>
      <c r="O178" s="11">
        <v>0.74</v>
      </c>
      <c r="P178" s="11">
        <v>0</v>
      </c>
      <c r="Q178" s="11">
        <v>3.56</v>
      </c>
      <c r="R178" s="11">
        <v>0</v>
      </c>
      <c r="S178" s="11">
        <v>3.56</v>
      </c>
      <c r="T178" s="11">
        <v>2</v>
      </c>
      <c r="U178" s="11">
        <v>1.56</v>
      </c>
      <c r="V178" s="11">
        <v>0</v>
      </c>
      <c r="W178" s="13">
        <v>18</v>
      </c>
      <c r="X178" s="13">
        <v>27</v>
      </c>
      <c r="Y178" s="13" t="str">
        <f>MIN(W178,S178)</f>
        <v>0</v>
      </c>
      <c r="Z178" s="13" t="str">
        <f>MIN(X178,(S178-Y178))</f>
        <v>0</v>
      </c>
      <c r="AA178" s="13" t="str">
        <f>S178-SUM(Y178,Z178)</f>
        <v>0</v>
      </c>
      <c r="AB178" s="15"/>
      <c r="AC178" s="15"/>
      <c r="AD178" s="1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W178" s="5"/>
      <c r="BX178" s="5"/>
      <c r="BY178" s="5"/>
      <c r="BZ178" s="5"/>
      <c r="CA178" s="5"/>
      <c r="CB178" s="5"/>
      <c r="CC178" s="5"/>
      <c r="CD178" s="5"/>
      <c r="CE178" s="5"/>
      <c r="CF178" s="5"/>
      <c r="CG178" s="5"/>
      <c r="CH178" s="5"/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5"/>
      <c r="DB178" s="5"/>
      <c r="DC178" s="5"/>
      <c r="DD178" s="5"/>
      <c r="DE178" s="5"/>
      <c r="DF178" s="5"/>
      <c r="DG178" s="5"/>
      <c r="DH178" s="5"/>
      <c r="DI178" s="5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  <c r="EC178" s="5"/>
      <c r="ED178" s="5"/>
      <c r="EE178" s="5"/>
      <c r="EF178" s="5"/>
      <c r="EG178" s="5"/>
      <c r="EH178" s="5"/>
      <c r="EI178" s="5"/>
      <c r="EJ178" s="5"/>
      <c r="EK178" s="5"/>
      <c r="EL178" s="5"/>
      <c r="EM178" s="5"/>
      <c r="EN178" s="5"/>
      <c r="EO178" s="5"/>
      <c r="EP178" s="5"/>
      <c r="EQ178" s="5"/>
      <c r="ER178" s="5"/>
      <c r="ES178" s="5"/>
      <c r="ET178" s="5"/>
      <c r="EU178" s="5"/>
      <c r="EV178" s="5"/>
      <c r="EW178" s="5"/>
      <c r="EX178" s="5"/>
      <c r="EY178" s="5"/>
      <c r="EZ178" s="5"/>
      <c r="FA178" s="5"/>
      <c r="FB178" s="5"/>
      <c r="FC178" s="5"/>
      <c r="FD178" s="5"/>
      <c r="FE178" s="5"/>
      <c r="FF178" s="5"/>
      <c r="FG178" s="5"/>
      <c r="FH178" s="5"/>
      <c r="FI178" s="5"/>
      <c r="FJ178" s="5"/>
      <c r="FK178" s="5"/>
      <c r="FL178" s="5"/>
      <c r="FM178" s="5"/>
      <c r="FN178" s="5"/>
      <c r="FO178" s="5"/>
      <c r="FP178" s="5"/>
      <c r="FQ178" s="5"/>
      <c r="FR178" s="5"/>
      <c r="FS178" s="5"/>
      <c r="FT178" s="5"/>
      <c r="FU178" s="5"/>
      <c r="FV178" s="5"/>
      <c r="FW178" s="5"/>
      <c r="FX178" s="5"/>
      <c r="FY178" s="5"/>
      <c r="FZ178" s="5"/>
      <c r="GA178" s="5"/>
      <c r="GB178" s="5"/>
      <c r="GC178" s="5"/>
      <c r="GD178" s="5"/>
      <c r="GE178" s="5"/>
      <c r="GF178" s="5"/>
      <c r="GG178" s="5"/>
      <c r="GH178" s="5"/>
      <c r="GI178" s="5"/>
      <c r="GJ178" s="5"/>
      <c r="GK178" s="5"/>
      <c r="GL178" s="5"/>
      <c r="GM178" s="5"/>
      <c r="GN178" s="5"/>
      <c r="GO178" s="5"/>
      <c r="GP178" s="5"/>
      <c r="GQ178" s="5"/>
      <c r="GR178" s="5"/>
      <c r="GS178" s="5"/>
      <c r="GT178" s="5"/>
      <c r="GU178" s="5"/>
      <c r="GV178" s="5"/>
      <c r="GW178" s="5"/>
      <c r="GX178" s="5"/>
      <c r="GY178" s="5"/>
      <c r="GZ178" s="5"/>
      <c r="HA178" s="5"/>
      <c r="HB178" s="5"/>
      <c r="HC178" s="5"/>
      <c r="HD178" s="5"/>
      <c r="HE178" s="5"/>
      <c r="HF178" s="5"/>
      <c r="HG178" s="5"/>
      <c r="HH178" s="5"/>
      <c r="HI178" s="5"/>
      <c r="HJ178" s="5"/>
      <c r="HK178" s="5"/>
      <c r="HL178" s="5"/>
      <c r="HM178" s="5"/>
      <c r="HN178" s="5"/>
      <c r="HO178" s="5"/>
      <c r="HP178" s="5"/>
      <c r="HQ178" s="5"/>
      <c r="HR178" s="5"/>
      <c r="HS178" s="5"/>
      <c r="HT178" s="5"/>
      <c r="HU178" s="5"/>
      <c r="HV178" s="5"/>
      <c r="HW178" s="5"/>
      <c r="HX178" s="5"/>
      <c r="HY178" s="5"/>
      <c r="HZ178" s="5"/>
      <c r="IA178" s="5"/>
      <c r="IB178" s="5"/>
      <c r="IC178" s="5"/>
      <c r="ID178" s="5"/>
      <c r="IE178" s="5"/>
      <c r="IF178" s="5"/>
      <c r="IG178" s="5"/>
      <c r="IH178" s="5"/>
      <c r="II178" s="5"/>
      <c r="IJ178" s="5"/>
      <c r="IK178" s="5"/>
      <c r="IL178" s="5"/>
      <c r="IM178" s="5"/>
      <c r="IN178" s="5"/>
      <c r="IO178" s="5"/>
      <c r="IP178" s="5"/>
      <c r="IQ178" s="5"/>
      <c r="IR178" s="5"/>
      <c r="IS178" s="5"/>
      <c r="IT178" s="5"/>
      <c r="IU178" s="5"/>
      <c r="IV178" s="5"/>
      <c r="IW178" s="5"/>
      <c r="IX178" s="5"/>
      <c r="IY178" s="5"/>
      <c r="IZ178" s="5"/>
      <c r="JA178" s="5"/>
      <c r="JB178" s="5"/>
      <c r="JC178" s="5"/>
      <c r="JD178" s="5"/>
      <c r="JE178" s="5"/>
      <c r="JF178" s="5"/>
      <c r="JG178" s="5"/>
      <c r="JH178" s="5"/>
      <c r="JI178" s="5"/>
      <c r="JJ178" s="5"/>
      <c r="JK178" s="5"/>
      <c r="JL178" s="5"/>
      <c r="JM178" s="5"/>
      <c r="JN178" s="5"/>
      <c r="JO178" s="5"/>
      <c r="JP178" s="5"/>
      <c r="JQ178" s="5"/>
      <c r="JR178" s="5"/>
      <c r="JS178" s="5"/>
      <c r="JT178" s="5"/>
      <c r="JU178" s="5"/>
      <c r="JV178" s="5"/>
      <c r="JW178" s="5"/>
      <c r="JX178" s="5"/>
      <c r="JY178" s="5"/>
      <c r="JZ178" s="5"/>
      <c r="KA178" s="5"/>
      <c r="KB178" s="5"/>
      <c r="KC178" s="5"/>
      <c r="KD178" s="5"/>
      <c r="KE178" s="5"/>
      <c r="KF178" s="5"/>
      <c r="KG178" s="5"/>
      <c r="KH178" s="5"/>
      <c r="KI178" s="5"/>
      <c r="KJ178" s="5"/>
      <c r="KK178" s="5"/>
      <c r="KL178" s="5"/>
      <c r="KM178" s="5"/>
      <c r="KN178" s="5"/>
      <c r="KO178" s="5"/>
      <c r="KP178" s="5"/>
      <c r="KQ178" s="5"/>
      <c r="KR178" s="5"/>
      <c r="KS178" s="5"/>
      <c r="KT178" s="5"/>
      <c r="KU178" s="5"/>
      <c r="KV178" s="5"/>
      <c r="KW178" s="5"/>
      <c r="KX178" s="5"/>
      <c r="KY178" s="5"/>
      <c r="KZ178" s="5"/>
      <c r="LA178" s="5"/>
      <c r="LB178" s="5"/>
      <c r="LC178" s="5"/>
      <c r="LD178" s="5"/>
      <c r="LE178" s="5"/>
      <c r="LF178" s="5"/>
      <c r="LG178" s="5"/>
      <c r="LH178" s="5"/>
      <c r="LI178" s="5"/>
      <c r="LJ178" s="5"/>
      <c r="LK178" s="5"/>
      <c r="LL178" s="5"/>
      <c r="LM178" s="5"/>
      <c r="LN178" s="5"/>
      <c r="LO178" s="5"/>
      <c r="LP178" s="5"/>
      <c r="LQ178" s="5"/>
      <c r="LR178" s="5"/>
      <c r="LS178" s="5"/>
      <c r="LT178" s="5"/>
      <c r="LU178" s="5"/>
      <c r="LV178" s="5"/>
      <c r="LW178" s="5"/>
      <c r="LX178" s="5"/>
      <c r="LY178" s="5"/>
      <c r="LZ178" s="5"/>
      <c r="MA178" s="5"/>
      <c r="MB178" s="5"/>
      <c r="MC178" s="5"/>
      <c r="MD178" s="5"/>
      <c r="ME178" s="5"/>
      <c r="MF178" s="5"/>
      <c r="MG178" s="5"/>
      <c r="MH178" s="5"/>
      <c r="MI178" s="5"/>
      <c r="MJ178" s="5"/>
      <c r="MK178" s="5"/>
      <c r="ML178" s="5"/>
      <c r="MM178" s="5"/>
      <c r="MN178" s="5"/>
      <c r="MO178" s="5"/>
      <c r="MP178" s="5"/>
      <c r="MQ178" s="5"/>
      <c r="MR178" s="5"/>
      <c r="MS178" s="5"/>
      <c r="MT178" s="5"/>
      <c r="MU178" s="5"/>
      <c r="MV178" s="5"/>
      <c r="MW178" s="5"/>
      <c r="MX178" s="5"/>
      <c r="MY178" s="5"/>
      <c r="MZ178" s="5"/>
      <c r="NA178" s="5"/>
      <c r="NB178" s="5"/>
      <c r="NC178" s="5"/>
      <c r="ND178" s="5"/>
      <c r="NE178" s="5"/>
      <c r="NF178" s="5"/>
      <c r="NG178" s="5"/>
      <c r="NH178" s="5"/>
      <c r="NI178" s="5"/>
      <c r="NJ178" s="5"/>
      <c r="NK178" s="5"/>
      <c r="NL178" s="5"/>
      <c r="NM178" s="5"/>
      <c r="NN178" s="5"/>
      <c r="NO178" s="5"/>
      <c r="NP178" s="5"/>
      <c r="NQ178" s="5"/>
      <c r="NR178" s="5"/>
      <c r="NS178" s="5"/>
      <c r="NT178" s="5"/>
      <c r="NU178" s="5"/>
      <c r="NV178" s="5"/>
      <c r="NW178" s="5"/>
      <c r="NX178" s="5"/>
      <c r="NY178" s="5"/>
      <c r="NZ178" s="5"/>
      <c r="OA178" s="5"/>
      <c r="OB178" s="5"/>
      <c r="OC178" s="5"/>
      <c r="OD178" s="5"/>
      <c r="OE178" s="5"/>
      <c r="OF178" s="5"/>
      <c r="OG178" s="5"/>
      <c r="OH178" s="5"/>
      <c r="OI178" s="5"/>
      <c r="OJ178" s="5"/>
      <c r="OK178" s="5"/>
      <c r="OL178" s="5"/>
      <c r="OM178" s="5"/>
      <c r="ON178" s="5"/>
      <c r="OO178" s="5"/>
      <c r="OP178" s="5"/>
      <c r="OQ178" s="5"/>
      <c r="OR178" s="5"/>
      <c r="OS178" s="5"/>
      <c r="OT178" s="5"/>
      <c r="OU178" s="5"/>
      <c r="OV178" s="5"/>
      <c r="OW178" s="5"/>
      <c r="OX178" s="5"/>
      <c r="OY178" s="5"/>
      <c r="OZ178" s="5"/>
      <c r="PA178" s="5"/>
      <c r="PB178" s="5"/>
      <c r="PC178" s="5"/>
      <c r="PD178" s="5"/>
      <c r="PE178" s="5"/>
      <c r="PF178" s="5"/>
      <c r="PG178" s="5"/>
      <c r="PH178" s="5"/>
      <c r="PI178" s="5"/>
      <c r="PJ178" s="5"/>
      <c r="PK178" s="5"/>
      <c r="PL178" s="5"/>
      <c r="PM178" s="5"/>
      <c r="PN178" s="5"/>
      <c r="PO178" s="5"/>
      <c r="PP178" s="5"/>
      <c r="PQ178" s="5"/>
      <c r="PR178" s="5"/>
      <c r="PS178" s="5"/>
      <c r="PT178" s="5"/>
      <c r="PU178" s="5"/>
      <c r="PV178" s="5"/>
      <c r="PW178" s="5"/>
      <c r="PX178" s="5"/>
      <c r="PY178" s="5"/>
      <c r="PZ178" s="5"/>
      <c r="QA178" s="5"/>
      <c r="QB178" s="5"/>
      <c r="QC178" s="5"/>
      <c r="QD178" s="5"/>
      <c r="QE178" s="5"/>
      <c r="QF178" s="5"/>
      <c r="QG178" s="5"/>
      <c r="QH178" s="5"/>
      <c r="QI178" s="5"/>
      <c r="QJ178" s="5"/>
      <c r="QK178" s="5"/>
      <c r="QL178" s="5"/>
      <c r="QM178" s="5"/>
      <c r="QN178" s="5"/>
      <c r="QO178" s="5"/>
      <c r="QP178" s="5"/>
      <c r="QQ178" s="5"/>
      <c r="QR178" s="5"/>
      <c r="QS178" s="5"/>
      <c r="QT178" s="5"/>
      <c r="QU178" s="5"/>
      <c r="QV178" s="5"/>
      <c r="QW178" s="5"/>
      <c r="QX178" s="5"/>
      <c r="QY178" s="5"/>
      <c r="QZ178" s="5"/>
      <c r="RA178" s="5"/>
      <c r="RB178" s="5"/>
      <c r="RC178" s="5"/>
      <c r="RD178" s="5"/>
      <c r="RE178" s="5"/>
      <c r="RF178" s="5"/>
      <c r="RG178" s="5"/>
      <c r="RH178" s="5"/>
      <c r="RI178" s="5"/>
      <c r="RJ178" s="5"/>
      <c r="RK178" s="5"/>
      <c r="RL178" s="5"/>
      <c r="RM178" s="5"/>
      <c r="RN178" s="5"/>
      <c r="RO178" s="5"/>
      <c r="RP178" s="5"/>
      <c r="RQ178" s="5"/>
      <c r="RR178" s="5"/>
      <c r="RS178" s="5"/>
      <c r="RT178" s="5"/>
      <c r="RU178" s="5"/>
      <c r="RV178" s="5"/>
      <c r="RW178" s="5"/>
      <c r="RX178" s="5"/>
      <c r="RY178" s="5"/>
      <c r="RZ178" s="5"/>
      <c r="SA178" s="5"/>
      <c r="SB178" s="5"/>
      <c r="SC178" s="5"/>
      <c r="SD178" s="5"/>
      <c r="SE178" s="5"/>
      <c r="SF178" s="5"/>
      <c r="SG178" s="5"/>
      <c r="SH178" s="5"/>
      <c r="SI178" s="5"/>
      <c r="SJ178" s="5"/>
      <c r="SK178" s="5"/>
      <c r="SL178" s="5"/>
      <c r="SM178" s="5"/>
      <c r="SN178" s="5"/>
      <c r="SO178" s="5"/>
      <c r="SP178" s="5"/>
      <c r="SQ178" s="5"/>
      <c r="SR178" s="5"/>
      <c r="SS178" s="5"/>
      <c r="ST178" s="5"/>
      <c r="SU178" s="5"/>
      <c r="SV178" s="5"/>
      <c r="SW178" s="5"/>
      <c r="SX178" s="5"/>
      <c r="SY178" s="5"/>
      <c r="SZ178" s="5"/>
      <c r="TA178" s="5"/>
      <c r="TB178" s="5"/>
      <c r="TC178" s="5"/>
      <c r="TD178" s="5"/>
      <c r="TE178" s="5"/>
      <c r="TF178" s="5"/>
      <c r="TG178" s="5"/>
      <c r="TH178" s="5"/>
      <c r="TI178" s="5"/>
      <c r="TJ178" s="5"/>
      <c r="TK178" s="5"/>
      <c r="TL178" s="5"/>
      <c r="TM178" s="5"/>
      <c r="TN178" s="5"/>
      <c r="TO178" s="5"/>
      <c r="TP178" s="5"/>
      <c r="TQ178" s="5"/>
      <c r="TR178" s="5"/>
      <c r="TS178" s="5"/>
      <c r="TT178" s="5"/>
      <c r="TU178" s="5"/>
      <c r="TV178" s="5"/>
      <c r="TW178" s="5"/>
      <c r="TX178" s="5"/>
      <c r="TY178" s="5"/>
      <c r="TZ178" s="5"/>
      <c r="UA178" s="5"/>
      <c r="UB178" s="5"/>
      <c r="UC178" s="5"/>
      <c r="UD178" s="5"/>
      <c r="UE178" s="5"/>
      <c r="UF178" s="5"/>
      <c r="UG178" s="5"/>
      <c r="UH178" s="5"/>
      <c r="UI178" s="5"/>
      <c r="UJ178" s="5"/>
      <c r="UK178" s="5"/>
      <c r="UL178" s="5"/>
      <c r="UM178" s="5"/>
      <c r="UN178" s="5"/>
      <c r="UO178" s="5"/>
      <c r="UP178" s="5"/>
      <c r="UQ178" s="5"/>
      <c r="UR178" s="5"/>
      <c r="US178" s="5"/>
      <c r="UT178" s="5"/>
      <c r="UU178" s="5"/>
      <c r="UV178" s="5"/>
      <c r="UW178" s="5"/>
      <c r="UX178" s="5"/>
      <c r="UY178" s="5"/>
      <c r="UZ178" s="5"/>
      <c r="VA178" s="5"/>
      <c r="VB178" s="5"/>
      <c r="VC178" s="5"/>
      <c r="VD178" s="5"/>
      <c r="VE178" s="5"/>
      <c r="VF178" s="5"/>
      <c r="VG178" s="5"/>
      <c r="VH178" s="5"/>
      <c r="VI178" s="5"/>
      <c r="VJ178" s="5"/>
      <c r="VK178" s="5"/>
      <c r="VL178" s="5"/>
      <c r="VM178" s="5"/>
      <c r="VN178" s="5"/>
      <c r="VO178" s="5"/>
      <c r="VP178" s="5"/>
      <c r="VQ178" s="5"/>
      <c r="VR178" s="5"/>
      <c r="VS178" s="5"/>
      <c r="VT178" s="5"/>
      <c r="VU178" s="5"/>
      <c r="VV178" s="5"/>
      <c r="VW178" s="5"/>
      <c r="VX178" s="5"/>
      <c r="VY178" s="5"/>
      <c r="VZ178" s="5"/>
      <c r="WA178" s="5"/>
      <c r="WB178" s="5"/>
      <c r="WC178" s="5"/>
      <c r="WD178" s="5"/>
      <c r="WE178" s="5"/>
      <c r="WF178" s="5"/>
      <c r="WG178" s="5"/>
      <c r="WH178" s="5"/>
      <c r="WI178" s="5"/>
      <c r="WJ178" s="5"/>
      <c r="WK178" s="5"/>
      <c r="WL178" s="5"/>
      <c r="WM178" s="5"/>
      <c r="WN178" s="5"/>
      <c r="WO178" s="5"/>
      <c r="WP178" s="5"/>
      <c r="WQ178" s="5"/>
      <c r="WR178" s="5"/>
      <c r="WS178" s="5"/>
      <c r="WT178" s="5"/>
      <c r="WU178" s="5"/>
      <c r="WV178" s="5"/>
      <c r="WW178" s="5"/>
      <c r="WX178" s="5"/>
      <c r="WY178" s="5"/>
      <c r="WZ178" s="5"/>
      <c r="XA178" s="5"/>
      <c r="XB178" s="5"/>
      <c r="XC178" s="5"/>
      <c r="XD178" s="5"/>
      <c r="XE178" s="5"/>
      <c r="XF178" s="5"/>
      <c r="XG178" s="5"/>
      <c r="XH178" s="5"/>
      <c r="XI178" s="5"/>
      <c r="XJ178" s="5"/>
      <c r="XK178" s="5"/>
      <c r="XL178" s="5"/>
      <c r="XM178" s="5"/>
      <c r="XN178" s="5"/>
      <c r="XO178" s="5"/>
      <c r="XP178" s="5"/>
      <c r="XQ178" s="5"/>
      <c r="XR178" s="5"/>
      <c r="XS178" s="5"/>
      <c r="XT178" s="5"/>
      <c r="XU178" s="5"/>
      <c r="XV178" s="5"/>
      <c r="XW178" s="5"/>
      <c r="XX178" s="5"/>
      <c r="XY178" s="5"/>
      <c r="XZ178" s="5"/>
      <c r="YA178" s="5"/>
      <c r="YB178" s="5"/>
      <c r="YC178" s="5"/>
      <c r="YD178" s="5"/>
      <c r="YE178" s="5"/>
      <c r="YF178" s="5"/>
      <c r="YG178" s="5"/>
      <c r="YH178" s="5"/>
      <c r="YI178" s="5"/>
      <c r="YJ178" s="5"/>
      <c r="YK178" s="5"/>
      <c r="YL178" s="5"/>
      <c r="YM178" s="5"/>
      <c r="YN178" s="5"/>
      <c r="YO178" s="5"/>
      <c r="YP178" s="5"/>
      <c r="YQ178" s="5"/>
      <c r="YR178" s="5"/>
      <c r="YS178" s="5"/>
      <c r="YT178" s="5"/>
      <c r="YU178" s="5"/>
      <c r="YV178" s="5"/>
      <c r="YW178" s="5"/>
      <c r="YX178" s="5"/>
      <c r="YY178" s="5"/>
      <c r="YZ178" s="5"/>
    </row>
    <row r="179" spans="1:676">
      <c r="A179" s="7">
        <v>169</v>
      </c>
      <c r="B179" s="7" t="s">
        <v>425</v>
      </c>
      <c r="C179" s="10" t="s">
        <v>426</v>
      </c>
      <c r="D179" s="7" t="s">
        <v>46</v>
      </c>
      <c r="E179" s="7" t="s">
        <v>279</v>
      </c>
      <c r="F179" s="7" t="s">
        <v>386</v>
      </c>
      <c r="G179" s="7"/>
      <c r="H179" s="7" t="s">
        <v>52</v>
      </c>
      <c r="I179" s="11">
        <v>2</v>
      </c>
      <c r="J179" s="11">
        <v>3</v>
      </c>
      <c r="K179" s="11">
        <v>0</v>
      </c>
      <c r="L179" s="11">
        <v>5.239999999999999</v>
      </c>
      <c r="M179" s="11">
        <v>0.8400000000000001</v>
      </c>
      <c r="N179" s="11">
        <v>0</v>
      </c>
      <c r="O179" s="11">
        <v>0.46</v>
      </c>
      <c r="P179" s="11">
        <v>0</v>
      </c>
      <c r="Q179" s="11">
        <v>6.54</v>
      </c>
      <c r="R179" s="11">
        <v>27.8</v>
      </c>
      <c r="S179" s="11">
        <v>34.34</v>
      </c>
      <c r="T179" s="11">
        <v>2</v>
      </c>
      <c r="U179" s="11">
        <v>3</v>
      </c>
      <c r="V179" s="11">
        <v>29.34</v>
      </c>
      <c r="W179" s="13">
        <v>18</v>
      </c>
      <c r="X179" s="13">
        <v>27</v>
      </c>
      <c r="Y179" s="13" t="str">
        <f>MIN(W179,S179)</f>
        <v>0</v>
      </c>
      <c r="Z179" s="13" t="str">
        <f>MIN(X179,(S179-Y179))</f>
        <v>0</v>
      </c>
      <c r="AA179" s="13" t="str">
        <f>S179-SUM(Y179,Z179)</f>
        <v>0</v>
      </c>
      <c r="AB179" s="15"/>
      <c r="AC179" s="15"/>
      <c r="AD179" s="1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  <c r="EC179" s="5"/>
      <c r="ED179" s="5"/>
      <c r="EE179" s="5"/>
      <c r="EF179" s="5"/>
      <c r="EG179" s="5"/>
      <c r="EH179" s="5"/>
      <c r="EI179" s="5"/>
      <c r="EJ179" s="5"/>
      <c r="EK179" s="5"/>
      <c r="EL179" s="5"/>
      <c r="EM179" s="5"/>
      <c r="EN179" s="5"/>
      <c r="EO179" s="5"/>
      <c r="EP179" s="5"/>
      <c r="EQ179" s="5"/>
      <c r="ER179" s="5"/>
      <c r="ES179" s="5"/>
      <c r="ET179" s="5"/>
      <c r="EU179" s="5"/>
      <c r="EV179" s="5"/>
      <c r="EW179" s="5"/>
      <c r="EX179" s="5"/>
      <c r="EY179" s="5"/>
      <c r="EZ179" s="5"/>
      <c r="FA179" s="5"/>
      <c r="FB179" s="5"/>
      <c r="FC179" s="5"/>
      <c r="FD179" s="5"/>
      <c r="FE179" s="5"/>
      <c r="FF179" s="5"/>
      <c r="FG179" s="5"/>
      <c r="FH179" s="5"/>
      <c r="FI179" s="5"/>
      <c r="FJ179" s="5"/>
      <c r="FK179" s="5"/>
      <c r="FL179" s="5"/>
      <c r="FM179" s="5"/>
      <c r="FN179" s="5"/>
      <c r="FO179" s="5"/>
      <c r="FP179" s="5"/>
      <c r="FQ179" s="5"/>
      <c r="FR179" s="5"/>
      <c r="FS179" s="5"/>
      <c r="FT179" s="5"/>
      <c r="FU179" s="5"/>
      <c r="FV179" s="5"/>
      <c r="FW179" s="5"/>
      <c r="FX179" s="5"/>
      <c r="FY179" s="5"/>
      <c r="FZ179" s="5"/>
      <c r="GA179" s="5"/>
      <c r="GB179" s="5"/>
      <c r="GC179" s="5"/>
      <c r="GD179" s="5"/>
      <c r="GE179" s="5"/>
      <c r="GF179" s="5"/>
      <c r="GG179" s="5"/>
      <c r="GH179" s="5"/>
      <c r="GI179" s="5"/>
      <c r="GJ179" s="5"/>
      <c r="GK179" s="5"/>
      <c r="GL179" s="5"/>
      <c r="GM179" s="5"/>
      <c r="GN179" s="5"/>
      <c r="GO179" s="5"/>
      <c r="GP179" s="5"/>
      <c r="GQ179" s="5"/>
      <c r="GR179" s="5"/>
      <c r="GS179" s="5"/>
      <c r="GT179" s="5"/>
      <c r="GU179" s="5"/>
      <c r="GV179" s="5"/>
      <c r="GW179" s="5"/>
      <c r="GX179" s="5"/>
      <c r="GY179" s="5"/>
      <c r="GZ179" s="5"/>
      <c r="HA179" s="5"/>
      <c r="HB179" s="5"/>
      <c r="HC179" s="5"/>
      <c r="HD179" s="5"/>
      <c r="HE179" s="5"/>
      <c r="HF179" s="5"/>
      <c r="HG179" s="5"/>
      <c r="HH179" s="5"/>
      <c r="HI179" s="5"/>
      <c r="HJ179" s="5"/>
      <c r="HK179" s="5"/>
      <c r="HL179" s="5"/>
      <c r="HM179" s="5"/>
      <c r="HN179" s="5"/>
      <c r="HO179" s="5"/>
      <c r="HP179" s="5"/>
      <c r="HQ179" s="5"/>
      <c r="HR179" s="5"/>
      <c r="HS179" s="5"/>
      <c r="HT179" s="5"/>
      <c r="HU179" s="5"/>
      <c r="HV179" s="5"/>
      <c r="HW179" s="5"/>
      <c r="HX179" s="5"/>
      <c r="HY179" s="5"/>
      <c r="HZ179" s="5"/>
      <c r="IA179" s="5"/>
      <c r="IB179" s="5"/>
      <c r="IC179" s="5"/>
      <c r="ID179" s="5"/>
      <c r="IE179" s="5"/>
      <c r="IF179" s="5"/>
      <c r="IG179" s="5"/>
      <c r="IH179" s="5"/>
      <c r="II179" s="5"/>
      <c r="IJ179" s="5"/>
      <c r="IK179" s="5"/>
      <c r="IL179" s="5"/>
      <c r="IM179" s="5"/>
      <c r="IN179" s="5"/>
      <c r="IO179" s="5"/>
      <c r="IP179" s="5"/>
      <c r="IQ179" s="5"/>
      <c r="IR179" s="5"/>
      <c r="IS179" s="5"/>
      <c r="IT179" s="5"/>
      <c r="IU179" s="5"/>
      <c r="IV179" s="5"/>
      <c r="IW179" s="5"/>
      <c r="IX179" s="5"/>
      <c r="IY179" s="5"/>
      <c r="IZ179" s="5"/>
      <c r="JA179" s="5"/>
      <c r="JB179" s="5"/>
      <c r="JC179" s="5"/>
      <c r="JD179" s="5"/>
      <c r="JE179" s="5"/>
      <c r="JF179" s="5"/>
      <c r="JG179" s="5"/>
      <c r="JH179" s="5"/>
      <c r="JI179" s="5"/>
      <c r="JJ179" s="5"/>
      <c r="JK179" s="5"/>
      <c r="JL179" s="5"/>
      <c r="JM179" s="5"/>
      <c r="JN179" s="5"/>
      <c r="JO179" s="5"/>
      <c r="JP179" s="5"/>
      <c r="JQ179" s="5"/>
      <c r="JR179" s="5"/>
      <c r="JS179" s="5"/>
      <c r="JT179" s="5"/>
      <c r="JU179" s="5"/>
      <c r="JV179" s="5"/>
      <c r="JW179" s="5"/>
      <c r="JX179" s="5"/>
      <c r="JY179" s="5"/>
      <c r="JZ179" s="5"/>
      <c r="KA179" s="5"/>
      <c r="KB179" s="5"/>
      <c r="KC179" s="5"/>
      <c r="KD179" s="5"/>
      <c r="KE179" s="5"/>
      <c r="KF179" s="5"/>
      <c r="KG179" s="5"/>
      <c r="KH179" s="5"/>
      <c r="KI179" s="5"/>
      <c r="KJ179" s="5"/>
      <c r="KK179" s="5"/>
      <c r="KL179" s="5"/>
      <c r="KM179" s="5"/>
      <c r="KN179" s="5"/>
      <c r="KO179" s="5"/>
      <c r="KP179" s="5"/>
      <c r="KQ179" s="5"/>
      <c r="KR179" s="5"/>
      <c r="KS179" s="5"/>
      <c r="KT179" s="5"/>
      <c r="KU179" s="5"/>
      <c r="KV179" s="5"/>
      <c r="KW179" s="5"/>
      <c r="KX179" s="5"/>
      <c r="KY179" s="5"/>
      <c r="KZ179" s="5"/>
      <c r="LA179" s="5"/>
      <c r="LB179" s="5"/>
      <c r="LC179" s="5"/>
      <c r="LD179" s="5"/>
      <c r="LE179" s="5"/>
      <c r="LF179" s="5"/>
      <c r="LG179" s="5"/>
      <c r="LH179" s="5"/>
      <c r="LI179" s="5"/>
      <c r="LJ179" s="5"/>
      <c r="LK179" s="5"/>
      <c r="LL179" s="5"/>
      <c r="LM179" s="5"/>
      <c r="LN179" s="5"/>
      <c r="LO179" s="5"/>
      <c r="LP179" s="5"/>
      <c r="LQ179" s="5"/>
      <c r="LR179" s="5"/>
      <c r="LS179" s="5"/>
      <c r="LT179" s="5"/>
      <c r="LU179" s="5"/>
      <c r="LV179" s="5"/>
      <c r="LW179" s="5"/>
      <c r="LX179" s="5"/>
      <c r="LY179" s="5"/>
      <c r="LZ179" s="5"/>
      <c r="MA179" s="5"/>
      <c r="MB179" s="5"/>
      <c r="MC179" s="5"/>
      <c r="MD179" s="5"/>
      <c r="ME179" s="5"/>
      <c r="MF179" s="5"/>
      <c r="MG179" s="5"/>
      <c r="MH179" s="5"/>
      <c r="MI179" s="5"/>
      <c r="MJ179" s="5"/>
      <c r="MK179" s="5"/>
      <c r="ML179" s="5"/>
      <c r="MM179" s="5"/>
      <c r="MN179" s="5"/>
      <c r="MO179" s="5"/>
      <c r="MP179" s="5"/>
      <c r="MQ179" s="5"/>
      <c r="MR179" s="5"/>
      <c r="MS179" s="5"/>
      <c r="MT179" s="5"/>
      <c r="MU179" s="5"/>
      <c r="MV179" s="5"/>
      <c r="MW179" s="5"/>
      <c r="MX179" s="5"/>
      <c r="MY179" s="5"/>
      <c r="MZ179" s="5"/>
      <c r="NA179" s="5"/>
      <c r="NB179" s="5"/>
      <c r="NC179" s="5"/>
      <c r="ND179" s="5"/>
      <c r="NE179" s="5"/>
      <c r="NF179" s="5"/>
      <c r="NG179" s="5"/>
      <c r="NH179" s="5"/>
      <c r="NI179" s="5"/>
      <c r="NJ179" s="5"/>
      <c r="NK179" s="5"/>
      <c r="NL179" s="5"/>
      <c r="NM179" s="5"/>
      <c r="NN179" s="5"/>
      <c r="NO179" s="5"/>
      <c r="NP179" s="5"/>
      <c r="NQ179" s="5"/>
      <c r="NR179" s="5"/>
      <c r="NS179" s="5"/>
      <c r="NT179" s="5"/>
      <c r="NU179" s="5"/>
      <c r="NV179" s="5"/>
      <c r="NW179" s="5"/>
      <c r="NX179" s="5"/>
      <c r="NY179" s="5"/>
      <c r="NZ179" s="5"/>
      <c r="OA179" s="5"/>
      <c r="OB179" s="5"/>
      <c r="OC179" s="5"/>
      <c r="OD179" s="5"/>
      <c r="OE179" s="5"/>
      <c r="OF179" s="5"/>
      <c r="OG179" s="5"/>
      <c r="OH179" s="5"/>
      <c r="OI179" s="5"/>
      <c r="OJ179" s="5"/>
      <c r="OK179" s="5"/>
      <c r="OL179" s="5"/>
      <c r="OM179" s="5"/>
      <c r="ON179" s="5"/>
      <c r="OO179" s="5"/>
      <c r="OP179" s="5"/>
      <c r="OQ179" s="5"/>
      <c r="OR179" s="5"/>
      <c r="OS179" s="5"/>
      <c r="OT179" s="5"/>
      <c r="OU179" s="5"/>
      <c r="OV179" s="5"/>
      <c r="OW179" s="5"/>
      <c r="OX179" s="5"/>
      <c r="OY179" s="5"/>
      <c r="OZ179" s="5"/>
      <c r="PA179" s="5"/>
      <c r="PB179" s="5"/>
      <c r="PC179" s="5"/>
      <c r="PD179" s="5"/>
      <c r="PE179" s="5"/>
      <c r="PF179" s="5"/>
      <c r="PG179" s="5"/>
      <c r="PH179" s="5"/>
      <c r="PI179" s="5"/>
      <c r="PJ179" s="5"/>
      <c r="PK179" s="5"/>
      <c r="PL179" s="5"/>
      <c r="PM179" s="5"/>
      <c r="PN179" s="5"/>
      <c r="PO179" s="5"/>
      <c r="PP179" s="5"/>
      <c r="PQ179" s="5"/>
      <c r="PR179" s="5"/>
      <c r="PS179" s="5"/>
      <c r="PT179" s="5"/>
      <c r="PU179" s="5"/>
      <c r="PV179" s="5"/>
      <c r="PW179" s="5"/>
      <c r="PX179" s="5"/>
      <c r="PY179" s="5"/>
      <c r="PZ179" s="5"/>
      <c r="QA179" s="5"/>
      <c r="QB179" s="5"/>
      <c r="QC179" s="5"/>
      <c r="QD179" s="5"/>
      <c r="QE179" s="5"/>
      <c r="QF179" s="5"/>
      <c r="QG179" s="5"/>
      <c r="QH179" s="5"/>
      <c r="QI179" s="5"/>
      <c r="QJ179" s="5"/>
      <c r="QK179" s="5"/>
      <c r="QL179" s="5"/>
      <c r="QM179" s="5"/>
      <c r="QN179" s="5"/>
      <c r="QO179" s="5"/>
      <c r="QP179" s="5"/>
      <c r="QQ179" s="5"/>
      <c r="QR179" s="5"/>
      <c r="QS179" s="5"/>
      <c r="QT179" s="5"/>
      <c r="QU179" s="5"/>
      <c r="QV179" s="5"/>
      <c r="QW179" s="5"/>
      <c r="QX179" s="5"/>
      <c r="QY179" s="5"/>
      <c r="QZ179" s="5"/>
      <c r="RA179" s="5"/>
      <c r="RB179" s="5"/>
      <c r="RC179" s="5"/>
      <c r="RD179" s="5"/>
      <c r="RE179" s="5"/>
      <c r="RF179" s="5"/>
      <c r="RG179" s="5"/>
      <c r="RH179" s="5"/>
      <c r="RI179" s="5"/>
      <c r="RJ179" s="5"/>
      <c r="RK179" s="5"/>
      <c r="RL179" s="5"/>
      <c r="RM179" s="5"/>
      <c r="RN179" s="5"/>
      <c r="RO179" s="5"/>
      <c r="RP179" s="5"/>
      <c r="RQ179" s="5"/>
      <c r="RR179" s="5"/>
      <c r="RS179" s="5"/>
      <c r="RT179" s="5"/>
      <c r="RU179" s="5"/>
      <c r="RV179" s="5"/>
      <c r="RW179" s="5"/>
      <c r="RX179" s="5"/>
      <c r="RY179" s="5"/>
      <c r="RZ179" s="5"/>
      <c r="SA179" s="5"/>
      <c r="SB179" s="5"/>
      <c r="SC179" s="5"/>
      <c r="SD179" s="5"/>
      <c r="SE179" s="5"/>
      <c r="SF179" s="5"/>
      <c r="SG179" s="5"/>
      <c r="SH179" s="5"/>
      <c r="SI179" s="5"/>
      <c r="SJ179" s="5"/>
      <c r="SK179" s="5"/>
      <c r="SL179" s="5"/>
      <c r="SM179" s="5"/>
      <c r="SN179" s="5"/>
      <c r="SO179" s="5"/>
      <c r="SP179" s="5"/>
      <c r="SQ179" s="5"/>
      <c r="SR179" s="5"/>
      <c r="SS179" s="5"/>
      <c r="ST179" s="5"/>
      <c r="SU179" s="5"/>
      <c r="SV179" s="5"/>
      <c r="SW179" s="5"/>
      <c r="SX179" s="5"/>
      <c r="SY179" s="5"/>
      <c r="SZ179" s="5"/>
      <c r="TA179" s="5"/>
      <c r="TB179" s="5"/>
      <c r="TC179" s="5"/>
      <c r="TD179" s="5"/>
      <c r="TE179" s="5"/>
      <c r="TF179" s="5"/>
      <c r="TG179" s="5"/>
      <c r="TH179" s="5"/>
      <c r="TI179" s="5"/>
      <c r="TJ179" s="5"/>
      <c r="TK179" s="5"/>
      <c r="TL179" s="5"/>
      <c r="TM179" s="5"/>
      <c r="TN179" s="5"/>
      <c r="TO179" s="5"/>
      <c r="TP179" s="5"/>
      <c r="TQ179" s="5"/>
      <c r="TR179" s="5"/>
      <c r="TS179" s="5"/>
      <c r="TT179" s="5"/>
      <c r="TU179" s="5"/>
      <c r="TV179" s="5"/>
      <c r="TW179" s="5"/>
      <c r="TX179" s="5"/>
      <c r="TY179" s="5"/>
      <c r="TZ179" s="5"/>
      <c r="UA179" s="5"/>
      <c r="UB179" s="5"/>
      <c r="UC179" s="5"/>
      <c r="UD179" s="5"/>
      <c r="UE179" s="5"/>
      <c r="UF179" s="5"/>
      <c r="UG179" s="5"/>
      <c r="UH179" s="5"/>
      <c r="UI179" s="5"/>
      <c r="UJ179" s="5"/>
      <c r="UK179" s="5"/>
      <c r="UL179" s="5"/>
      <c r="UM179" s="5"/>
      <c r="UN179" s="5"/>
      <c r="UO179" s="5"/>
      <c r="UP179" s="5"/>
      <c r="UQ179" s="5"/>
      <c r="UR179" s="5"/>
      <c r="US179" s="5"/>
      <c r="UT179" s="5"/>
      <c r="UU179" s="5"/>
      <c r="UV179" s="5"/>
      <c r="UW179" s="5"/>
      <c r="UX179" s="5"/>
      <c r="UY179" s="5"/>
      <c r="UZ179" s="5"/>
      <c r="VA179" s="5"/>
      <c r="VB179" s="5"/>
      <c r="VC179" s="5"/>
      <c r="VD179" s="5"/>
      <c r="VE179" s="5"/>
      <c r="VF179" s="5"/>
      <c r="VG179" s="5"/>
      <c r="VH179" s="5"/>
      <c r="VI179" s="5"/>
      <c r="VJ179" s="5"/>
      <c r="VK179" s="5"/>
      <c r="VL179" s="5"/>
      <c r="VM179" s="5"/>
      <c r="VN179" s="5"/>
      <c r="VO179" s="5"/>
      <c r="VP179" s="5"/>
      <c r="VQ179" s="5"/>
      <c r="VR179" s="5"/>
      <c r="VS179" s="5"/>
      <c r="VT179" s="5"/>
      <c r="VU179" s="5"/>
      <c r="VV179" s="5"/>
      <c r="VW179" s="5"/>
      <c r="VX179" s="5"/>
      <c r="VY179" s="5"/>
      <c r="VZ179" s="5"/>
      <c r="WA179" s="5"/>
      <c r="WB179" s="5"/>
      <c r="WC179" s="5"/>
      <c r="WD179" s="5"/>
      <c r="WE179" s="5"/>
      <c r="WF179" s="5"/>
      <c r="WG179" s="5"/>
      <c r="WH179" s="5"/>
      <c r="WI179" s="5"/>
      <c r="WJ179" s="5"/>
      <c r="WK179" s="5"/>
      <c r="WL179" s="5"/>
      <c r="WM179" s="5"/>
      <c r="WN179" s="5"/>
      <c r="WO179" s="5"/>
      <c r="WP179" s="5"/>
      <c r="WQ179" s="5"/>
      <c r="WR179" s="5"/>
      <c r="WS179" s="5"/>
      <c r="WT179" s="5"/>
      <c r="WU179" s="5"/>
      <c r="WV179" s="5"/>
      <c r="WW179" s="5"/>
      <c r="WX179" s="5"/>
      <c r="WY179" s="5"/>
      <c r="WZ179" s="5"/>
      <c r="XA179" s="5"/>
      <c r="XB179" s="5"/>
      <c r="XC179" s="5"/>
      <c r="XD179" s="5"/>
      <c r="XE179" s="5"/>
      <c r="XF179" s="5"/>
      <c r="XG179" s="5"/>
      <c r="XH179" s="5"/>
      <c r="XI179" s="5"/>
      <c r="XJ179" s="5"/>
      <c r="XK179" s="5"/>
      <c r="XL179" s="5"/>
      <c r="XM179" s="5"/>
      <c r="XN179" s="5"/>
      <c r="XO179" s="5"/>
      <c r="XP179" s="5"/>
      <c r="XQ179" s="5"/>
      <c r="XR179" s="5"/>
      <c r="XS179" s="5"/>
      <c r="XT179" s="5"/>
      <c r="XU179" s="5"/>
      <c r="XV179" s="5"/>
      <c r="XW179" s="5"/>
      <c r="XX179" s="5"/>
      <c r="XY179" s="5"/>
      <c r="XZ179" s="5"/>
      <c r="YA179" s="5"/>
      <c r="YB179" s="5"/>
      <c r="YC179" s="5"/>
      <c r="YD179" s="5"/>
      <c r="YE179" s="5"/>
      <c r="YF179" s="5"/>
      <c r="YG179" s="5"/>
      <c r="YH179" s="5"/>
      <c r="YI179" s="5"/>
      <c r="YJ179" s="5"/>
      <c r="YK179" s="5"/>
      <c r="YL179" s="5"/>
      <c r="YM179" s="5"/>
      <c r="YN179" s="5"/>
      <c r="YO179" s="5"/>
      <c r="YP179" s="5"/>
      <c r="YQ179" s="5"/>
      <c r="YR179" s="5"/>
      <c r="YS179" s="5"/>
      <c r="YT179" s="5"/>
      <c r="YU179" s="5"/>
      <c r="YV179" s="5"/>
      <c r="YW179" s="5"/>
      <c r="YX179" s="5"/>
      <c r="YY179" s="5"/>
      <c r="YZ179" s="5"/>
    </row>
    <row r="180" spans="1:676">
      <c r="A180" s="7">
        <v>170</v>
      </c>
      <c r="B180" s="7" t="s">
        <v>427</v>
      </c>
      <c r="C180" s="10" t="s">
        <v>428</v>
      </c>
      <c r="D180" s="7" t="s">
        <v>217</v>
      </c>
      <c r="E180" s="7" t="s">
        <v>279</v>
      </c>
      <c r="F180" s="7" t="s">
        <v>394</v>
      </c>
      <c r="G180" s="7"/>
      <c r="H180" s="7" t="s">
        <v>52</v>
      </c>
      <c r="I180" s="11">
        <v>2</v>
      </c>
      <c r="J180" s="11">
        <v>3</v>
      </c>
      <c r="K180" s="11">
        <v>0</v>
      </c>
      <c r="L180" s="11">
        <v>4.380000000000001</v>
      </c>
      <c r="M180" s="11">
        <v>0.67</v>
      </c>
      <c r="N180" s="11">
        <v>0</v>
      </c>
      <c r="O180" s="11">
        <v>0</v>
      </c>
      <c r="P180" s="11">
        <v>0</v>
      </c>
      <c r="Q180" s="11">
        <v>5.05</v>
      </c>
      <c r="R180" s="11">
        <v>33.70999999999999</v>
      </c>
      <c r="S180" s="11">
        <v>38.75999999999999</v>
      </c>
      <c r="T180" s="11">
        <v>2</v>
      </c>
      <c r="U180" s="11">
        <v>3</v>
      </c>
      <c r="V180" s="11">
        <v>33.75999999999999</v>
      </c>
      <c r="W180" s="13">
        <v>18</v>
      </c>
      <c r="X180" s="13">
        <v>27</v>
      </c>
      <c r="Y180" s="13" t="str">
        <f>MIN(W180,S180)</f>
        <v>0</v>
      </c>
      <c r="Z180" s="13" t="str">
        <f>MIN(X180,(S180-Y180))</f>
        <v>0</v>
      </c>
      <c r="AA180" s="13" t="str">
        <f>S180-SUM(Y180,Z180)</f>
        <v>0</v>
      </c>
      <c r="AB180" s="15"/>
      <c r="AC180" s="15"/>
      <c r="AD180" s="1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  <c r="EC180" s="5"/>
      <c r="ED180" s="5"/>
      <c r="EE180" s="5"/>
      <c r="EF180" s="5"/>
      <c r="EG180" s="5"/>
      <c r="EH180" s="5"/>
      <c r="EI180" s="5"/>
      <c r="EJ180" s="5"/>
      <c r="EK180" s="5"/>
      <c r="EL180" s="5"/>
      <c r="EM180" s="5"/>
      <c r="EN180" s="5"/>
      <c r="EO180" s="5"/>
      <c r="EP180" s="5"/>
      <c r="EQ180" s="5"/>
      <c r="ER180" s="5"/>
      <c r="ES180" s="5"/>
      <c r="ET180" s="5"/>
      <c r="EU180" s="5"/>
      <c r="EV180" s="5"/>
      <c r="EW180" s="5"/>
      <c r="EX180" s="5"/>
      <c r="EY180" s="5"/>
      <c r="EZ180" s="5"/>
      <c r="FA180" s="5"/>
      <c r="FB180" s="5"/>
      <c r="FC180" s="5"/>
      <c r="FD180" s="5"/>
      <c r="FE180" s="5"/>
      <c r="FF180" s="5"/>
      <c r="FG180" s="5"/>
      <c r="FH180" s="5"/>
      <c r="FI180" s="5"/>
      <c r="FJ180" s="5"/>
      <c r="FK180" s="5"/>
      <c r="FL180" s="5"/>
      <c r="FM180" s="5"/>
      <c r="FN180" s="5"/>
      <c r="FO180" s="5"/>
      <c r="FP180" s="5"/>
      <c r="FQ180" s="5"/>
      <c r="FR180" s="5"/>
      <c r="FS180" s="5"/>
      <c r="FT180" s="5"/>
      <c r="FU180" s="5"/>
      <c r="FV180" s="5"/>
      <c r="FW180" s="5"/>
      <c r="FX180" s="5"/>
      <c r="FY180" s="5"/>
      <c r="FZ180" s="5"/>
      <c r="GA180" s="5"/>
      <c r="GB180" s="5"/>
      <c r="GC180" s="5"/>
      <c r="GD180" s="5"/>
      <c r="GE180" s="5"/>
      <c r="GF180" s="5"/>
      <c r="GG180" s="5"/>
      <c r="GH180" s="5"/>
      <c r="GI180" s="5"/>
      <c r="GJ180" s="5"/>
      <c r="GK180" s="5"/>
      <c r="GL180" s="5"/>
      <c r="GM180" s="5"/>
      <c r="GN180" s="5"/>
      <c r="GO180" s="5"/>
      <c r="GP180" s="5"/>
      <c r="GQ180" s="5"/>
      <c r="GR180" s="5"/>
      <c r="GS180" s="5"/>
      <c r="GT180" s="5"/>
      <c r="GU180" s="5"/>
      <c r="GV180" s="5"/>
      <c r="GW180" s="5"/>
      <c r="GX180" s="5"/>
      <c r="GY180" s="5"/>
      <c r="GZ180" s="5"/>
      <c r="HA180" s="5"/>
      <c r="HB180" s="5"/>
      <c r="HC180" s="5"/>
      <c r="HD180" s="5"/>
      <c r="HE180" s="5"/>
      <c r="HF180" s="5"/>
      <c r="HG180" s="5"/>
      <c r="HH180" s="5"/>
      <c r="HI180" s="5"/>
      <c r="HJ180" s="5"/>
      <c r="HK180" s="5"/>
      <c r="HL180" s="5"/>
      <c r="HM180" s="5"/>
      <c r="HN180" s="5"/>
      <c r="HO180" s="5"/>
      <c r="HP180" s="5"/>
      <c r="HQ180" s="5"/>
      <c r="HR180" s="5"/>
      <c r="HS180" s="5"/>
      <c r="HT180" s="5"/>
      <c r="HU180" s="5"/>
      <c r="HV180" s="5"/>
      <c r="HW180" s="5"/>
      <c r="HX180" s="5"/>
      <c r="HY180" s="5"/>
      <c r="HZ180" s="5"/>
      <c r="IA180" s="5"/>
      <c r="IB180" s="5"/>
      <c r="IC180" s="5"/>
      <c r="ID180" s="5"/>
      <c r="IE180" s="5"/>
      <c r="IF180" s="5"/>
      <c r="IG180" s="5"/>
      <c r="IH180" s="5"/>
      <c r="II180" s="5"/>
      <c r="IJ180" s="5"/>
      <c r="IK180" s="5"/>
      <c r="IL180" s="5"/>
      <c r="IM180" s="5"/>
      <c r="IN180" s="5"/>
      <c r="IO180" s="5"/>
      <c r="IP180" s="5"/>
      <c r="IQ180" s="5"/>
      <c r="IR180" s="5"/>
      <c r="IS180" s="5"/>
      <c r="IT180" s="5"/>
      <c r="IU180" s="5"/>
      <c r="IV180" s="5"/>
      <c r="IW180" s="5"/>
      <c r="IX180" s="5"/>
      <c r="IY180" s="5"/>
      <c r="IZ180" s="5"/>
      <c r="JA180" s="5"/>
      <c r="JB180" s="5"/>
      <c r="JC180" s="5"/>
      <c r="JD180" s="5"/>
      <c r="JE180" s="5"/>
      <c r="JF180" s="5"/>
      <c r="JG180" s="5"/>
      <c r="JH180" s="5"/>
      <c r="JI180" s="5"/>
      <c r="JJ180" s="5"/>
      <c r="JK180" s="5"/>
      <c r="JL180" s="5"/>
      <c r="JM180" s="5"/>
      <c r="JN180" s="5"/>
      <c r="JO180" s="5"/>
      <c r="JP180" s="5"/>
      <c r="JQ180" s="5"/>
      <c r="JR180" s="5"/>
      <c r="JS180" s="5"/>
      <c r="JT180" s="5"/>
      <c r="JU180" s="5"/>
      <c r="JV180" s="5"/>
      <c r="JW180" s="5"/>
      <c r="JX180" s="5"/>
      <c r="JY180" s="5"/>
      <c r="JZ180" s="5"/>
      <c r="KA180" s="5"/>
      <c r="KB180" s="5"/>
      <c r="KC180" s="5"/>
      <c r="KD180" s="5"/>
      <c r="KE180" s="5"/>
      <c r="KF180" s="5"/>
      <c r="KG180" s="5"/>
      <c r="KH180" s="5"/>
      <c r="KI180" s="5"/>
      <c r="KJ180" s="5"/>
      <c r="KK180" s="5"/>
      <c r="KL180" s="5"/>
      <c r="KM180" s="5"/>
      <c r="KN180" s="5"/>
      <c r="KO180" s="5"/>
      <c r="KP180" s="5"/>
      <c r="KQ180" s="5"/>
      <c r="KR180" s="5"/>
      <c r="KS180" s="5"/>
      <c r="KT180" s="5"/>
      <c r="KU180" s="5"/>
      <c r="KV180" s="5"/>
      <c r="KW180" s="5"/>
      <c r="KX180" s="5"/>
      <c r="KY180" s="5"/>
      <c r="KZ180" s="5"/>
      <c r="LA180" s="5"/>
      <c r="LB180" s="5"/>
      <c r="LC180" s="5"/>
      <c r="LD180" s="5"/>
      <c r="LE180" s="5"/>
      <c r="LF180" s="5"/>
      <c r="LG180" s="5"/>
      <c r="LH180" s="5"/>
      <c r="LI180" s="5"/>
      <c r="LJ180" s="5"/>
      <c r="LK180" s="5"/>
      <c r="LL180" s="5"/>
      <c r="LM180" s="5"/>
      <c r="LN180" s="5"/>
      <c r="LO180" s="5"/>
      <c r="LP180" s="5"/>
      <c r="LQ180" s="5"/>
      <c r="LR180" s="5"/>
      <c r="LS180" s="5"/>
      <c r="LT180" s="5"/>
      <c r="LU180" s="5"/>
      <c r="LV180" s="5"/>
      <c r="LW180" s="5"/>
      <c r="LX180" s="5"/>
      <c r="LY180" s="5"/>
      <c r="LZ180" s="5"/>
      <c r="MA180" s="5"/>
      <c r="MB180" s="5"/>
      <c r="MC180" s="5"/>
      <c r="MD180" s="5"/>
      <c r="ME180" s="5"/>
      <c r="MF180" s="5"/>
      <c r="MG180" s="5"/>
      <c r="MH180" s="5"/>
      <c r="MI180" s="5"/>
      <c r="MJ180" s="5"/>
      <c r="MK180" s="5"/>
      <c r="ML180" s="5"/>
      <c r="MM180" s="5"/>
      <c r="MN180" s="5"/>
      <c r="MO180" s="5"/>
      <c r="MP180" s="5"/>
      <c r="MQ180" s="5"/>
      <c r="MR180" s="5"/>
      <c r="MS180" s="5"/>
      <c r="MT180" s="5"/>
      <c r="MU180" s="5"/>
      <c r="MV180" s="5"/>
      <c r="MW180" s="5"/>
      <c r="MX180" s="5"/>
      <c r="MY180" s="5"/>
      <c r="MZ180" s="5"/>
      <c r="NA180" s="5"/>
      <c r="NB180" s="5"/>
      <c r="NC180" s="5"/>
      <c r="ND180" s="5"/>
      <c r="NE180" s="5"/>
      <c r="NF180" s="5"/>
      <c r="NG180" s="5"/>
      <c r="NH180" s="5"/>
      <c r="NI180" s="5"/>
      <c r="NJ180" s="5"/>
      <c r="NK180" s="5"/>
      <c r="NL180" s="5"/>
      <c r="NM180" s="5"/>
      <c r="NN180" s="5"/>
      <c r="NO180" s="5"/>
      <c r="NP180" s="5"/>
      <c r="NQ180" s="5"/>
      <c r="NR180" s="5"/>
      <c r="NS180" s="5"/>
      <c r="NT180" s="5"/>
      <c r="NU180" s="5"/>
      <c r="NV180" s="5"/>
      <c r="NW180" s="5"/>
      <c r="NX180" s="5"/>
      <c r="NY180" s="5"/>
      <c r="NZ180" s="5"/>
      <c r="OA180" s="5"/>
      <c r="OB180" s="5"/>
      <c r="OC180" s="5"/>
      <c r="OD180" s="5"/>
      <c r="OE180" s="5"/>
      <c r="OF180" s="5"/>
      <c r="OG180" s="5"/>
      <c r="OH180" s="5"/>
      <c r="OI180" s="5"/>
      <c r="OJ180" s="5"/>
      <c r="OK180" s="5"/>
      <c r="OL180" s="5"/>
      <c r="OM180" s="5"/>
      <c r="ON180" s="5"/>
      <c r="OO180" s="5"/>
      <c r="OP180" s="5"/>
      <c r="OQ180" s="5"/>
      <c r="OR180" s="5"/>
      <c r="OS180" s="5"/>
      <c r="OT180" s="5"/>
      <c r="OU180" s="5"/>
      <c r="OV180" s="5"/>
      <c r="OW180" s="5"/>
      <c r="OX180" s="5"/>
      <c r="OY180" s="5"/>
      <c r="OZ180" s="5"/>
      <c r="PA180" s="5"/>
      <c r="PB180" s="5"/>
      <c r="PC180" s="5"/>
      <c r="PD180" s="5"/>
      <c r="PE180" s="5"/>
      <c r="PF180" s="5"/>
      <c r="PG180" s="5"/>
      <c r="PH180" s="5"/>
      <c r="PI180" s="5"/>
      <c r="PJ180" s="5"/>
      <c r="PK180" s="5"/>
      <c r="PL180" s="5"/>
      <c r="PM180" s="5"/>
      <c r="PN180" s="5"/>
      <c r="PO180" s="5"/>
      <c r="PP180" s="5"/>
      <c r="PQ180" s="5"/>
      <c r="PR180" s="5"/>
      <c r="PS180" s="5"/>
      <c r="PT180" s="5"/>
      <c r="PU180" s="5"/>
      <c r="PV180" s="5"/>
      <c r="PW180" s="5"/>
      <c r="PX180" s="5"/>
      <c r="PY180" s="5"/>
      <c r="PZ180" s="5"/>
      <c r="QA180" s="5"/>
      <c r="QB180" s="5"/>
      <c r="QC180" s="5"/>
      <c r="QD180" s="5"/>
      <c r="QE180" s="5"/>
      <c r="QF180" s="5"/>
      <c r="QG180" s="5"/>
      <c r="QH180" s="5"/>
      <c r="QI180" s="5"/>
      <c r="QJ180" s="5"/>
      <c r="QK180" s="5"/>
      <c r="QL180" s="5"/>
      <c r="QM180" s="5"/>
      <c r="QN180" s="5"/>
      <c r="QO180" s="5"/>
      <c r="QP180" s="5"/>
      <c r="QQ180" s="5"/>
      <c r="QR180" s="5"/>
      <c r="QS180" s="5"/>
      <c r="QT180" s="5"/>
      <c r="QU180" s="5"/>
      <c r="QV180" s="5"/>
      <c r="QW180" s="5"/>
      <c r="QX180" s="5"/>
      <c r="QY180" s="5"/>
      <c r="QZ180" s="5"/>
      <c r="RA180" s="5"/>
      <c r="RB180" s="5"/>
      <c r="RC180" s="5"/>
      <c r="RD180" s="5"/>
      <c r="RE180" s="5"/>
      <c r="RF180" s="5"/>
      <c r="RG180" s="5"/>
      <c r="RH180" s="5"/>
      <c r="RI180" s="5"/>
      <c r="RJ180" s="5"/>
      <c r="RK180" s="5"/>
      <c r="RL180" s="5"/>
      <c r="RM180" s="5"/>
      <c r="RN180" s="5"/>
      <c r="RO180" s="5"/>
      <c r="RP180" s="5"/>
      <c r="RQ180" s="5"/>
      <c r="RR180" s="5"/>
      <c r="RS180" s="5"/>
      <c r="RT180" s="5"/>
      <c r="RU180" s="5"/>
      <c r="RV180" s="5"/>
      <c r="RW180" s="5"/>
      <c r="RX180" s="5"/>
      <c r="RY180" s="5"/>
      <c r="RZ180" s="5"/>
      <c r="SA180" s="5"/>
      <c r="SB180" s="5"/>
      <c r="SC180" s="5"/>
      <c r="SD180" s="5"/>
      <c r="SE180" s="5"/>
      <c r="SF180" s="5"/>
      <c r="SG180" s="5"/>
      <c r="SH180" s="5"/>
      <c r="SI180" s="5"/>
      <c r="SJ180" s="5"/>
      <c r="SK180" s="5"/>
      <c r="SL180" s="5"/>
      <c r="SM180" s="5"/>
      <c r="SN180" s="5"/>
      <c r="SO180" s="5"/>
      <c r="SP180" s="5"/>
      <c r="SQ180" s="5"/>
      <c r="SR180" s="5"/>
      <c r="SS180" s="5"/>
      <c r="ST180" s="5"/>
      <c r="SU180" s="5"/>
      <c r="SV180" s="5"/>
      <c r="SW180" s="5"/>
      <c r="SX180" s="5"/>
      <c r="SY180" s="5"/>
      <c r="SZ180" s="5"/>
      <c r="TA180" s="5"/>
      <c r="TB180" s="5"/>
      <c r="TC180" s="5"/>
      <c r="TD180" s="5"/>
      <c r="TE180" s="5"/>
      <c r="TF180" s="5"/>
      <c r="TG180" s="5"/>
      <c r="TH180" s="5"/>
      <c r="TI180" s="5"/>
      <c r="TJ180" s="5"/>
      <c r="TK180" s="5"/>
      <c r="TL180" s="5"/>
      <c r="TM180" s="5"/>
      <c r="TN180" s="5"/>
      <c r="TO180" s="5"/>
      <c r="TP180" s="5"/>
      <c r="TQ180" s="5"/>
      <c r="TR180" s="5"/>
      <c r="TS180" s="5"/>
      <c r="TT180" s="5"/>
      <c r="TU180" s="5"/>
      <c r="TV180" s="5"/>
      <c r="TW180" s="5"/>
      <c r="TX180" s="5"/>
      <c r="TY180" s="5"/>
      <c r="TZ180" s="5"/>
      <c r="UA180" s="5"/>
      <c r="UB180" s="5"/>
      <c r="UC180" s="5"/>
      <c r="UD180" s="5"/>
      <c r="UE180" s="5"/>
      <c r="UF180" s="5"/>
      <c r="UG180" s="5"/>
      <c r="UH180" s="5"/>
      <c r="UI180" s="5"/>
      <c r="UJ180" s="5"/>
      <c r="UK180" s="5"/>
      <c r="UL180" s="5"/>
      <c r="UM180" s="5"/>
      <c r="UN180" s="5"/>
      <c r="UO180" s="5"/>
      <c r="UP180" s="5"/>
      <c r="UQ180" s="5"/>
      <c r="UR180" s="5"/>
      <c r="US180" s="5"/>
      <c r="UT180" s="5"/>
      <c r="UU180" s="5"/>
      <c r="UV180" s="5"/>
      <c r="UW180" s="5"/>
      <c r="UX180" s="5"/>
      <c r="UY180" s="5"/>
      <c r="UZ180" s="5"/>
      <c r="VA180" s="5"/>
      <c r="VB180" s="5"/>
      <c r="VC180" s="5"/>
      <c r="VD180" s="5"/>
      <c r="VE180" s="5"/>
      <c r="VF180" s="5"/>
      <c r="VG180" s="5"/>
      <c r="VH180" s="5"/>
      <c r="VI180" s="5"/>
      <c r="VJ180" s="5"/>
      <c r="VK180" s="5"/>
      <c r="VL180" s="5"/>
      <c r="VM180" s="5"/>
      <c r="VN180" s="5"/>
      <c r="VO180" s="5"/>
      <c r="VP180" s="5"/>
      <c r="VQ180" s="5"/>
      <c r="VR180" s="5"/>
      <c r="VS180" s="5"/>
      <c r="VT180" s="5"/>
      <c r="VU180" s="5"/>
      <c r="VV180" s="5"/>
      <c r="VW180" s="5"/>
      <c r="VX180" s="5"/>
      <c r="VY180" s="5"/>
      <c r="VZ180" s="5"/>
      <c r="WA180" s="5"/>
      <c r="WB180" s="5"/>
      <c r="WC180" s="5"/>
      <c r="WD180" s="5"/>
      <c r="WE180" s="5"/>
      <c r="WF180" s="5"/>
      <c r="WG180" s="5"/>
      <c r="WH180" s="5"/>
      <c r="WI180" s="5"/>
      <c r="WJ180" s="5"/>
      <c r="WK180" s="5"/>
      <c r="WL180" s="5"/>
      <c r="WM180" s="5"/>
      <c r="WN180" s="5"/>
      <c r="WO180" s="5"/>
      <c r="WP180" s="5"/>
      <c r="WQ180" s="5"/>
      <c r="WR180" s="5"/>
      <c r="WS180" s="5"/>
      <c r="WT180" s="5"/>
      <c r="WU180" s="5"/>
      <c r="WV180" s="5"/>
      <c r="WW180" s="5"/>
      <c r="WX180" s="5"/>
      <c r="WY180" s="5"/>
      <c r="WZ180" s="5"/>
      <c r="XA180" s="5"/>
      <c r="XB180" s="5"/>
      <c r="XC180" s="5"/>
      <c r="XD180" s="5"/>
      <c r="XE180" s="5"/>
      <c r="XF180" s="5"/>
      <c r="XG180" s="5"/>
      <c r="XH180" s="5"/>
      <c r="XI180" s="5"/>
      <c r="XJ180" s="5"/>
      <c r="XK180" s="5"/>
      <c r="XL180" s="5"/>
      <c r="XM180" s="5"/>
      <c r="XN180" s="5"/>
      <c r="XO180" s="5"/>
      <c r="XP180" s="5"/>
      <c r="XQ180" s="5"/>
      <c r="XR180" s="5"/>
      <c r="XS180" s="5"/>
      <c r="XT180" s="5"/>
      <c r="XU180" s="5"/>
      <c r="XV180" s="5"/>
      <c r="XW180" s="5"/>
      <c r="XX180" s="5"/>
      <c r="XY180" s="5"/>
      <c r="XZ180" s="5"/>
      <c r="YA180" s="5"/>
      <c r="YB180" s="5"/>
      <c r="YC180" s="5"/>
      <c r="YD180" s="5"/>
      <c r="YE180" s="5"/>
      <c r="YF180" s="5"/>
      <c r="YG180" s="5"/>
      <c r="YH180" s="5"/>
      <c r="YI180" s="5"/>
      <c r="YJ180" s="5"/>
      <c r="YK180" s="5"/>
      <c r="YL180" s="5"/>
      <c r="YM180" s="5"/>
      <c r="YN180" s="5"/>
      <c r="YO180" s="5"/>
      <c r="YP180" s="5"/>
      <c r="YQ180" s="5"/>
      <c r="YR180" s="5"/>
      <c r="YS180" s="5"/>
      <c r="YT180" s="5"/>
      <c r="YU180" s="5"/>
      <c r="YV180" s="5"/>
      <c r="YW180" s="5"/>
      <c r="YX180" s="5"/>
      <c r="YY180" s="5"/>
      <c r="YZ180" s="5"/>
    </row>
    <row r="181" spans="1:676">
      <c r="A181" s="7">
        <v>171</v>
      </c>
      <c r="B181" s="7" t="s">
        <v>429</v>
      </c>
      <c r="C181" s="10" t="s">
        <v>430</v>
      </c>
      <c r="D181" s="7" t="s">
        <v>296</v>
      </c>
      <c r="E181" s="7" t="s">
        <v>273</v>
      </c>
      <c r="F181" s="7" t="s">
        <v>389</v>
      </c>
      <c r="G181" s="7"/>
      <c r="H181" s="7" t="s">
        <v>52</v>
      </c>
      <c r="I181" s="11">
        <v>2</v>
      </c>
      <c r="J181" s="11">
        <v>3</v>
      </c>
      <c r="K181" s="11">
        <v>0</v>
      </c>
      <c r="L181" s="11">
        <v>0</v>
      </c>
      <c r="M181" s="11">
        <v>0.17</v>
      </c>
      <c r="N181" s="11">
        <v>0</v>
      </c>
      <c r="O181" s="11">
        <v>0</v>
      </c>
      <c r="P181" s="11">
        <v>0</v>
      </c>
      <c r="Q181" s="11">
        <v>0.17</v>
      </c>
      <c r="R181" s="11">
        <v>0.34</v>
      </c>
      <c r="S181" s="11">
        <v>0.51</v>
      </c>
      <c r="T181" s="11">
        <v>0.51</v>
      </c>
      <c r="U181" s="11">
        <v>0</v>
      </c>
      <c r="V181" s="11">
        <v>0</v>
      </c>
      <c r="W181" s="13">
        <v>18</v>
      </c>
      <c r="X181" s="13">
        <v>27</v>
      </c>
      <c r="Y181" s="13" t="str">
        <f>MIN(W181,S181)</f>
        <v>0</v>
      </c>
      <c r="Z181" s="13" t="str">
        <f>MIN(X181,(S181-Y181))</f>
        <v>0</v>
      </c>
      <c r="AA181" s="13" t="str">
        <f>S181-SUM(Y181,Z181)</f>
        <v>0</v>
      </c>
      <c r="AB181" s="15"/>
      <c r="AC181" s="15"/>
      <c r="AD181" s="1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  <c r="BD181" s="5"/>
      <c r="BE181" s="5"/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W181" s="5"/>
      <c r="BX181" s="5"/>
      <c r="BY181" s="5"/>
      <c r="BZ181" s="5"/>
      <c r="CA181" s="5"/>
      <c r="CB181" s="5"/>
      <c r="CC181" s="5"/>
      <c r="CD181" s="5"/>
      <c r="CE181" s="5"/>
      <c r="CF181" s="5"/>
      <c r="CG181" s="5"/>
      <c r="CH181" s="5"/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5"/>
      <c r="DE181" s="5"/>
      <c r="DF181" s="5"/>
      <c r="DG181" s="5"/>
      <c r="DH181" s="5"/>
      <c r="DI181" s="5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  <c r="EC181" s="5"/>
      <c r="ED181" s="5"/>
      <c r="EE181" s="5"/>
      <c r="EF181" s="5"/>
      <c r="EG181" s="5"/>
      <c r="EH181" s="5"/>
      <c r="EI181" s="5"/>
      <c r="EJ181" s="5"/>
      <c r="EK181" s="5"/>
      <c r="EL181" s="5"/>
      <c r="EM181" s="5"/>
      <c r="EN181" s="5"/>
      <c r="EO181" s="5"/>
      <c r="EP181" s="5"/>
      <c r="EQ181" s="5"/>
      <c r="ER181" s="5"/>
      <c r="ES181" s="5"/>
      <c r="ET181" s="5"/>
      <c r="EU181" s="5"/>
      <c r="EV181" s="5"/>
      <c r="EW181" s="5"/>
      <c r="EX181" s="5"/>
      <c r="EY181" s="5"/>
      <c r="EZ181" s="5"/>
      <c r="FA181" s="5"/>
      <c r="FB181" s="5"/>
      <c r="FC181" s="5"/>
      <c r="FD181" s="5"/>
      <c r="FE181" s="5"/>
      <c r="FF181" s="5"/>
      <c r="FG181" s="5"/>
      <c r="FH181" s="5"/>
      <c r="FI181" s="5"/>
      <c r="FJ181" s="5"/>
      <c r="FK181" s="5"/>
      <c r="FL181" s="5"/>
      <c r="FM181" s="5"/>
      <c r="FN181" s="5"/>
      <c r="FO181" s="5"/>
      <c r="FP181" s="5"/>
      <c r="FQ181" s="5"/>
      <c r="FR181" s="5"/>
      <c r="FS181" s="5"/>
      <c r="FT181" s="5"/>
      <c r="FU181" s="5"/>
      <c r="FV181" s="5"/>
      <c r="FW181" s="5"/>
      <c r="FX181" s="5"/>
      <c r="FY181" s="5"/>
      <c r="FZ181" s="5"/>
      <c r="GA181" s="5"/>
      <c r="GB181" s="5"/>
      <c r="GC181" s="5"/>
      <c r="GD181" s="5"/>
      <c r="GE181" s="5"/>
      <c r="GF181" s="5"/>
      <c r="GG181" s="5"/>
      <c r="GH181" s="5"/>
      <c r="GI181" s="5"/>
      <c r="GJ181" s="5"/>
      <c r="GK181" s="5"/>
      <c r="GL181" s="5"/>
      <c r="GM181" s="5"/>
      <c r="GN181" s="5"/>
      <c r="GO181" s="5"/>
      <c r="GP181" s="5"/>
      <c r="GQ181" s="5"/>
      <c r="GR181" s="5"/>
      <c r="GS181" s="5"/>
      <c r="GT181" s="5"/>
      <c r="GU181" s="5"/>
      <c r="GV181" s="5"/>
      <c r="GW181" s="5"/>
      <c r="GX181" s="5"/>
      <c r="GY181" s="5"/>
      <c r="GZ181" s="5"/>
      <c r="HA181" s="5"/>
      <c r="HB181" s="5"/>
      <c r="HC181" s="5"/>
      <c r="HD181" s="5"/>
      <c r="HE181" s="5"/>
      <c r="HF181" s="5"/>
      <c r="HG181" s="5"/>
      <c r="HH181" s="5"/>
      <c r="HI181" s="5"/>
      <c r="HJ181" s="5"/>
      <c r="HK181" s="5"/>
      <c r="HL181" s="5"/>
      <c r="HM181" s="5"/>
      <c r="HN181" s="5"/>
      <c r="HO181" s="5"/>
      <c r="HP181" s="5"/>
      <c r="HQ181" s="5"/>
      <c r="HR181" s="5"/>
      <c r="HS181" s="5"/>
      <c r="HT181" s="5"/>
      <c r="HU181" s="5"/>
      <c r="HV181" s="5"/>
      <c r="HW181" s="5"/>
      <c r="HX181" s="5"/>
      <c r="HY181" s="5"/>
      <c r="HZ181" s="5"/>
      <c r="IA181" s="5"/>
      <c r="IB181" s="5"/>
      <c r="IC181" s="5"/>
      <c r="ID181" s="5"/>
      <c r="IE181" s="5"/>
      <c r="IF181" s="5"/>
      <c r="IG181" s="5"/>
      <c r="IH181" s="5"/>
      <c r="II181" s="5"/>
      <c r="IJ181" s="5"/>
      <c r="IK181" s="5"/>
      <c r="IL181" s="5"/>
      <c r="IM181" s="5"/>
      <c r="IN181" s="5"/>
      <c r="IO181" s="5"/>
      <c r="IP181" s="5"/>
      <c r="IQ181" s="5"/>
      <c r="IR181" s="5"/>
      <c r="IS181" s="5"/>
      <c r="IT181" s="5"/>
      <c r="IU181" s="5"/>
      <c r="IV181" s="5"/>
      <c r="IW181" s="5"/>
      <c r="IX181" s="5"/>
      <c r="IY181" s="5"/>
      <c r="IZ181" s="5"/>
      <c r="JA181" s="5"/>
      <c r="JB181" s="5"/>
      <c r="JC181" s="5"/>
      <c r="JD181" s="5"/>
      <c r="JE181" s="5"/>
      <c r="JF181" s="5"/>
      <c r="JG181" s="5"/>
      <c r="JH181" s="5"/>
      <c r="JI181" s="5"/>
      <c r="JJ181" s="5"/>
      <c r="JK181" s="5"/>
      <c r="JL181" s="5"/>
      <c r="JM181" s="5"/>
      <c r="JN181" s="5"/>
      <c r="JO181" s="5"/>
      <c r="JP181" s="5"/>
      <c r="JQ181" s="5"/>
      <c r="JR181" s="5"/>
      <c r="JS181" s="5"/>
      <c r="JT181" s="5"/>
      <c r="JU181" s="5"/>
      <c r="JV181" s="5"/>
      <c r="JW181" s="5"/>
      <c r="JX181" s="5"/>
      <c r="JY181" s="5"/>
      <c r="JZ181" s="5"/>
      <c r="KA181" s="5"/>
      <c r="KB181" s="5"/>
      <c r="KC181" s="5"/>
      <c r="KD181" s="5"/>
      <c r="KE181" s="5"/>
      <c r="KF181" s="5"/>
      <c r="KG181" s="5"/>
      <c r="KH181" s="5"/>
      <c r="KI181" s="5"/>
      <c r="KJ181" s="5"/>
      <c r="KK181" s="5"/>
      <c r="KL181" s="5"/>
      <c r="KM181" s="5"/>
      <c r="KN181" s="5"/>
      <c r="KO181" s="5"/>
      <c r="KP181" s="5"/>
      <c r="KQ181" s="5"/>
      <c r="KR181" s="5"/>
      <c r="KS181" s="5"/>
      <c r="KT181" s="5"/>
      <c r="KU181" s="5"/>
      <c r="KV181" s="5"/>
      <c r="KW181" s="5"/>
      <c r="KX181" s="5"/>
      <c r="KY181" s="5"/>
      <c r="KZ181" s="5"/>
      <c r="LA181" s="5"/>
      <c r="LB181" s="5"/>
      <c r="LC181" s="5"/>
      <c r="LD181" s="5"/>
      <c r="LE181" s="5"/>
      <c r="LF181" s="5"/>
      <c r="LG181" s="5"/>
      <c r="LH181" s="5"/>
      <c r="LI181" s="5"/>
      <c r="LJ181" s="5"/>
      <c r="LK181" s="5"/>
      <c r="LL181" s="5"/>
      <c r="LM181" s="5"/>
      <c r="LN181" s="5"/>
      <c r="LO181" s="5"/>
      <c r="LP181" s="5"/>
      <c r="LQ181" s="5"/>
      <c r="LR181" s="5"/>
      <c r="LS181" s="5"/>
      <c r="LT181" s="5"/>
      <c r="LU181" s="5"/>
      <c r="LV181" s="5"/>
      <c r="LW181" s="5"/>
      <c r="LX181" s="5"/>
      <c r="LY181" s="5"/>
      <c r="LZ181" s="5"/>
      <c r="MA181" s="5"/>
      <c r="MB181" s="5"/>
      <c r="MC181" s="5"/>
      <c r="MD181" s="5"/>
      <c r="ME181" s="5"/>
      <c r="MF181" s="5"/>
      <c r="MG181" s="5"/>
      <c r="MH181" s="5"/>
      <c r="MI181" s="5"/>
      <c r="MJ181" s="5"/>
      <c r="MK181" s="5"/>
      <c r="ML181" s="5"/>
      <c r="MM181" s="5"/>
      <c r="MN181" s="5"/>
      <c r="MO181" s="5"/>
      <c r="MP181" s="5"/>
      <c r="MQ181" s="5"/>
      <c r="MR181" s="5"/>
      <c r="MS181" s="5"/>
      <c r="MT181" s="5"/>
      <c r="MU181" s="5"/>
      <c r="MV181" s="5"/>
      <c r="MW181" s="5"/>
      <c r="MX181" s="5"/>
      <c r="MY181" s="5"/>
      <c r="MZ181" s="5"/>
      <c r="NA181" s="5"/>
      <c r="NB181" s="5"/>
      <c r="NC181" s="5"/>
      <c r="ND181" s="5"/>
      <c r="NE181" s="5"/>
      <c r="NF181" s="5"/>
      <c r="NG181" s="5"/>
      <c r="NH181" s="5"/>
      <c r="NI181" s="5"/>
      <c r="NJ181" s="5"/>
      <c r="NK181" s="5"/>
      <c r="NL181" s="5"/>
      <c r="NM181" s="5"/>
      <c r="NN181" s="5"/>
      <c r="NO181" s="5"/>
      <c r="NP181" s="5"/>
      <c r="NQ181" s="5"/>
      <c r="NR181" s="5"/>
      <c r="NS181" s="5"/>
      <c r="NT181" s="5"/>
      <c r="NU181" s="5"/>
      <c r="NV181" s="5"/>
      <c r="NW181" s="5"/>
      <c r="NX181" s="5"/>
      <c r="NY181" s="5"/>
      <c r="NZ181" s="5"/>
      <c r="OA181" s="5"/>
      <c r="OB181" s="5"/>
      <c r="OC181" s="5"/>
      <c r="OD181" s="5"/>
      <c r="OE181" s="5"/>
      <c r="OF181" s="5"/>
      <c r="OG181" s="5"/>
      <c r="OH181" s="5"/>
      <c r="OI181" s="5"/>
      <c r="OJ181" s="5"/>
      <c r="OK181" s="5"/>
      <c r="OL181" s="5"/>
      <c r="OM181" s="5"/>
      <c r="ON181" s="5"/>
      <c r="OO181" s="5"/>
      <c r="OP181" s="5"/>
      <c r="OQ181" s="5"/>
      <c r="OR181" s="5"/>
      <c r="OS181" s="5"/>
      <c r="OT181" s="5"/>
      <c r="OU181" s="5"/>
      <c r="OV181" s="5"/>
      <c r="OW181" s="5"/>
      <c r="OX181" s="5"/>
      <c r="OY181" s="5"/>
      <c r="OZ181" s="5"/>
      <c r="PA181" s="5"/>
      <c r="PB181" s="5"/>
      <c r="PC181" s="5"/>
      <c r="PD181" s="5"/>
      <c r="PE181" s="5"/>
      <c r="PF181" s="5"/>
      <c r="PG181" s="5"/>
      <c r="PH181" s="5"/>
      <c r="PI181" s="5"/>
      <c r="PJ181" s="5"/>
      <c r="PK181" s="5"/>
      <c r="PL181" s="5"/>
      <c r="PM181" s="5"/>
      <c r="PN181" s="5"/>
      <c r="PO181" s="5"/>
      <c r="PP181" s="5"/>
      <c r="PQ181" s="5"/>
      <c r="PR181" s="5"/>
      <c r="PS181" s="5"/>
      <c r="PT181" s="5"/>
      <c r="PU181" s="5"/>
      <c r="PV181" s="5"/>
      <c r="PW181" s="5"/>
      <c r="PX181" s="5"/>
      <c r="PY181" s="5"/>
      <c r="PZ181" s="5"/>
      <c r="QA181" s="5"/>
      <c r="QB181" s="5"/>
      <c r="QC181" s="5"/>
      <c r="QD181" s="5"/>
      <c r="QE181" s="5"/>
      <c r="QF181" s="5"/>
      <c r="QG181" s="5"/>
      <c r="QH181" s="5"/>
      <c r="QI181" s="5"/>
      <c r="QJ181" s="5"/>
      <c r="QK181" s="5"/>
      <c r="QL181" s="5"/>
      <c r="QM181" s="5"/>
      <c r="QN181" s="5"/>
      <c r="QO181" s="5"/>
      <c r="QP181" s="5"/>
      <c r="QQ181" s="5"/>
      <c r="QR181" s="5"/>
      <c r="QS181" s="5"/>
      <c r="QT181" s="5"/>
      <c r="QU181" s="5"/>
      <c r="QV181" s="5"/>
      <c r="QW181" s="5"/>
      <c r="QX181" s="5"/>
      <c r="QY181" s="5"/>
      <c r="QZ181" s="5"/>
      <c r="RA181" s="5"/>
      <c r="RB181" s="5"/>
      <c r="RC181" s="5"/>
      <c r="RD181" s="5"/>
      <c r="RE181" s="5"/>
      <c r="RF181" s="5"/>
      <c r="RG181" s="5"/>
      <c r="RH181" s="5"/>
      <c r="RI181" s="5"/>
      <c r="RJ181" s="5"/>
      <c r="RK181" s="5"/>
      <c r="RL181" s="5"/>
      <c r="RM181" s="5"/>
      <c r="RN181" s="5"/>
      <c r="RO181" s="5"/>
      <c r="RP181" s="5"/>
      <c r="RQ181" s="5"/>
      <c r="RR181" s="5"/>
      <c r="RS181" s="5"/>
      <c r="RT181" s="5"/>
      <c r="RU181" s="5"/>
      <c r="RV181" s="5"/>
      <c r="RW181" s="5"/>
      <c r="RX181" s="5"/>
      <c r="RY181" s="5"/>
      <c r="RZ181" s="5"/>
      <c r="SA181" s="5"/>
      <c r="SB181" s="5"/>
      <c r="SC181" s="5"/>
      <c r="SD181" s="5"/>
      <c r="SE181" s="5"/>
      <c r="SF181" s="5"/>
      <c r="SG181" s="5"/>
      <c r="SH181" s="5"/>
      <c r="SI181" s="5"/>
      <c r="SJ181" s="5"/>
      <c r="SK181" s="5"/>
      <c r="SL181" s="5"/>
      <c r="SM181" s="5"/>
      <c r="SN181" s="5"/>
      <c r="SO181" s="5"/>
      <c r="SP181" s="5"/>
      <c r="SQ181" s="5"/>
      <c r="SR181" s="5"/>
      <c r="SS181" s="5"/>
      <c r="ST181" s="5"/>
      <c r="SU181" s="5"/>
      <c r="SV181" s="5"/>
      <c r="SW181" s="5"/>
      <c r="SX181" s="5"/>
      <c r="SY181" s="5"/>
      <c r="SZ181" s="5"/>
      <c r="TA181" s="5"/>
      <c r="TB181" s="5"/>
      <c r="TC181" s="5"/>
      <c r="TD181" s="5"/>
      <c r="TE181" s="5"/>
      <c r="TF181" s="5"/>
      <c r="TG181" s="5"/>
      <c r="TH181" s="5"/>
      <c r="TI181" s="5"/>
      <c r="TJ181" s="5"/>
      <c r="TK181" s="5"/>
      <c r="TL181" s="5"/>
      <c r="TM181" s="5"/>
      <c r="TN181" s="5"/>
      <c r="TO181" s="5"/>
      <c r="TP181" s="5"/>
      <c r="TQ181" s="5"/>
      <c r="TR181" s="5"/>
      <c r="TS181" s="5"/>
      <c r="TT181" s="5"/>
      <c r="TU181" s="5"/>
      <c r="TV181" s="5"/>
      <c r="TW181" s="5"/>
      <c r="TX181" s="5"/>
      <c r="TY181" s="5"/>
      <c r="TZ181" s="5"/>
      <c r="UA181" s="5"/>
      <c r="UB181" s="5"/>
      <c r="UC181" s="5"/>
      <c r="UD181" s="5"/>
      <c r="UE181" s="5"/>
      <c r="UF181" s="5"/>
      <c r="UG181" s="5"/>
      <c r="UH181" s="5"/>
      <c r="UI181" s="5"/>
      <c r="UJ181" s="5"/>
      <c r="UK181" s="5"/>
      <c r="UL181" s="5"/>
      <c r="UM181" s="5"/>
      <c r="UN181" s="5"/>
      <c r="UO181" s="5"/>
      <c r="UP181" s="5"/>
      <c r="UQ181" s="5"/>
      <c r="UR181" s="5"/>
      <c r="US181" s="5"/>
      <c r="UT181" s="5"/>
      <c r="UU181" s="5"/>
      <c r="UV181" s="5"/>
      <c r="UW181" s="5"/>
      <c r="UX181" s="5"/>
      <c r="UY181" s="5"/>
      <c r="UZ181" s="5"/>
      <c r="VA181" s="5"/>
      <c r="VB181" s="5"/>
      <c r="VC181" s="5"/>
      <c r="VD181" s="5"/>
      <c r="VE181" s="5"/>
      <c r="VF181" s="5"/>
      <c r="VG181" s="5"/>
      <c r="VH181" s="5"/>
      <c r="VI181" s="5"/>
      <c r="VJ181" s="5"/>
      <c r="VK181" s="5"/>
      <c r="VL181" s="5"/>
      <c r="VM181" s="5"/>
      <c r="VN181" s="5"/>
      <c r="VO181" s="5"/>
      <c r="VP181" s="5"/>
      <c r="VQ181" s="5"/>
      <c r="VR181" s="5"/>
      <c r="VS181" s="5"/>
      <c r="VT181" s="5"/>
      <c r="VU181" s="5"/>
      <c r="VV181" s="5"/>
      <c r="VW181" s="5"/>
      <c r="VX181" s="5"/>
      <c r="VY181" s="5"/>
      <c r="VZ181" s="5"/>
      <c r="WA181" s="5"/>
      <c r="WB181" s="5"/>
      <c r="WC181" s="5"/>
      <c r="WD181" s="5"/>
      <c r="WE181" s="5"/>
      <c r="WF181" s="5"/>
      <c r="WG181" s="5"/>
      <c r="WH181" s="5"/>
      <c r="WI181" s="5"/>
      <c r="WJ181" s="5"/>
      <c r="WK181" s="5"/>
      <c r="WL181" s="5"/>
      <c r="WM181" s="5"/>
      <c r="WN181" s="5"/>
      <c r="WO181" s="5"/>
      <c r="WP181" s="5"/>
      <c r="WQ181" s="5"/>
      <c r="WR181" s="5"/>
      <c r="WS181" s="5"/>
      <c r="WT181" s="5"/>
      <c r="WU181" s="5"/>
      <c r="WV181" s="5"/>
      <c r="WW181" s="5"/>
      <c r="WX181" s="5"/>
      <c r="WY181" s="5"/>
      <c r="WZ181" s="5"/>
      <c r="XA181" s="5"/>
      <c r="XB181" s="5"/>
      <c r="XC181" s="5"/>
      <c r="XD181" s="5"/>
      <c r="XE181" s="5"/>
      <c r="XF181" s="5"/>
      <c r="XG181" s="5"/>
      <c r="XH181" s="5"/>
      <c r="XI181" s="5"/>
      <c r="XJ181" s="5"/>
      <c r="XK181" s="5"/>
      <c r="XL181" s="5"/>
      <c r="XM181" s="5"/>
      <c r="XN181" s="5"/>
      <c r="XO181" s="5"/>
      <c r="XP181" s="5"/>
      <c r="XQ181" s="5"/>
      <c r="XR181" s="5"/>
      <c r="XS181" s="5"/>
      <c r="XT181" s="5"/>
      <c r="XU181" s="5"/>
      <c r="XV181" s="5"/>
      <c r="XW181" s="5"/>
      <c r="XX181" s="5"/>
      <c r="XY181" s="5"/>
      <c r="XZ181" s="5"/>
      <c r="YA181" s="5"/>
      <c r="YB181" s="5"/>
      <c r="YC181" s="5"/>
      <c r="YD181" s="5"/>
      <c r="YE181" s="5"/>
      <c r="YF181" s="5"/>
      <c r="YG181" s="5"/>
      <c r="YH181" s="5"/>
      <c r="YI181" s="5"/>
      <c r="YJ181" s="5"/>
      <c r="YK181" s="5"/>
      <c r="YL181" s="5"/>
      <c r="YM181" s="5"/>
      <c r="YN181" s="5"/>
      <c r="YO181" s="5"/>
      <c r="YP181" s="5"/>
      <c r="YQ181" s="5"/>
      <c r="YR181" s="5"/>
      <c r="YS181" s="5"/>
      <c r="YT181" s="5"/>
      <c r="YU181" s="5"/>
      <c r="YV181" s="5"/>
      <c r="YW181" s="5"/>
      <c r="YX181" s="5"/>
      <c r="YY181" s="5"/>
      <c r="YZ181" s="5"/>
    </row>
    <row r="182" spans="1:676">
      <c r="A182" s="7">
        <v>172</v>
      </c>
      <c r="B182" s="7" t="s">
        <v>431</v>
      </c>
      <c r="C182" s="10" t="s">
        <v>432</v>
      </c>
      <c r="D182" s="7" t="s">
        <v>93</v>
      </c>
      <c r="E182" s="7" t="s">
        <v>279</v>
      </c>
      <c r="F182" s="7" t="s">
        <v>394</v>
      </c>
      <c r="G182" s="7"/>
      <c r="H182" s="7" t="s">
        <v>52</v>
      </c>
      <c r="I182" s="11">
        <v>2</v>
      </c>
      <c r="J182" s="11">
        <v>3</v>
      </c>
      <c r="K182" s="11">
        <v>0</v>
      </c>
      <c r="L182" s="11">
        <v>0.92</v>
      </c>
      <c r="M182" s="11">
        <v>0.42</v>
      </c>
      <c r="N182" s="11">
        <v>0</v>
      </c>
      <c r="O182" s="11">
        <v>0</v>
      </c>
      <c r="P182" s="11">
        <v>0</v>
      </c>
      <c r="Q182" s="11">
        <v>1.34</v>
      </c>
      <c r="R182" s="11">
        <v>4.46</v>
      </c>
      <c r="S182" s="11">
        <v>5.800000000000001</v>
      </c>
      <c r="T182" s="11">
        <v>2</v>
      </c>
      <c r="U182" s="11">
        <v>3</v>
      </c>
      <c r="V182" s="11">
        <v>0.8000000000000007</v>
      </c>
      <c r="W182" s="13">
        <v>18</v>
      </c>
      <c r="X182" s="13">
        <v>27</v>
      </c>
      <c r="Y182" s="13" t="str">
        <f>MIN(W182,S182)</f>
        <v>0</v>
      </c>
      <c r="Z182" s="13" t="str">
        <f>MIN(X182,(S182-Y182))</f>
        <v>0</v>
      </c>
      <c r="AA182" s="13" t="str">
        <f>S182-SUM(Y182,Z182)</f>
        <v>0</v>
      </c>
      <c r="AB182" s="15"/>
      <c r="AC182" s="15"/>
      <c r="AD182" s="1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W182" s="5"/>
      <c r="BX182" s="5"/>
      <c r="BY182" s="5"/>
      <c r="BZ182" s="5"/>
      <c r="CA182" s="5"/>
      <c r="CB182" s="5"/>
      <c r="CC182" s="5"/>
      <c r="CD182" s="5"/>
      <c r="CE182" s="5"/>
      <c r="CF182" s="5"/>
      <c r="CG182" s="5"/>
      <c r="CH182" s="5"/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5"/>
      <c r="DB182" s="5"/>
      <c r="DC182" s="5"/>
      <c r="DD182" s="5"/>
      <c r="DE182" s="5"/>
      <c r="DF182" s="5"/>
      <c r="DG182" s="5"/>
      <c r="DH182" s="5"/>
      <c r="DI182" s="5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  <c r="EC182" s="5"/>
      <c r="ED182" s="5"/>
      <c r="EE182" s="5"/>
      <c r="EF182" s="5"/>
      <c r="EG182" s="5"/>
      <c r="EH182" s="5"/>
      <c r="EI182" s="5"/>
      <c r="EJ182" s="5"/>
      <c r="EK182" s="5"/>
      <c r="EL182" s="5"/>
      <c r="EM182" s="5"/>
      <c r="EN182" s="5"/>
      <c r="EO182" s="5"/>
      <c r="EP182" s="5"/>
      <c r="EQ182" s="5"/>
      <c r="ER182" s="5"/>
      <c r="ES182" s="5"/>
      <c r="ET182" s="5"/>
      <c r="EU182" s="5"/>
      <c r="EV182" s="5"/>
      <c r="EW182" s="5"/>
      <c r="EX182" s="5"/>
      <c r="EY182" s="5"/>
      <c r="EZ182" s="5"/>
      <c r="FA182" s="5"/>
      <c r="FB182" s="5"/>
      <c r="FC182" s="5"/>
      <c r="FD182" s="5"/>
      <c r="FE182" s="5"/>
      <c r="FF182" s="5"/>
      <c r="FG182" s="5"/>
      <c r="FH182" s="5"/>
      <c r="FI182" s="5"/>
      <c r="FJ182" s="5"/>
      <c r="FK182" s="5"/>
      <c r="FL182" s="5"/>
      <c r="FM182" s="5"/>
      <c r="FN182" s="5"/>
      <c r="FO182" s="5"/>
      <c r="FP182" s="5"/>
      <c r="FQ182" s="5"/>
      <c r="FR182" s="5"/>
      <c r="FS182" s="5"/>
      <c r="FT182" s="5"/>
      <c r="FU182" s="5"/>
      <c r="FV182" s="5"/>
      <c r="FW182" s="5"/>
      <c r="FX182" s="5"/>
      <c r="FY182" s="5"/>
      <c r="FZ182" s="5"/>
      <c r="GA182" s="5"/>
      <c r="GB182" s="5"/>
      <c r="GC182" s="5"/>
      <c r="GD182" s="5"/>
      <c r="GE182" s="5"/>
      <c r="GF182" s="5"/>
      <c r="GG182" s="5"/>
      <c r="GH182" s="5"/>
      <c r="GI182" s="5"/>
      <c r="GJ182" s="5"/>
      <c r="GK182" s="5"/>
      <c r="GL182" s="5"/>
      <c r="GM182" s="5"/>
      <c r="GN182" s="5"/>
      <c r="GO182" s="5"/>
      <c r="GP182" s="5"/>
      <c r="GQ182" s="5"/>
      <c r="GR182" s="5"/>
      <c r="GS182" s="5"/>
      <c r="GT182" s="5"/>
      <c r="GU182" s="5"/>
      <c r="GV182" s="5"/>
      <c r="GW182" s="5"/>
      <c r="GX182" s="5"/>
      <c r="GY182" s="5"/>
      <c r="GZ182" s="5"/>
      <c r="HA182" s="5"/>
      <c r="HB182" s="5"/>
      <c r="HC182" s="5"/>
      <c r="HD182" s="5"/>
      <c r="HE182" s="5"/>
      <c r="HF182" s="5"/>
      <c r="HG182" s="5"/>
      <c r="HH182" s="5"/>
      <c r="HI182" s="5"/>
      <c r="HJ182" s="5"/>
      <c r="HK182" s="5"/>
      <c r="HL182" s="5"/>
      <c r="HM182" s="5"/>
      <c r="HN182" s="5"/>
      <c r="HO182" s="5"/>
      <c r="HP182" s="5"/>
      <c r="HQ182" s="5"/>
      <c r="HR182" s="5"/>
      <c r="HS182" s="5"/>
      <c r="HT182" s="5"/>
      <c r="HU182" s="5"/>
      <c r="HV182" s="5"/>
      <c r="HW182" s="5"/>
      <c r="HX182" s="5"/>
      <c r="HY182" s="5"/>
      <c r="HZ182" s="5"/>
      <c r="IA182" s="5"/>
      <c r="IB182" s="5"/>
      <c r="IC182" s="5"/>
      <c r="ID182" s="5"/>
      <c r="IE182" s="5"/>
      <c r="IF182" s="5"/>
      <c r="IG182" s="5"/>
      <c r="IH182" s="5"/>
      <c r="II182" s="5"/>
      <c r="IJ182" s="5"/>
      <c r="IK182" s="5"/>
      <c r="IL182" s="5"/>
      <c r="IM182" s="5"/>
      <c r="IN182" s="5"/>
      <c r="IO182" s="5"/>
      <c r="IP182" s="5"/>
      <c r="IQ182" s="5"/>
      <c r="IR182" s="5"/>
      <c r="IS182" s="5"/>
      <c r="IT182" s="5"/>
      <c r="IU182" s="5"/>
      <c r="IV182" s="5"/>
      <c r="IW182" s="5"/>
      <c r="IX182" s="5"/>
      <c r="IY182" s="5"/>
      <c r="IZ182" s="5"/>
      <c r="JA182" s="5"/>
      <c r="JB182" s="5"/>
      <c r="JC182" s="5"/>
      <c r="JD182" s="5"/>
      <c r="JE182" s="5"/>
      <c r="JF182" s="5"/>
      <c r="JG182" s="5"/>
      <c r="JH182" s="5"/>
      <c r="JI182" s="5"/>
      <c r="JJ182" s="5"/>
      <c r="JK182" s="5"/>
      <c r="JL182" s="5"/>
      <c r="JM182" s="5"/>
      <c r="JN182" s="5"/>
      <c r="JO182" s="5"/>
      <c r="JP182" s="5"/>
      <c r="JQ182" s="5"/>
      <c r="JR182" s="5"/>
      <c r="JS182" s="5"/>
      <c r="JT182" s="5"/>
      <c r="JU182" s="5"/>
      <c r="JV182" s="5"/>
      <c r="JW182" s="5"/>
      <c r="JX182" s="5"/>
      <c r="JY182" s="5"/>
      <c r="JZ182" s="5"/>
      <c r="KA182" s="5"/>
      <c r="KB182" s="5"/>
      <c r="KC182" s="5"/>
      <c r="KD182" s="5"/>
      <c r="KE182" s="5"/>
      <c r="KF182" s="5"/>
      <c r="KG182" s="5"/>
      <c r="KH182" s="5"/>
      <c r="KI182" s="5"/>
      <c r="KJ182" s="5"/>
      <c r="KK182" s="5"/>
      <c r="KL182" s="5"/>
      <c r="KM182" s="5"/>
      <c r="KN182" s="5"/>
      <c r="KO182" s="5"/>
      <c r="KP182" s="5"/>
      <c r="KQ182" s="5"/>
      <c r="KR182" s="5"/>
      <c r="KS182" s="5"/>
      <c r="KT182" s="5"/>
      <c r="KU182" s="5"/>
      <c r="KV182" s="5"/>
      <c r="KW182" s="5"/>
      <c r="KX182" s="5"/>
      <c r="KY182" s="5"/>
      <c r="KZ182" s="5"/>
      <c r="LA182" s="5"/>
      <c r="LB182" s="5"/>
      <c r="LC182" s="5"/>
      <c r="LD182" s="5"/>
      <c r="LE182" s="5"/>
      <c r="LF182" s="5"/>
      <c r="LG182" s="5"/>
      <c r="LH182" s="5"/>
      <c r="LI182" s="5"/>
      <c r="LJ182" s="5"/>
      <c r="LK182" s="5"/>
      <c r="LL182" s="5"/>
      <c r="LM182" s="5"/>
      <c r="LN182" s="5"/>
      <c r="LO182" s="5"/>
      <c r="LP182" s="5"/>
      <c r="LQ182" s="5"/>
      <c r="LR182" s="5"/>
      <c r="LS182" s="5"/>
      <c r="LT182" s="5"/>
      <c r="LU182" s="5"/>
      <c r="LV182" s="5"/>
      <c r="LW182" s="5"/>
      <c r="LX182" s="5"/>
      <c r="LY182" s="5"/>
      <c r="LZ182" s="5"/>
      <c r="MA182" s="5"/>
      <c r="MB182" s="5"/>
      <c r="MC182" s="5"/>
      <c r="MD182" s="5"/>
      <c r="ME182" s="5"/>
      <c r="MF182" s="5"/>
      <c r="MG182" s="5"/>
      <c r="MH182" s="5"/>
      <c r="MI182" s="5"/>
      <c r="MJ182" s="5"/>
      <c r="MK182" s="5"/>
      <c r="ML182" s="5"/>
      <c r="MM182" s="5"/>
      <c r="MN182" s="5"/>
      <c r="MO182" s="5"/>
      <c r="MP182" s="5"/>
      <c r="MQ182" s="5"/>
      <c r="MR182" s="5"/>
      <c r="MS182" s="5"/>
      <c r="MT182" s="5"/>
      <c r="MU182" s="5"/>
      <c r="MV182" s="5"/>
      <c r="MW182" s="5"/>
      <c r="MX182" s="5"/>
      <c r="MY182" s="5"/>
      <c r="MZ182" s="5"/>
      <c r="NA182" s="5"/>
      <c r="NB182" s="5"/>
      <c r="NC182" s="5"/>
      <c r="ND182" s="5"/>
      <c r="NE182" s="5"/>
      <c r="NF182" s="5"/>
      <c r="NG182" s="5"/>
      <c r="NH182" s="5"/>
      <c r="NI182" s="5"/>
      <c r="NJ182" s="5"/>
      <c r="NK182" s="5"/>
      <c r="NL182" s="5"/>
      <c r="NM182" s="5"/>
      <c r="NN182" s="5"/>
      <c r="NO182" s="5"/>
      <c r="NP182" s="5"/>
      <c r="NQ182" s="5"/>
      <c r="NR182" s="5"/>
      <c r="NS182" s="5"/>
      <c r="NT182" s="5"/>
      <c r="NU182" s="5"/>
      <c r="NV182" s="5"/>
      <c r="NW182" s="5"/>
      <c r="NX182" s="5"/>
      <c r="NY182" s="5"/>
      <c r="NZ182" s="5"/>
      <c r="OA182" s="5"/>
      <c r="OB182" s="5"/>
      <c r="OC182" s="5"/>
      <c r="OD182" s="5"/>
      <c r="OE182" s="5"/>
      <c r="OF182" s="5"/>
      <c r="OG182" s="5"/>
      <c r="OH182" s="5"/>
      <c r="OI182" s="5"/>
      <c r="OJ182" s="5"/>
      <c r="OK182" s="5"/>
      <c r="OL182" s="5"/>
      <c r="OM182" s="5"/>
      <c r="ON182" s="5"/>
      <c r="OO182" s="5"/>
      <c r="OP182" s="5"/>
      <c r="OQ182" s="5"/>
      <c r="OR182" s="5"/>
      <c r="OS182" s="5"/>
      <c r="OT182" s="5"/>
      <c r="OU182" s="5"/>
      <c r="OV182" s="5"/>
      <c r="OW182" s="5"/>
      <c r="OX182" s="5"/>
      <c r="OY182" s="5"/>
      <c r="OZ182" s="5"/>
      <c r="PA182" s="5"/>
      <c r="PB182" s="5"/>
      <c r="PC182" s="5"/>
      <c r="PD182" s="5"/>
      <c r="PE182" s="5"/>
      <c r="PF182" s="5"/>
      <c r="PG182" s="5"/>
      <c r="PH182" s="5"/>
      <c r="PI182" s="5"/>
      <c r="PJ182" s="5"/>
      <c r="PK182" s="5"/>
      <c r="PL182" s="5"/>
      <c r="PM182" s="5"/>
      <c r="PN182" s="5"/>
      <c r="PO182" s="5"/>
      <c r="PP182" s="5"/>
      <c r="PQ182" s="5"/>
      <c r="PR182" s="5"/>
      <c r="PS182" s="5"/>
      <c r="PT182" s="5"/>
      <c r="PU182" s="5"/>
      <c r="PV182" s="5"/>
      <c r="PW182" s="5"/>
      <c r="PX182" s="5"/>
      <c r="PY182" s="5"/>
      <c r="PZ182" s="5"/>
      <c r="QA182" s="5"/>
      <c r="QB182" s="5"/>
      <c r="QC182" s="5"/>
      <c r="QD182" s="5"/>
      <c r="QE182" s="5"/>
      <c r="QF182" s="5"/>
      <c r="QG182" s="5"/>
      <c r="QH182" s="5"/>
      <c r="QI182" s="5"/>
      <c r="QJ182" s="5"/>
      <c r="QK182" s="5"/>
      <c r="QL182" s="5"/>
      <c r="QM182" s="5"/>
      <c r="QN182" s="5"/>
      <c r="QO182" s="5"/>
      <c r="QP182" s="5"/>
      <c r="QQ182" s="5"/>
      <c r="QR182" s="5"/>
      <c r="QS182" s="5"/>
      <c r="QT182" s="5"/>
      <c r="QU182" s="5"/>
      <c r="QV182" s="5"/>
      <c r="QW182" s="5"/>
      <c r="QX182" s="5"/>
      <c r="QY182" s="5"/>
      <c r="QZ182" s="5"/>
      <c r="RA182" s="5"/>
      <c r="RB182" s="5"/>
      <c r="RC182" s="5"/>
      <c r="RD182" s="5"/>
      <c r="RE182" s="5"/>
      <c r="RF182" s="5"/>
      <c r="RG182" s="5"/>
      <c r="RH182" s="5"/>
      <c r="RI182" s="5"/>
      <c r="RJ182" s="5"/>
      <c r="RK182" s="5"/>
      <c r="RL182" s="5"/>
      <c r="RM182" s="5"/>
      <c r="RN182" s="5"/>
      <c r="RO182" s="5"/>
      <c r="RP182" s="5"/>
      <c r="RQ182" s="5"/>
      <c r="RR182" s="5"/>
      <c r="RS182" s="5"/>
      <c r="RT182" s="5"/>
      <c r="RU182" s="5"/>
      <c r="RV182" s="5"/>
      <c r="RW182" s="5"/>
      <c r="RX182" s="5"/>
      <c r="RY182" s="5"/>
      <c r="RZ182" s="5"/>
      <c r="SA182" s="5"/>
      <c r="SB182" s="5"/>
      <c r="SC182" s="5"/>
      <c r="SD182" s="5"/>
      <c r="SE182" s="5"/>
      <c r="SF182" s="5"/>
      <c r="SG182" s="5"/>
      <c r="SH182" s="5"/>
      <c r="SI182" s="5"/>
      <c r="SJ182" s="5"/>
      <c r="SK182" s="5"/>
      <c r="SL182" s="5"/>
      <c r="SM182" s="5"/>
      <c r="SN182" s="5"/>
      <c r="SO182" s="5"/>
      <c r="SP182" s="5"/>
      <c r="SQ182" s="5"/>
      <c r="SR182" s="5"/>
      <c r="SS182" s="5"/>
      <c r="ST182" s="5"/>
      <c r="SU182" s="5"/>
      <c r="SV182" s="5"/>
      <c r="SW182" s="5"/>
      <c r="SX182" s="5"/>
      <c r="SY182" s="5"/>
      <c r="SZ182" s="5"/>
      <c r="TA182" s="5"/>
      <c r="TB182" s="5"/>
      <c r="TC182" s="5"/>
      <c r="TD182" s="5"/>
      <c r="TE182" s="5"/>
      <c r="TF182" s="5"/>
      <c r="TG182" s="5"/>
      <c r="TH182" s="5"/>
      <c r="TI182" s="5"/>
      <c r="TJ182" s="5"/>
      <c r="TK182" s="5"/>
      <c r="TL182" s="5"/>
      <c r="TM182" s="5"/>
      <c r="TN182" s="5"/>
      <c r="TO182" s="5"/>
      <c r="TP182" s="5"/>
      <c r="TQ182" s="5"/>
      <c r="TR182" s="5"/>
      <c r="TS182" s="5"/>
      <c r="TT182" s="5"/>
      <c r="TU182" s="5"/>
      <c r="TV182" s="5"/>
      <c r="TW182" s="5"/>
      <c r="TX182" s="5"/>
      <c r="TY182" s="5"/>
      <c r="TZ182" s="5"/>
      <c r="UA182" s="5"/>
      <c r="UB182" s="5"/>
      <c r="UC182" s="5"/>
      <c r="UD182" s="5"/>
      <c r="UE182" s="5"/>
      <c r="UF182" s="5"/>
      <c r="UG182" s="5"/>
      <c r="UH182" s="5"/>
      <c r="UI182" s="5"/>
      <c r="UJ182" s="5"/>
      <c r="UK182" s="5"/>
      <c r="UL182" s="5"/>
      <c r="UM182" s="5"/>
      <c r="UN182" s="5"/>
      <c r="UO182" s="5"/>
      <c r="UP182" s="5"/>
      <c r="UQ182" s="5"/>
      <c r="UR182" s="5"/>
      <c r="US182" s="5"/>
      <c r="UT182" s="5"/>
      <c r="UU182" s="5"/>
      <c r="UV182" s="5"/>
      <c r="UW182" s="5"/>
      <c r="UX182" s="5"/>
      <c r="UY182" s="5"/>
      <c r="UZ182" s="5"/>
      <c r="VA182" s="5"/>
      <c r="VB182" s="5"/>
      <c r="VC182" s="5"/>
      <c r="VD182" s="5"/>
      <c r="VE182" s="5"/>
      <c r="VF182" s="5"/>
      <c r="VG182" s="5"/>
      <c r="VH182" s="5"/>
      <c r="VI182" s="5"/>
      <c r="VJ182" s="5"/>
      <c r="VK182" s="5"/>
      <c r="VL182" s="5"/>
      <c r="VM182" s="5"/>
      <c r="VN182" s="5"/>
      <c r="VO182" s="5"/>
      <c r="VP182" s="5"/>
      <c r="VQ182" s="5"/>
      <c r="VR182" s="5"/>
      <c r="VS182" s="5"/>
      <c r="VT182" s="5"/>
      <c r="VU182" s="5"/>
      <c r="VV182" s="5"/>
      <c r="VW182" s="5"/>
      <c r="VX182" s="5"/>
      <c r="VY182" s="5"/>
      <c r="VZ182" s="5"/>
      <c r="WA182" s="5"/>
      <c r="WB182" s="5"/>
      <c r="WC182" s="5"/>
      <c r="WD182" s="5"/>
      <c r="WE182" s="5"/>
      <c r="WF182" s="5"/>
      <c r="WG182" s="5"/>
      <c r="WH182" s="5"/>
      <c r="WI182" s="5"/>
      <c r="WJ182" s="5"/>
      <c r="WK182" s="5"/>
      <c r="WL182" s="5"/>
      <c r="WM182" s="5"/>
      <c r="WN182" s="5"/>
      <c r="WO182" s="5"/>
      <c r="WP182" s="5"/>
      <c r="WQ182" s="5"/>
      <c r="WR182" s="5"/>
      <c r="WS182" s="5"/>
      <c r="WT182" s="5"/>
      <c r="WU182" s="5"/>
      <c r="WV182" s="5"/>
      <c r="WW182" s="5"/>
      <c r="WX182" s="5"/>
      <c r="WY182" s="5"/>
      <c r="WZ182" s="5"/>
      <c r="XA182" s="5"/>
      <c r="XB182" s="5"/>
      <c r="XC182" s="5"/>
      <c r="XD182" s="5"/>
      <c r="XE182" s="5"/>
      <c r="XF182" s="5"/>
      <c r="XG182" s="5"/>
      <c r="XH182" s="5"/>
      <c r="XI182" s="5"/>
      <c r="XJ182" s="5"/>
      <c r="XK182" s="5"/>
      <c r="XL182" s="5"/>
      <c r="XM182" s="5"/>
      <c r="XN182" s="5"/>
      <c r="XO182" s="5"/>
      <c r="XP182" s="5"/>
      <c r="XQ182" s="5"/>
      <c r="XR182" s="5"/>
      <c r="XS182" s="5"/>
      <c r="XT182" s="5"/>
      <c r="XU182" s="5"/>
      <c r="XV182" s="5"/>
      <c r="XW182" s="5"/>
      <c r="XX182" s="5"/>
      <c r="XY182" s="5"/>
      <c r="XZ182" s="5"/>
      <c r="YA182" s="5"/>
      <c r="YB182" s="5"/>
      <c r="YC182" s="5"/>
      <c r="YD182" s="5"/>
      <c r="YE182" s="5"/>
      <c r="YF182" s="5"/>
      <c r="YG182" s="5"/>
      <c r="YH182" s="5"/>
      <c r="YI182" s="5"/>
      <c r="YJ182" s="5"/>
      <c r="YK182" s="5"/>
      <c r="YL182" s="5"/>
      <c r="YM182" s="5"/>
      <c r="YN182" s="5"/>
      <c r="YO182" s="5"/>
      <c r="YP182" s="5"/>
      <c r="YQ182" s="5"/>
      <c r="YR182" s="5"/>
      <c r="YS182" s="5"/>
      <c r="YT182" s="5"/>
      <c r="YU182" s="5"/>
      <c r="YV182" s="5"/>
      <c r="YW182" s="5"/>
      <c r="YX182" s="5"/>
      <c r="YY182" s="5"/>
      <c r="YZ182" s="5"/>
    </row>
    <row r="183" spans="1:676">
      <c r="A183" s="7">
        <v>173</v>
      </c>
      <c r="B183" s="7" t="s">
        <v>433</v>
      </c>
      <c r="C183" s="10" t="s">
        <v>434</v>
      </c>
      <c r="D183" s="7" t="s">
        <v>217</v>
      </c>
      <c r="E183" s="7" t="s">
        <v>279</v>
      </c>
      <c r="F183" s="7" t="s">
        <v>394</v>
      </c>
      <c r="G183" s="7"/>
      <c r="H183" s="7" t="s">
        <v>52</v>
      </c>
      <c r="I183" s="11">
        <v>2</v>
      </c>
      <c r="J183" s="11">
        <v>3</v>
      </c>
      <c r="K183" s="11">
        <v>0</v>
      </c>
      <c r="L183" s="11">
        <v>6.66</v>
      </c>
      <c r="M183" s="11">
        <v>0.67</v>
      </c>
      <c r="N183" s="11">
        <v>0</v>
      </c>
      <c r="O183" s="11">
        <v>1.69</v>
      </c>
      <c r="P183" s="11">
        <v>0</v>
      </c>
      <c r="Q183" s="11">
        <v>9.02</v>
      </c>
      <c r="R183" s="11">
        <v>37.81</v>
      </c>
      <c r="S183" s="11">
        <v>46.83</v>
      </c>
      <c r="T183" s="11">
        <v>2</v>
      </c>
      <c r="U183" s="11">
        <v>3</v>
      </c>
      <c r="V183" s="11">
        <v>41.83</v>
      </c>
      <c r="W183" s="13">
        <v>18</v>
      </c>
      <c r="X183" s="13">
        <v>27</v>
      </c>
      <c r="Y183" s="13" t="str">
        <f>MIN(W183,S183)</f>
        <v>0</v>
      </c>
      <c r="Z183" s="13" t="str">
        <f>MIN(X183,(S183-Y183))</f>
        <v>0</v>
      </c>
      <c r="AA183" s="13" t="str">
        <f>S183-SUM(Y183,Z183)</f>
        <v>0</v>
      </c>
      <c r="AB183" s="15"/>
      <c r="AC183" s="15"/>
      <c r="AD183" s="1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W183" s="5"/>
      <c r="BX183" s="5"/>
      <c r="BY183" s="5"/>
      <c r="BZ183" s="5"/>
      <c r="CA183" s="5"/>
      <c r="CB183" s="5"/>
      <c r="CC183" s="5"/>
      <c r="CD183" s="5"/>
      <c r="CE183" s="5"/>
      <c r="CF183" s="5"/>
      <c r="CG183" s="5"/>
      <c r="CH183" s="5"/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5"/>
      <c r="DB183" s="5"/>
      <c r="DC183" s="5"/>
      <c r="DD183" s="5"/>
      <c r="DE183" s="5"/>
      <c r="DF183" s="5"/>
      <c r="DG183" s="5"/>
      <c r="DH183" s="5"/>
      <c r="DI183" s="5"/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  <c r="EC183" s="5"/>
      <c r="ED183" s="5"/>
      <c r="EE183" s="5"/>
      <c r="EF183" s="5"/>
      <c r="EG183" s="5"/>
      <c r="EH183" s="5"/>
      <c r="EI183" s="5"/>
      <c r="EJ183" s="5"/>
      <c r="EK183" s="5"/>
      <c r="EL183" s="5"/>
      <c r="EM183" s="5"/>
      <c r="EN183" s="5"/>
      <c r="EO183" s="5"/>
      <c r="EP183" s="5"/>
      <c r="EQ183" s="5"/>
      <c r="ER183" s="5"/>
      <c r="ES183" s="5"/>
      <c r="ET183" s="5"/>
      <c r="EU183" s="5"/>
      <c r="EV183" s="5"/>
      <c r="EW183" s="5"/>
      <c r="EX183" s="5"/>
      <c r="EY183" s="5"/>
      <c r="EZ183" s="5"/>
      <c r="FA183" s="5"/>
      <c r="FB183" s="5"/>
      <c r="FC183" s="5"/>
      <c r="FD183" s="5"/>
      <c r="FE183" s="5"/>
      <c r="FF183" s="5"/>
      <c r="FG183" s="5"/>
      <c r="FH183" s="5"/>
      <c r="FI183" s="5"/>
      <c r="FJ183" s="5"/>
      <c r="FK183" s="5"/>
      <c r="FL183" s="5"/>
      <c r="FM183" s="5"/>
      <c r="FN183" s="5"/>
      <c r="FO183" s="5"/>
      <c r="FP183" s="5"/>
      <c r="FQ183" s="5"/>
      <c r="FR183" s="5"/>
      <c r="FS183" s="5"/>
      <c r="FT183" s="5"/>
      <c r="FU183" s="5"/>
      <c r="FV183" s="5"/>
      <c r="FW183" s="5"/>
      <c r="FX183" s="5"/>
      <c r="FY183" s="5"/>
      <c r="FZ183" s="5"/>
      <c r="GA183" s="5"/>
      <c r="GB183" s="5"/>
      <c r="GC183" s="5"/>
      <c r="GD183" s="5"/>
      <c r="GE183" s="5"/>
      <c r="GF183" s="5"/>
      <c r="GG183" s="5"/>
      <c r="GH183" s="5"/>
      <c r="GI183" s="5"/>
      <c r="GJ183" s="5"/>
      <c r="GK183" s="5"/>
      <c r="GL183" s="5"/>
      <c r="GM183" s="5"/>
      <c r="GN183" s="5"/>
      <c r="GO183" s="5"/>
      <c r="GP183" s="5"/>
      <c r="GQ183" s="5"/>
      <c r="GR183" s="5"/>
      <c r="GS183" s="5"/>
      <c r="GT183" s="5"/>
      <c r="GU183" s="5"/>
      <c r="GV183" s="5"/>
      <c r="GW183" s="5"/>
      <c r="GX183" s="5"/>
      <c r="GY183" s="5"/>
      <c r="GZ183" s="5"/>
      <c r="HA183" s="5"/>
      <c r="HB183" s="5"/>
      <c r="HC183" s="5"/>
      <c r="HD183" s="5"/>
      <c r="HE183" s="5"/>
      <c r="HF183" s="5"/>
      <c r="HG183" s="5"/>
      <c r="HH183" s="5"/>
      <c r="HI183" s="5"/>
      <c r="HJ183" s="5"/>
      <c r="HK183" s="5"/>
      <c r="HL183" s="5"/>
      <c r="HM183" s="5"/>
      <c r="HN183" s="5"/>
      <c r="HO183" s="5"/>
      <c r="HP183" s="5"/>
      <c r="HQ183" s="5"/>
      <c r="HR183" s="5"/>
      <c r="HS183" s="5"/>
      <c r="HT183" s="5"/>
      <c r="HU183" s="5"/>
      <c r="HV183" s="5"/>
      <c r="HW183" s="5"/>
      <c r="HX183" s="5"/>
      <c r="HY183" s="5"/>
      <c r="HZ183" s="5"/>
      <c r="IA183" s="5"/>
      <c r="IB183" s="5"/>
      <c r="IC183" s="5"/>
      <c r="ID183" s="5"/>
      <c r="IE183" s="5"/>
      <c r="IF183" s="5"/>
      <c r="IG183" s="5"/>
      <c r="IH183" s="5"/>
      <c r="II183" s="5"/>
      <c r="IJ183" s="5"/>
      <c r="IK183" s="5"/>
      <c r="IL183" s="5"/>
      <c r="IM183" s="5"/>
      <c r="IN183" s="5"/>
      <c r="IO183" s="5"/>
      <c r="IP183" s="5"/>
      <c r="IQ183" s="5"/>
      <c r="IR183" s="5"/>
      <c r="IS183" s="5"/>
      <c r="IT183" s="5"/>
      <c r="IU183" s="5"/>
      <c r="IV183" s="5"/>
      <c r="IW183" s="5"/>
      <c r="IX183" s="5"/>
      <c r="IY183" s="5"/>
      <c r="IZ183" s="5"/>
      <c r="JA183" s="5"/>
      <c r="JB183" s="5"/>
      <c r="JC183" s="5"/>
      <c r="JD183" s="5"/>
      <c r="JE183" s="5"/>
      <c r="JF183" s="5"/>
      <c r="JG183" s="5"/>
      <c r="JH183" s="5"/>
      <c r="JI183" s="5"/>
      <c r="JJ183" s="5"/>
      <c r="JK183" s="5"/>
      <c r="JL183" s="5"/>
      <c r="JM183" s="5"/>
      <c r="JN183" s="5"/>
      <c r="JO183" s="5"/>
      <c r="JP183" s="5"/>
      <c r="JQ183" s="5"/>
      <c r="JR183" s="5"/>
      <c r="JS183" s="5"/>
      <c r="JT183" s="5"/>
      <c r="JU183" s="5"/>
      <c r="JV183" s="5"/>
      <c r="JW183" s="5"/>
      <c r="JX183" s="5"/>
      <c r="JY183" s="5"/>
      <c r="JZ183" s="5"/>
      <c r="KA183" s="5"/>
      <c r="KB183" s="5"/>
      <c r="KC183" s="5"/>
      <c r="KD183" s="5"/>
      <c r="KE183" s="5"/>
      <c r="KF183" s="5"/>
      <c r="KG183" s="5"/>
      <c r="KH183" s="5"/>
      <c r="KI183" s="5"/>
      <c r="KJ183" s="5"/>
      <c r="KK183" s="5"/>
      <c r="KL183" s="5"/>
      <c r="KM183" s="5"/>
      <c r="KN183" s="5"/>
      <c r="KO183" s="5"/>
      <c r="KP183" s="5"/>
      <c r="KQ183" s="5"/>
      <c r="KR183" s="5"/>
      <c r="KS183" s="5"/>
      <c r="KT183" s="5"/>
      <c r="KU183" s="5"/>
      <c r="KV183" s="5"/>
      <c r="KW183" s="5"/>
      <c r="KX183" s="5"/>
      <c r="KY183" s="5"/>
      <c r="KZ183" s="5"/>
      <c r="LA183" s="5"/>
      <c r="LB183" s="5"/>
      <c r="LC183" s="5"/>
      <c r="LD183" s="5"/>
      <c r="LE183" s="5"/>
      <c r="LF183" s="5"/>
      <c r="LG183" s="5"/>
      <c r="LH183" s="5"/>
      <c r="LI183" s="5"/>
      <c r="LJ183" s="5"/>
      <c r="LK183" s="5"/>
      <c r="LL183" s="5"/>
      <c r="LM183" s="5"/>
      <c r="LN183" s="5"/>
      <c r="LO183" s="5"/>
      <c r="LP183" s="5"/>
      <c r="LQ183" s="5"/>
      <c r="LR183" s="5"/>
      <c r="LS183" s="5"/>
      <c r="LT183" s="5"/>
      <c r="LU183" s="5"/>
      <c r="LV183" s="5"/>
      <c r="LW183" s="5"/>
      <c r="LX183" s="5"/>
      <c r="LY183" s="5"/>
      <c r="LZ183" s="5"/>
      <c r="MA183" s="5"/>
      <c r="MB183" s="5"/>
      <c r="MC183" s="5"/>
      <c r="MD183" s="5"/>
      <c r="ME183" s="5"/>
      <c r="MF183" s="5"/>
      <c r="MG183" s="5"/>
      <c r="MH183" s="5"/>
      <c r="MI183" s="5"/>
      <c r="MJ183" s="5"/>
      <c r="MK183" s="5"/>
      <c r="ML183" s="5"/>
      <c r="MM183" s="5"/>
      <c r="MN183" s="5"/>
      <c r="MO183" s="5"/>
      <c r="MP183" s="5"/>
      <c r="MQ183" s="5"/>
      <c r="MR183" s="5"/>
      <c r="MS183" s="5"/>
      <c r="MT183" s="5"/>
      <c r="MU183" s="5"/>
      <c r="MV183" s="5"/>
      <c r="MW183" s="5"/>
      <c r="MX183" s="5"/>
      <c r="MY183" s="5"/>
      <c r="MZ183" s="5"/>
      <c r="NA183" s="5"/>
      <c r="NB183" s="5"/>
      <c r="NC183" s="5"/>
      <c r="ND183" s="5"/>
      <c r="NE183" s="5"/>
      <c r="NF183" s="5"/>
      <c r="NG183" s="5"/>
      <c r="NH183" s="5"/>
      <c r="NI183" s="5"/>
      <c r="NJ183" s="5"/>
      <c r="NK183" s="5"/>
      <c r="NL183" s="5"/>
      <c r="NM183" s="5"/>
      <c r="NN183" s="5"/>
      <c r="NO183" s="5"/>
      <c r="NP183" s="5"/>
      <c r="NQ183" s="5"/>
      <c r="NR183" s="5"/>
      <c r="NS183" s="5"/>
      <c r="NT183" s="5"/>
      <c r="NU183" s="5"/>
      <c r="NV183" s="5"/>
      <c r="NW183" s="5"/>
      <c r="NX183" s="5"/>
      <c r="NY183" s="5"/>
      <c r="NZ183" s="5"/>
      <c r="OA183" s="5"/>
      <c r="OB183" s="5"/>
      <c r="OC183" s="5"/>
      <c r="OD183" s="5"/>
      <c r="OE183" s="5"/>
      <c r="OF183" s="5"/>
      <c r="OG183" s="5"/>
      <c r="OH183" s="5"/>
      <c r="OI183" s="5"/>
      <c r="OJ183" s="5"/>
      <c r="OK183" s="5"/>
      <c r="OL183" s="5"/>
      <c r="OM183" s="5"/>
      <c r="ON183" s="5"/>
      <c r="OO183" s="5"/>
      <c r="OP183" s="5"/>
      <c r="OQ183" s="5"/>
      <c r="OR183" s="5"/>
      <c r="OS183" s="5"/>
      <c r="OT183" s="5"/>
      <c r="OU183" s="5"/>
      <c r="OV183" s="5"/>
      <c r="OW183" s="5"/>
      <c r="OX183" s="5"/>
      <c r="OY183" s="5"/>
      <c r="OZ183" s="5"/>
      <c r="PA183" s="5"/>
      <c r="PB183" s="5"/>
      <c r="PC183" s="5"/>
      <c r="PD183" s="5"/>
      <c r="PE183" s="5"/>
      <c r="PF183" s="5"/>
      <c r="PG183" s="5"/>
      <c r="PH183" s="5"/>
      <c r="PI183" s="5"/>
      <c r="PJ183" s="5"/>
      <c r="PK183" s="5"/>
      <c r="PL183" s="5"/>
      <c r="PM183" s="5"/>
      <c r="PN183" s="5"/>
      <c r="PO183" s="5"/>
      <c r="PP183" s="5"/>
      <c r="PQ183" s="5"/>
      <c r="PR183" s="5"/>
      <c r="PS183" s="5"/>
      <c r="PT183" s="5"/>
      <c r="PU183" s="5"/>
      <c r="PV183" s="5"/>
      <c r="PW183" s="5"/>
      <c r="PX183" s="5"/>
      <c r="PY183" s="5"/>
      <c r="PZ183" s="5"/>
      <c r="QA183" s="5"/>
      <c r="QB183" s="5"/>
      <c r="QC183" s="5"/>
      <c r="QD183" s="5"/>
      <c r="QE183" s="5"/>
      <c r="QF183" s="5"/>
      <c r="QG183" s="5"/>
      <c r="QH183" s="5"/>
      <c r="QI183" s="5"/>
      <c r="QJ183" s="5"/>
      <c r="QK183" s="5"/>
      <c r="QL183" s="5"/>
      <c r="QM183" s="5"/>
      <c r="QN183" s="5"/>
      <c r="QO183" s="5"/>
      <c r="QP183" s="5"/>
      <c r="QQ183" s="5"/>
      <c r="QR183" s="5"/>
      <c r="QS183" s="5"/>
      <c r="QT183" s="5"/>
      <c r="QU183" s="5"/>
      <c r="QV183" s="5"/>
      <c r="QW183" s="5"/>
      <c r="QX183" s="5"/>
      <c r="QY183" s="5"/>
      <c r="QZ183" s="5"/>
      <c r="RA183" s="5"/>
      <c r="RB183" s="5"/>
      <c r="RC183" s="5"/>
      <c r="RD183" s="5"/>
      <c r="RE183" s="5"/>
      <c r="RF183" s="5"/>
      <c r="RG183" s="5"/>
      <c r="RH183" s="5"/>
      <c r="RI183" s="5"/>
      <c r="RJ183" s="5"/>
      <c r="RK183" s="5"/>
      <c r="RL183" s="5"/>
      <c r="RM183" s="5"/>
      <c r="RN183" s="5"/>
      <c r="RO183" s="5"/>
      <c r="RP183" s="5"/>
      <c r="RQ183" s="5"/>
      <c r="RR183" s="5"/>
      <c r="RS183" s="5"/>
      <c r="RT183" s="5"/>
      <c r="RU183" s="5"/>
      <c r="RV183" s="5"/>
      <c r="RW183" s="5"/>
      <c r="RX183" s="5"/>
      <c r="RY183" s="5"/>
      <c r="RZ183" s="5"/>
      <c r="SA183" s="5"/>
      <c r="SB183" s="5"/>
      <c r="SC183" s="5"/>
      <c r="SD183" s="5"/>
      <c r="SE183" s="5"/>
      <c r="SF183" s="5"/>
      <c r="SG183" s="5"/>
      <c r="SH183" s="5"/>
      <c r="SI183" s="5"/>
      <c r="SJ183" s="5"/>
      <c r="SK183" s="5"/>
      <c r="SL183" s="5"/>
      <c r="SM183" s="5"/>
      <c r="SN183" s="5"/>
      <c r="SO183" s="5"/>
      <c r="SP183" s="5"/>
      <c r="SQ183" s="5"/>
      <c r="SR183" s="5"/>
      <c r="SS183" s="5"/>
      <c r="ST183" s="5"/>
      <c r="SU183" s="5"/>
      <c r="SV183" s="5"/>
      <c r="SW183" s="5"/>
      <c r="SX183" s="5"/>
      <c r="SY183" s="5"/>
      <c r="SZ183" s="5"/>
      <c r="TA183" s="5"/>
      <c r="TB183" s="5"/>
      <c r="TC183" s="5"/>
      <c r="TD183" s="5"/>
      <c r="TE183" s="5"/>
      <c r="TF183" s="5"/>
      <c r="TG183" s="5"/>
      <c r="TH183" s="5"/>
      <c r="TI183" s="5"/>
      <c r="TJ183" s="5"/>
      <c r="TK183" s="5"/>
      <c r="TL183" s="5"/>
      <c r="TM183" s="5"/>
      <c r="TN183" s="5"/>
      <c r="TO183" s="5"/>
      <c r="TP183" s="5"/>
      <c r="TQ183" s="5"/>
      <c r="TR183" s="5"/>
      <c r="TS183" s="5"/>
      <c r="TT183" s="5"/>
      <c r="TU183" s="5"/>
      <c r="TV183" s="5"/>
      <c r="TW183" s="5"/>
      <c r="TX183" s="5"/>
      <c r="TY183" s="5"/>
      <c r="TZ183" s="5"/>
      <c r="UA183" s="5"/>
      <c r="UB183" s="5"/>
      <c r="UC183" s="5"/>
      <c r="UD183" s="5"/>
      <c r="UE183" s="5"/>
      <c r="UF183" s="5"/>
      <c r="UG183" s="5"/>
      <c r="UH183" s="5"/>
      <c r="UI183" s="5"/>
      <c r="UJ183" s="5"/>
      <c r="UK183" s="5"/>
      <c r="UL183" s="5"/>
      <c r="UM183" s="5"/>
      <c r="UN183" s="5"/>
      <c r="UO183" s="5"/>
      <c r="UP183" s="5"/>
      <c r="UQ183" s="5"/>
      <c r="UR183" s="5"/>
      <c r="US183" s="5"/>
      <c r="UT183" s="5"/>
      <c r="UU183" s="5"/>
      <c r="UV183" s="5"/>
      <c r="UW183" s="5"/>
      <c r="UX183" s="5"/>
      <c r="UY183" s="5"/>
      <c r="UZ183" s="5"/>
      <c r="VA183" s="5"/>
      <c r="VB183" s="5"/>
      <c r="VC183" s="5"/>
      <c r="VD183" s="5"/>
      <c r="VE183" s="5"/>
      <c r="VF183" s="5"/>
      <c r="VG183" s="5"/>
      <c r="VH183" s="5"/>
      <c r="VI183" s="5"/>
      <c r="VJ183" s="5"/>
      <c r="VK183" s="5"/>
      <c r="VL183" s="5"/>
      <c r="VM183" s="5"/>
      <c r="VN183" s="5"/>
      <c r="VO183" s="5"/>
      <c r="VP183" s="5"/>
      <c r="VQ183" s="5"/>
      <c r="VR183" s="5"/>
      <c r="VS183" s="5"/>
      <c r="VT183" s="5"/>
      <c r="VU183" s="5"/>
      <c r="VV183" s="5"/>
      <c r="VW183" s="5"/>
      <c r="VX183" s="5"/>
      <c r="VY183" s="5"/>
      <c r="VZ183" s="5"/>
      <c r="WA183" s="5"/>
      <c r="WB183" s="5"/>
      <c r="WC183" s="5"/>
      <c r="WD183" s="5"/>
      <c r="WE183" s="5"/>
      <c r="WF183" s="5"/>
      <c r="WG183" s="5"/>
      <c r="WH183" s="5"/>
      <c r="WI183" s="5"/>
      <c r="WJ183" s="5"/>
      <c r="WK183" s="5"/>
      <c r="WL183" s="5"/>
      <c r="WM183" s="5"/>
      <c r="WN183" s="5"/>
      <c r="WO183" s="5"/>
      <c r="WP183" s="5"/>
      <c r="WQ183" s="5"/>
      <c r="WR183" s="5"/>
      <c r="WS183" s="5"/>
      <c r="WT183" s="5"/>
      <c r="WU183" s="5"/>
      <c r="WV183" s="5"/>
      <c r="WW183" s="5"/>
      <c r="WX183" s="5"/>
      <c r="WY183" s="5"/>
      <c r="WZ183" s="5"/>
      <c r="XA183" s="5"/>
      <c r="XB183" s="5"/>
      <c r="XC183" s="5"/>
      <c r="XD183" s="5"/>
      <c r="XE183" s="5"/>
      <c r="XF183" s="5"/>
      <c r="XG183" s="5"/>
      <c r="XH183" s="5"/>
      <c r="XI183" s="5"/>
      <c r="XJ183" s="5"/>
      <c r="XK183" s="5"/>
      <c r="XL183" s="5"/>
      <c r="XM183" s="5"/>
      <c r="XN183" s="5"/>
      <c r="XO183" s="5"/>
      <c r="XP183" s="5"/>
      <c r="XQ183" s="5"/>
      <c r="XR183" s="5"/>
      <c r="XS183" s="5"/>
      <c r="XT183" s="5"/>
      <c r="XU183" s="5"/>
      <c r="XV183" s="5"/>
      <c r="XW183" s="5"/>
      <c r="XX183" s="5"/>
      <c r="XY183" s="5"/>
      <c r="XZ183" s="5"/>
      <c r="YA183" s="5"/>
      <c r="YB183" s="5"/>
      <c r="YC183" s="5"/>
      <c r="YD183" s="5"/>
      <c r="YE183" s="5"/>
      <c r="YF183" s="5"/>
      <c r="YG183" s="5"/>
      <c r="YH183" s="5"/>
      <c r="YI183" s="5"/>
      <c r="YJ183" s="5"/>
      <c r="YK183" s="5"/>
      <c r="YL183" s="5"/>
      <c r="YM183" s="5"/>
      <c r="YN183" s="5"/>
      <c r="YO183" s="5"/>
      <c r="YP183" s="5"/>
      <c r="YQ183" s="5"/>
      <c r="YR183" s="5"/>
      <c r="YS183" s="5"/>
      <c r="YT183" s="5"/>
      <c r="YU183" s="5"/>
      <c r="YV183" s="5"/>
      <c r="YW183" s="5"/>
      <c r="YX183" s="5"/>
      <c r="YY183" s="5"/>
      <c r="YZ183" s="5"/>
    </row>
    <row r="184" spans="1:676">
      <c r="A184" s="7">
        <v>174</v>
      </c>
      <c r="B184" s="7" t="s">
        <v>435</v>
      </c>
      <c r="C184" s="10" t="s">
        <v>436</v>
      </c>
      <c r="D184" s="7" t="s">
        <v>296</v>
      </c>
      <c r="E184" s="7" t="s">
        <v>381</v>
      </c>
      <c r="F184" s="7" t="s">
        <v>386</v>
      </c>
      <c r="G184" s="7"/>
      <c r="H184" s="7" t="s">
        <v>52</v>
      </c>
      <c r="I184" s="11">
        <v>2</v>
      </c>
      <c r="J184" s="11">
        <v>3</v>
      </c>
      <c r="K184" s="11">
        <v>0</v>
      </c>
      <c r="L184" s="11">
        <v>6.150000000000001</v>
      </c>
      <c r="M184" s="11">
        <v>0.16</v>
      </c>
      <c r="N184" s="11">
        <v>0</v>
      </c>
      <c r="O184" s="11">
        <v>0.22</v>
      </c>
      <c r="P184" s="11">
        <v>0</v>
      </c>
      <c r="Q184" s="11">
        <v>6.530000000000001</v>
      </c>
      <c r="R184" s="11">
        <v>20.62</v>
      </c>
      <c r="S184" s="11">
        <v>27.15000000000001</v>
      </c>
      <c r="T184" s="11">
        <v>2</v>
      </c>
      <c r="U184" s="11">
        <v>3</v>
      </c>
      <c r="V184" s="11">
        <v>22.15000000000001</v>
      </c>
      <c r="W184" s="13">
        <v>18</v>
      </c>
      <c r="X184" s="13">
        <v>27</v>
      </c>
      <c r="Y184" s="13" t="str">
        <f>MIN(W184,S184)</f>
        <v>0</v>
      </c>
      <c r="Z184" s="13" t="str">
        <f>MIN(X184,(S184-Y184))</f>
        <v>0</v>
      </c>
      <c r="AA184" s="13" t="str">
        <f>S184-SUM(Y184,Z184)</f>
        <v>0</v>
      </c>
      <c r="AB184" s="15"/>
      <c r="AC184" s="15"/>
      <c r="AD184" s="1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  <c r="IW184" s="5"/>
      <c r="IX184" s="5"/>
      <c r="IY184" s="5"/>
      <c r="IZ184" s="5"/>
      <c r="JA184" s="5"/>
      <c r="JB184" s="5"/>
      <c r="JC184" s="5"/>
      <c r="JD184" s="5"/>
      <c r="JE184" s="5"/>
      <c r="JF184" s="5"/>
      <c r="JG184" s="5"/>
      <c r="JH184" s="5"/>
      <c r="JI184" s="5"/>
      <c r="JJ184" s="5"/>
      <c r="JK184" s="5"/>
      <c r="JL184" s="5"/>
      <c r="JM184" s="5"/>
      <c r="JN184" s="5"/>
      <c r="JO184" s="5"/>
      <c r="JP184" s="5"/>
      <c r="JQ184" s="5"/>
      <c r="JR184" s="5"/>
      <c r="JS184" s="5"/>
      <c r="JT184" s="5"/>
      <c r="JU184" s="5"/>
      <c r="JV184" s="5"/>
      <c r="JW184" s="5"/>
      <c r="JX184" s="5"/>
      <c r="JY184" s="5"/>
      <c r="JZ184" s="5"/>
      <c r="KA184" s="5"/>
      <c r="KB184" s="5"/>
      <c r="KC184" s="5"/>
      <c r="KD184" s="5"/>
      <c r="KE184" s="5"/>
      <c r="KF184" s="5"/>
      <c r="KG184" s="5"/>
      <c r="KH184" s="5"/>
      <c r="KI184" s="5"/>
      <c r="KJ184" s="5"/>
      <c r="KK184" s="5"/>
      <c r="KL184" s="5"/>
      <c r="KM184" s="5"/>
      <c r="KN184" s="5"/>
      <c r="KO184" s="5"/>
      <c r="KP184" s="5"/>
      <c r="KQ184" s="5"/>
      <c r="KR184" s="5"/>
      <c r="KS184" s="5"/>
      <c r="KT184" s="5"/>
      <c r="KU184" s="5"/>
      <c r="KV184" s="5"/>
      <c r="KW184" s="5"/>
      <c r="KX184" s="5"/>
      <c r="KY184" s="5"/>
      <c r="KZ184" s="5"/>
      <c r="LA184" s="5"/>
      <c r="LB184" s="5"/>
      <c r="LC184" s="5"/>
      <c r="LD184" s="5"/>
      <c r="LE184" s="5"/>
      <c r="LF184" s="5"/>
      <c r="LG184" s="5"/>
      <c r="LH184" s="5"/>
      <c r="LI184" s="5"/>
      <c r="LJ184" s="5"/>
      <c r="LK184" s="5"/>
      <c r="LL184" s="5"/>
      <c r="LM184" s="5"/>
      <c r="LN184" s="5"/>
      <c r="LO184" s="5"/>
      <c r="LP184" s="5"/>
      <c r="LQ184" s="5"/>
      <c r="LR184" s="5"/>
      <c r="LS184" s="5"/>
      <c r="LT184" s="5"/>
      <c r="LU184" s="5"/>
      <c r="LV184" s="5"/>
      <c r="LW184" s="5"/>
      <c r="LX184" s="5"/>
      <c r="LY184" s="5"/>
      <c r="LZ184" s="5"/>
      <c r="MA184" s="5"/>
      <c r="MB184" s="5"/>
      <c r="MC184" s="5"/>
      <c r="MD184" s="5"/>
      <c r="ME184" s="5"/>
      <c r="MF184" s="5"/>
      <c r="MG184" s="5"/>
      <c r="MH184" s="5"/>
      <c r="MI184" s="5"/>
      <c r="MJ184" s="5"/>
      <c r="MK184" s="5"/>
      <c r="ML184" s="5"/>
      <c r="MM184" s="5"/>
      <c r="MN184" s="5"/>
      <c r="MO184" s="5"/>
      <c r="MP184" s="5"/>
      <c r="MQ184" s="5"/>
      <c r="MR184" s="5"/>
      <c r="MS184" s="5"/>
      <c r="MT184" s="5"/>
      <c r="MU184" s="5"/>
      <c r="MV184" s="5"/>
      <c r="MW184" s="5"/>
      <c r="MX184" s="5"/>
      <c r="MY184" s="5"/>
      <c r="MZ184" s="5"/>
      <c r="NA184" s="5"/>
      <c r="NB184" s="5"/>
      <c r="NC184" s="5"/>
      <c r="ND184" s="5"/>
      <c r="NE184" s="5"/>
      <c r="NF184" s="5"/>
      <c r="NG184" s="5"/>
      <c r="NH184" s="5"/>
      <c r="NI184" s="5"/>
      <c r="NJ184" s="5"/>
      <c r="NK184" s="5"/>
      <c r="NL184" s="5"/>
      <c r="NM184" s="5"/>
      <c r="NN184" s="5"/>
      <c r="NO184" s="5"/>
      <c r="NP184" s="5"/>
      <c r="NQ184" s="5"/>
      <c r="NR184" s="5"/>
      <c r="NS184" s="5"/>
      <c r="NT184" s="5"/>
      <c r="NU184" s="5"/>
      <c r="NV184" s="5"/>
      <c r="NW184" s="5"/>
      <c r="NX184" s="5"/>
      <c r="NY184" s="5"/>
      <c r="NZ184" s="5"/>
      <c r="OA184" s="5"/>
      <c r="OB184" s="5"/>
      <c r="OC184" s="5"/>
      <c r="OD184" s="5"/>
      <c r="OE184" s="5"/>
      <c r="OF184" s="5"/>
      <c r="OG184" s="5"/>
      <c r="OH184" s="5"/>
      <c r="OI184" s="5"/>
      <c r="OJ184" s="5"/>
      <c r="OK184" s="5"/>
      <c r="OL184" s="5"/>
      <c r="OM184" s="5"/>
      <c r="ON184" s="5"/>
      <c r="OO184" s="5"/>
      <c r="OP184" s="5"/>
      <c r="OQ184" s="5"/>
      <c r="OR184" s="5"/>
      <c r="OS184" s="5"/>
      <c r="OT184" s="5"/>
      <c r="OU184" s="5"/>
      <c r="OV184" s="5"/>
      <c r="OW184" s="5"/>
      <c r="OX184" s="5"/>
      <c r="OY184" s="5"/>
      <c r="OZ184" s="5"/>
      <c r="PA184" s="5"/>
      <c r="PB184" s="5"/>
      <c r="PC184" s="5"/>
      <c r="PD184" s="5"/>
      <c r="PE184" s="5"/>
      <c r="PF184" s="5"/>
      <c r="PG184" s="5"/>
      <c r="PH184" s="5"/>
      <c r="PI184" s="5"/>
      <c r="PJ184" s="5"/>
      <c r="PK184" s="5"/>
      <c r="PL184" s="5"/>
      <c r="PM184" s="5"/>
      <c r="PN184" s="5"/>
      <c r="PO184" s="5"/>
      <c r="PP184" s="5"/>
      <c r="PQ184" s="5"/>
      <c r="PR184" s="5"/>
      <c r="PS184" s="5"/>
      <c r="PT184" s="5"/>
      <c r="PU184" s="5"/>
      <c r="PV184" s="5"/>
      <c r="PW184" s="5"/>
      <c r="PX184" s="5"/>
      <c r="PY184" s="5"/>
      <c r="PZ184" s="5"/>
      <c r="QA184" s="5"/>
      <c r="QB184" s="5"/>
      <c r="QC184" s="5"/>
      <c r="QD184" s="5"/>
      <c r="QE184" s="5"/>
      <c r="QF184" s="5"/>
      <c r="QG184" s="5"/>
      <c r="QH184" s="5"/>
      <c r="QI184" s="5"/>
      <c r="QJ184" s="5"/>
      <c r="QK184" s="5"/>
      <c r="QL184" s="5"/>
      <c r="QM184" s="5"/>
      <c r="QN184" s="5"/>
      <c r="QO184" s="5"/>
      <c r="QP184" s="5"/>
      <c r="QQ184" s="5"/>
      <c r="QR184" s="5"/>
      <c r="QS184" s="5"/>
      <c r="QT184" s="5"/>
      <c r="QU184" s="5"/>
      <c r="QV184" s="5"/>
      <c r="QW184" s="5"/>
      <c r="QX184" s="5"/>
      <c r="QY184" s="5"/>
      <c r="QZ184" s="5"/>
      <c r="RA184" s="5"/>
      <c r="RB184" s="5"/>
      <c r="RC184" s="5"/>
      <c r="RD184" s="5"/>
      <c r="RE184" s="5"/>
      <c r="RF184" s="5"/>
      <c r="RG184" s="5"/>
      <c r="RH184" s="5"/>
      <c r="RI184" s="5"/>
      <c r="RJ184" s="5"/>
      <c r="RK184" s="5"/>
      <c r="RL184" s="5"/>
      <c r="RM184" s="5"/>
      <c r="RN184" s="5"/>
      <c r="RO184" s="5"/>
      <c r="RP184" s="5"/>
      <c r="RQ184" s="5"/>
      <c r="RR184" s="5"/>
      <c r="RS184" s="5"/>
      <c r="RT184" s="5"/>
      <c r="RU184" s="5"/>
      <c r="RV184" s="5"/>
      <c r="RW184" s="5"/>
      <c r="RX184" s="5"/>
      <c r="RY184" s="5"/>
      <c r="RZ184" s="5"/>
      <c r="SA184" s="5"/>
      <c r="SB184" s="5"/>
      <c r="SC184" s="5"/>
      <c r="SD184" s="5"/>
      <c r="SE184" s="5"/>
      <c r="SF184" s="5"/>
      <c r="SG184" s="5"/>
      <c r="SH184" s="5"/>
      <c r="SI184" s="5"/>
      <c r="SJ184" s="5"/>
      <c r="SK184" s="5"/>
      <c r="SL184" s="5"/>
      <c r="SM184" s="5"/>
      <c r="SN184" s="5"/>
      <c r="SO184" s="5"/>
      <c r="SP184" s="5"/>
      <c r="SQ184" s="5"/>
      <c r="SR184" s="5"/>
      <c r="SS184" s="5"/>
      <c r="ST184" s="5"/>
      <c r="SU184" s="5"/>
      <c r="SV184" s="5"/>
      <c r="SW184" s="5"/>
      <c r="SX184" s="5"/>
      <c r="SY184" s="5"/>
      <c r="SZ184" s="5"/>
      <c r="TA184" s="5"/>
      <c r="TB184" s="5"/>
      <c r="TC184" s="5"/>
      <c r="TD184" s="5"/>
      <c r="TE184" s="5"/>
      <c r="TF184" s="5"/>
      <c r="TG184" s="5"/>
      <c r="TH184" s="5"/>
      <c r="TI184" s="5"/>
      <c r="TJ184" s="5"/>
      <c r="TK184" s="5"/>
      <c r="TL184" s="5"/>
      <c r="TM184" s="5"/>
      <c r="TN184" s="5"/>
      <c r="TO184" s="5"/>
      <c r="TP184" s="5"/>
      <c r="TQ184" s="5"/>
      <c r="TR184" s="5"/>
      <c r="TS184" s="5"/>
      <c r="TT184" s="5"/>
      <c r="TU184" s="5"/>
      <c r="TV184" s="5"/>
      <c r="TW184" s="5"/>
      <c r="TX184" s="5"/>
      <c r="TY184" s="5"/>
      <c r="TZ184" s="5"/>
      <c r="UA184" s="5"/>
      <c r="UB184" s="5"/>
      <c r="UC184" s="5"/>
      <c r="UD184" s="5"/>
      <c r="UE184" s="5"/>
      <c r="UF184" s="5"/>
      <c r="UG184" s="5"/>
      <c r="UH184" s="5"/>
      <c r="UI184" s="5"/>
      <c r="UJ184" s="5"/>
      <c r="UK184" s="5"/>
      <c r="UL184" s="5"/>
      <c r="UM184" s="5"/>
      <c r="UN184" s="5"/>
      <c r="UO184" s="5"/>
      <c r="UP184" s="5"/>
      <c r="UQ184" s="5"/>
      <c r="UR184" s="5"/>
      <c r="US184" s="5"/>
      <c r="UT184" s="5"/>
      <c r="UU184" s="5"/>
      <c r="UV184" s="5"/>
      <c r="UW184" s="5"/>
      <c r="UX184" s="5"/>
      <c r="UY184" s="5"/>
      <c r="UZ184" s="5"/>
      <c r="VA184" s="5"/>
      <c r="VB184" s="5"/>
      <c r="VC184" s="5"/>
      <c r="VD184" s="5"/>
      <c r="VE184" s="5"/>
      <c r="VF184" s="5"/>
      <c r="VG184" s="5"/>
      <c r="VH184" s="5"/>
      <c r="VI184" s="5"/>
      <c r="VJ184" s="5"/>
      <c r="VK184" s="5"/>
      <c r="VL184" s="5"/>
      <c r="VM184" s="5"/>
      <c r="VN184" s="5"/>
      <c r="VO184" s="5"/>
      <c r="VP184" s="5"/>
      <c r="VQ184" s="5"/>
      <c r="VR184" s="5"/>
      <c r="VS184" s="5"/>
      <c r="VT184" s="5"/>
      <c r="VU184" s="5"/>
      <c r="VV184" s="5"/>
      <c r="VW184" s="5"/>
      <c r="VX184" s="5"/>
      <c r="VY184" s="5"/>
      <c r="VZ184" s="5"/>
      <c r="WA184" s="5"/>
      <c r="WB184" s="5"/>
      <c r="WC184" s="5"/>
      <c r="WD184" s="5"/>
      <c r="WE184" s="5"/>
      <c r="WF184" s="5"/>
      <c r="WG184" s="5"/>
      <c r="WH184" s="5"/>
      <c r="WI184" s="5"/>
      <c r="WJ184" s="5"/>
      <c r="WK184" s="5"/>
      <c r="WL184" s="5"/>
      <c r="WM184" s="5"/>
      <c r="WN184" s="5"/>
      <c r="WO184" s="5"/>
      <c r="WP184" s="5"/>
      <c r="WQ184" s="5"/>
      <c r="WR184" s="5"/>
      <c r="WS184" s="5"/>
      <c r="WT184" s="5"/>
      <c r="WU184" s="5"/>
      <c r="WV184" s="5"/>
      <c r="WW184" s="5"/>
      <c r="WX184" s="5"/>
      <c r="WY184" s="5"/>
      <c r="WZ184" s="5"/>
      <c r="XA184" s="5"/>
      <c r="XB184" s="5"/>
      <c r="XC184" s="5"/>
      <c r="XD184" s="5"/>
      <c r="XE184" s="5"/>
      <c r="XF184" s="5"/>
      <c r="XG184" s="5"/>
      <c r="XH184" s="5"/>
      <c r="XI184" s="5"/>
      <c r="XJ184" s="5"/>
      <c r="XK184" s="5"/>
      <c r="XL184" s="5"/>
      <c r="XM184" s="5"/>
      <c r="XN184" s="5"/>
      <c r="XO184" s="5"/>
      <c r="XP184" s="5"/>
      <c r="XQ184" s="5"/>
      <c r="XR184" s="5"/>
      <c r="XS184" s="5"/>
      <c r="XT184" s="5"/>
      <c r="XU184" s="5"/>
      <c r="XV184" s="5"/>
      <c r="XW184" s="5"/>
      <c r="XX184" s="5"/>
      <c r="XY184" s="5"/>
      <c r="XZ184" s="5"/>
      <c r="YA184" s="5"/>
      <c r="YB184" s="5"/>
      <c r="YC184" s="5"/>
      <c r="YD184" s="5"/>
      <c r="YE184" s="5"/>
      <c r="YF184" s="5"/>
      <c r="YG184" s="5"/>
      <c r="YH184" s="5"/>
      <c r="YI184" s="5"/>
      <c r="YJ184" s="5"/>
      <c r="YK184" s="5"/>
      <c r="YL184" s="5"/>
      <c r="YM184" s="5"/>
      <c r="YN184" s="5"/>
      <c r="YO184" s="5"/>
      <c r="YP184" s="5"/>
      <c r="YQ184" s="5"/>
      <c r="YR184" s="5"/>
      <c r="YS184" s="5"/>
      <c r="YT184" s="5"/>
      <c r="YU184" s="5"/>
      <c r="YV184" s="5"/>
      <c r="YW184" s="5"/>
      <c r="YX184" s="5"/>
      <c r="YY184" s="5"/>
      <c r="YZ184" s="5"/>
    </row>
    <row r="185" spans="1:676">
      <c r="A185" s="7">
        <v>175</v>
      </c>
      <c r="B185" s="7" t="s">
        <v>437</v>
      </c>
      <c r="C185" s="10" t="s">
        <v>438</v>
      </c>
      <c r="D185" s="7" t="s">
        <v>407</v>
      </c>
      <c r="E185" s="7" t="s">
        <v>381</v>
      </c>
      <c r="F185" s="7" t="s">
        <v>394</v>
      </c>
      <c r="G185" s="7"/>
      <c r="H185" s="7" t="s">
        <v>52</v>
      </c>
      <c r="I185" s="11">
        <v>2</v>
      </c>
      <c r="J185" s="11">
        <v>3</v>
      </c>
      <c r="K185" s="11">
        <v>0</v>
      </c>
      <c r="L185" s="11">
        <v>6.259999999999999</v>
      </c>
      <c r="M185" s="11">
        <v>0.82</v>
      </c>
      <c r="N185" s="11">
        <v>0</v>
      </c>
      <c r="O185" s="11">
        <v>0.24</v>
      </c>
      <c r="P185" s="11">
        <v>0</v>
      </c>
      <c r="Q185" s="11">
        <v>7.319999999999999</v>
      </c>
      <c r="R185" s="11">
        <v>47.17999999999998</v>
      </c>
      <c r="S185" s="11">
        <v>54.49999999999998</v>
      </c>
      <c r="T185" s="11">
        <v>2</v>
      </c>
      <c r="U185" s="11">
        <v>3</v>
      </c>
      <c r="V185" s="11">
        <v>49.49999999999998</v>
      </c>
      <c r="W185" s="13">
        <v>18</v>
      </c>
      <c r="X185" s="13">
        <v>27</v>
      </c>
      <c r="Y185" s="13" t="str">
        <f>MIN(W185,S185)</f>
        <v>0</v>
      </c>
      <c r="Z185" s="13" t="str">
        <f>MIN(X185,(S185-Y185))</f>
        <v>0</v>
      </c>
      <c r="AA185" s="13" t="str">
        <f>S185-SUM(Y185,Z185)</f>
        <v>0</v>
      </c>
      <c r="AB185" s="15"/>
      <c r="AC185" s="15"/>
      <c r="AD185" s="1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  <c r="HM185" s="5"/>
      <c r="HN185" s="5"/>
      <c r="HO185" s="5"/>
      <c r="HP185" s="5"/>
      <c r="HQ185" s="5"/>
      <c r="HR185" s="5"/>
      <c r="HS185" s="5"/>
      <c r="HT185" s="5"/>
      <c r="HU185" s="5"/>
      <c r="HV185" s="5"/>
      <c r="HW185" s="5"/>
      <c r="HX185" s="5"/>
      <c r="HY185" s="5"/>
      <c r="HZ185" s="5"/>
      <c r="IA185" s="5"/>
      <c r="IB185" s="5"/>
      <c r="IC185" s="5"/>
      <c r="ID185" s="5"/>
      <c r="IE185" s="5"/>
      <c r="IF185" s="5"/>
      <c r="IG185" s="5"/>
      <c r="IH185" s="5"/>
      <c r="II185" s="5"/>
      <c r="IJ185" s="5"/>
      <c r="IK185" s="5"/>
      <c r="IL185" s="5"/>
      <c r="IM185" s="5"/>
      <c r="IN185" s="5"/>
      <c r="IO185" s="5"/>
      <c r="IP185" s="5"/>
      <c r="IQ185" s="5"/>
      <c r="IR185" s="5"/>
      <c r="IS185" s="5"/>
      <c r="IT185" s="5"/>
      <c r="IU185" s="5"/>
      <c r="IV185" s="5"/>
      <c r="IW185" s="5"/>
      <c r="IX185" s="5"/>
      <c r="IY185" s="5"/>
      <c r="IZ185" s="5"/>
      <c r="JA185" s="5"/>
      <c r="JB185" s="5"/>
      <c r="JC185" s="5"/>
      <c r="JD185" s="5"/>
      <c r="JE185" s="5"/>
      <c r="JF185" s="5"/>
      <c r="JG185" s="5"/>
      <c r="JH185" s="5"/>
      <c r="JI185" s="5"/>
      <c r="JJ185" s="5"/>
      <c r="JK185" s="5"/>
      <c r="JL185" s="5"/>
      <c r="JM185" s="5"/>
      <c r="JN185" s="5"/>
      <c r="JO185" s="5"/>
      <c r="JP185" s="5"/>
      <c r="JQ185" s="5"/>
      <c r="JR185" s="5"/>
      <c r="JS185" s="5"/>
      <c r="JT185" s="5"/>
      <c r="JU185" s="5"/>
      <c r="JV185" s="5"/>
      <c r="JW185" s="5"/>
      <c r="JX185" s="5"/>
      <c r="JY185" s="5"/>
      <c r="JZ185" s="5"/>
      <c r="KA185" s="5"/>
      <c r="KB185" s="5"/>
      <c r="KC185" s="5"/>
      <c r="KD185" s="5"/>
      <c r="KE185" s="5"/>
      <c r="KF185" s="5"/>
      <c r="KG185" s="5"/>
      <c r="KH185" s="5"/>
      <c r="KI185" s="5"/>
      <c r="KJ185" s="5"/>
      <c r="KK185" s="5"/>
      <c r="KL185" s="5"/>
      <c r="KM185" s="5"/>
      <c r="KN185" s="5"/>
      <c r="KO185" s="5"/>
      <c r="KP185" s="5"/>
      <c r="KQ185" s="5"/>
      <c r="KR185" s="5"/>
      <c r="KS185" s="5"/>
      <c r="KT185" s="5"/>
      <c r="KU185" s="5"/>
      <c r="KV185" s="5"/>
      <c r="KW185" s="5"/>
      <c r="KX185" s="5"/>
      <c r="KY185" s="5"/>
      <c r="KZ185" s="5"/>
      <c r="LA185" s="5"/>
      <c r="LB185" s="5"/>
      <c r="LC185" s="5"/>
      <c r="LD185" s="5"/>
      <c r="LE185" s="5"/>
      <c r="LF185" s="5"/>
      <c r="LG185" s="5"/>
      <c r="LH185" s="5"/>
      <c r="LI185" s="5"/>
      <c r="LJ185" s="5"/>
      <c r="LK185" s="5"/>
      <c r="LL185" s="5"/>
      <c r="LM185" s="5"/>
      <c r="LN185" s="5"/>
      <c r="LO185" s="5"/>
      <c r="LP185" s="5"/>
      <c r="LQ185" s="5"/>
      <c r="LR185" s="5"/>
      <c r="LS185" s="5"/>
      <c r="LT185" s="5"/>
      <c r="LU185" s="5"/>
      <c r="LV185" s="5"/>
      <c r="LW185" s="5"/>
      <c r="LX185" s="5"/>
      <c r="LY185" s="5"/>
      <c r="LZ185" s="5"/>
      <c r="MA185" s="5"/>
      <c r="MB185" s="5"/>
      <c r="MC185" s="5"/>
      <c r="MD185" s="5"/>
      <c r="ME185" s="5"/>
      <c r="MF185" s="5"/>
      <c r="MG185" s="5"/>
      <c r="MH185" s="5"/>
      <c r="MI185" s="5"/>
      <c r="MJ185" s="5"/>
      <c r="MK185" s="5"/>
      <c r="ML185" s="5"/>
      <c r="MM185" s="5"/>
      <c r="MN185" s="5"/>
      <c r="MO185" s="5"/>
      <c r="MP185" s="5"/>
      <c r="MQ185" s="5"/>
      <c r="MR185" s="5"/>
      <c r="MS185" s="5"/>
      <c r="MT185" s="5"/>
      <c r="MU185" s="5"/>
      <c r="MV185" s="5"/>
      <c r="MW185" s="5"/>
      <c r="MX185" s="5"/>
      <c r="MY185" s="5"/>
      <c r="MZ185" s="5"/>
      <c r="NA185" s="5"/>
      <c r="NB185" s="5"/>
      <c r="NC185" s="5"/>
      <c r="ND185" s="5"/>
      <c r="NE185" s="5"/>
      <c r="NF185" s="5"/>
      <c r="NG185" s="5"/>
      <c r="NH185" s="5"/>
      <c r="NI185" s="5"/>
      <c r="NJ185" s="5"/>
      <c r="NK185" s="5"/>
      <c r="NL185" s="5"/>
      <c r="NM185" s="5"/>
      <c r="NN185" s="5"/>
      <c r="NO185" s="5"/>
      <c r="NP185" s="5"/>
      <c r="NQ185" s="5"/>
      <c r="NR185" s="5"/>
      <c r="NS185" s="5"/>
      <c r="NT185" s="5"/>
      <c r="NU185" s="5"/>
      <c r="NV185" s="5"/>
      <c r="NW185" s="5"/>
      <c r="NX185" s="5"/>
      <c r="NY185" s="5"/>
      <c r="NZ185" s="5"/>
      <c r="OA185" s="5"/>
      <c r="OB185" s="5"/>
      <c r="OC185" s="5"/>
      <c r="OD185" s="5"/>
      <c r="OE185" s="5"/>
      <c r="OF185" s="5"/>
      <c r="OG185" s="5"/>
      <c r="OH185" s="5"/>
      <c r="OI185" s="5"/>
      <c r="OJ185" s="5"/>
      <c r="OK185" s="5"/>
      <c r="OL185" s="5"/>
      <c r="OM185" s="5"/>
      <c r="ON185" s="5"/>
      <c r="OO185" s="5"/>
      <c r="OP185" s="5"/>
      <c r="OQ185" s="5"/>
      <c r="OR185" s="5"/>
      <c r="OS185" s="5"/>
      <c r="OT185" s="5"/>
      <c r="OU185" s="5"/>
      <c r="OV185" s="5"/>
      <c r="OW185" s="5"/>
      <c r="OX185" s="5"/>
      <c r="OY185" s="5"/>
      <c r="OZ185" s="5"/>
      <c r="PA185" s="5"/>
      <c r="PB185" s="5"/>
      <c r="PC185" s="5"/>
      <c r="PD185" s="5"/>
      <c r="PE185" s="5"/>
      <c r="PF185" s="5"/>
      <c r="PG185" s="5"/>
      <c r="PH185" s="5"/>
      <c r="PI185" s="5"/>
      <c r="PJ185" s="5"/>
      <c r="PK185" s="5"/>
      <c r="PL185" s="5"/>
      <c r="PM185" s="5"/>
      <c r="PN185" s="5"/>
      <c r="PO185" s="5"/>
      <c r="PP185" s="5"/>
      <c r="PQ185" s="5"/>
      <c r="PR185" s="5"/>
      <c r="PS185" s="5"/>
      <c r="PT185" s="5"/>
      <c r="PU185" s="5"/>
      <c r="PV185" s="5"/>
      <c r="PW185" s="5"/>
      <c r="PX185" s="5"/>
      <c r="PY185" s="5"/>
      <c r="PZ185" s="5"/>
      <c r="QA185" s="5"/>
      <c r="QB185" s="5"/>
      <c r="QC185" s="5"/>
      <c r="QD185" s="5"/>
      <c r="QE185" s="5"/>
      <c r="QF185" s="5"/>
      <c r="QG185" s="5"/>
      <c r="QH185" s="5"/>
      <c r="QI185" s="5"/>
      <c r="QJ185" s="5"/>
      <c r="QK185" s="5"/>
      <c r="QL185" s="5"/>
      <c r="QM185" s="5"/>
      <c r="QN185" s="5"/>
      <c r="QO185" s="5"/>
      <c r="QP185" s="5"/>
      <c r="QQ185" s="5"/>
      <c r="QR185" s="5"/>
      <c r="QS185" s="5"/>
      <c r="QT185" s="5"/>
      <c r="QU185" s="5"/>
      <c r="QV185" s="5"/>
      <c r="QW185" s="5"/>
      <c r="QX185" s="5"/>
      <c r="QY185" s="5"/>
      <c r="QZ185" s="5"/>
      <c r="RA185" s="5"/>
      <c r="RB185" s="5"/>
      <c r="RC185" s="5"/>
      <c r="RD185" s="5"/>
      <c r="RE185" s="5"/>
      <c r="RF185" s="5"/>
      <c r="RG185" s="5"/>
      <c r="RH185" s="5"/>
      <c r="RI185" s="5"/>
      <c r="RJ185" s="5"/>
      <c r="RK185" s="5"/>
      <c r="RL185" s="5"/>
      <c r="RM185" s="5"/>
      <c r="RN185" s="5"/>
      <c r="RO185" s="5"/>
      <c r="RP185" s="5"/>
      <c r="RQ185" s="5"/>
      <c r="RR185" s="5"/>
      <c r="RS185" s="5"/>
      <c r="RT185" s="5"/>
      <c r="RU185" s="5"/>
      <c r="RV185" s="5"/>
      <c r="RW185" s="5"/>
      <c r="RX185" s="5"/>
      <c r="RY185" s="5"/>
      <c r="RZ185" s="5"/>
      <c r="SA185" s="5"/>
      <c r="SB185" s="5"/>
      <c r="SC185" s="5"/>
      <c r="SD185" s="5"/>
      <c r="SE185" s="5"/>
      <c r="SF185" s="5"/>
      <c r="SG185" s="5"/>
      <c r="SH185" s="5"/>
      <c r="SI185" s="5"/>
      <c r="SJ185" s="5"/>
      <c r="SK185" s="5"/>
      <c r="SL185" s="5"/>
      <c r="SM185" s="5"/>
      <c r="SN185" s="5"/>
      <c r="SO185" s="5"/>
      <c r="SP185" s="5"/>
      <c r="SQ185" s="5"/>
      <c r="SR185" s="5"/>
      <c r="SS185" s="5"/>
      <c r="ST185" s="5"/>
      <c r="SU185" s="5"/>
      <c r="SV185" s="5"/>
      <c r="SW185" s="5"/>
      <c r="SX185" s="5"/>
      <c r="SY185" s="5"/>
      <c r="SZ185" s="5"/>
      <c r="TA185" s="5"/>
      <c r="TB185" s="5"/>
      <c r="TC185" s="5"/>
      <c r="TD185" s="5"/>
      <c r="TE185" s="5"/>
      <c r="TF185" s="5"/>
      <c r="TG185" s="5"/>
      <c r="TH185" s="5"/>
      <c r="TI185" s="5"/>
      <c r="TJ185" s="5"/>
      <c r="TK185" s="5"/>
      <c r="TL185" s="5"/>
      <c r="TM185" s="5"/>
      <c r="TN185" s="5"/>
      <c r="TO185" s="5"/>
      <c r="TP185" s="5"/>
      <c r="TQ185" s="5"/>
      <c r="TR185" s="5"/>
      <c r="TS185" s="5"/>
      <c r="TT185" s="5"/>
      <c r="TU185" s="5"/>
      <c r="TV185" s="5"/>
      <c r="TW185" s="5"/>
      <c r="TX185" s="5"/>
      <c r="TY185" s="5"/>
      <c r="TZ185" s="5"/>
      <c r="UA185" s="5"/>
      <c r="UB185" s="5"/>
      <c r="UC185" s="5"/>
      <c r="UD185" s="5"/>
      <c r="UE185" s="5"/>
      <c r="UF185" s="5"/>
      <c r="UG185" s="5"/>
      <c r="UH185" s="5"/>
      <c r="UI185" s="5"/>
      <c r="UJ185" s="5"/>
      <c r="UK185" s="5"/>
      <c r="UL185" s="5"/>
      <c r="UM185" s="5"/>
      <c r="UN185" s="5"/>
      <c r="UO185" s="5"/>
      <c r="UP185" s="5"/>
      <c r="UQ185" s="5"/>
      <c r="UR185" s="5"/>
      <c r="US185" s="5"/>
      <c r="UT185" s="5"/>
      <c r="UU185" s="5"/>
      <c r="UV185" s="5"/>
      <c r="UW185" s="5"/>
      <c r="UX185" s="5"/>
      <c r="UY185" s="5"/>
      <c r="UZ185" s="5"/>
      <c r="VA185" s="5"/>
      <c r="VB185" s="5"/>
      <c r="VC185" s="5"/>
      <c r="VD185" s="5"/>
      <c r="VE185" s="5"/>
      <c r="VF185" s="5"/>
      <c r="VG185" s="5"/>
      <c r="VH185" s="5"/>
      <c r="VI185" s="5"/>
      <c r="VJ185" s="5"/>
      <c r="VK185" s="5"/>
      <c r="VL185" s="5"/>
      <c r="VM185" s="5"/>
      <c r="VN185" s="5"/>
      <c r="VO185" s="5"/>
      <c r="VP185" s="5"/>
      <c r="VQ185" s="5"/>
      <c r="VR185" s="5"/>
      <c r="VS185" s="5"/>
      <c r="VT185" s="5"/>
      <c r="VU185" s="5"/>
      <c r="VV185" s="5"/>
      <c r="VW185" s="5"/>
      <c r="VX185" s="5"/>
      <c r="VY185" s="5"/>
      <c r="VZ185" s="5"/>
      <c r="WA185" s="5"/>
      <c r="WB185" s="5"/>
      <c r="WC185" s="5"/>
      <c r="WD185" s="5"/>
      <c r="WE185" s="5"/>
      <c r="WF185" s="5"/>
      <c r="WG185" s="5"/>
      <c r="WH185" s="5"/>
      <c r="WI185" s="5"/>
      <c r="WJ185" s="5"/>
      <c r="WK185" s="5"/>
      <c r="WL185" s="5"/>
      <c r="WM185" s="5"/>
      <c r="WN185" s="5"/>
      <c r="WO185" s="5"/>
      <c r="WP185" s="5"/>
      <c r="WQ185" s="5"/>
      <c r="WR185" s="5"/>
      <c r="WS185" s="5"/>
      <c r="WT185" s="5"/>
      <c r="WU185" s="5"/>
      <c r="WV185" s="5"/>
      <c r="WW185" s="5"/>
      <c r="WX185" s="5"/>
      <c r="WY185" s="5"/>
      <c r="WZ185" s="5"/>
      <c r="XA185" s="5"/>
      <c r="XB185" s="5"/>
      <c r="XC185" s="5"/>
      <c r="XD185" s="5"/>
      <c r="XE185" s="5"/>
      <c r="XF185" s="5"/>
      <c r="XG185" s="5"/>
      <c r="XH185" s="5"/>
      <c r="XI185" s="5"/>
      <c r="XJ185" s="5"/>
      <c r="XK185" s="5"/>
      <c r="XL185" s="5"/>
      <c r="XM185" s="5"/>
      <c r="XN185" s="5"/>
      <c r="XO185" s="5"/>
      <c r="XP185" s="5"/>
      <c r="XQ185" s="5"/>
      <c r="XR185" s="5"/>
      <c r="XS185" s="5"/>
      <c r="XT185" s="5"/>
      <c r="XU185" s="5"/>
      <c r="XV185" s="5"/>
      <c r="XW185" s="5"/>
      <c r="XX185" s="5"/>
      <c r="XY185" s="5"/>
      <c r="XZ185" s="5"/>
      <c r="YA185" s="5"/>
      <c r="YB185" s="5"/>
      <c r="YC185" s="5"/>
      <c r="YD185" s="5"/>
      <c r="YE185" s="5"/>
      <c r="YF185" s="5"/>
      <c r="YG185" s="5"/>
      <c r="YH185" s="5"/>
      <c r="YI185" s="5"/>
      <c r="YJ185" s="5"/>
      <c r="YK185" s="5"/>
      <c r="YL185" s="5"/>
      <c r="YM185" s="5"/>
      <c r="YN185" s="5"/>
      <c r="YO185" s="5"/>
      <c r="YP185" s="5"/>
      <c r="YQ185" s="5"/>
      <c r="YR185" s="5"/>
      <c r="YS185" s="5"/>
      <c r="YT185" s="5"/>
      <c r="YU185" s="5"/>
      <c r="YV185" s="5"/>
      <c r="YW185" s="5"/>
      <c r="YX185" s="5"/>
      <c r="YY185" s="5"/>
      <c r="YZ185" s="5"/>
    </row>
    <row r="186" spans="1:676">
      <c r="A186" s="7">
        <v>176</v>
      </c>
      <c r="B186" s="7" t="s">
        <v>439</v>
      </c>
      <c r="C186" s="10" t="s">
        <v>440</v>
      </c>
      <c r="D186" s="7" t="s">
        <v>40</v>
      </c>
      <c r="E186" s="7" t="s">
        <v>279</v>
      </c>
      <c r="F186" s="7" t="s">
        <v>394</v>
      </c>
      <c r="G186" s="7"/>
      <c r="H186" s="7" t="s">
        <v>52</v>
      </c>
      <c r="I186" s="11">
        <v>2</v>
      </c>
      <c r="J186" s="11">
        <v>3</v>
      </c>
      <c r="K186" s="11">
        <v>0</v>
      </c>
      <c r="L186" s="11">
        <v>5.779999999999999</v>
      </c>
      <c r="M186" s="11">
        <v>0.34</v>
      </c>
      <c r="N186" s="11">
        <v>0</v>
      </c>
      <c r="O186" s="11">
        <v>0</v>
      </c>
      <c r="P186" s="11">
        <v>0</v>
      </c>
      <c r="Q186" s="11">
        <v>6.12</v>
      </c>
      <c r="R186" s="11">
        <v>34.78999999999999</v>
      </c>
      <c r="S186" s="11">
        <v>40.90999999999999</v>
      </c>
      <c r="T186" s="11">
        <v>2</v>
      </c>
      <c r="U186" s="11">
        <v>3</v>
      </c>
      <c r="V186" s="11">
        <v>35.90999999999999</v>
      </c>
      <c r="W186" s="13">
        <v>18</v>
      </c>
      <c r="X186" s="13">
        <v>27</v>
      </c>
      <c r="Y186" s="13" t="str">
        <f>MIN(W186,S186)</f>
        <v>0</v>
      </c>
      <c r="Z186" s="13" t="str">
        <f>MIN(X186,(S186-Y186))</f>
        <v>0</v>
      </c>
      <c r="AA186" s="13" t="str">
        <f>S186-SUM(Y186,Z186)</f>
        <v>0</v>
      </c>
      <c r="AB186" s="15"/>
      <c r="AC186" s="15"/>
      <c r="AD186" s="1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  <c r="EC186" s="5"/>
      <c r="ED186" s="5"/>
      <c r="EE186" s="5"/>
      <c r="EF186" s="5"/>
      <c r="EG186" s="5"/>
      <c r="EH186" s="5"/>
      <c r="EI186" s="5"/>
      <c r="EJ186" s="5"/>
      <c r="EK186" s="5"/>
      <c r="EL186" s="5"/>
      <c r="EM186" s="5"/>
      <c r="EN186" s="5"/>
      <c r="EO186" s="5"/>
      <c r="EP186" s="5"/>
      <c r="EQ186" s="5"/>
      <c r="ER186" s="5"/>
      <c r="ES186" s="5"/>
      <c r="ET186" s="5"/>
      <c r="EU186" s="5"/>
      <c r="EV186" s="5"/>
      <c r="EW186" s="5"/>
      <c r="EX186" s="5"/>
      <c r="EY186" s="5"/>
      <c r="EZ186" s="5"/>
      <c r="FA186" s="5"/>
      <c r="FB186" s="5"/>
      <c r="FC186" s="5"/>
      <c r="FD186" s="5"/>
      <c r="FE186" s="5"/>
      <c r="FF186" s="5"/>
      <c r="FG186" s="5"/>
      <c r="FH186" s="5"/>
      <c r="FI186" s="5"/>
      <c r="FJ186" s="5"/>
      <c r="FK186" s="5"/>
      <c r="FL186" s="5"/>
      <c r="FM186" s="5"/>
      <c r="FN186" s="5"/>
      <c r="FO186" s="5"/>
      <c r="FP186" s="5"/>
      <c r="FQ186" s="5"/>
      <c r="FR186" s="5"/>
      <c r="FS186" s="5"/>
      <c r="FT186" s="5"/>
      <c r="FU186" s="5"/>
      <c r="FV186" s="5"/>
      <c r="FW186" s="5"/>
      <c r="FX186" s="5"/>
      <c r="FY186" s="5"/>
      <c r="FZ186" s="5"/>
      <c r="GA186" s="5"/>
      <c r="GB186" s="5"/>
      <c r="GC186" s="5"/>
      <c r="GD186" s="5"/>
      <c r="GE186" s="5"/>
      <c r="GF186" s="5"/>
      <c r="GG186" s="5"/>
      <c r="GH186" s="5"/>
      <c r="GI186" s="5"/>
      <c r="GJ186" s="5"/>
      <c r="GK186" s="5"/>
      <c r="GL186" s="5"/>
      <c r="GM186" s="5"/>
      <c r="GN186" s="5"/>
      <c r="GO186" s="5"/>
      <c r="GP186" s="5"/>
      <c r="GQ186" s="5"/>
      <c r="GR186" s="5"/>
      <c r="GS186" s="5"/>
      <c r="GT186" s="5"/>
      <c r="GU186" s="5"/>
      <c r="GV186" s="5"/>
      <c r="GW186" s="5"/>
      <c r="GX186" s="5"/>
      <c r="GY186" s="5"/>
      <c r="GZ186" s="5"/>
      <c r="HA186" s="5"/>
      <c r="HB186" s="5"/>
      <c r="HC186" s="5"/>
      <c r="HD186" s="5"/>
      <c r="HE186" s="5"/>
      <c r="HF186" s="5"/>
      <c r="HG186" s="5"/>
      <c r="HH186" s="5"/>
      <c r="HI186" s="5"/>
      <c r="HJ186" s="5"/>
      <c r="HK186" s="5"/>
      <c r="HL186" s="5"/>
      <c r="HM186" s="5"/>
      <c r="HN186" s="5"/>
      <c r="HO186" s="5"/>
      <c r="HP186" s="5"/>
      <c r="HQ186" s="5"/>
      <c r="HR186" s="5"/>
      <c r="HS186" s="5"/>
      <c r="HT186" s="5"/>
      <c r="HU186" s="5"/>
      <c r="HV186" s="5"/>
      <c r="HW186" s="5"/>
      <c r="HX186" s="5"/>
      <c r="HY186" s="5"/>
      <c r="HZ186" s="5"/>
      <c r="IA186" s="5"/>
      <c r="IB186" s="5"/>
      <c r="IC186" s="5"/>
      <c r="ID186" s="5"/>
      <c r="IE186" s="5"/>
      <c r="IF186" s="5"/>
      <c r="IG186" s="5"/>
      <c r="IH186" s="5"/>
      <c r="II186" s="5"/>
      <c r="IJ186" s="5"/>
      <c r="IK186" s="5"/>
      <c r="IL186" s="5"/>
      <c r="IM186" s="5"/>
      <c r="IN186" s="5"/>
      <c r="IO186" s="5"/>
      <c r="IP186" s="5"/>
      <c r="IQ186" s="5"/>
      <c r="IR186" s="5"/>
      <c r="IS186" s="5"/>
      <c r="IT186" s="5"/>
      <c r="IU186" s="5"/>
      <c r="IV186" s="5"/>
      <c r="IW186" s="5"/>
      <c r="IX186" s="5"/>
      <c r="IY186" s="5"/>
      <c r="IZ186" s="5"/>
      <c r="JA186" s="5"/>
      <c r="JB186" s="5"/>
      <c r="JC186" s="5"/>
      <c r="JD186" s="5"/>
      <c r="JE186" s="5"/>
      <c r="JF186" s="5"/>
      <c r="JG186" s="5"/>
      <c r="JH186" s="5"/>
      <c r="JI186" s="5"/>
      <c r="JJ186" s="5"/>
      <c r="JK186" s="5"/>
      <c r="JL186" s="5"/>
      <c r="JM186" s="5"/>
      <c r="JN186" s="5"/>
      <c r="JO186" s="5"/>
      <c r="JP186" s="5"/>
      <c r="JQ186" s="5"/>
      <c r="JR186" s="5"/>
      <c r="JS186" s="5"/>
      <c r="JT186" s="5"/>
      <c r="JU186" s="5"/>
      <c r="JV186" s="5"/>
      <c r="JW186" s="5"/>
      <c r="JX186" s="5"/>
      <c r="JY186" s="5"/>
      <c r="JZ186" s="5"/>
      <c r="KA186" s="5"/>
      <c r="KB186" s="5"/>
      <c r="KC186" s="5"/>
      <c r="KD186" s="5"/>
      <c r="KE186" s="5"/>
      <c r="KF186" s="5"/>
      <c r="KG186" s="5"/>
      <c r="KH186" s="5"/>
      <c r="KI186" s="5"/>
      <c r="KJ186" s="5"/>
      <c r="KK186" s="5"/>
      <c r="KL186" s="5"/>
      <c r="KM186" s="5"/>
      <c r="KN186" s="5"/>
      <c r="KO186" s="5"/>
      <c r="KP186" s="5"/>
      <c r="KQ186" s="5"/>
      <c r="KR186" s="5"/>
      <c r="KS186" s="5"/>
      <c r="KT186" s="5"/>
      <c r="KU186" s="5"/>
      <c r="KV186" s="5"/>
      <c r="KW186" s="5"/>
      <c r="KX186" s="5"/>
      <c r="KY186" s="5"/>
      <c r="KZ186" s="5"/>
      <c r="LA186" s="5"/>
      <c r="LB186" s="5"/>
      <c r="LC186" s="5"/>
      <c r="LD186" s="5"/>
      <c r="LE186" s="5"/>
      <c r="LF186" s="5"/>
      <c r="LG186" s="5"/>
      <c r="LH186" s="5"/>
      <c r="LI186" s="5"/>
      <c r="LJ186" s="5"/>
      <c r="LK186" s="5"/>
      <c r="LL186" s="5"/>
      <c r="LM186" s="5"/>
      <c r="LN186" s="5"/>
      <c r="LO186" s="5"/>
      <c r="LP186" s="5"/>
      <c r="LQ186" s="5"/>
      <c r="LR186" s="5"/>
      <c r="LS186" s="5"/>
      <c r="LT186" s="5"/>
      <c r="LU186" s="5"/>
      <c r="LV186" s="5"/>
      <c r="LW186" s="5"/>
      <c r="LX186" s="5"/>
      <c r="LY186" s="5"/>
      <c r="LZ186" s="5"/>
      <c r="MA186" s="5"/>
      <c r="MB186" s="5"/>
      <c r="MC186" s="5"/>
      <c r="MD186" s="5"/>
      <c r="ME186" s="5"/>
      <c r="MF186" s="5"/>
      <c r="MG186" s="5"/>
      <c r="MH186" s="5"/>
      <c r="MI186" s="5"/>
      <c r="MJ186" s="5"/>
      <c r="MK186" s="5"/>
      <c r="ML186" s="5"/>
      <c r="MM186" s="5"/>
      <c r="MN186" s="5"/>
      <c r="MO186" s="5"/>
      <c r="MP186" s="5"/>
      <c r="MQ186" s="5"/>
      <c r="MR186" s="5"/>
      <c r="MS186" s="5"/>
      <c r="MT186" s="5"/>
      <c r="MU186" s="5"/>
      <c r="MV186" s="5"/>
      <c r="MW186" s="5"/>
      <c r="MX186" s="5"/>
      <c r="MY186" s="5"/>
      <c r="MZ186" s="5"/>
      <c r="NA186" s="5"/>
      <c r="NB186" s="5"/>
      <c r="NC186" s="5"/>
      <c r="ND186" s="5"/>
      <c r="NE186" s="5"/>
      <c r="NF186" s="5"/>
      <c r="NG186" s="5"/>
      <c r="NH186" s="5"/>
      <c r="NI186" s="5"/>
      <c r="NJ186" s="5"/>
      <c r="NK186" s="5"/>
      <c r="NL186" s="5"/>
      <c r="NM186" s="5"/>
      <c r="NN186" s="5"/>
      <c r="NO186" s="5"/>
      <c r="NP186" s="5"/>
      <c r="NQ186" s="5"/>
      <c r="NR186" s="5"/>
      <c r="NS186" s="5"/>
      <c r="NT186" s="5"/>
      <c r="NU186" s="5"/>
      <c r="NV186" s="5"/>
      <c r="NW186" s="5"/>
      <c r="NX186" s="5"/>
      <c r="NY186" s="5"/>
      <c r="NZ186" s="5"/>
      <c r="OA186" s="5"/>
      <c r="OB186" s="5"/>
      <c r="OC186" s="5"/>
      <c r="OD186" s="5"/>
      <c r="OE186" s="5"/>
      <c r="OF186" s="5"/>
      <c r="OG186" s="5"/>
      <c r="OH186" s="5"/>
      <c r="OI186" s="5"/>
      <c r="OJ186" s="5"/>
      <c r="OK186" s="5"/>
      <c r="OL186" s="5"/>
      <c r="OM186" s="5"/>
      <c r="ON186" s="5"/>
      <c r="OO186" s="5"/>
      <c r="OP186" s="5"/>
      <c r="OQ186" s="5"/>
      <c r="OR186" s="5"/>
      <c r="OS186" s="5"/>
      <c r="OT186" s="5"/>
      <c r="OU186" s="5"/>
      <c r="OV186" s="5"/>
      <c r="OW186" s="5"/>
      <c r="OX186" s="5"/>
      <c r="OY186" s="5"/>
      <c r="OZ186" s="5"/>
      <c r="PA186" s="5"/>
      <c r="PB186" s="5"/>
      <c r="PC186" s="5"/>
      <c r="PD186" s="5"/>
      <c r="PE186" s="5"/>
      <c r="PF186" s="5"/>
      <c r="PG186" s="5"/>
      <c r="PH186" s="5"/>
      <c r="PI186" s="5"/>
      <c r="PJ186" s="5"/>
      <c r="PK186" s="5"/>
      <c r="PL186" s="5"/>
      <c r="PM186" s="5"/>
      <c r="PN186" s="5"/>
      <c r="PO186" s="5"/>
      <c r="PP186" s="5"/>
      <c r="PQ186" s="5"/>
      <c r="PR186" s="5"/>
      <c r="PS186" s="5"/>
      <c r="PT186" s="5"/>
      <c r="PU186" s="5"/>
      <c r="PV186" s="5"/>
      <c r="PW186" s="5"/>
      <c r="PX186" s="5"/>
      <c r="PY186" s="5"/>
      <c r="PZ186" s="5"/>
      <c r="QA186" s="5"/>
      <c r="QB186" s="5"/>
      <c r="QC186" s="5"/>
      <c r="QD186" s="5"/>
      <c r="QE186" s="5"/>
      <c r="QF186" s="5"/>
      <c r="QG186" s="5"/>
      <c r="QH186" s="5"/>
      <c r="QI186" s="5"/>
      <c r="QJ186" s="5"/>
      <c r="QK186" s="5"/>
      <c r="QL186" s="5"/>
      <c r="QM186" s="5"/>
      <c r="QN186" s="5"/>
      <c r="QO186" s="5"/>
      <c r="QP186" s="5"/>
      <c r="QQ186" s="5"/>
      <c r="QR186" s="5"/>
      <c r="QS186" s="5"/>
      <c r="QT186" s="5"/>
      <c r="QU186" s="5"/>
      <c r="QV186" s="5"/>
      <c r="QW186" s="5"/>
      <c r="QX186" s="5"/>
      <c r="QY186" s="5"/>
      <c r="QZ186" s="5"/>
      <c r="RA186" s="5"/>
      <c r="RB186" s="5"/>
      <c r="RC186" s="5"/>
      <c r="RD186" s="5"/>
      <c r="RE186" s="5"/>
      <c r="RF186" s="5"/>
      <c r="RG186" s="5"/>
      <c r="RH186" s="5"/>
      <c r="RI186" s="5"/>
      <c r="RJ186" s="5"/>
      <c r="RK186" s="5"/>
      <c r="RL186" s="5"/>
      <c r="RM186" s="5"/>
      <c r="RN186" s="5"/>
      <c r="RO186" s="5"/>
      <c r="RP186" s="5"/>
      <c r="RQ186" s="5"/>
      <c r="RR186" s="5"/>
      <c r="RS186" s="5"/>
      <c r="RT186" s="5"/>
      <c r="RU186" s="5"/>
      <c r="RV186" s="5"/>
      <c r="RW186" s="5"/>
      <c r="RX186" s="5"/>
      <c r="RY186" s="5"/>
      <c r="RZ186" s="5"/>
      <c r="SA186" s="5"/>
      <c r="SB186" s="5"/>
      <c r="SC186" s="5"/>
      <c r="SD186" s="5"/>
      <c r="SE186" s="5"/>
      <c r="SF186" s="5"/>
      <c r="SG186" s="5"/>
      <c r="SH186" s="5"/>
      <c r="SI186" s="5"/>
      <c r="SJ186" s="5"/>
      <c r="SK186" s="5"/>
      <c r="SL186" s="5"/>
      <c r="SM186" s="5"/>
      <c r="SN186" s="5"/>
      <c r="SO186" s="5"/>
      <c r="SP186" s="5"/>
      <c r="SQ186" s="5"/>
      <c r="SR186" s="5"/>
      <c r="SS186" s="5"/>
      <c r="ST186" s="5"/>
      <c r="SU186" s="5"/>
      <c r="SV186" s="5"/>
      <c r="SW186" s="5"/>
      <c r="SX186" s="5"/>
      <c r="SY186" s="5"/>
      <c r="SZ186" s="5"/>
      <c r="TA186" s="5"/>
      <c r="TB186" s="5"/>
      <c r="TC186" s="5"/>
      <c r="TD186" s="5"/>
      <c r="TE186" s="5"/>
      <c r="TF186" s="5"/>
      <c r="TG186" s="5"/>
      <c r="TH186" s="5"/>
      <c r="TI186" s="5"/>
      <c r="TJ186" s="5"/>
      <c r="TK186" s="5"/>
      <c r="TL186" s="5"/>
      <c r="TM186" s="5"/>
      <c r="TN186" s="5"/>
      <c r="TO186" s="5"/>
      <c r="TP186" s="5"/>
      <c r="TQ186" s="5"/>
      <c r="TR186" s="5"/>
      <c r="TS186" s="5"/>
      <c r="TT186" s="5"/>
      <c r="TU186" s="5"/>
      <c r="TV186" s="5"/>
      <c r="TW186" s="5"/>
      <c r="TX186" s="5"/>
      <c r="TY186" s="5"/>
      <c r="TZ186" s="5"/>
      <c r="UA186" s="5"/>
      <c r="UB186" s="5"/>
      <c r="UC186" s="5"/>
      <c r="UD186" s="5"/>
      <c r="UE186" s="5"/>
      <c r="UF186" s="5"/>
      <c r="UG186" s="5"/>
      <c r="UH186" s="5"/>
      <c r="UI186" s="5"/>
      <c r="UJ186" s="5"/>
      <c r="UK186" s="5"/>
      <c r="UL186" s="5"/>
      <c r="UM186" s="5"/>
      <c r="UN186" s="5"/>
      <c r="UO186" s="5"/>
      <c r="UP186" s="5"/>
      <c r="UQ186" s="5"/>
      <c r="UR186" s="5"/>
      <c r="US186" s="5"/>
      <c r="UT186" s="5"/>
      <c r="UU186" s="5"/>
      <c r="UV186" s="5"/>
      <c r="UW186" s="5"/>
      <c r="UX186" s="5"/>
      <c r="UY186" s="5"/>
      <c r="UZ186" s="5"/>
      <c r="VA186" s="5"/>
      <c r="VB186" s="5"/>
      <c r="VC186" s="5"/>
      <c r="VD186" s="5"/>
      <c r="VE186" s="5"/>
      <c r="VF186" s="5"/>
      <c r="VG186" s="5"/>
      <c r="VH186" s="5"/>
      <c r="VI186" s="5"/>
      <c r="VJ186" s="5"/>
      <c r="VK186" s="5"/>
      <c r="VL186" s="5"/>
      <c r="VM186" s="5"/>
      <c r="VN186" s="5"/>
      <c r="VO186" s="5"/>
      <c r="VP186" s="5"/>
      <c r="VQ186" s="5"/>
      <c r="VR186" s="5"/>
      <c r="VS186" s="5"/>
      <c r="VT186" s="5"/>
      <c r="VU186" s="5"/>
      <c r="VV186" s="5"/>
      <c r="VW186" s="5"/>
      <c r="VX186" s="5"/>
      <c r="VY186" s="5"/>
      <c r="VZ186" s="5"/>
      <c r="WA186" s="5"/>
      <c r="WB186" s="5"/>
      <c r="WC186" s="5"/>
      <c r="WD186" s="5"/>
      <c r="WE186" s="5"/>
      <c r="WF186" s="5"/>
      <c r="WG186" s="5"/>
      <c r="WH186" s="5"/>
      <c r="WI186" s="5"/>
      <c r="WJ186" s="5"/>
      <c r="WK186" s="5"/>
      <c r="WL186" s="5"/>
      <c r="WM186" s="5"/>
      <c r="WN186" s="5"/>
      <c r="WO186" s="5"/>
      <c r="WP186" s="5"/>
      <c r="WQ186" s="5"/>
      <c r="WR186" s="5"/>
      <c r="WS186" s="5"/>
      <c r="WT186" s="5"/>
      <c r="WU186" s="5"/>
      <c r="WV186" s="5"/>
      <c r="WW186" s="5"/>
      <c r="WX186" s="5"/>
      <c r="WY186" s="5"/>
      <c r="WZ186" s="5"/>
      <c r="XA186" s="5"/>
      <c r="XB186" s="5"/>
      <c r="XC186" s="5"/>
      <c r="XD186" s="5"/>
      <c r="XE186" s="5"/>
      <c r="XF186" s="5"/>
      <c r="XG186" s="5"/>
      <c r="XH186" s="5"/>
      <c r="XI186" s="5"/>
      <c r="XJ186" s="5"/>
      <c r="XK186" s="5"/>
      <c r="XL186" s="5"/>
      <c r="XM186" s="5"/>
      <c r="XN186" s="5"/>
      <c r="XO186" s="5"/>
      <c r="XP186" s="5"/>
      <c r="XQ186" s="5"/>
      <c r="XR186" s="5"/>
      <c r="XS186" s="5"/>
      <c r="XT186" s="5"/>
      <c r="XU186" s="5"/>
      <c r="XV186" s="5"/>
      <c r="XW186" s="5"/>
      <c r="XX186" s="5"/>
      <c r="XY186" s="5"/>
      <c r="XZ186" s="5"/>
      <c r="YA186" s="5"/>
      <c r="YB186" s="5"/>
      <c r="YC186" s="5"/>
      <c r="YD186" s="5"/>
      <c r="YE186" s="5"/>
      <c r="YF186" s="5"/>
      <c r="YG186" s="5"/>
      <c r="YH186" s="5"/>
      <c r="YI186" s="5"/>
      <c r="YJ186" s="5"/>
      <c r="YK186" s="5"/>
      <c r="YL186" s="5"/>
      <c r="YM186" s="5"/>
      <c r="YN186" s="5"/>
      <c r="YO186" s="5"/>
      <c r="YP186" s="5"/>
      <c r="YQ186" s="5"/>
      <c r="YR186" s="5"/>
      <c r="YS186" s="5"/>
      <c r="YT186" s="5"/>
      <c r="YU186" s="5"/>
      <c r="YV186" s="5"/>
      <c r="YW186" s="5"/>
      <c r="YX186" s="5"/>
      <c r="YY186" s="5"/>
      <c r="YZ186" s="5"/>
    </row>
    <row r="187" spans="1:676">
      <c r="A187" s="7">
        <v>177</v>
      </c>
      <c r="B187" s="7" t="s">
        <v>441</v>
      </c>
      <c r="C187" s="10" t="s">
        <v>442</v>
      </c>
      <c r="D187" s="7" t="s">
        <v>113</v>
      </c>
      <c r="E187" s="7" t="s">
        <v>381</v>
      </c>
      <c r="F187" s="7" t="s">
        <v>394</v>
      </c>
      <c r="G187" s="7"/>
      <c r="H187" s="7" t="s">
        <v>52</v>
      </c>
      <c r="I187" s="11">
        <v>2</v>
      </c>
      <c r="J187" s="11">
        <v>3</v>
      </c>
      <c r="K187" s="11">
        <v>0</v>
      </c>
      <c r="L187" s="11">
        <v>4.660000000000001</v>
      </c>
      <c r="M187" s="11">
        <v>0.8300000000000001</v>
      </c>
      <c r="N187" s="11">
        <v>0</v>
      </c>
      <c r="O187" s="11">
        <v>0</v>
      </c>
      <c r="P187" s="11">
        <v>0</v>
      </c>
      <c r="Q187" s="11">
        <v>5.490000000000001</v>
      </c>
      <c r="R187" s="11">
        <v>6.27</v>
      </c>
      <c r="S187" s="11">
        <v>11.76</v>
      </c>
      <c r="T187" s="11">
        <v>2</v>
      </c>
      <c r="U187" s="11">
        <v>3</v>
      </c>
      <c r="V187" s="11">
        <v>6.760000000000002</v>
      </c>
      <c r="W187" s="13">
        <v>18</v>
      </c>
      <c r="X187" s="13">
        <v>27</v>
      </c>
      <c r="Y187" s="13" t="str">
        <f>MIN(W187,S187)</f>
        <v>0</v>
      </c>
      <c r="Z187" s="13" t="str">
        <f>MIN(X187,(S187-Y187))</f>
        <v>0</v>
      </c>
      <c r="AA187" s="13" t="str">
        <f>S187-SUM(Y187,Z187)</f>
        <v>0</v>
      </c>
      <c r="AB187" s="15"/>
      <c r="AC187" s="15"/>
      <c r="AD187" s="1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5"/>
      <c r="CY187" s="5"/>
      <c r="CZ187" s="5"/>
      <c r="DA187" s="5"/>
      <c r="DB187" s="5"/>
      <c r="DC187" s="5"/>
      <c r="DD187" s="5"/>
      <c r="DE187" s="5"/>
      <c r="DF187" s="5"/>
      <c r="DG187" s="5"/>
      <c r="DH187" s="5"/>
      <c r="DI187" s="5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  <c r="EC187" s="5"/>
      <c r="ED187" s="5"/>
      <c r="EE187" s="5"/>
      <c r="EF187" s="5"/>
      <c r="EG187" s="5"/>
      <c r="EH187" s="5"/>
      <c r="EI187" s="5"/>
      <c r="EJ187" s="5"/>
      <c r="EK187" s="5"/>
      <c r="EL187" s="5"/>
      <c r="EM187" s="5"/>
      <c r="EN187" s="5"/>
      <c r="EO187" s="5"/>
      <c r="EP187" s="5"/>
      <c r="EQ187" s="5"/>
      <c r="ER187" s="5"/>
      <c r="ES187" s="5"/>
      <c r="ET187" s="5"/>
      <c r="EU187" s="5"/>
      <c r="EV187" s="5"/>
      <c r="EW187" s="5"/>
      <c r="EX187" s="5"/>
      <c r="EY187" s="5"/>
      <c r="EZ187" s="5"/>
      <c r="FA187" s="5"/>
      <c r="FB187" s="5"/>
      <c r="FC187" s="5"/>
      <c r="FD187" s="5"/>
      <c r="FE187" s="5"/>
      <c r="FF187" s="5"/>
      <c r="FG187" s="5"/>
      <c r="FH187" s="5"/>
      <c r="FI187" s="5"/>
      <c r="FJ187" s="5"/>
      <c r="FK187" s="5"/>
      <c r="FL187" s="5"/>
      <c r="FM187" s="5"/>
      <c r="FN187" s="5"/>
      <c r="FO187" s="5"/>
      <c r="FP187" s="5"/>
      <c r="FQ187" s="5"/>
      <c r="FR187" s="5"/>
      <c r="FS187" s="5"/>
      <c r="FT187" s="5"/>
      <c r="FU187" s="5"/>
      <c r="FV187" s="5"/>
      <c r="FW187" s="5"/>
      <c r="FX187" s="5"/>
      <c r="FY187" s="5"/>
      <c r="FZ187" s="5"/>
      <c r="GA187" s="5"/>
      <c r="GB187" s="5"/>
      <c r="GC187" s="5"/>
      <c r="GD187" s="5"/>
      <c r="GE187" s="5"/>
      <c r="GF187" s="5"/>
      <c r="GG187" s="5"/>
      <c r="GH187" s="5"/>
      <c r="GI187" s="5"/>
      <c r="GJ187" s="5"/>
      <c r="GK187" s="5"/>
      <c r="GL187" s="5"/>
      <c r="GM187" s="5"/>
      <c r="GN187" s="5"/>
      <c r="GO187" s="5"/>
      <c r="GP187" s="5"/>
      <c r="GQ187" s="5"/>
      <c r="GR187" s="5"/>
      <c r="GS187" s="5"/>
      <c r="GT187" s="5"/>
      <c r="GU187" s="5"/>
      <c r="GV187" s="5"/>
      <c r="GW187" s="5"/>
      <c r="GX187" s="5"/>
      <c r="GY187" s="5"/>
      <c r="GZ187" s="5"/>
      <c r="HA187" s="5"/>
      <c r="HB187" s="5"/>
      <c r="HC187" s="5"/>
      <c r="HD187" s="5"/>
      <c r="HE187" s="5"/>
      <c r="HF187" s="5"/>
      <c r="HG187" s="5"/>
      <c r="HH187" s="5"/>
      <c r="HI187" s="5"/>
      <c r="HJ187" s="5"/>
      <c r="HK187" s="5"/>
      <c r="HL187" s="5"/>
      <c r="HM187" s="5"/>
      <c r="HN187" s="5"/>
      <c r="HO187" s="5"/>
      <c r="HP187" s="5"/>
      <c r="HQ187" s="5"/>
      <c r="HR187" s="5"/>
      <c r="HS187" s="5"/>
      <c r="HT187" s="5"/>
      <c r="HU187" s="5"/>
      <c r="HV187" s="5"/>
      <c r="HW187" s="5"/>
      <c r="HX187" s="5"/>
      <c r="HY187" s="5"/>
      <c r="HZ187" s="5"/>
      <c r="IA187" s="5"/>
      <c r="IB187" s="5"/>
      <c r="IC187" s="5"/>
      <c r="ID187" s="5"/>
      <c r="IE187" s="5"/>
      <c r="IF187" s="5"/>
      <c r="IG187" s="5"/>
      <c r="IH187" s="5"/>
      <c r="II187" s="5"/>
      <c r="IJ187" s="5"/>
      <c r="IK187" s="5"/>
      <c r="IL187" s="5"/>
      <c r="IM187" s="5"/>
      <c r="IN187" s="5"/>
      <c r="IO187" s="5"/>
      <c r="IP187" s="5"/>
      <c r="IQ187" s="5"/>
      <c r="IR187" s="5"/>
      <c r="IS187" s="5"/>
      <c r="IT187" s="5"/>
      <c r="IU187" s="5"/>
      <c r="IV187" s="5"/>
      <c r="IW187" s="5"/>
      <c r="IX187" s="5"/>
      <c r="IY187" s="5"/>
      <c r="IZ187" s="5"/>
      <c r="JA187" s="5"/>
      <c r="JB187" s="5"/>
      <c r="JC187" s="5"/>
      <c r="JD187" s="5"/>
      <c r="JE187" s="5"/>
      <c r="JF187" s="5"/>
      <c r="JG187" s="5"/>
      <c r="JH187" s="5"/>
      <c r="JI187" s="5"/>
      <c r="JJ187" s="5"/>
      <c r="JK187" s="5"/>
      <c r="JL187" s="5"/>
      <c r="JM187" s="5"/>
      <c r="JN187" s="5"/>
      <c r="JO187" s="5"/>
      <c r="JP187" s="5"/>
      <c r="JQ187" s="5"/>
      <c r="JR187" s="5"/>
      <c r="JS187" s="5"/>
      <c r="JT187" s="5"/>
      <c r="JU187" s="5"/>
      <c r="JV187" s="5"/>
      <c r="JW187" s="5"/>
      <c r="JX187" s="5"/>
      <c r="JY187" s="5"/>
      <c r="JZ187" s="5"/>
      <c r="KA187" s="5"/>
      <c r="KB187" s="5"/>
      <c r="KC187" s="5"/>
      <c r="KD187" s="5"/>
      <c r="KE187" s="5"/>
      <c r="KF187" s="5"/>
      <c r="KG187" s="5"/>
      <c r="KH187" s="5"/>
      <c r="KI187" s="5"/>
      <c r="KJ187" s="5"/>
      <c r="KK187" s="5"/>
      <c r="KL187" s="5"/>
      <c r="KM187" s="5"/>
      <c r="KN187" s="5"/>
      <c r="KO187" s="5"/>
      <c r="KP187" s="5"/>
      <c r="KQ187" s="5"/>
      <c r="KR187" s="5"/>
      <c r="KS187" s="5"/>
      <c r="KT187" s="5"/>
      <c r="KU187" s="5"/>
      <c r="KV187" s="5"/>
      <c r="KW187" s="5"/>
      <c r="KX187" s="5"/>
      <c r="KY187" s="5"/>
      <c r="KZ187" s="5"/>
      <c r="LA187" s="5"/>
      <c r="LB187" s="5"/>
      <c r="LC187" s="5"/>
      <c r="LD187" s="5"/>
      <c r="LE187" s="5"/>
      <c r="LF187" s="5"/>
      <c r="LG187" s="5"/>
      <c r="LH187" s="5"/>
      <c r="LI187" s="5"/>
      <c r="LJ187" s="5"/>
      <c r="LK187" s="5"/>
      <c r="LL187" s="5"/>
      <c r="LM187" s="5"/>
      <c r="LN187" s="5"/>
      <c r="LO187" s="5"/>
      <c r="LP187" s="5"/>
      <c r="LQ187" s="5"/>
      <c r="LR187" s="5"/>
      <c r="LS187" s="5"/>
      <c r="LT187" s="5"/>
      <c r="LU187" s="5"/>
      <c r="LV187" s="5"/>
      <c r="LW187" s="5"/>
      <c r="LX187" s="5"/>
      <c r="LY187" s="5"/>
      <c r="LZ187" s="5"/>
      <c r="MA187" s="5"/>
      <c r="MB187" s="5"/>
      <c r="MC187" s="5"/>
      <c r="MD187" s="5"/>
      <c r="ME187" s="5"/>
      <c r="MF187" s="5"/>
      <c r="MG187" s="5"/>
      <c r="MH187" s="5"/>
      <c r="MI187" s="5"/>
      <c r="MJ187" s="5"/>
      <c r="MK187" s="5"/>
      <c r="ML187" s="5"/>
      <c r="MM187" s="5"/>
      <c r="MN187" s="5"/>
      <c r="MO187" s="5"/>
      <c r="MP187" s="5"/>
      <c r="MQ187" s="5"/>
      <c r="MR187" s="5"/>
      <c r="MS187" s="5"/>
      <c r="MT187" s="5"/>
      <c r="MU187" s="5"/>
      <c r="MV187" s="5"/>
      <c r="MW187" s="5"/>
      <c r="MX187" s="5"/>
      <c r="MY187" s="5"/>
      <c r="MZ187" s="5"/>
      <c r="NA187" s="5"/>
      <c r="NB187" s="5"/>
      <c r="NC187" s="5"/>
      <c r="ND187" s="5"/>
      <c r="NE187" s="5"/>
      <c r="NF187" s="5"/>
      <c r="NG187" s="5"/>
      <c r="NH187" s="5"/>
      <c r="NI187" s="5"/>
      <c r="NJ187" s="5"/>
      <c r="NK187" s="5"/>
      <c r="NL187" s="5"/>
      <c r="NM187" s="5"/>
      <c r="NN187" s="5"/>
      <c r="NO187" s="5"/>
      <c r="NP187" s="5"/>
      <c r="NQ187" s="5"/>
      <c r="NR187" s="5"/>
      <c r="NS187" s="5"/>
      <c r="NT187" s="5"/>
      <c r="NU187" s="5"/>
      <c r="NV187" s="5"/>
      <c r="NW187" s="5"/>
      <c r="NX187" s="5"/>
      <c r="NY187" s="5"/>
      <c r="NZ187" s="5"/>
      <c r="OA187" s="5"/>
      <c r="OB187" s="5"/>
      <c r="OC187" s="5"/>
      <c r="OD187" s="5"/>
      <c r="OE187" s="5"/>
      <c r="OF187" s="5"/>
      <c r="OG187" s="5"/>
      <c r="OH187" s="5"/>
      <c r="OI187" s="5"/>
      <c r="OJ187" s="5"/>
      <c r="OK187" s="5"/>
      <c r="OL187" s="5"/>
      <c r="OM187" s="5"/>
      <c r="ON187" s="5"/>
      <c r="OO187" s="5"/>
      <c r="OP187" s="5"/>
      <c r="OQ187" s="5"/>
      <c r="OR187" s="5"/>
      <c r="OS187" s="5"/>
      <c r="OT187" s="5"/>
      <c r="OU187" s="5"/>
      <c r="OV187" s="5"/>
      <c r="OW187" s="5"/>
      <c r="OX187" s="5"/>
      <c r="OY187" s="5"/>
      <c r="OZ187" s="5"/>
      <c r="PA187" s="5"/>
      <c r="PB187" s="5"/>
      <c r="PC187" s="5"/>
      <c r="PD187" s="5"/>
      <c r="PE187" s="5"/>
      <c r="PF187" s="5"/>
      <c r="PG187" s="5"/>
      <c r="PH187" s="5"/>
      <c r="PI187" s="5"/>
      <c r="PJ187" s="5"/>
      <c r="PK187" s="5"/>
      <c r="PL187" s="5"/>
      <c r="PM187" s="5"/>
      <c r="PN187" s="5"/>
      <c r="PO187" s="5"/>
      <c r="PP187" s="5"/>
      <c r="PQ187" s="5"/>
      <c r="PR187" s="5"/>
      <c r="PS187" s="5"/>
      <c r="PT187" s="5"/>
      <c r="PU187" s="5"/>
      <c r="PV187" s="5"/>
      <c r="PW187" s="5"/>
      <c r="PX187" s="5"/>
      <c r="PY187" s="5"/>
      <c r="PZ187" s="5"/>
      <c r="QA187" s="5"/>
      <c r="QB187" s="5"/>
      <c r="QC187" s="5"/>
      <c r="QD187" s="5"/>
      <c r="QE187" s="5"/>
      <c r="QF187" s="5"/>
      <c r="QG187" s="5"/>
      <c r="QH187" s="5"/>
      <c r="QI187" s="5"/>
      <c r="QJ187" s="5"/>
      <c r="QK187" s="5"/>
      <c r="QL187" s="5"/>
      <c r="QM187" s="5"/>
      <c r="QN187" s="5"/>
      <c r="QO187" s="5"/>
      <c r="QP187" s="5"/>
      <c r="QQ187" s="5"/>
      <c r="QR187" s="5"/>
      <c r="QS187" s="5"/>
      <c r="QT187" s="5"/>
      <c r="QU187" s="5"/>
      <c r="QV187" s="5"/>
      <c r="QW187" s="5"/>
      <c r="QX187" s="5"/>
      <c r="QY187" s="5"/>
      <c r="QZ187" s="5"/>
      <c r="RA187" s="5"/>
      <c r="RB187" s="5"/>
      <c r="RC187" s="5"/>
      <c r="RD187" s="5"/>
      <c r="RE187" s="5"/>
      <c r="RF187" s="5"/>
      <c r="RG187" s="5"/>
      <c r="RH187" s="5"/>
      <c r="RI187" s="5"/>
      <c r="RJ187" s="5"/>
      <c r="RK187" s="5"/>
      <c r="RL187" s="5"/>
      <c r="RM187" s="5"/>
      <c r="RN187" s="5"/>
      <c r="RO187" s="5"/>
      <c r="RP187" s="5"/>
      <c r="RQ187" s="5"/>
      <c r="RR187" s="5"/>
      <c r="RS187" s="5"/>
      <c r="RT187" s="5"/>
      <c r="RU187" s="5"/>
      <c r="RV187" s="5"/>
      <c r="RW187" s="5"/>
      <c r="RX187" s="5"/>
      <c r="RY187" s="5"/>
      <c r="RZ187" s="5"/>
      <c r="SA187" s="5"/>
      <c r="SB187" s="5"/>
      <c r="SC187" s="5"/>
      <c r="SD187" s="5"/>
      <c r="SE187" s="5"/>
      <c r="SF187" s="5"/>
      <c r="SG187" s="5"/>
      <c r="SH187" s="5"/>
      <c r="SI187" s="5"/>
      <c r="SJ187" s="5"/>
      <c r="SK187" s="5"/>
      <c r="SL187" s="5"/>
      <c r="SM187" s="5"/>
      <c r="SN187" s="5"/>
      <c r="SO187" s="5"/>
      <c r="SP187" s="5"/>
      <c r="SQ187" s="5"/>
      <c r="SR187" s="5"/>
      <c r="SS187" s="5"/>
      <c r="ST187" s="5"/>
      <c r="SU187" s="5"/>
      <c r="SV187" s="5"/>
      <c r="SW187" s="5"/>
      <c r="SX187" s="5"/>
      <c r="SY187" s="5"/>
      <c r="SZ187" s="5"/>
      <c r="TA187" s="5"/>
      <c r="TB187" s="5"/>
      <c r="TC187" s="5"/>
      <c r="TD187" s="5"/>
      <c r="TE187" s="5"/>
      <c r="TF187" s="5"/>
      <c r="TG187" s="5"/>
      <c r="TH187" s="5"/>
      <c r="TI187" s="5"/>
      <c r="TJ187" s="5"/>
      <c r="TK187" s="5"/>
      <c r="TL187" s="5"/>
      <c r="TM187" s="5"/>
      <c r="TN187" s="5"/>
      <c r="TO187" s="5"/>
      <c r="TP187" s="5"/>
      <c r="TQ187" s="5"/>
      <c r="TR187" s="5"/>
      <c r="TS187" s="5"/>
      <c r="TT187" s="5"/>
      <c r="TU187" s="5"/>
      <c r="TV187" s="5"/>
      <c r="TW187" s="5"/>
      <c r="TX187" s="5"/>
      <c r="TY187" s="5"/>
      <c r="TZ187" s="5"/>
      <c r="UA187" s="5"/>
      <c r="UB187" s="5"/>
      <c r="UC187" s="5"/>
      <c r="UD187" s="5"/>
      <c r="UE187" s="5"/>
      <c r="UF187" s="5"/>
      <c r="UG187" s="5"/>
      <c r="UH187" s="5"/>
      <c r="UI187" s="5"/>
      <c r="UJ187" s="5"/>
      <c r="UK187" s="5"/>
      <c r="UL187" s="5"/>
      <c r="UM187" s="5"/>
      <c r="UN187" s="5"/>
      <c r="UO187" s="5"/>
      <c r="UP187" s="5"/>
      <c r="UQ187" s="5"/>
      <c r="UR187" s="5"/>
      <c r="US187" s="5"/>
      <c r="UT187" s="5"/>
      <c r="UU187" s="5"/>
      <c r="UV187" s="5"/>
      <c r="UW187" s="5"/>
      <c r="UX187" s="5"/>
      <c r="UY187" s="5"/>
      <c r="UZ187" s="5"/>
      <c r="VA187" s="5"/>
      <c r="VB187" s="5"/>
      <c r="VC187" s="5"/>
      <c r="VD187" s="5"/>
      <c r="VE187" s="5"/>
      <c r="VF187" s="5"/>
      <c r="VG187" s="5"/>
      <c r="VH187" s="5"/>
      <c r="VI187" s="5"/>
      <c r="VJ187" s="5"/>
      <c r="VK187" s="5"/>
      <c r="VL187" s="5"/>
      <c r="VM187" s="5"/>
      <c r="VN187" s="5"/>
      <c r="VO187" s="5"/>
      <c r="VP187" s="5"/>
      <c r="VQ187" s="5"/>
      <c r="VR187" s="5"/>
      <c r="VS187" s="5"/>
      <c r="VT187" s="5"/>
      <c r="VU187" s="5"/>
      <c r="VV187" s="5"/>
      <c r="VW187" s="5"/>
      <c r="VX187" s="5"/>
      <c r="VY187" s="5"/>
      <c r="VZ187" s="5"/>
      <c r="WA187" s="5"/>
      <c r="WB187" s="5"/>
      <c r="WC187" s="5"/>
      <c r="WD187" s="5"/>
      <c r="WE187" s="5"/>
      <c r="WF187" s="5"/>
      <c r="WG187" s="5"/>
      <c r="WH187" s="5"/>
      <c r="WI187" s="5"/>
      <c r="WJ187" s="5"/>
      <c r="WK187" s="5"/>
      <c r="WL187" s="5"/>
      <c r="WM187" s="5"/>
      <c r="WN187" s="5"/>
      <c r="WO187" s="5"/>
      <c r="WP187" s="5"/>
      <c r="WQ187" s="5"/>
      <c r="WR187" s="5"/>
      <c r="WS187" s="5"/>
      <c r="WT187" s="5"/>
      <c r="WU187" s="5"/>
      <c r="WV187" s="5"/>
      <c r="WW187" s="5"/>
      <c r="WX187" s="5"/>
      <c r="WY187" s="5"/>
      <c r="WZ187" s="5"/>
      <c r="XA187" s="5"/>
      <c r="XB187" s="5"/>
      <c r="XC187" s="5"/>
      <c r="XD187" s="5"/>
      <c r="XE187" s="5"/>
      <c r="XF187" s="5"/>
      <c r="XG187" s="5"/>
      <c r="XH187" s="5"/>
      <c r="XI187" s="5"/>
      <c r="XJ187" s="5"/>
      <c r="XK187" s="5"/>
      <c r="XL187" s="5"/>
      <c r="XM187" s="5"/>
      <c r="XN187" s="5"/>
      <c r="XO187" s="5"/>
      <c r="XP187" s="5"/>
      <c r="XQ187" s="5"/>
      <c r="XR187" s="5"/>
      <c r="XS187" s="5"/>
      <c r="XT187" s="5"/>
      <c r="XU187" s="5"/>
      <c r="XV187" s="5"/>
      <c r="XW187" s="5"/>
      <c r="XX187" s="5"/>
      <c r="XY187" s="5"/>
      <c r="XZ187" s="5"/>
      <c r="YA187" s="5"/>
      <c r="YB187" s="5"/>
      <c r="YC187" s="5"/>
      <c r="YD187" s="5"/>
      <c r="YE187" s="5"/>
      <c r="YF187" s="5"/>
      <c r="YG187" s="5"/>
      <c r="YH187" s="5"/>
      <c r="YI187" s="5"/>
      <c r="YJ187" s="5"/>
      <c r="YK187" s="5"/>
      <c r="YL187" s="5"/>
      <c r="YM187" s="5"/>
      <c r="YN187" s="5"/>
      <c r="YO187" s="5"/>
      <c r="YP187" s="5"/>
      <c r="YQ187" s="5"/>
      <c r="YR187" s="5"/>
      <c r="YS187" s="5"/>
      <c r="YT187" s="5"/>
      <c r="YU187" s="5"/>
      <c r="YV187" s="5"/>
      <c r="YW187" s="5"/>
      <c r="YX187" s="5"/>
      <c r="YY187" s="5"/>
      <c r="YZ187" s="5"/>
    </row>
    <row r="188" spans="1:676">
      <c r="A188" s="7">
        <v>178</v>
      </c>
      <c r="B188" s="7" t="s">
        <v>443</v>
      </c>
      <c r="C188" s="10" t="s">
        <v>444</v>
      </c>
      <c r="D188" s="7" t="s">
        <v>217</v>
      </c>
      <c r="E188" s="7" t="s">
        <v>279</v>
      </c>
      <c r="F188" s="7" t="s">
        <v>394</v>
      </c>
      <c r="G188" s="7"/>
      <c r="H188" s="7" t="s">
        <v>52</v>
      </c>
      <c r="I188" s="11">
        <v>2</v>
      </c>
      <c r="J188" s="11">
        <v>3</v>
      </c>
      <c r="K188" s="11">
        <v>0</v>
      </c>
      <c r="L188" s="11">
        <v>5.529999999999999</v>
      </c>
      <c r="M188" s="11">
        <v>0.34</v>
      </c>
      <c r="N188" s="11">
        <v>0</v>
      </c>
      <c r="O188" s="11">
        <v>0.06</v>
      </c>
      <c r="P188" s="11">
        <v>0</v>
      </c>
      <c r="Q188" s="11">
        <v>5.929999999999999</v>
      </c>
      <c r="R188" s="11">
        <v>35.11</v>
      </c>
      <c r="S188" s="11">
        <v>41.04</v>
      </c>
      <c r="T188" s="11">
        <v>2</v>
      </c>
      <c r="U188" s="11">
        <v>3</v>
      </c>
      <c r="V188" s="11">
        <v>36.04</v>
      </c>
      <c r="W188" s="13">
        <v>18</v>
      </c>
      <c r="X188" s="13">
        <v>27</v>
      </c>
      <c r="Y188" s="13" t="str">
        <f>MIN(W188,S188)</f>
        <v>0</v>
      </c>
      <c r="Z188" s="13" t="str">
        <f>MIN(X188,(S188-Y188))</f>
        <v>0</v>
      </c>
      <c r="AA188" s="13" t="str">
        <f>S188-SUM(Y188,Z188)</f>
        <v>0</v>
      </c>
      <c r="AB188" s="15"/>
      <c r="AC188" s="15"/>
      <c r="AD188" s="1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5"/>
      <c r="CY188" s="5"/>
      <c r="CZ188" s="5"/>
      <c r="DA188" s="5"/>
      <c r="DB188" s="5"/>
      <c r="DC188" s="5"/>
      <c r="DD188" s="5"/>
      <c r="DE188" s="5"/>
      <c r="DF188" s="5"/>
      <c r="DG188" s="5"/>
      <c r="DH188" s="5"/>
      <c r="DI188" s="5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  <c r="EC188" s="5"/>
      <c r="ED188" s="5"/>
      <c r="EE188" s="5"/>
      <c r="EF188" s="5"/>
      <c r="EG188" s="5"/>
      <c r="EH188" s="5"/>
      <c r="EI188" s="5"/>
      <c r="EJ188" s="5"/>
      <c r="EK188" s="5"/>
      <c r="EL188" s="5"/>
      <c r="EM188" s="5"/>
      <c r="EN188" s="5"/>
      <c r="EO188" s="5"/>
      <c r="EP188" s="5"/>
      <c r="EQ188" s="5"/>
      <c r="ER188" s="5"/>
      <c r="ES188" s="5"/>
      <c r="ET188" s="5"/>
      <c r="EU188" s="5"/>
      <c r="EV188" s="5"/>
      <c r="EW188" s="5"/>
      <c r="EX188" s="5"/>
      <c r="EY188" s="5"/>
      <c r="EZ188" s="5"/>
      <c r="FA188" s="5"/>
      <c r="FB188" s="5"/>
      <c r="FC188" s="5"/>
      <c r="FD188" s="5"/>
      <c r="FE188" s="5"/>
      <c r="FF188" s="5"/>
      <c r="FG188" s="5"/>
      <c r="FH188" s="5"/>
      <c r="FI188" s="5"/>
      <c r="FJ188" s="5"/>
      <c r="FK188" s="5"/>
      <c r="FL188" s="5"/>
      <c r="FM188" s="5"/>
      <c r="FN188" s="5"/>
      <c r="FO188" s="5"/>
      <c r="FP188" s="5"/>
      <c r="FQ188" s="5"/>
      <c r="FR188" s="5"/>
      <c r="FS188" s="5"/>
      <c r="FT188" s="5"/>
      <c r="FU188" s="5"/>
      <c r="FV188" s="5"/>
      <c r="FW188" s="5"/>
      <c r="FX188" s="5"/>
      <c r="FY188" s="5"/>
      <c r="FZ188" s="5"/>
      <c r="GA188" s="5"/>
      <c r="GB188" s="5"/>
      <c r="GC188" s="5"/>
      <c r="GD188" s="5"/>
      <c r="GE188" s="5"/>
      <c r="GF188" s="5"/>
      <c r="GG188" s="5"/>
      <c r="GH188" s="5"/>
      <c r="GI188" s="5"/>
      <c r="GJ188" s="5"/>
      <c r="GK188" s="5"/>
      <c r="GL188" s="5"/>
      <c r="GM188" s="5"/>
      <c r="GN188" s="5"/>
      <c r="GO188" s="5"/>
      <c r="GP188" s="5"/>
      <c r="GQ188" s="5"/>
      <c r="GR188" s="5"/>
      <c r="GS188" s="5"/>
      <c r="GT188" s="5"/>
      <c r="GU188" s="5"/>
      <c r="GV188" s="5"/>
      <c r="GW188" s="5"/>
      <c r="GX188" s="5"/>
      <c r="GY188" s="5"/>
      <c r="GZ188" s="5"/>
      <c r="HA188" s="5"/>
      <c r="HB188" s="5"/>
      <c r="HC188" s="5"/>
      <c r="HD188" s="5"/>
      <c r="HE188" s="5"/>
      <c r="HF188" s="5"/>
      <c r="HG188" s="5"/>
      <c r="HH188" s="5"/>
      <c r="HI188" s="5"/>
      <c r="HJ188" s="5"/>
      <c r="HK188" s="5"/>
      <c r="HL188" s="5"/>
      <c r="HM188" s="5"/>
      <c r="HN188" s="5"/>
      <c r="HO188" s="5"/>
      <c r="HP188" s="5"/>
      <c r="HQ188" s="5"/>
      <c r="HR188" s="5"/>
      <c r="HS188" s="5"/>
      <c r="HT188" s="5"/>
      <c r="HU188" s="5"/>
      <c r="HV188" s="5"/>
      <c r="HW188" s="5"/>
      <c r="HX188" s="5"/>
      <c r="HY188" s="5"/>
      <c r="HZ188" s="5"/>
      <c r="IA188" s="5"/>
      <c r="IB188" s="5"/>
      <c r="IC188" s="5"/>
      <c r="ID188" s="5"/>
      <c r="IE188" s="5"/>
      <c r="IF188" s="5"/>
      <c r="IG188" s="5"/>
      <c r="IH188" s="5"/>
      <c r="II188" s="5"/>
      <c r="IJ188" s="5"/>
      <c r="IK188" s="5"/>
      <c r="IL188" s="5"/>
      <c r="IM188" s="5"/>
      <c r="IN188" s="5"/>
      <c r="IO188" s="5"/>
      <c r="IP188" s="5"/>
      <c r="IQ188" s="5"/>
      <c r="IR188" s="5"/>
      <c r="IS188" s="5"/>
      <c r="IT188" s="5"/>
      <c r="IU188" s="5"/>
      <c r="IV188" s="5"/>
      <c r="IW188" s="5"/>
      <c r="IX188" s="5"/>
      <c r="IY188" s="5"/>
      <c r="IZ188" s="5"/>
      <c r="JA188" s="5"/>
      <c r="JB188" s="5"/>
      <c r="JC188" s="5"/>
      <c r="JD188" s="5"/>
      <c r="JE188" s="5"/>
      <c r="JF188" s="5"/>
      <c r="JG188" s="5"/>
      <c r="JH188" s="5"/>
      <c r="JI188" s="5"/>
      <c r="JJ188" s="5"/>
      <c r="JK188" s="5"/>
      <c r="JL188" s="5"/>
      <c r="JM188" s="5"/>
      <c r="JN188" s="5"/>
      <c r="JO188" s="5"/>
      <c r="JP188" s="5"/>
      <c r="JQ188" s="5"/>
      <c r="JR188" s="5"/>
      <c r="JS188" s="5"/>
      <c r="JT188" s="5"/>
      <c r="JU188" s="5"/>
      <c r="JV188" s="5"/>
      <c r="JW188" s="5"/>
      <c r="JX188" s="5"/>
      <c r="JY188" s="5"/>
      <c r="JZ188" s="5"/>
      <c r="KA188" s="5"/>
      <c r="KB188" s="5"/>
      <c r="KC188" s="5"/>
      <c r="KD188" s="5"/>
      <c r="KE188" s="5"/>
      <c r="KF188" s="5"/>
      <c r="KG188" s="5"/>
      <c r="KH188" s="5"/>
      <c r="KI188" s="5"/>
      <c r="KJ188" s="5"/>
      <c r="KK188" s="5"/>
      <c r="KL188" s="5"/>
      <c r="KM188" s="5"/>
      <c r="KN188" s="5"/>
      <c r="KO188" s="5"/>
      <c r="KP188" s="5"/>
      <c r="KQ188" s="5"/>
      <c r="KR188" s="5"/>
      <c r="KS188" s="5"/>
      <c r="KT188" s="5"/>
      <c r="KU188" s="5"/>
      <c r="KV188" s="5"/>
      <c r="KW188" s="5"/>
      <c r="KX188" s="5"/>
      <c r="KY188" s="5"/>
      <c r="KZ188" s="5"/>
      <c r="LA188" s="5"/>
      <c r="LB188" s="5"/>
      <c r="LC188" s="5"/>
      <c r="LD188" s="5"/>
      <c r="LE188" s="5"/>
      <c r="LF188" s="5"/>
      <c r="LG188" s="5"/>
      <c r="LH188" s="5"/>
      <c r="LI188" s="5"/>
      <c r="LJ188" s="5"/>
      <c r="LK188" s="5"/>
      <c r="LL188" s="5"/>
      <c r="LM188" s="5"/>
      <c r="LN188" s="5"/>
      <c r="LO188" s="5"/>
      <c r="LP188" s="5"/>
      <c r="LQ188" s="5"/>
      <c r="LR188" s="5"/>
      <c r="LS188" s="5"/>
      <c r="LT188" s="5"/>
      <c r="LU188" s="5"/>
      <c r="LV188" s="5"/>
      <c r="LW188" s="5"/>
      <c r="LX188" s="5"/>
      <c r="LY188" s="5"/>
      <c r="LZ188" s="5"/>
      <c r="MA188" s="5"/>
      <c r="MB188" s="5"/>
      <c r="MC188" s="5"/>
      <c r="MD188" s="5"/>
      <c r="ME188" s="5"/>
      <c r="MF188" s="5"/>
      <c r="MG188" s="5"/>
      <c r="MH188" s="5"/>
      <c r="MI188" s="5"/>
      <c r="MJ188" s="5"/>
      <c r="MK188" s="5"/>
      <c r="ML188" s="5"/>
      <c r="MM188" s="5"/>
      <c r="MN188" s="5"/>
      <c r="MO188" s="5"/>
      <c r="MP188" s="5"/>
      <c r="MQ188" s="5"/>
      <c r="MR188" s="5"/>
      <c r="MS188" s="5"/>
      <c r="MT188" s="5"/>
      <c r="MU188" s="5"/>
      <c r="MV188" s="5"/>
      <c r="MW188" s="5"/>
      <c r="MX188" s="5"/>
      <c r="MY188" s="5"/>
      <c r="MZ188" s="5"/>
      <c r="NA188" s="5"/>
      <c r="NB188" s="5"/>
      <c r="NC188" s="5"/>
      <c r="ND188" s="5"/>
      <c r="NE188" s="5"/>
      <c r="NF188" s="5"/>
      <c r="NG188" s="5"/>
      <c r="NH188" s="5"/>
      <c r="NI188" s="5"/>
      <c r="NJ188" s="5"/>
      <c r="NK188" s="5"/>
      <c r="NL188" s="5"/>
      <c r="NM188" s="5"/>
      <c r="NN188" s="5"/>
      <c r="NO188" s="5"/>
      <c r="NP188" s="5"/>
      <c r="NQ188" s="5"/>
      <c r="NR188" s="5"/>
      <c r="NS188" s="5"/>
      <c r="NT188" s="5"/>
      <c r="NU188" s="5"/>
      <c r="NV188" s="5"/>
      <c r="NW188" s="5"/>
      <c r="NX188" s="5"/>
      <c r="NY188" s="5"/>
      <c r="NZ188" s="5"/>
      <c r="OA188" s="5"/>
      <c r="OB188" s="5"/>
      <c r="OC188" s="5"/>
      <c r="OD188" s="5"/>
      <c r="OE188" s="5"/>
      <c r="OF188" s="5"/>
      <c r="OG188" s="5"/>
      <c r="OH188" s="5"/>
      <c r="OI188" s="5"/>
      <c r="OJ188" s="5"/>
      <c r="OK188" s="5"/>
      <c r="OL188" s="5"/>
      <c r="OM188" s="5"/>
      <c r="ON188" s="5"/>
      <c r="OO188" s="5"/>
      <c r="OP188" s="5"/>
      <c r="OQ188" s="5"/>
      <c r="OR188" s="5"/>
      <c r="OS188" s="5"/>
      <c r="OT188" s="5"/>
      <c r="OU188" s="5"/>
      <c r="OV188" s="5"/>
      <c r="OW188" s="5"/>
      <c r="OX188" s="5"/>
      <c r="OY188" s="5"/>
      <c r="OZ188" s="5"/>
      <c r="PA188" s="5"/>
      <c r="PB188" s="5"/>
      <c r="PC188" s="5"/>
      <c r="PD188" s="5"/>
      <c r="PE188" s="5"/>
      <c r="PF188" s="5"/>
      <c r="PG188" s="5"/>
      <c r="PH188" s="5"/>
      <c r="PI188" s="5"/>
      <c r="PJ188" s="5"/>
      <c r="PK188" s="5"/>
      <c r="PL188" s="5"/>
      <c r="PM188" s="5"/>
      <c r="PN188" s="5"/>
      <c r="PO188" s="5"/>
      <c r="PP188" s="5"/>
      <c r="PQ188" s="5"/>
      <c r="PR188" s="5"/>
      <c r="PS188" s="5"/>
      <c r="PT188" s="5"/>
      <c r="PU188" s="5"/>
      <c r="PV188" s="5"/>
      <c r="PW188" s="5"/>
      <c r="PX188" s="5"/>
      <c r="PY188" s="5"/>
      <c r="PZ188" s="5"/>
      <c r="QA188" s="5"/>
      <c r="QB188" s="5"/>
      <c r="QC188" s="5"/>
      <c r="QD188" s="5"/>
      <c r="QE188" s="5"/>
      <c r="QF188" s="5"/>
      <c r="QG188" s="5"/>
      <c r="QH188" s="5"/>
      <c r="QI188" s="5"/>
      <c r="QJ188" s="5"/>
      <c r="QK188" s="5"/>
      <c r="QL188" s="5"/>
      <c r="QM188" s="5"/>
      <c r="QN188" s="5"/>
      <c r="QO188" s="5"/>
      <c r="QP188" s="5"/>
      <c r="QQ188" s="5"/>
      <c r="QR188" s="5"/>
      <c r="QS188" s="5"/>
      <c r="QT188" s="5"/>
      <c r="QU188" s="5"/>
      <c r="QV188" s="5"/>
      <c r="QW188" s="5"/>
      <c r="QX188" s="5"/>
      <c r="QY188" s="5"/>
      <c r="QZ188" s="5"/>
      <c r="RA188" s="5"/>
      <c r="RB188" s="5"/>
      <c r="RC188" s="5"/>
      <c r="RD188" s="5"/>
      <c r="RE188" s="5"/>
      <c r="RF188" s="5"/>
      <c r="RG188" s="5"/>
      <c r="RH188" s="5"/>
      <c r="RI188" s="5"/>
      <c r="RJ188" s="5"/>
      <c r="RK188" s="5"/>
      <c r="RL188" s="5"/>
      <c r="RM188" s="5"/>
      <c r="RN188" s="5"/>
      <c r="RO188" s="5"/>
      <c r="RP188" s="5"/>
      <c r="RQ188" s="5"/>
      <c r="RR188" s="5"/>
      <c r="RS188" s="5"/>
      <c r="RT188" s="5"/>
      <c r="RU188" s="5"/>
      <c r="RV188" s="5"/>
      <c r="RW188" s="5"/>
      <c r="RX188" s="5"/>
      <c r="RY188" s="5"/>
      <c r="RZ188" s="5"/>
      <c r="SA188" s="5"/>
      <c r="SB188" s="5"/>
      <c r="SC188" s="5"/>
      <c r="SD188" s="5"/>
      <c r="SE188" s="5"/>
      <c r="SF188" s="5"/>
      <c r="SG188" s="5"/>
      <c r="SH188" s="5"/>
      <c r="SI188" s="5"/>
      <c r="SJ188" s="5"/>
      <c r="SK188" s="5"/>
      <c r="SL188" s="5"/>
      <c r="SM188" s="5"/>
      <c r="SN188" s="5"/>
      <c r="SO188" s="5"/>
      <c r="SP188" s="5"/>
      <c r="SQ188" s="5"/>
      <c r="SR188" s="5"/>
      <c r="SS188" s="5"/>
      <c r="ST188" s="5"/>
      <c r="SU188" s="5"/>
      <c r="SV188" s="5"/>
      <c r="SW188" s="5"/>
      <c r="SX188" s="5"/>
      <c r="SY188" s="5"/>
      <c r="SZ188" s="5"/>
      <c r="TA188" s="5"/>
      <c r="TB188" s="5"/>
      <c r="TC188" s="5"/>
      <c r="TD188" s="5"/>
      <c r="TE188" s="5"/>
      <c r="TF188" s="5"/>
      <c r="TG188" s="5"/>
      <c r="TH188" s="5"/>
      <c r="TI188" s="5"/>
      <c r="TJ188" s="5"/>
      <c r="TK188" s="5"/>
      <c r="TL188" s="5"/>
      <c r="TM188" s="5"/>
      <c r="TN188" s="5"/>
      <c r="TO188" s="5"/>
      <c r="TP188" s="5"/>
      <c r="TQ188" s="5"/>
      <c r="TR188" s="5"/>
      <c r="TS188" s="5"/>
      <c r="TT188" s="5"/>
      <c r="TU188" s="5"/>
      <c r="TV188" s="5"/>
      <c r="TW188" s="5"/>
      <c r="TX188" s="5"/>
      <c r="TY188" s="5"/>
      <c r="TZ188" s="5"/>
      <c r="UA188" s="5"/>
      <c r="UB188" s="5"/>
      <c r="UC188" s="5"/>
      <c r="UD188" s="5"/>
      <c r="UE188" s="5"/>
      <c r="UF188" s="5"/>
      <c r="UG188" s="5"/>
      <c r="UH188" s="5"/>
      <c r="UI188" s="5"/>
      <c r="UJ188" s="5"/>
      <c r="UK188" s="5"/>
      <c r="UL188" s="5"/>
      <c r="UM188" s="5"/>
      <c r="UN188" s="5"/>
      <c r="UO188" s="5"/>
      <c r="UP188" s="5"/>
      <c r="UQ188" s="5"/>
      <c r="UR188" s="5"/>
      <c r="US188" s="5"/>
      <c r="UT188" s="5"/>
      <c r="UU188" s="5"/>
      <c r="UV188" s="5"/>
      <c r="UW188" s="5"/>
      <c r="UX188" s="5"/>
      <c r="UY188" s="5"/>
      <c r="UZ188" s="5"/>
      <c r="VA188" s="5"/>
      <c r="VB188" s="5"/>
      <c r="VC188" s="5"/>
      <c r="VD188" s="5"/>
      <c r="VE188" s="5"/>
      <c r="VF188" s="5"/>
      <c r="VG188" s="5"/>
      <c r="VH188" s="5"/>
      <c r="VI188" s="5"/>
      <c r="VJ188" s="5"/>
      <c r="VK188" s="5"/>
      <c r="VL188" s="5"/>
      <c r="VM188" s="5"/>
      <c r="VN188" s="5"/>
      <c r="VO188" s="5"/>
      <c r="VP188" s="5"/>
      <c r="VQ188" s="5"/>
      <c r="VR188" s="5"/>
      <c r="VS188" s="5"/>
      <c r="VT188" s="5"/>
      <c r="VU188" s="5"/>
      <c r="VV188" s="5"/>
      <c r="VW188" s="5"/>
      <c r="VX188" s="5"/>
      <c r="VY188" s="5"/>
      <c r="VZ188" s="5"/>
      <c r="WA188" s="5"/>
      <c r="WB188" s="5"/>
      <c r="WC188" s="5"/>
      <c r="WD188" s="5"/>
      <c r="WE188" s="5"/>
      <c r="WF188" s="5"/>
      <c r="WG188" s="5"/>
      <c r="WH188" s="5"/>
      <c r="WI188" s="5"/>
      <c r="WJ188" s="5"/>
      <c r="WK188" s="5"/>
      <c r="WL188" s="5"/>
      <c r="WM188" s="5"/>
      <c r="WN188" s="5"/>
      <c r="WO188" s="5"/>
      <c r="WP188" s="5"/>
      <c r="WQ188" s="5"/>
      <c r="WR188" s="5"/>
      <c r="WS188" s="5"/>
      <c r="WT188" s="5"/>
      <c r="WU188" s="5"/>
      <c r="WV188" s="5"/>
      <c r="WW188" s="5"/>
      <c r="WX188" s="5"/>
      <c r="WY188" s="5"/>
      <c r="WZ188" s="5"/>
      <c r="XA188" s="5"/>
      <c r="XB188" s="5"/>
      <c r="XC188" s="5"/>
      <c r="XD188" s="5"/>
      <c r="XE188" s="5"/>
      <c r="XF188" s="5"/>
      <c r="XG188" s="5"/>
      <c r="XH188" s="5"/>
      <c r="XI188" s="5"/>
      <c r="XJ188" s="5"/>
      <c r="XK188" s="5"/>
      <c r="XL188" s="5"/>
      <c r="XM188" s="5"/>
      <c r="XN188" s="5"/>
      <c r="XO188" s="5"/>
      <c r="XP188" s="5"/>
      <c r="XQ188" s="5"/>
      <c r="XR188" s="5"/>
      <c r="XS188" s="5"/>
      <c r="XT188" s="5"/>
      <c r="XU188" s="5"/>
      <c r="XV188" s="5"/>
      <c r="XW188" s="5"/>
      <c r="XX188" s="5"/>
      <c r="XY188" s="5"/>
      <c r="XZ188" s="5"/>
      <c r="YA188" s="5"/>
      <c r="YB188" s="5"/>
      <c r="YC188" s="5"/>
      <c r="YD188" s="5"/>
      <c r="YE188" s="5"/>
      <c r="YF188" s="5"/>
      <c r="YG188" s="5"/>
      <c r="YH188" s="5"/>
      <c r="YI188" s="5"/>
      <c r="YJ188" s="5"/>
      <c r="YK188" s="5"/>
      <c r="YL188" s="5"/>
      <c r="YM188" s="5"/>
      <c r="YN188" s="5"/>
      <c r="YO188" s="5"/>
      <c r="YP188" s="5"/>
      <c r="YQ188" s="5"/>
      <c r="YR188" s="5"/>
      <c r="YS188" s="5"/>
      <c r="YT188" s="5"/>
      <c r="YU188" s="5"/>
      <c r="YV188" s="5"/>
      <c r="YW188" s="5"/>
      <c r="YX188" s="5"/>
      <c r="YY188" s="5"/>
      <c r="YZ188" s="5"/>
    </row>
    <row r="189" spans="1:676">
      <c r="A189" s="7">
        <v>179</v>
      </c>
      <c r="B189" s="7" t="s">
        <v>445</v>
      </c>
      <c r="C189" s="10" t="s">
        <v>446</v>
      </c>
      <c r="D189" s="7" t="s">
        <v>296</v>
      </c>
      <c r="E189" s="7" t="s">
        <v>273</v>
      </c>
      <c r="F189" s="7" t="s">
        <v>389</v>
      </c>
      <c r="G189" s="7"/>
      <c r="H189" s="7" t="s">
        <v>52</v>
      </c>
      <c r="I189" s="11">
        <v>2</v>
      </c>
      <c r="J189" s="11">
        <v>3</v>
      </c>
      <c r="K189" s="11">
        <v>0</v>
      </c>
      <c r="L189" s="11">
        <v>0</v>
      </c>
      <c r="M189" s="11">
        <v>0</v>
      </c>
      <c r="N189" s="11">
        <v>0</v>
      </c>
      <c r="O189" s="11">
        <v>0</v>
      </c>
      <c r="P189" s="11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13">
        <v>18</v>
      </c>
      <c r="X189" s="13">
        <v>27</v>
      </c>
      <c r="Y189" s="13" t="str">
        <f>MIN(W189,S189)</f>
        <v>0</v>
      </c>
      <c r="Z189" s="13" t="str">
        <f>MIN(X189,(S189-Y189))</f>
        <v>0</v>
      </c>
      <c r="AA189" s="13" t="str">
        <f>S189-SUM(Y189,Z189)</f>
        <v>0</v>
      </c>
      <c r="AB189" s="15"/>
      <c r="AC189" s="15"/>
      <c r="AD189" s="1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  <c r="EC189" s="5"/>
      <c r="ED189" s="5"/>
      <c r="EE189" s="5"/>
      <c r="EF189" s="5"/>
      <c r="EG189" s="5"/>
      <c r="EH189" s="5"/>
      <c r="EI189" s="5"/>
      <c r="EJ189" s="5"/>
      <c r="EK189" s="5"/>
      <c r="EL189" s="5"/>
      <c r="EM189" s="5"/>
      <c r="EN189" s="5"/>
      <c r="EO189" s="5"/>
      <c r="EP189" s="5"/>
      <c r="EQ189" s="5"/>
      <c r="ER189" s="5"/>
      <c r="ES189" s="5"/>
      <c r="ET189" s="5"/>
      <c r="EU189" s="5"/>
      <c r="EV189" s="5"/>
      <c r="EW189" s="5"/>
      <c r="EX189" s="5"/>
      <c r="EY189" s="5"/>
      <c r="EZ189" s="5"/>
      <c r="FA189" s="5"/>
      <c r="FB189" s="5"/>
      <c r="FC189" s="5"/>
      <c r="FD189" s="5"/>
      <c r="FE189" s="5"/>
      <c r="FF189" s="5"/>
      <c r="FG189" s="5"/>
      <c r="FH189" s="5"/>
      <c r="FI189" s="5"/>
      <c r="FJ189" s="5"/>
      <c r="FK189" s="5"/>
      <c r="FL189" s="5"/>
      <c r="FM189" s="5"/>
      <c r="FN189" s="5"/>
      <c r="FO189" s="5"/>
      <c r="FP189" s="5"/>
      <c r="FQ189" s="5"/>
      <c r="FR189" s="5"/>
      <c r="FS189" s="5"/>
      <c r="FT189" s="5"/>
      <c r="FU189" s="5"/>
      <c r="FV189" s="5"/>
      <c r="FW189" s="5"/>
      <c r="FX189" s="5"/>
      <c r="FY189" s="5"/>
      <c r="FZ189" s="5"/>
      <c r="GA189" s="5"/>
      <c r="GB189" s="5"/>
      <c r="GC189" s="5"/>
      <c r="GD189" s="5"/>
      <c r="GE189" s="5"/>
      <c r="GF189" s="5"/>
      <c r="GG189" s="5"/>
      <c r="GH189" s="5"/>
      <c r="GI189" s="5"/>
      <c r="GJ189" s="5"/>
      <c r="GK189" s="5"/>
      <c r="GL189" s="5"/>
      <c r="GM189" s="5"/>
      <c r="GN189" s="5"/>
      <c r="GO189" s="5"/>
      <c r="GP189" s="5"/>
      <c r="GQ189" s="5"/>
      <c r="GR189" s="5"/>
      <c r="GS189" s="5"/>
      <c r="GT189" s="5"/>
      <c r="GU189" s="5"/>
      <c r="GV189" s="5"/>
      <c r="GW189" s="5"/>
      <c r="GX189" s="5"/>
      <c r="GY189" s="5"/>
      <c r="GZ189" s="5"/>
      <c r="HA189" s="5"/>
      <c r="HB189" s="5"/>
      <c r="HC189" s="5"/>
      <c r="HD189" s="5"/>
      <c r="HE189" s="5"/>
      <c r="HF189" s="5"/>
      <c r="HG189" s="5"/>
      <c r="HH189" s="5"/>
      <c r="HI189" s="5"/>
      <c r="HJ189" s="5"/>
      <c r="HK189" s="5"/>
      <c r="HL189" s="5"/>
      <c r="HM189" s="5"/>
      <c r="HN189" s="5"/>
      <c r="HO189" s="5"/>
      <c r="HP189" s="5"/>
      <c r="HQ189" s="5"/>
      <c r="HR189" s="5"/>
      <c r="HS189" s="5"/>
      <c r="HT189" s="5"/>
      <c r="HU189" s="5"/>
      <c r="HV189" s="5"/>
      <c r="HW189" s="5"/>
      <c r="HX189" s="5"/>
      <c r="HY189" s="5"/>
      <c r="HZ189" s="5"/>
      <c r="IA189" s="5"/>
      <c r="IB189" s="5"/>
      <c r="IC189" s="5"/>
      <c r="ID189" s="5"/>
      <c r="IE189" s="5"/>
      <c r="IF189" s="5"/>
      <c r="IG189" s="5"/>
      <c r="IH189" s="5"/>
      <c r="II189" s="5"/>
      <c r="IJ189" s="5"/>
      <c r="IK189" s="5"/>
      <c r="IL189" s="5"/>
      <c r="IM189" s="5"/>
      <c r="IN189" s="5"/>
      <c r="IO189" s="5"/>
      <c r="IP189" s="5"/>
      <c r="IQ189" s="5"/>
      <c r="IR189" s="5"/>
      <c r="IS189" s="5"/>
      <c r="IT189" s="5"/>
      <c r="IU189" s="5"/>
      <c r="IV189" s="5"/>
      <c r="IW189" s="5"/>
      <c r="IX189" s="5"/>
      <c r="IY189" s="5"/>
      <c r="IZ189" s="5"/>
      <c r="JA189" s="5"/>
      <c r="JB189" s="5"/>
      <c r="JC189" s="5"/>
      <c r="JD189" s="5"/>
      <c r="JE189" s="5"/>
      <c r="JF189" s="5"/>
      <c r="JG189" s="5"/>
      <c r="JH189" s="5"/>
      <c r="JI189" s="5"/>
      <c r="JJ189" s="5"/>
      <c r="JK189" s="5"/>
      <c r="JL189" s="5"/>
      <c r="JM189" s="5"/>
      <c r="JN189" s="5"/>
      <c r="JO189" s="5"/>
      <c r="JP189" s="5"/>
      <c r="JQ189" s="5"/>
      <c r="JR189" s="5"/>
      <c r="JS189" s="5"/>
      <c r="JT189" s="5"/>
      <c r="JU189" s="5"/>
      <c r="JV189" s="5"/>
      <c r="JW189" s="5"/>
      <c r="JX189" s="5"/>
      <c r="JY189" s="5"/>
      <c r="JZ189" s="5"/>
      <c r="KA189" s="5"/>
      <c r="KB189" s="5"/>
      <c r="KC189" s="5"/>
      <c r="KD189" s="5"/>
      <c r="KE189" s="5"/>
      <c r="KF189" s="5"/>
      <c r="KG189" s="5"/>
      <c r="KH189" s="5"/>
      <c r="KI189" s="5"/>
      <c r="KJ189" s="5"/>
      <c r="KK189" s="5"/>
      <c r="KL189" s="5"/>
      <c r="KM189" s="5"/>
      <c r="KN189" s="5"/>
      <c r="KO189" s="5"/>
      <c r="KP189" s="5"/>
      <c r="KQ189" s="5"/>
      <c r="KR189" s="5"/>
      <c r="KS189" s="5"/>
      <c r="KT189" s="5"/>
      <c r="KU189" s="5"/>
      <c r="KV189" s="5"/>
      <c r="KW189" s="5"/>
      <c r="KX189" s="5"/>
      <c r="KY189" s="5"/>
      <c r="KZ189" s="5"/>
      <c r="LA189" s="5"/>
      <c r="LB189" s="5"/>
      <c r="LC189" s="5"/>
      <c r="LD189" s="5"/>
      <c r="LE189" s="5"/>
      <c r="LF189" s="5"/>
      <c r="LG189" s="5"/>
      <c r="LH189" s="5"/>
      <c r="LI189" s="5"/>
      <c r="LJ189" s="5"/>
      <c r="LK189" s="5"/>
      <c r="LL189" s="5"/>
      <c r="LM189" s="5"/>
      <c r="LN189" s="5"/>
      <c r="LO189" s="5"/>
      <c r="LP189" s="5"/>
      <c r="LQ189" s="5"/>
      <c r="LR189" s="5"/>
      <c r="LS189" s="5"/>
      <c r="LT189" s="5"/>
      <c r="LU189" s="5"/>
      <c r="LV189" s="5"/>
      <c r="LW189" s="5"/>
      <c r="LX189" s="5"/>
      <c r="LY189" s="5"/>
      <c r="LZ189" s="5"/>
      <c r="MA189" s="5"/>
      <c r="MB189" s="5"/>
      <c r="MC189" s="5"/>
      <c r="MD189" s="5"/>
      <c r="ME189" s="5"/>
      <c r="MF189" s="5"/>
      <c r="MG189" s="5"/>
      <c r="MH189" s="5"/>
      <c r="MI189" s="5"/>
      <c r="MJ189" s="5"/>
      <c r="MK189" s="5"/>
      <c r="ML189" s="5"/>
      <c r="MM189" s="5"/>
      <c r="MN189" s="5"/>
      <c r="MO189" s="5"/>
      <c r="MP189" s="5"/>
      <c r="MQ189" s="5"/>
      <c r="MR189" s="5"/>
      <c r="MS189" s="5"/>
      <c r="MT189" s="5"/>
      <c r="MU189" s="5"/>
      <c r="MV189" s="5"/>
      <c r="MW189" s="5"/>
      <c r="MX189" s="5"/>
      <c r="MY189" s="5"/>
      <c r="MZ189" s="5"/>
      <c r="NA189" s="5"/>
      <c r="NB189" s="5"/>
      <c r="NC189" s="5"/>
      <c r="ND189" s="5"/>
      <c r="NE189" s="5"/>
      <c r="NF189" s="5"/>
      <c r="NG189" s="5"/>
      <c r="NH189" s="5"/>
      <c r="NI189" s="5"/>
      <c r="NJ189" s="5"/>
      <c r="NK189" s="5"/>
      <c r="NL189" s="5"/>
      <c r="NM189" s="5"/>
      <c r="NN189" s="5"/>
      <c r="NO189" s="5"/>
      <c r="NP189" s="5"/>
      <c r="NQ189" s="5"/>
      <c r="NR189" s="5"/>
      <c r="NS189" s="5"/>
      <c r="NT189" s="5"/>
      <c r="NU189" s="5"/>
      <c r="NV189" s="5"/>
      <c r="NW189" s="5"/>
      <c r="NX189" s="5"/>
      <c r="NY189" s="5"/>
      <c r="NZ189" s="5"/>
      <c r="OA189" s="5"/>
      <c r="OB189" s="5"/>
      <c r="OC189" s="5"/>
      <c r="OD189" s="5"/>
      <c r="OE189" s="5"/>
      <c r="OF189" s="5"/>
      <c r="OG189" s="5"/>
      <c r="OH189" s="5"/>
      <c r="OI189" s="5"/>
      <c r="OJ189" s="5"/>
      <c r="OK189" s="5"/>
      <c r="OL189" s="5"/>
      <c r="OM189" s="5"/>
      <c r="ON189" s="5"/>
      <c r="OO189" s="5"/>
      <c r="OP189" s="5"/>
      <c r="OQ189" s="5"/>
      <c r="OR189" s="5"/>
      <c r="OS189" s="5"/>
      <c r="OT189" s="5"/>
      <c r="OU189" s="5"/>
      <c r="OV189" s="5"/>
      <c r="OW189" s="5"/>
      <c r="OX189" s="5"/>
      <c r="OY189" s="5"/>
      <c r="OZ189" s="5"/>
      <c r="PA189" s="5"/>
      <c r="PB189" s="5"/>
      <c r="PC189" s="5"/>
      <c r="PD189" s="5"/>
      <c r="PE189" s="5"/>
      <c r="PF189" s="5"/>
      <c r="PG189" s="5"/>
      <c r="PH189" s="5"/>
      <c r="PI189" s="5"/>
      <c r="PJ189" s="5"/>
      <c r="PK189" s="5"/>
      <c r="PL189" s="5"/>
      <c r="PM189" s="5"/>
      <c r="PN189" s="5"/>
      <c r="PO189" s="5"/>
      <c r="PP189" s="5"/>
      <c r="PQ189" s="5"/>
      <c r="PR189" s="5"/>
      <c r="PS189" s="5"/>
      <c r="PT189" s="5"/>
      <c r="PU189" s="5"/>
      <c r="PV189" s="5"/>
      <c r="PW189" s="5"/>
      <c r="PX189" s="5"/>
      <c r="PY189" s="5"/>
      <c r="PZ189" s="5"/>
      <c r="QA189" s="5"/>
      <c r="QB189" s="5"/>
      <c r="QC189" s="5"/>
      <c r="QD189" s="5"/>
      <c r="QE189" s="5"/>
      <c r="QF189" s="5"/>
      <c r="QG189" s="5"/>
      <c r="QH189" s="5"/>
      <c r="QI189" s="5"/>
      <c r="QJ189" s="5"/>
      <c r="QK189" s="5"/>
      <c r="QL189" s="5"/>
      <c r="QM189" s="5"/>
      <c r="QN189" s="5"/>
      <c r="QO189" s="5"/>
      <c r="QP189" s="5"/>
      <c r="QQ189" s="5"/>
      <c r="QR189" s="5"/>
      <c r="QS189" s="5"/>
      <c r="QT189" s="5"/>
      <c r="QU189" s="5"/>
      <c r="QV189" s="5"/>
      <c r="QW189" s="5"/>
      <c r="QX189" s="5"/>
      <c r="QY189" s="5"/>
      <c r="QZ189" s="5"/>
      <c r="RA189" s="5"/>
      <c r="RB189" s="5"/>
      <c r="RC189" s="5"/>
      <c r="RD189" s="5"/>
      <c r="RE189" s="5"/>
      <c r="RF189" s="5"/>
      <c r="RG189" s="5"/>
      <c r="RH189" s="5"/>
      <c r="RI189" s="5"/>
      <c r="RJ189" s="5"/>
      <c r="RK189" s="5"/>
      <c r="RL189" s="5"/>
      <c r="RM189" s="5"/>
      <c r="RN189" s="5"/>
      <c r="RO189" s="5"/>
      <c r="RP189" s="5"/>
      <c r="RQ189" s="5"/>
      <c r="RR189" s="5"/>
      <c r="RS189" s="5"/>
      <c r="RT189" s="5"/>
      <c r="RU189" s="5"/>
      <c r="RV189" s="5"/>
      <c r="RW189" s="5"/>
      <c r="RX189" s="5"/>
      <c r="RY189" s="5"/>
      <c r="RZ189" s="5"/>
      <c r="SA189" s="5"/>
      <c r="SB189" s="5"/>
      <c r="SC189" s="5"/>
      <c r="SD189" s="5"/>
      <c r="SE189" s="5"/>
      <c r="SF189" s="5"/>
      <c r="SG189" s="5"/>
      <c r="SH189" s="5"/>
      <c r="SI189" s="5"/>
      <c r="SJ189" s="5"/>
      <c r="SK189" s="5"/>
      <c r="SL189" s="5"/>
      <c r="SM189" s="5"/>
      <c r="SN189" s="5"/>
      <c r="SO189" s="5"/>
      <c r="SP189" s="5"/>
      <c r="SQ189" s="5"/>
      <c r="SR189" s="5"/>
      <c r="SS189" s="5"/>
      <c r="ST189" s="5"/>
      <c r="SU189" s="5"/>
      <c r="SV189" s="5"/>
      <c r="SW189" s="5"/>
      <c r="SX189" s="5"/>
      <c r="SY189" s="5"/>
      <c r="SZ189" s="5"/>
      <c r="TA189" s="5"/>
      <c r="TB189" s="5"/>
      <c r="TC189" s="5"/>
      <c r="TD189" s="5"/>
      <c r="TE189" s="5"/>
      <c r="TF189" s="5"/>
      <c r="TG189" s="5"/>
      <c r="TH189" s="5"/>
      <c r="TI189" s="5"/>
      <c r="TJ189" s="5"/>
      <c r="TK189" s="5"/>
      <c r="TL189" s="5"/>
      <c r="TM189" s="5"/>
      <c r="TN189" s="5"/>
      <c r="TO189" s="5"/>
      <c r="TP189" s="5"/>
      <c r="TQ189" s="5"/>
      <c r="TR189" s="5"/>
      <c r="TS189" s="5"/>
      <c r="TT189" s="5"/>
      <c r="TU189" s="5"/>
      <c r="TV189" s="5"/>
      <c r="TW189" s="5"/>
      <c r="TX189" s="5"/>
      <c r="TY189" s="5"/>
      <c r="TZ189" s="5"/>
      <c r="UA189" s="5"/>
      <c r="UB189" s="5"/>
      <c r="UC189" s="5"/>
      <c r="UD189" s="5"/>
      <c r="UE189" s="5"/>
      <c r="UF189" s="5"/>
      <c r="UG189" s="5"/>
      <c r="UH189" s="5"/>
      <c r="UI189" s="5"/>
      <c r="UJ189" s="5"/>
      <c r="UK189" s="5"/>
      <c r="UL189" s="5"/>
      <c r="UM189" s="5"/>
      <c r="UN189" s="5"/>
      <c r="UO189" s="5"/>
      <c r="UP189" s="5"/>
      <c r="UQ189" s="5"/>
      <c r="UR189" s="5"/>
      <c r="US189" s="5"/>
      <c r="UT189" s="5"/>
      <c r="UU189" s="5"/>
      <c r="UV189" s="5"/>
      <c r="UW189" s="5"/>
      <c r="UX189" s="5"/>
      <c r="UY189" s="5"/>
      <c r="UZ189" s="5"/>
      <c r="VA189" s="5"/>
      <c r="VB189" s="5"/>
      <c r="VC189" s="5"/>
      <c r="VD189" s="5"/>
      <c r="VE189" s="5"/>
      <c r="VF189" s="5"/>
      <c r="VG189" s="5"/>
      <c r="VH189" s="5"/>
      <c r="VI189" s="5"/>
      <c r="VJ189" s="5"/>
      <c r="VK189" s="5"/>
      <c r="VL189" s="5"/>
      <c r="VM189" s="5"/>
      <c r="VN189" s="5"/>
      <c r="VO189" s="5"/>
      <c r="VP189" s="5"/>
      <c r="VQ189" s="5"/>
      <c r="VR189" s="5"/>
      <c r="VS189" s="5"/>
      <c r="VT189" s="5"/>
      <c r="VU189" s="5"/>
      <c r="VV189" s="5"/>
      <c r="VW189" s="5"/>
      <c r="VX189" s="5"/>
      <c r="VY189" s="5"/>
      <c r="VZ189" s="5"/>
      <c r="WA189" s="5"/>
      <c r="WB189" s="5"/>
      <c r="WC189" s="5"/>
      <c r="WD189" s="5"/>
      <c r="WE189" s="5"/>
      <c r="WF189" s="5"/>
      <c r="WG189" s="5"/>
      <c r="WH189" s="5"/>
      <c r="WI189" s="5"/>
      <c r="WJ189" s="5"/>
      <c r="WK189" s="5"/>
      <c r="WL189" s="5"/>
      <c r="WM189" s="5"/>
      <c r="WN189" s="5"/>
      <c r="WO189" s="5"/>
      <c r="WP189" s="5"/>
      <c r="WQ189" s="5"/>
      <c r="WR189" s="5"/>
      <c r="WS189" s="5"/>
      <c r="WT189" s="5"/>
      <c r="WU189" s="5"/>
      <c r="WV189" s="5"/>
      <c r="WW189" s="5"/>
      <c r="WX189" s="5"/>
      <c r="WY189" s="5"/>
      <c r="WZ189" s="5"/>
      <c r="XA189" s="5"/>
      <c r="XB189" s="5"/>
      <c r="XC189" s="5"/>
      <c r="XD189" s="5"/>
      <c r="XE189" s="5"/>
      <c r="XF189" s="5"/>
      <c r="XG189" s="5"/>
      <c r="XH189" s="5"/>
      <c r="XI189" s="5"/>
      <c r="XJ189" s="5"/>
      <c r="XK189" s="5"/>
      <c r="XL189" s="5"/>
      <c r="XM189" s="5"/>
      <c r="XN189" s="5"/>
      <c r="XO189" s="5"/>
      <c r="XP189" s="5"/>
      <c r="XQ189" s="5"/>
      <c r="XR189" s="5"/>
      <c r="XS189" s="5"/>
      <c r="XT189" s="5"/>
      <c r="XU189" s="5"/>
      <c r="XV189" s="5"/>
      <c r="XW189" s="5"/>
      <c r="XX189" s="5"/>
      <c r="XY189" s="5"/>
      <c r="XZ189" s="5"/>
      <c r="YA189" s="5"/>
      <c r="YB189" s="5"/>
      <c r="YC189" s="5"/>
      <c r="YD189" s="5"/>
      <c r="YE189" s="5"/>
      <c r="YF189" s="5"/>
      <c r="YG189" s="5"/>
      <c r="YH189" s="5"/>
      <c r="YI189" s="5"/>
      <c r="YJ189" s="5"/>
      <c r="YK189" s="5"/>
      <c r="YL189" s="5"/>
      <c r="YM189" s="5"/>
      <c r="YN189" s="5"/>
      <c r="YO189" s="5"/>
      <c r="YP189" s="5"/>
      <c r="YQ189" s="5"/>
      <c r="YR189" s="5"/>
      <c r="YS189" s="5"/>
      <c r="YT189" s="5"/>
      <c r="YU189" s="5"/>
      <c r="YV189" s="5"/>
      <c r="YW189" s="5"/>
      <c r="YX189" s="5"/>
      <c r="YY189" s="5"/>
      <c r="YZ189" s="5"/>
    </row>
    <row r="190" spans="1:676">
      <c r="A190" s="7">
        <v>180</v>
      </c>
      <c r="B190" s="7" t="s">
        <v>447</v>
      </c>
      <c r="C190" s="10" t="s">
        <v>448</v>
      </c>
      <c r="D190" s="7" t="s">
        <v>113</v>
      </c>
      <c r="E190" s="7" t="s">
        <v>381</v>
      </c>
      <c r="F190" s="7" t="s">
        <v>394</v>
      </c>
      <c r="G190" s="7"/>
      <c r="H190" s="7" t="s">
        <v>52</v>
      </c>
      <c r="I190" s="11">
        <v>2</v>
      </c>
      <c r="J190" s="11">
        <v>3</v>
      </c>
      <c r="K190" s="11">
        <v>0</v>
      </c>
      <c r="L190" s="11">
        <v>5.770000000000002</v>
      </c>
      <c r="M190" s="11">
        <v>0</v>
      </c>
      <c r="N190" s="11">
        <v>0</v>
      </c>
      <c r="O190" s="11">
        <v>0</v>
      </c>
      <c r="P190" s="11">
        <v>0</v>
      </c>
      <c r="Q190" s="11">
        <v>5.770000000000002</v>
      </c>
      <c r="R190" s="11">
        <v>34.61000000000001</v>
      </c>
      <c r="S190" s="11">
        <v>40.38000000000001</v>
      </c>
      <c r="T190" s="11">
        <v>2</v>
      </c>
      <c r="U190" s="11">
        <v>3</v>
      </c>
      <c r="V190" s="11">
        <v>35.38000000000001</v>
      </c>
      <c r="W190" s="13">
        <v>18</v>
      </c>
      <c r="X190" s="13">
        <v>27</v>
      </c>
      <c r="Y190" s="13" t="str">
        <f>MIN(W190,S190)</f>
        <v>0</v>
      </c>
      <c r="Z190" s="13" t="str">
        <f>MIN(X190,(S190-Y190))</f>
        <v>0</v>
      </c>
      <c r="AA190" s="13" t="str">
        <f>S190-SUM(Y190,Z190)</f>
        <v>0</v>
      </c>
      <c r="AB190" s="15"/>
      <c r="AC190" s="15"/>
      <c r="AD190" s="1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5"/>
      <c r="DE190" s="5"/>
      <c r="DF190" s="5"/>
      <c r="DG190" s="5"/>
      <c r="DH190" s="5"/>
      <c r="DI190" s="5"/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  <c r="EC190" s="5"/>
      <c r="ED190" s="5"/>
      <c r="EE190" s="5"/>
      <c r="EF190" s="5"/>
      <c r="EG190" s="5"/>
      <c r="EH190" s="5"/>
      <c r="EI190" s="5"/>
      <c r="EJ190" s="5"/>
      <c r="EK190" s="5"/>
      <c r="EL190" s="5"/>
      <c r="EM190" s="5"/>
      <c r="EN190" s="5"/>
      <c r="EO190" s="5"/>
      <c r="EP190" s="5"/>
      <c r="EQ190" s="5"/>
      <c r="ER190" s="5"/>
      <c r="ES190" s="5"/>
      <c r="ET190" s="5"/>
      <c r="EU190" s="5"/>
      <c r="EV190" s="5"/>
      <c r="EW190" s="5"/>
      <c r="EX190" s="5"/>
      <c r="EY190" s="5"/>
      <c r="EZ190" s="5"/>
      <c r="FA190" s="5"/>
      <c r="FB190" s="5"/>
      <c r="FC190" s="5"/>
      <c r="FD190" s="5"/>
      <c r="FE190" s="5"/>
      <c r="FF190" s="5"/>
      <c r="FG190" s="5"/>
      <c r="FH190" s="5"/>
      <c r="FI190" s="5"/>
      <c r="FJ190" s="5"/>
      <c r="FK190" s="5"/>
      <c r="FL190" s="5"/>
      <c r="FM190" s="5"/>
      <c r="FN190" s="5"/>
      <c r="FO190" s="5"/>
      <c r="FP190" s="5"/>
      <c r="FQ190" s="5"/>
      <c r="FR190" s="5"/>
      <c r="FS190" s="5"/>
      <c r="FT190" s="5"/>
      <c r="FU190" s="5"/>
      <c r="FV190" s="5"/>
      <c r="FW190" s="5"/>
      <c r="FX190" s="5"/>
      <c r="FY190" s="5"/>
      <c r="FZ190" s="5"/>
      <c r="GA190" s="5"/>
      <c r="GB190" s="5"/>
      <c r="GC190" s="5"/>
      <c r="GD190" s="5"/>
      <c r="GE190" s="5"/>
      <c r="GF190" s="5"/>
      <c r="GG190" s="5"/>
      <c r="GH190" s="5"/>
      <c r="GI190" s="5"/>
      <c r="GJ190" s="5"/>
      <c r="GK190" s="5"/>
      <c r="GL190" s="5"/>
      <c r="GM190" s="5"/>
      <c r="GN190" s="5"/>
      <c r="GO190" s="5"/>
      <c r="GP190" s="5"/>
      <c r="GQ190" s="5"/>
      <c r="GR190" s="5"/>
      <c r="GS190" s="5"/>
      <c r="GT190" s="5"/>
      <c r="GU190" s="5"/>
      <c r="GV190" s="5"/>
      <c r="GW190" s="5"/>
      <c r="GX190" s="5"/>
      <c r="GY190" s="5"/>
      <c r="GZ190" s="5"/>
      <c r="HA190" s="5"/>
      <c r="HB190" s="5"/>
      <c r="HC190" s="5"/>
      <c r="HD190" s="5"/>
      <c r="HE190" s="5"/>
      <c r="HF190" s="5"/>
      <c r="HG190" s="5"/>
      <c r="HH190" s="5"/>
      <c r="HI190" s="5"/>
      <c r="HJ190" s="5"/>
      <c r="HK190" s="5"/>
      <c r="HL190" s="5"/>
      <c r="HM190" s="5"/>
      <c r="HN190" s="5"/>
      <c r="HO190" s="5"/>
      <c r="HP190" s="5"/>
      <c r="HQ190" s="5"/>
      <c r="HR190" s="5"/>
      <c r="HS190" s="5"/>
      <c r="HT190" s="5"/>
      <c r="HU190" s="5"/>
      <c r="HV190" s="5"/>
      <c r="HW190" s="5"/>
      <c r="HX190" s="5"/>
      <c r="HY190" s="5"/>
      <c r="HZ190" s="5"/>
      <c r="IA190" s="5"/>
      <c r="IB190" s="5"/>
      <c r="IC190" s="5"/>
      <c r="ID190" s="5"/>
      <c r="IE190" s="5"/>
      <c r="IF190" s="5"/>
      <c r="IG190" s="5"/>
      <c r="IH190" s="5"/>
      <c r="II190" s="5"/>
      <c r="IJ190" s="5"/>
      <c r="IK190" s="5"/>
      <c r="IL190" s="5"/>
      <c r="IM190" s="5"/>
      <c r="IN190" s="5"/>
      <c r="IO190" s="5"/>
      <c r="IP190" s="5"/>
      <c r="IQ190" s="5"/>
      <c r="IR190" s="5"/>
      <c r="IS190" s="5"/>
      <c r="IT190" s="5"/>
      <c r="IU190" s="5"/>
      <c r="IV190" s="5"/>
      <c r="IW190" s="5"/>
      <c r="IX190" s="5"/>
      <c r="IY190" s="5"/>
      <c r="IZ190" s="5"/>
      <c r="JA190" s="5"/>
      <c r="JB190" s="5"/>
      <c r="JC190" s="5"/>
      <c r="JD190" s="5"/>
      <c r="JE190" s="5"/>
      <c r="JF190" s="5"/>
      <c r="JG190" s="5"/>
      <c r="JH190" s="5"/>
      <c r="JI190" s="5"/>
      <c r="JJ190" s="5"/>
      <c r="JK190" s="5"/>
      <c r="JL190" s="5"/>
      <c r="JM190" s="5"/>
      <c r="JN190" s="5"/>
      <c r="JO190" s="5"/>
      <c r="JP190" s="5"/>
      <c r="JQ190" s="5"/>
      <c r="JR190" s="5"/>
      <c r="JS190" s="5"/>
      <c r="JT190" s="5"/>
      <c r="JU190" s="5"/>
      <c r="JV190" s="5"/>
      <c r="JW190" s="5"/>
      <c r="JX190" s="5"/>
      <c r="JY190" s="5"/>
      <c r="JZ190" s="5"/>
      <c r="KA190" s="5"/>
      <c r="KB190" s="5"/>
      <c r="KC190" s="5"/>
      <c r="KD190" s="5"/>
      <c r="KE190" s="5"/>
      <c r="KF190" s="5"/>
      <c r="KG190" s="5"/>
      <c r="KH190" s="5"/>
      <c r="KI190" s="5"/>
      <c r="KJ190" s="5"/>
      <c r="KK190" s="5"/>
      <c r="KL190" s="5"/>
      <c r="KM190" s="5"/>
      <c r="KN190" s="5"/>
      <c r="KO190" s="5"/>
      <c r="KP190" s="5"/>
      <c r="KQ190" s="5"/>
      <c r="KR190" s="5"/>
      <c r="KS190" s="5"/>
      <c r="KT190" s="5"/>
      <c r="KU190" s="5"/>
      <c r="KV190" s="5"/>
      <c r="KW190" s="5"/>
      <c r="KX190" s="5"/>
      <c r="KY190" s="5"/>
      <c r="KZ190" s="5"/>
      <c r="LA190" s="5"/>
      <c r="LB190" s="5"/>
      <c r="LC190" s="5"/>
      <c r="LD190" s="5"/>
      <c r="LE190" s="5"/>
      <c r="LF190" s="5"/>
      <c r="LG190" s="5"/>
      <c r="LH190" s="5"/>
      <c r="LI190" s="5"/>
      <c r="LJ190" s="5"/>
      <c r="LK190" s="5"/>
      <c r="LL190" s="5"/>
      <c r="LM190" s="5"/>
      <c r="LN190" s="5"/>
      <c r="LO190" s="5"/>
      <c r="LP190" s="5"/>
      <c r="LQ190" s="5"/>
      <c r="LR190" s="5"/>
      <c r="LS190" s="5"/>
      <c r="LT190" s="5"/>
      <c r="LU190" s="5"/>
      <c r="LV190" s="5"/>
      <c r="LW190" s="5"/>
      <c r="LX190" s="5"/>
      <c r="LY190" s="5"/>
      <c r="LZ190" s="5"/>
      <c r="MA190" s="5"/>
      <c r="MB190" s="5"/>
      <c r="MC190" s="5"/>
      <c r="MD190" s="5"/>
      <c r="ME190" s="5"/>
      <c r="MF190" s="5"/>
      <c r="MG190" s="5"/>
      <c r="MH190" s="5"/>
      <c r="MI190" s="5"/>
      <c r="MJ190" s="5"/>
      <c r="MK190" s="5"/>
      <c r="ML190" s="5"/>
      <c r="MM190" s="5"/>
      <c r="MN190" s="5"/>
      <c r="MO190" s="5"/>
      <c r="MP190" s="5"/>
      <c r="MQ190" s="5"/>
      <c r="MR190" s="5"/>
      <c r="MS190" s="5"/>
      <c r="MT190" s="5"/>
      <c r="MU190" s="5"/>
      <c r="MV190" s="5"/>
      <c r="MW190" s="5"/>
      <c r="MX190" s="5"/>
      <c r="MY190" s="5"/>
      <c r="MZ190" s="5"/>
      <c r="NA190" s="5"/>
      <c r="NB190" s="5"/>
      <c r="NC190" s="5"/>
      <c r="ND190" s="5"/>
      <c r="NE190" s="5"/>
      <c r="NF190" s="5"/>
      <c r="NG190" s="5"/>
      <c r="NH190" s="5"/>
      <c r="NI190" s="5"/>
      <c r="NJ190" s="5"/>
      <c r="NK190" s="5"/>
      <c r="NL190" s="5"/>
      <c r="NM190" s="5"/>
      <c r="NN190" s="5"/>
      <c r="NO190" s="5"/>
      <c r="NP190" s="5"/>
      <c r="NQ190" s="5"/>
      <c r="NR190" s="5"/>
      <c r="NS190" s="5"/>
      <c r="NT190" s="5"/>
      <c r="NU190" s="5"/>
      <c r="NV190" s="5"/>
      <c r="NW190" s="5"/>
      <c r="NX190" s="5"/>
      <c r="NY190" s="5"/>
      <c r="NZ190" s="5"/>
      <c r="OA190" s="5"/>
      <c r="OB190" s="5"/>
      <c r="OC190" s="5"/>
      <c r="OD190" s="5"/>
      <c r="OE190" s="5"/>
      <c r="OF190" s="5"/>
      <c r="OG190" s="5"/>
      <c r="OH190" s="5"/>
      <c r="OI190" s="5"/>
      <c r="OJ190" s="5"/>
      <c r="OK190" s="5"/>
      <c r="OL190" s="5"/>
      <c r="OM190" s="5"/>
      <c r="ON190" s="5"/>
      <c r="OO190" s="5"/>
      <c r="OP190" s="5"/>
      <c r="OQ190" s="5"/>
      <c r="OR190" s="5"/>
      <c r="OS190" s="5"/>
      <c r="OT190" s="5"/>
      <c r="OU190" s="5"/>
      <c r="OV190" s="5"/>
      <c r="OW190" s="5"/>
      <c r="OX190" s="5"/>
      <c r="OY190" s="5"/>
      <c r="OZ190" s="5"/>
      <c r="PA190" s="5"/>
      <c r="PB190" s="5"/>
      <c r="PC190" s="5"/>
      <c r="PD190" s="5"/>
      <c r="PE190" s="5"/>
      <c r="PF190" s="5"/>
      <c r="PG190" s="5"/>
      <c r="PH190" s="5"/>
      <c r="PI190" s="5"/>
      <c r="PJ190" s="5"/>
      <c r="PK190" s="5"/>
      <c r="PL190" s="5"/>
      <c r="PM190" s="5"/>
      <c r="PN190" s="5"/>
      <c r="PO190" s="5"/>
      <c r="PP190" s="5"/>
      <c r="PQ190" s="5"/>
      <c r="PR190" s="5"/>
      <c r="PS190" s="5"/>
      <c r="PT190" s="5"/>
      <c r="PU190" s="5"/>
      <c r="PV190" s="5"/>
      <c r="PW190" s="5"/>
      <c r="PX190" s="5"/>
      <c r="PY190" s="5"/>
      <c r="PZ190" s="5"/>
      <c r="QA190" s="5"/>
      <c r="QB190" s="5"/>
      <c r="QC190" s="5"/>
      <c r="QD190" s="5"/>
      <c r="QE190" s="5"/>
      <c r="QF190" s="5"/>
      <c r="QG190" s="5"/>
      <c r="QH190" s="5"/>
      <c r="QI190" s="5"/>
      <c r="QJ190" s="5"/>
      <c r="QK190" s="5"/>
      <c r="QL190" s="5"/>
      <c r="QM190" s="5"/>
      <c r="QN190" s="5"/>
      <c r="QO190" s="5"/>
      <c r="QP190" s="5"/>
      <c r="QQ190" s="5"/>
      <c r="QR190" s="5"/>
      <c r="QS190" s="5"/>
      <c r="QT190" s="5"/>
      <c r="QU190" s="5"/>
      <c r="QV190" s="5"/>
      <c r="QW190" s="5"/>
      <c r="QX190" s="5"/>
      <c r="QY190" s="5"/>
      <c r="QZ190" s="5"/>
      <c r="RA190" s="5"/>
      <c r="RB190" s="5"/>
      <c r="RC190" s="5"/>
      <c r="RD190" s="5"/>
      <c r="RE190" s="5"/>
      <c r="RF190" s="5"/>
      <c r="RG190" s="5"/>
      <c r="RH190" s="5"/>
      <c r="RI190" s="5"/>
      <c r="RJ190" s="5"/>
      <c r="RK190" s="5"/>
      <c r="RL190" s="5"/>
      <c r="RM190" s="5"/>
      <c r="RN190" s="5"/>
      <c r="RO190" s="5"/>
      <c r="RP190" s="5"/>
      <c r="RQ190" s="5"/>
      <c r="RR190" s="5"/>
      <c r="RS190" s="5"/>
      <c r="RT190" s="5"/>
      <c r="RU190" s="5"/>
      <c r="RV190" s="5"/>
      <c r="RW190" s="5"/>
      <c r="RX190" s="5"/>
      <c r="RY190" s="5"/>
      <c r="RZ190" s="5"/>
      <c r="SA190" s="5"/>
      <c r="SB190" s="5"/>
      <c r="SC190" s="5"/>
      <c r="SD190" s="5"/>
      <c r="SE190" s="5"/>
      <c r="SF190" s="5"/>
      <c r="SG190" s="5"/>
      <c r="SH190" s="5"/>
      <c r="SI190" s="5"/>
      <c r="SJ190" s="5"/>
      <c r="SK190" s="5"/>
      <c r="SL190" s="5"/>
      <c r="SM190" s="5"/>
      <c r="SN190" s="5"/>
      <c r="SO190" s="5"/>
      <c r="SP190" s="5"/>
      <c r="SQ190" s="5"/>
      <c r="SR190" s="5"/>
      <c r="SS190" s="5"/>
      <c r="ST190" s="5"/>
      <c r="SU190" s="5"/>
      <c r="SV190" s="5"/>
      <c r="SW190" s="5"/>
      <c r="SX190" s="5"/>
      <c r="SY190" s="5"/>
      <c r="SZ190" s="5"/>
      <c r="TA190" s="5"/>
      <c r="TB190" s="5"/>
      <c r="TC190" s="5"/>
      <c r="TD190" s="5"/>
      <c r="TE190" s="5"/>
      <c r="TF190" s="5"/>
      <c r="TG190" s="5"/>
      <c r="TH190" s="5"/>
      <c r="TI190" s="5"/>
      <c r="TJ190" s="5"/>
      <c r="TK190" s="5"/>
      <c r="TL190" s="5"/>
      <c r="TM190" s="5"/>
      <c r="TN190" s="5"/>
      <c r="TO190" s="5"/>
      <c r="TP190" s="5"/>
      <c r="TQ190" s="5"/>
      <c r="TR190" s="5"/>
      <c r="TS190" s="5"/>
      <c r="TT190" s="5"/>
      <c r="TU190" s="5"/>
      <c r="TV190" s="5"/>
      <c r="TW190" s="5"/>
      <c r="TX190" s="5"/>
      <c r="TY190" s="5"/>
      <c r="TZ190" s="5"/>
      <c r="UA190" s="5"/>
      <c r="UB190" s="5"/>
      <c r="UC190" s="5"/>
      <c r="UD190" s="5"/>
      <c r="UE190" s="5"/>
      <c r="UF190" s="5"/>
      <c r="UG190" s="5"/>
      <c r="UH190" s="5"/>
      <c r="UI190" s="5"/>
      <c r="UJ190" s="5"/>
      <c r="UK190" s="5"/>
      <c r="UL190" s="5"/>
      <c r="UM190" s="5"/>
      <c r="UN190" s="5"/>
      <c r="UO190" s="5"/>
      <c r="UP190" s="5"/>
      <c r="UQ190" s="5"/>
      <c r="UR190" s="5"/>
      <c r="US190" s="5"/>
      <c r="UT190" s="5"/>
      <c r="UU190" s="5"/>
      <c r="UV190" s="5"/>
      <c r="UW190" s="5"/>
      <c r="UX190" s="5"/>
      <c r="UY190" s="5"/>
      <c r="UZ190" s="5"/>
      <c r="VA190" s="5"/>
      <c r="VB190" s="5"/>
      <c r="VC190" s="5"/>
      <c r="VD190" s="5"/>
      <c r="VE190" s="5"/>
      <c r="VF190" s="5"/>
      <c r="VG190" s="5"/>
      <c r="VH190" s="5"/>
      <c r="VI190" s="5"/>
      <c r="VJ190" s="5"/>
      <c r="VK190" s="5"/>
      <c r="VL190" s="5"/>
      <c r="VM190" s="5"/>
      <c r="VN190" s="5"/>
      <c r="VO190" s="5"/>
      <c r="VP190" s="5"/>
      <c r="VQ190" s="5"/>
      <c r="VR190" s="5"/>
      <c r="VS190" s="5"/>
      <c r="VT190" s="5"/>
      <c r="VU190" s="5"/>
      <c r="VV190" s="5"/>
      <c r="VW190" s="5"/>
      <c r="VX190" s="5"/>
      <c r="VY190" s="5"/>
      <c r="VZ190" s="5"/>
      <c r="WA190" s="5"/>
      <c r="WB190" s="5"/>
      <c r="WC190" s="5"/>
      <c r="WD190" s="5"/>
      <c r="WE190" s="5"/>
      <c r="WF190" s="5"/>
      <c r="WG190" s="5"/>
      <c r="WH190" s="5"/>
      <c r="WI190" s="5"/>
      <c r="WJ190" s="5"/>
      <c r="WK190" s="5"/>
      <c r="WL190" s="5"/>
      <c r="WM190" s="5"/>
      <c r="WN190" s="5"/>
      <c r="WO190" s="5"/>
      <c r="WP190" s="5"/>
      <c r="WQ190" s="5"/>
      <c r="WR190" s="5"/>
      <c r="WS190" s="5"/>
      <c r="WT190" s="5"/>
      <c r="WU190" s="5"/>
      <c r="WV190" s="5"/>
      <c r="WW190" s="5"/>
      <c r="WX190" s="5"/>
      <c r="WY190" s="5"/>
      <c r="WZ190" s="5"/>
      <c r="XA190" s="5"/>
      <c r="XB190" s="5"/>
      <c r="XC190" s="5"/>
      <c r="XD190" s="5"/>
      <c r="XE190" s="5"/>
      <c r="XF190" s="5"/>
      <c r="XG190" s="5"/>
      <c r="XH190" s="5"/>
      <c r="XI190" s="5"/>
      <c r="XJ190" s="5"/>
      <c r="XK190" s="5"/>
      <c r="XL190" s="5"/>
      <c r="XM190" s="5"/>
      <c r="XN190" s="5"/>
      <c r="XO190" s="5"/>
      <c r="XP190" s="5"/>
      <c r="XQ190" s="5"/>
      <c r="XR190" s="5"/>
      <c r="XS190" s="5"/>
      <c r="XT190" s="5"/>
      <c r="XU190" s="5"/>
      <c r="XV190" s="5"/>
      <c r="XW190" s="5"/>
      <c r="XX190" s="5"/>
      <c r="XY190" s="5"/>
      <c r="XZ190" s="5"/>
      <c r="YA190" s="5"/>
      <c r="YB190" s="5"/>
      <c r="YC190" s="5"/>
      <c r="YD190" s="5"/>
      <c r="YE190" s="5"/>
      <c r="YF190" s="5"/>
      <c r="YG190" s="5"/>
      <c r="YH190" s="5"/>
      <c r="YI190" s="5"/>
      <c r="YJ190" s="5"/>
      <c r="YK190" s="5"/>
      <c r="YL190" s="5"/>
      <c r="YM190" s="5"/>
      <c r="YN190" s="5"/>
      <c r="YO190" s="5"/>
      <c r="YP190" s="5"/>
      <c r="YQ190" s="5"/>
      <c r="YR190" s="5"/>
      <c r="YS190" s="5"/>
      <c r="YT190" s="5"/>
      <c r="YU190" s="5"/>
      <c r="YV190" s="5"/>
      <c r="YW190" s="5"/>
      <c r="YX190" s="5"/>
      <c r="YY190" s="5"/>
      <c r="YZ190" s="5"/>
    </row>
    <row r="191" spans="1:676">
      <c r="A191" s="7">
        <v>181</v>
      </c>
      <c r="B191" s="7" t="s">
        <v>449</v>
      </c>
      <c r="C191" s="10" t="s">
        <v>450</v>
      </c>
      <c r="D191" s="7" t="s">
        <v>320</v>
      </c>
      <c r="E191" s="7" t="s">
        <v>279</v>
      </c>
      <c r="F191" s="7" t="s">
        <v>386</v>
      </c>
      <c r="G191" s="7"/>
      <c r="H191" s="7" t="s">
        <v>100</v>
      </c>
      <c r="I191" s="11">
        <v>2</v>
      </c>
      <c r="J191" s="11">
        <v>3</v>
      </c>
      <c r="K191" s="11">
        <v>0.95</v>
      </c>
      <c r="L191" s="11">
        <v>2</v>
      </c>
      <c r="M191" s="11">
        <v>0.51</v>
      </c>
      <c r="N191" s="11">
        <v>0</v>
      </c>
      <c r="O191" s="11">
        <v>0.28</v>
      </c>
      <c r="P191" s="11">
        <v>0</v>
      </c>
      <c r="Q191" s="11">
        <v>3.739999999999999</v>
      </c>
      <c r="R191" s="11">
        <v>68.53999999999998</v>
      </c>
      <c r="S191" s="11">
        <v>72.27999999999997</v>
      </c>
      <c r="T191" s="11">
        <v>2</v>
      </c>
      <c r="U191" s="11">
        <v>3</v>
      </c>
      <c r="V191" s="11">
        <v>67.27999999999997</v>
      </c>
      <c r="W191" s="13">
        <v>18</v>
      </c>
      <c r="X191" s="13">
        <v>27</v>
      </c>
      <c r="Y191" s="13" t="str">
        <f>MIN(W191,S191)</f>
        <v>0</v>
      </c>
      <c r="Z191" s="13" t="str">
        <f>MIN(X191,(S191-Y191))</f>
        <v>0</v>
      </c>
      <c r="AA191" s="13" t="str">
        <f>S191-SUM(Y191,Z191)</f>
        <v>0</v>
      </c>
      <c r="AB191" s="15"/>
      <c r="AC191" s="15"/>
      <c r="AD191" s="1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  <c r="IW191" s="5"/>
      <c r="IX191" s="5"/>
      <c r="IY191" s="5"/>
      <c r="IZ191" s="5"/>
      <c r="JA191" s="5"/>
      <c r="JB191" s="5"/>
      <c r="JC191" s="5"/>
      <c r="JD191" s="5"/>
      <c r="JE191" s="5"/>
      <c r="JF191" s="5"/>
      <c r="JG191" s="5"/>
      <c r="JH191" s="5"/>
      <c r="JI191" s="5"/>
      <c r="JJ191" s="5"/>
      <c r="JK191" s="5"/>
      <c r="JL191" s="5"/>
      <c r="JM191" s="5"/>
      <c r="JN191" s="5"/>
      <c r="JO191" s="5"/>
      <c r="JP191" s="5"/>
      <c r="JQ191" s="5"/>
      <c r="JR191" s="5"/>
      <c r="JS191" s="5"/>
      <c r="JT191" s="5"/>
      <c r="JU191" s="5"/>
      <c r="JV191" s="5"/>
      <c r="JW191" s="5"/>
      <c r="JX191" s="5"/>
      <c r="JY191" s="5"/>
      <c r="JZ191" s="5"/>
      <c r="KA191" s="5"/>
      <c r="KB191" s="5"/>
      <c r="KC191" s="5"/>
      <c r="KD191" s="5"/>
      <c r="KE191" s="5"/>
      <c r="KF191" s="5"/>
      <c r="KG191" s="5"/>
      <c r="KH191" s="5"/>
      <c r="KI191" s="5"/>
      <c r="KJ191" s="5"/>
      <c r="KK191" s="5"/>
      <c r="KL191" s="5"/>
      <c r="KM191" s="5"/>
      <c r="KN191" s="5"/>
      <c r="KO191" s="5"/>
      <c r="KP191" s="5"/>
      <c r="KQ191" s="5"/>
      <c r="KR191" s="5"/>
      <c r="KS191" s="5"/>
      <c r="KT191" s="5"/>
      <c r="KU191" s="5"/>
      <c r="KV191" s="5"/>
      <c r="KW191" s="5"/>
      <c r="KX191" s="5"/>
      <c r="KY191" s="5"/>
      <c r="KZ191" s="5"/>
      <c r="LA191" s="5"/>
      <c r="LB191" s="5"/>
      <c r="LC191" s="5"/>
      <c r="LD191" s="5"/>
      <c r="LE191" s="5"/>
      <c r="LF191" s="5"/>
      <c r="LG191" s="5"/>
      <c r="LH191" s="5"/>
      <c r="LI191" s="5"/>
      <c r="LJ191" s="5"/>
      <c r="LK191" s="5"/>
      <c r="LL191" s="5"/>
      <c r="LM191" s="5"/>
      <c r="LN191" s="5"/>
      <c r="LO191" s="5"/>
      <c r="LP191" s="5"/>
      <c r="LQ191" s="5"/>
      <c r="LR191" s="5"/>
      <c r="LS191" s="5"/>
      <c r="LT191" s="5"/>
      <c r="LU191" s="5"/>
      <c r="LV191" s="5"/>
      <c r="LW191" s="5"/>
      <c r="LX191" s="5"/>
      <c r="LY191" s="5"/>
      <c r="LZ191" s="5"/>
      <c r="MA191" s="5"/>
      <c r="MB191" s="5"/>
      <c r="MC191" s="5"/>
      <c r="MD191" s="5"/>
      <c r="ME191" s="5"/>
      <c r="MF191" s="5"/>
      <c r="MG191" s="5"/>
      <c r="MH191" s="5"/>
      <c r="MI191" s="5"/>
      <c r="MJ191" s="5"/>
      <c r="MK191" s="5"/>
      <c r="ML191" s="5"/>
      <c r="MM191" s="5"/>
      <c r="MN191" s="5"/>
      <c r="MO191" s="5"/>
      <c r="MP191" s="5"/>
      <c r="MQ191" s="5"/>
      <c r="MR191" s="5"/>
      <c r="MS191" s="5"/>
      <c r="MT191" s="5"/>
      <c r="MU191" s="5"/>
      <c r="MV191" s="5"/>
      <c r="MW191" s="5"/>
      <c r="MX191" s="5"/>
      <c r="MY191" s="5"/>
      <c r="MZ191" s="5"/>
      <c r="NA191" s="5"/>
      <c r="NB191" s="5"/>
      <c r="NC191" s="5"/>
      <c r="ND191" s="5"/>
      <c r="NE191" s="5"/>
      <c r="NF191" s="5"/>
      <c r="NG191" s="5"/>
      <c r="NH191" s="5"/>
      <c r="NI191" s="5"/>
      <c r="NJ191" s="5"/>
      <c r="NK191" s="5"/>
      <c r="NL191" s="5"/>
      <c r="NM191" s="5"/>
      <c r="NN191" s="5"/>
      <c r="NO191" s="5"/>
      <c r="NP191" s="5"/>
      <c r="NQ191" s="5"/>
      <c r="NR191" s="5"/>
      <c r="NS191" s="5"/>
      <c r="NT191" s="5"/>
      <c r="NU191" s="5"/>
      <c r="NV191" s="5"/>
      <c r="NW191" s="5"/>
      <c r="NX191" s="5"/>
      <c r="NY191" s="5"/>
      <c r="NZ191" s="5"/>
      <c r="OA191" s="5"/>
      <c r="OB191" s="5"/>
      <c r="OC191" s="5"/>
      <c r="OD191" s="5"/>
      <c r="OE191" s="5"/>
      <c r="OF191" s="5"/>
      <c r="OG191" s="5"/>
      <c r="OH191" s="5"/>
      <c r="OI191" s="5"/>
      <c r="OJ191" s="5"/>
      <c r="OK191" s="5"/>
      <c r="OL191" s="5"/>
      <c r="OM191" s="5"/>
      <c r="ON191" s="5"/>
      <c r="OO191" s="5"/>
      <c r="OP191" s="5"/>
      <c r="OQ191" s="5"/>
      <c r="OR191" s="5"/>
      <c r="OS191" s="5"/>
      <c r="OT191" s="5"/>
      <c r="OU191" s="5"/>
      <c r="OV191" s="5"/>
      <c r="OW191" s="5"/>
      <c r="OX191" s="5"/>
      <c r="OY191" s="5"/>
      <c r="OZ191" s="5"/>
      <c r="PA191" s="5"/>
      <c r="PB191" s="5"/>
      <c r="PC191" s="5"/>
      <c r="PD191" s="5"/>
      <c r="PE191" s="5"/>
      <c r="PF191" s="5"/>
      <c r="PG191" s="5"/>
      <c r="PH191" s="5"/>
      <c r="PI191" s="5"/>
      <c r="PJ191" s="5"/>
      <c r="PK191" s="5"/>
      <c r="PL191" s="5"/>
      <c r="PM191" s="5"/>
      <c r="PN191" s="5"/>
      <c r="PO191" s="5"/>
      <c r="PP191" s="5"/>
      <c r="PQ191" s="5"/>
      <c r="PR191" s="5"/>
      <c r="PS191" s="5"/>
      <c r="PT191" s="5"/>
      <c r="PU191" s="5"/>
      <c r="PV191" s="5"/>
      <c r="PW191" s="5"/>
      <c r="PX191" s="5"/>
      <c r="PY191" s="5"/>
      <c r="PZ191" s="5"/>
      <c r="QA191" s="5"/>
      <c r="QB191" s="5"/>
      <c r="QC191" s="5"/>
      <c r="QD191" s="5"/>
      <c r="QE191" s="5"/>
      <c r="QF191" s="5"/>
      <c r="QG191" s="5"/>
      <c r="QH191" s="5"/>
      <c r="QI191" s="5"/>
      <c r="QJ191" s="5"/>
      <c r="QK191" s="5"/>
      <c r="QL191" s="5"/>
      <c r="QM191" s="5"/>
      <c r="QN191" s="5"/>
      <c r="QO191" s="5"/>
      <c r="QP191" s="5"/>
      <c r="QQ191" s="5"/>
      <c r="QR191" s="5"/>
      <c r="QS191" s="5"/>
      <c r="QT191" s="5"/>
      <c r="QU191" s="5"/>
      <c r="QV191" s="5"/>
      <c r="QW191" s="5"/>
      <c r="QX191" s="5"/>
      <c r="QY191" s="5"/>
      <c r="QZ191" s="5"/>
      <c r="RA191" s="5"/>
      <c r="RB191" s="5"/>
      <c r="RC191" s="5"/>
      <c r="RD191" s="5"/>
      <c r="RE191" s="5"/>
      <c r="RF191" s="5"/>
      <c r="RG191" s="5"/>
      <c r="RH191" s="5"/>
      <c r="RI191" s="5"/>
      <c r="RJ191" s="5"/>
      <c r="RK191" s="5"/>
      <c r="RL191" s="5"/>
      <c r="RM191" s="5"/>
      <c r="RN191" s="5"/>
      <c r="RO191" s="5"/>
      <c r="RP191" s="5"/>
      <c r="RQ191" s="5"/>
      <c r="RR191" s="5"/>
      <c r="RS191" s="5"/>
      <c r="RT191" s="5"/>
      <c r="RU191" s="5"/>
      <c r="RV191" s="5"/>
      <c r="RW191" s="5"/>
      <c r="RX191" s="5"/>
      <c r="RY191" s="5"/>
      <c r="RZ191" s="5"/>
      <c r="SA191" s="5"/>
      <c r="SB191" s="5"/>
      <c r="SC191" s="5"/>
      <c r="SD191" s="5"/>
      <c r="SE191" s="5"/>
      <c r="SF191" s="5"/>
      <c r="SG191" s="5"/>
      <c r="SH191" s="5"/>
      <c r="SI191" s="5"/>
      <c r="SJ191" s="5"/>
      <c r="SK191" s="5"/>
      <c r="SL191" s="5"/>
      <c r="SM191" s="5"/>
      <c r="SN191" s="5"/>
      <c r="SO191" s="5"/>
      <c r="SP191" s="5"/>
      <c r="SQ191" s="5"/>
      <c r="SR191" s="5"/>
      <c r="SS191" s="5"/>
      <c r="ST191" s="5"/>
      <c r="SU191" s="5"/>
      <c r="SV191" s="5"/>
      <c r="SW191" s="5"/>
      <c r="SX191" s="5"/>
      <c r="SY191" s="5"/>
      <c r="SZ191" s="5"/>
      <c r="TA191" s="5"/>
      <c r="TB191" s="5"/>
      <c r="TC191" s="5"/>
      <c r="TD191" s="5"/>
      <c r="TE191" s="5"/>
      <c r="TF191" s="5"/>
      <c r="TG191" s="5"/>
      <c r="TH191" s="5"/>
      <c r="TI191" s="5"/>
      <c r="TJ191" s="5"/>
      <c r="TK191" s="5"/>
      <c r="TL191" s="5"/>
      <c r="TM191" s="5"/>
      <c r="TN191" s="5"/>
      <c r="TO191" s="5"/>
      <c r="TP191" s="5"/>
      <c r="TQ191" s="5"/>
      <c r="TR191" s="5"/>
      <c r="TS191" s="5"/>
      <c r="TT191" s="5"/>
      <c r="TU191" s="5"/>
      <c r="TV191" s="5"/>
      <c r="TW191" s="5"/>
      <c r="TX191" s="5"/>
      <c r="TY191" s="5"/>
      <c r="TZ191" s="5"/>
      <c r="UA191" s="5"/>
      <c r="UB191" s="5"/>
      <c r="UC191" s="5"/>
      <c r="UD191" s="5"/>
      <c r="UE191" s="5"/>
      <c r="UF191" s="5"/>
      <c r="UG191" s="5"/>
      <c r="UH191" s="5"/>
      <c r="UI191" s="5"/>
      <c r="UJ191" s="5"/>
      <c r="UK191" s="5"/>
      <c r="UL191" s="5"/>
      <c r="UM191" s="5"/>
      <c r="UN191" s="5"/>
      <c r="UO191" s="5"/>
      <c r="UP191" s="5"/>
      <c r="UQ191" s="5"/>
      <c r="UR191" s="5"/>
      <c r="US191" s="5"/>
      <c r="UT191" s="5"/>
      <c r="UU191" s="5"/>
      <c r="UV191" s="5"/>
      <c r="UW191" s="5"/>
      <c r="UX191" s="5"/>
      <c r="UY191" s="5"/>
      <c r="UZ191" s="5"/>
      <c r="VA191" s="5"/>
      <c r="VB191" s="5"/>
      <c r="VC191" s="5"/>
      <c r="VD191" s="5"/>
      <c r="VE191" s="5"/>
      <c r="VF191" s="5"/>
      <c r="VG191" s="5"/>
      <c r="VH191" s="5"/>
      <c r="VI191" s="5"/>
      <c r="VJ191" s="5"/>
      <c r="VK191" s="5"/>
      <c r="VL191" s="5"/>
      <c r="VM191" s="5"/>
      <c r="VN191" s="5"/>
      <c r="VO191" s="5"/>
      <c r="VP191" s="5"/>
      <c r="VQ191" s="5"/>
      <c r="VR191" s="5"/>
      <c r="VS191" s="5"/>
      <c r="VT191" s="5"/>
      <c r="VU191" s="5"/>
      <c r="VV191" s="5"/>
      <c r="VW191" s="5"/>
      <c r="VX191" s="5"/>
      <c r="VY191" s="5"/>
      <c r="VZ191" s="5"/>
      <c r="WA191" s="5"/>
      <c r="WB191" s="5"/>
      <c r="WC191" s="5"/>
      <c r="WD191" s="5"/>
      <c r="WE191" s="5"/>
      <c r="WF191" s="5"/>
      <c r="WG191" s="5"/>
      <c r="WH191" s="5"/>
      <c r="WI191" s="5"/>
      <c r="WJ191" s="5"/>
      <c r="WK191" s="5"/>
      <c r="WL191" s="5"/>
      <c r="WM191" s="5"/>
      <c r="WN191" s="5"/>
      <c r="WO191" s="5"/>
      <c r="WP191" s="5"/>
      <c r="WQ191" s="5"/>
      <c r="WR191" s="5"/>
      <c r="WS191" s="5"/>
      <c r="WT191" s="5"/>
      <c r="WU191" s="5"/>
      <c r="WV191" s="5"/>
      <c r="WW191" s="5"/>
      <c r="WX191" s="5"/>
      <c r="WY191" s="5"/>
      <c r="WZ191" s="5"/>
      <c r="XA191" s="5"/>
      <c r="XB191" s="5"/>
      <c r="XC191" s="5"/>
      <c r="XD191" s="5"/>
      <c r="XE191" s="5"/>
      <c r="XF191" s="5"/>
      <c r="XG191" s="5"/>
      <c r="XH191" s="5"/>
      <c r="XI191" s="5"/>
      <c r="XJ191" s="5"/>
      <c r="XK191" s="5"/>
      <c r="XL191" s="5"/>
      <c r="XM191" s="5"/>
      <c r="XN191" s="5"/>
      <c r="XO191" s="5"/>
      <c r="XP191" s="5"/>
      <c r="XQ191" s="5"/>
      <c r="XR191" s="5"/>
      <c r="XS191" s="5"/>
      <c r="XT191" s="5"/>
      <c r="XU191" s="5"/>
      <c r="XV191" s="5"/>
      <c r="XW191" s="5"/>
      <c r="XX191" s="5"/>
      <c r="XY191" s="5"/>
      <c r="XZ191" s="5"/>
      <c r="YA191" s="5"/>
      <c r="YB191" s="5"/>
      <c r="YC191" s="5"/>
      <c r="YD191" s="5"/>
      <c r="YE191" s="5"/>
      <c r="YF191" s="5"/>
      <c r="YG191" s="5"/>
      <c r="YH191" s="5"/>
      <c r="YI191" s="5"/>
      <c r="YJ191" s="5"/>
      <c r="YK191" s="5"/>
      <c r="YL191" s="5"/>
      <c r="YM191" s="5"/>
      <c r="YN191" s="5"/>
      <c r="YO191" s="5"/>
      <c r="YP191" s="5"/>
      <c r="YQ191" s="5"/>
      <c r="YR191" s="5"/>
      <c r="YS191" s="5"/>
      <c r="YT191" s="5"/>
      <c r="YU191" s="5"/>
      <c r="YV191" s="5"/>
      <c r="YW191" s="5"/>
      <c r="YX191" s="5"/>
      <c r="YY191" s="5"/>
      <c r="YZ191" s="5"/>
    </row>
    <row r="192" spans="1:676">
      <c r="A192" s="7">
        <v>182</v>
      </c>
      <c r="B192" s="7" t="s">
        <v>451</v>
      </c>
      <c r="C192" s="10" t="s">
        <v>452</v>
      </c>
      <c r="D192" s="7" t="s">
        <v>74</v>
      </c>
      <c r="E192" s="7" t="s">
        <v>116</v>
      </c>
      <c r="F192" s="7" t="s">
        <v>389</v>
      </c>
      <c r="G192" s="7"/>
      <c r="H192" s="7" t="s">
        <v>52</v>
      </c>
      <c r="I192" s="11">
        <v>2</v>
      </c>
      <c r="J192" s="11">
        <v>3</v>
      </c>
      <c r="K192" s="11">
        <v>0</v>
      </c>
      <c r="L192" s="11">
        <v>0</v>
      </c>
      <c r="M192" s="11">
        <v>0</v>
      </c>
      <c r="N192" s="11">
        <v>0</v>
      </c>
      <c r="O192" s="11">
        <v>0.36</v>
      </c>
      <c r="P192" s="11">
        <v>0</v>
      </c>
      <c r="Q192" s="11">
        <v>0.36</v>
      </c>
      <c r="R192" s="11">
        <v>1.8</v>
      </c>
      <c r="S192" s="11">
        <v>2.16</v>
      </c>
      <c r="T192" s="11">
        <v>2</v>
      </c>
      <c r="U192" s="11">
        <v>0.1599999999999997</v>
      </c>
      <c r="V192" s="11">
        <v>0</v>
      </c>
      <c r="W192" s="13">
        <v>18</v>
      </c>
      <c r="X192" s="13">
        <v>27</v>
      </c>
      <c r="Y192" s="13" t="str">
        <f>MIN(W192,S192)</f>
        <v>0</v>
      </c>
      <c r="Z192" s="13" t="str">
        <f>MIN(X192,(S192-Y192))</f>
        <v>0</v>
      </c>
      <c r="AA192" s="13" t="str">
        <f>S192-SUM(Y192,Z192)</f>
        <v>0</v>
      </c>
      <c r="AB192" s="15"/>
      <c r="AC192" s="15"/>
      <c r="AD192" s="1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W192" s="5"/>
      <c r="BX192" s="5"/>
      <c r="BY192" s="5"/>
      <c r="BZ192" s="5"/>
      <c r="CA192" s="5"/>
      <c r="CB192" s="5"/>
      <c r="CC192" s="5"/>
      <c r="CD192" s="5"/>
      <c r="CE192" s="5"/>
      <c r="CF192" s="5"/>
      <c r="CG192" s="5"/>
      <c r="CH192" s="5"/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5"/>
      <c r="CY192" s="5"/>
      <c r="CZ192" s="5"/>
      <c r="DA192" s="5"/>
      <c r="DB192" s="5"/>
      <c r="DC192" s="5"/>
      <c r="DD192" s="5"/>
      <c r="DE192" s="5"/>
      <c r="DF192" s="5"/>
      <c r="DG192" s="5"/>
      <c r="DH192" s="5"/>
      <c r="DI192" s="5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  <c r="EC192" s="5"/>
      <c r="ED192" s="5"/>
      <c r="EE192" s="5"/>
      <c r="EF192" s="5"/>
      <c r="EG192" s="5"/>
      <c r="EH192" s="5"/>
      <c r="EI192" s="5"/>
      <c r="EJ192" s="5"/>
      <c r="EK192" s="5"/>
      <c r="EL192" s="5"/>
      <c r="EM192" s="5"/>
      <c r="EN192" s="5"/>
      <c r="EO192" s="5"/>
      <c r="EP192" s="5"/>
      <c r="EQ192" s="5"/>
      <c r="ER192" s="5"/>
      <c r="ES192" s="5"/>
      <c r="ET192" s="5"/>
      <c r="EU192" s="5"/>
      <c r="EV192" s="5"/>
      <c r="EW192" s="5"/>
      <c r="EX192" s="5"/>
      <c r="EY192" s="5"/>
      <c r="EZ192" s="5"/>
      <c r="FA192" s="5"/>
      <c r="FB192" s="5"/>
      <c r="FC192" s="5"/>
      <c r="FD192" s="5"/>
      <c r="FE192" s="5"/>
      <c r="FF192" s="5"/>
      <c r="FG192" s="5"/>
      <c r="FH192" s="5"/>
      <c r="FI192" s="5"/>
      <c r="FJ192" s="5"/>
      <c r="FK192" s="5"/>
      <c r="FL192" s="5"/>
      <c r="FM192" s="5"/>
      <c r="FN192" s="5"/>
      <c r="FO192" s="5"/>
      <c r="FP192" s="5"/>
      <c r="FQ192" s="5"/>
      <c r="FR192" s="5"/>
      <c r="FS192" s="5"/>
      <c r="FT192" s="5"/>
      <c r="FU192" s="5"/>
      <c r="FV192" s="5"/>
      <c r="FW192" s="5"/>
      <c r="FX192" s="5"/>
      <c r="FY192" s="5"/>
      <c r="FZ192" s="5"/>
      <c r="GA192" s="5"/>
      <c r="GB192" s="5"/>
      <c r="GC192" s="5"/>
      <c r="GD192" s="5"/>
      <c r="GE192" s="5"/>
      <c r="GF192" s="5"/>
      <c r="GG192" s="5"/>
      <c r="GH192" s="5"/>
      <c r="GI192" s="5"/>
      <c r="GJ192" s="5"/>
      <c r="GK192" s="5"/>
      <c r="GL192" s="5"/>
      <c r="GM192" s="5"/>
      <c r="GN192" s="5"/>
      <c r="GO192" s="5"/>
      <c r="GP192" s="5"/>
      <c r="GQ192" s="5"/>
      <c r="GR192" s="5"/>
      <c r="GS192" s="5"/>
      <c r="GT192" s="5"/>
      <c r="GU192" s="5"/>
      <c r="GV192" s="5"/>
      <c r="GW192" s="5"/>
      <c r="GX192" s="5"/>
      <c r="GY192" s="5"/>
      <c r="GZ192" s="5"/>
      <c r="HA192" s="5"/>
      <c r="HB192" s="5"/>
      <c r="HC192" s="5"/>
      <c r="HD192" s="5"/>
      <c r="HE192" s="5"/>
      <c r="HF192" s="5"/>
      <c r="HG192" s="5"/>
      <c r="HH192" s="5"/>
      <c r="HI192" s="5"/>
      <c r="HJ192" s="5"/>
      <c r="HK192" s="5"/>
      <c r="HL192" s="5"/>
      <c r="HM192" s="5"/>
      <c r="HN192" s="5"/>
      <c r="HO192" s="5"/>
      <c r="HP192" s="5"/>
      <c r="HQ192" s="5"/>
      <c r="HR192" s="5"/>
      <c r="HS192" s="5"/>
      <c r="HT192" s="5"/>
      <c r="HU192" s="5"/>
      <c r="HV192" s="5"/>
      <c r="HW192" s="5"/>
      <c r="HX192" s="5"/>
      <c r="HY192" s="5"/>
      <c r="HZ192" s="5"/>
      <c r="IA192" s="5"/>
      <c r="IB192" s="5"/>
      <c r="IC192" s="5"/>
      <c r="ID192" s="5"/>
      <c r="IE192" s="5"/>
      <c r="IF192" s="5"/>
      <c r="IG192" s="5"/>
      <c r="IH192" s="5"/>
      <c r="II192" s="5"/>
      <c r="IJ192" s="5"/>
      <c r="IK192" s="5"/>
      <c r="IL192" s="5"/>
      <c r="IM192" s="5"/>
      <c r="IN192" s="5"/>
      <c r="IO192" s="5"/>
      <c r="IP192" s="5"/>
      <c r="IQ192" s="5"/>
      <c r="IR192" s="5"/>
      <c r="IS192" s="5"/>
      <c r="IT192" s="5"/>
      <c r="IU192" s="5"/>
      <c r="IV192" s="5"/>
      <c r="IW192" s="5"/>
      <c r="IX192" s="5"/>
      <c r="IY192" s="5"/>
      <c r="IZ192" s="5"/>
      <c r="JA192" s="5"/>
      <c r="JB192" s="5"/>
      <c r="JC192" s="5"/>
      <c r="JD192" s="5"/>
      <c r="JE192" s="5"/>
      <c r="JF192" s="5"/>
      <c r="JG192" s="5"/>
      <c r="JH192" s="5"/>
      <c r="JI192" s="5"/>
      <c r="JJ192" s="5"/>
      <c r="JK192" s="5"/>
      <c r="JL192" s="5"/>
      <c r="JM192" s="5"/>
      <c r="JN192" s="5"/>
      <c r="JO192" s="5"/>
      <c r="JP192" s="5"/>
      <c r="JQ192" s="5"/>
      <c r="JR192" s="5"/>
      <c r="JS192" s="5"/>
      <c r="JT192" s="5"/>
      <c r="JU192" s="5"/>
      <c r="JV192" s="5"/>
      <c r="JW192" s="5"/>
      <c r="JX192" s="5"/>
      <c r="JY192" s="5"/>
      <c r="JZ192" s="5"/>
      <c r="KA192" s="5"/>
      <c r="KB192" s="5"/>
      <c r="KC192" s="5"/>
      <c r="KD192" s="5"/>
      <c r="KE192" s="5"/>
      <c r="KF192" s="5"/>
      <c r="KG192" s="5"/>
      <c r="KH192" s="5"/>
      <c r="KI192" s="5"/>
      <c r="KJ192" s="5"/>
      <c r="KK192" s="5"/>
      <c r="KL192" s="5"/>
      <c r="KM192" s="5"/>
      <c r="KN192" s="5"/>
      <c r="KO192" s="5"/>
      <c r="KP192" s="5"/>
      <c r="KQ192" s="5"/>
      <c r="KR192" s="5"/>
      <c r="KS192" s="5"/>
      <c r="KT192" s="5"/>
      <c r="KU192" s="5"/>
      <c r="KV192" s="5"/>
      <c r="KW192" s="5"/>
      <c r="KX192" s="5"/>
      <c r="KY192" s="5"/>
      <c r="KZ192" s="5"/>
      <c r="LA192" s="5"/>
      <c r="LB192" s="5"/>
      <c r="LC192" s="5"/>
      <c r="LD192" s="5"/>
      <c r="LE192" s="5"/>
      <c r="LF192" s="5"/>
      <c r="LG192" s="5"/>
      <c r="LH192" s="5"/>
      <c r="LI192" s="5"/>
      <c r="LJ192" s="5"/>
      <c r="LK192" s="5"/>
      <c r="LL192" s="5"/>
      <c r="LM192" s="5"/>
      <c r="LN192" s="5"/>
      <c r="LO192" s="5"/>
      <c r="LP192" s="5"/>
      <c r="LQ192" s="5"/>
      <c r="LR192" s="5"/>
      <c r="LS192" s="5"/>
      <c r="LT192" s="5"/>
      <c r="LU192" s="5"/>
      <c r="LV192" s="5"/>
      <c r="LW192" s="5"/>
      <c r="LX192" s="5"/>
      <c r="LY192" s="5"/>
      <c r="LZ192" s="5"/>
      <c r="MA192" s="5"/>
      <c r="MB192" s="5"/>
      <c r="MC192" s="5"/>
      <c r="MD192" s="5"/>
      <c r="ME192" s="5"/>
      <c r="MF192" s="5"/>
      <c r="MG192" s="5"/>
      <c r="MH192" s="5"/>
      <c r="MI192" s="5"/>
      <c r="MJ192" s="5"/>
      <c r="MK192" s="5"/>
      <c r="ML192" s="5"/>
      <c r="MM192" s="5"/>
      <c r="MN192" s="5"/>
      <c r="MO192" s="5"/>
      <c r="MP192" s="5"/>
      <c r="MQ192" s="5"/>
      <c r="MR192" s="5"/>
      <c r="MS192" s="5"/>
      <c r="MT192" s="5"/>
      <c r="MU192" s="5"/>
      <c r="MV192" s="5"/>
      <c r="MW192" s="5"/>
      <c r="MX192" s="5"/>
      <c r="MY192" s="5"/>
      <c r="MZ192" s="5"/>
      <c r="NA192" s="5"/>
      <c r="NB192" s="5"/>
      <c r="NC192" s="5"/>
      <c r="ND192" s="5"/>
      <c r="NE192" s="5"/>
      <c r="NF192" s="5"/>
      <c r="NG192" s="5"/>
      <c r="NH192" s="5"/>
      <c r="NI192" s="5"/>
      <c r="NJ192" s="5"/>
      <c r="NK192" s="5"/>
      <c r="NL192" s="5"/>
      <c r="NM192" s="5"/>
      <c r="NN192" s="5"/>
      <c r="NO192" s="5"/>
      <c r="NP192" s="5"/>
      <c r="NQ192" s="5"/>
      <c r="NR192" s="5"/>
      <c r="NS192" s="5"/>
      <c r="NT192" s="5"/>
      <c r="NU192" s="5"/>
      <c r="NV192" s="5"/>
      <c r="NW192" s="5"/>
      <c r="NX192" s="5"/>
      <c r="NY192" s="5"/>
      <c r="NZ192" s="5"/>
      <c r="OA192" s="5"/>
      <c r="OB192" s="5"/>
      <c r="OC192" s="5"/>
      <c r="OD192" s="5"/>
      <c r="OE192" s="5"/>
      <c r="OF192" s="5"/>
      <c r="OG192" s="5"/>
      <c r="OH192" s="5"/>
      <c r="OI192" s="5"/>
      <c r="OJ192" s="5"/>
      <c r="OK192" s="5"/>
      <c r="OL192" s="5"/>
      <c r="OM192" s="5"/>
      <c r="ON192" s="5"/>
      <c r="OO192" s="5"/>
      <c r="OP192" s="5"/>
      <c r="OQ192" s="5"/>
      <c r="OR192" s="5"/>
      <c r="OS192" s="5"/>
      <c r="OT192" s="5"/>
      <c r="OU192" s="5"/>
      <c r="OV192" s="5"/>
      <c r="OW192" s="5"/>
      <c r="OX192" s="5"/>
      <c r="OY192" s="5"/>
      <c r="OZ192" s="5"/>
      <c r="PA192" s="5"/>
      <c r="PB192" s="5"/>
      <c r="PC192" s="5"/>
      <c r="PD192" s="5"/>
      <c r="PE192" s="5"/>
      <c r="PF192" s="5"/>
      <c r="PG192" s="5"/>
      <c r="PH192" s="5"/>
      <c r="PI192" s="5"/>
      <c r="PJ192" s="5"/>
      <c r="PK192" s="5"/>
      <c r="PL192" s="5"/>
      <c r="PM192" s="5"/>
      <c r="PN192" s="5"/>
      <c r="PO192" s="5"/>
      <c r="PP192" s="5"/>
      <c r="PQ192" s="5"/>
      <c r="PR192" s="5"/>
      <c r="PS192" s="5"/>
      <c r="PT192" s="5"/>
      <c r="PU192" s="5"/>
      <c r="PV192" s="5"/>
      <c r="PW192" s="5"/>
      <c r="PX192" s="5"/>
      <c r="PY192" s="5"/>
      <c r="PZ192" s="5"/>
      <c r="QA192" s="5"/>
      <c r="QB192" s="5"/>
      <c r="QC192" s="5"/>
      <c r="QD192" s="5"/>
      <c r="QE192" s="5"/>
      <c r="QF192" s="5"/>
      <c r="QG192" s="5"/>
      <c r="QH192" s="5"/>
      <c r="QI192" s="5"/>
      <c r="QJ192" s="5"/>
      <c r="QK192" s="5"/>
      <c r="QL192" s="5"/>
      <c r="QM192" s="5"/>
      <c r="QN192" s="5"/>
      <c r="QO192" s="5"/>
      <c r="QP192" s="5"/>
      <c r="QQ192" s="5"/>
      <c r="QR192" s="5"/>
      <c r="QS192" s="5"/>
      <c r="QT192" s="5"/>
      <c r="QU192" s="5"/>
      <c r="QV192" s="5"/>
      <c r="QW192" s="5"/>
      <c r="QX192" s="5"/>
      <c r="QY192" s="5"/>
      <c r="QZ192" s="5"/>
      <c r="RA192" s="5"/>
      <c r="RB192" s="5"/>
      <c r="RC192" s="5"/>
      <c r="RD192" s="5"/>
      <c r="RE192" s="5"/>
      <c r="RF192" s="5"/>
      <c r="RG192" s="5"/>
      <c r="RH192" s="5"/>
      <c r="RI192" s="5"/>
      <c r="RJ192" s="5"/>
      <c r="RK192" s="5"/>
      <c r="RL192" s="5"/>
      <c r="RM192" s="5"/>
      <c r="RN192" s="5"/>
      <c r="RO192" s="5"/>
      <c r="RP192" s="5"/>
      <c r="RQ192" s="5"/>
      <c r="RR192" s="5"/>
      <c r="RS192" s="5"/>
      <c r="RT192" s="5"/>
      <c r="RU192" s="5"/>
      <c r="RV192" s="5"/>
      <c r="RW192" s="5"/>
      <c r="RX192" s="5"/>
      <c r="RY192" s="5"/>
      <c r="RZ192" s="5"/>
      <c r="SA192" s="5"/>
      <c r="SB192" s="5"/>
      <c r="SC192" s="5"/>
      <c r="SD192" s="5"/>
      <c r="SE192" s="5"/>
      <c r="SF192" s="5"/>
      <c r="SG192" s="5"/>
      <c r="SH192" s="5"/>
      <c r="SI192" s="5"/>
      <c r="SJ192" s="5"/>
      <c r="SK192" s="5"/>
      <c r="SL192" s="5"/>
      <c r="SM192" s="5"/>
      <c r="SN192" s="5"/>
      <c r="SO192" s="5"/>
      <c r="SP192" s="5"/>
      <c r="SQ192" s="5"/>
      <c r="SR192" s="5"/>
      <c r="SS192" s="5"/>
      <c r="ST192" s="5"/>
      <c r="SU192" s="5"/>
      <c r="SV192" s="5"/>
      <c r="SW192" s="5"/>
      <c r="SX192" s="5"/>
      <c r="SY192" s="5"/>
      <c r="SZ192" s="5"/>
      <c r="TA192" s="5"/>
      <c r="TB192" s="5"/>
      <c r="TC192" s="5"/>
      <c r="TD192" s="5"/>
      <c r="TE192" s="5"/>
      <c r="TF192" s="5"/>
      <c r="TG192" s="5"/>
      <c r="TH192" s="5"/>
      <c r="TI192" s="5"/>
      <c r="TJ192" s="5"/>
      <c r="TK192" s="5"/>
      <c r="TL192" s="5"/>
      <c r="TM192" s="5"/>
      <c r="TN192" s="5"/>
      <c r="TO192" s="5"/>
      <c r="TP192" s="5"/>
      <c r="TQ192" s="5"/>
      <c r="TR192" s="5"/>
      <c r="TS192" s="5"/>
      <c r="TT192" s="5"/>
      <c r="TU192" s="5"/>
      <c r="TV192" s="5"/>
      <c r="TW192" s="5"/>
      <c r="TX192" s="5"/>
      <c r="TY192" s="5"/>
      <c r="TZ192" s="5"/>
      <c r="UA192" s="5"/>
      <c r="UB192" s="5"/>
      <c r="UC192" s="5"/>
      <c r="UD192" s="5"/>
      <c r="UE192" s="5"/>
      <c r="UF192" s="5"/>
      <c r="UG192" s="5"/>
      <c r="UH192" s="5"/>
      <c r="UI192" s="5"/>
      <c r="UJ192" s="5"/>
      <c r="UK192" s="5"/>
      <c r="UL192" s="5"/>
      <c r="UM192" s="5"/>
      <c r="UN192" s="5"/>
      <c r="UO192" s="5"/>
      <c r="UP192" s="5"/>
      <c r="UQ192" s="5"/>
      <c r="UR192" s="5"/>
      <c r="US192" s="5"/>
      <c r="UT192" s="5"/>
      <c r="UU192" s="5"/>
      <c r="UV192" s="5"/>
      <c r="UW192" s="5"/>
      <c r="UX192" s="5"/>
      <c r="UY192" s="5"/>
      <c r="UZ192" s="5"/>
      <c r="VA192" s="5"/>
      <c r="VB192" s="5"/>
      <c r="VC192" s="5"/>
      <c r="VD192" s="5"/>
      <c r="VE192" s="5"/>
      <c r="VF192" s="5"/>
      <c r="VG192" s="5"/>
      <c r="VH192" s="5"/>
      <c r="VI192" s="5"/>
      <c r="VJ192" s="5"/>
      <c r="VK192" s="5"/>
      <c r="VL192" s="5"/>
      <c r="VM192" s="5"/>
      <c r="VN192" s="5"/>
      <c r="VO192" s="5"/>
      <c r="VP192" s="5"/>
      <c r="VQ192" s="5"/>
      <c r="VR192" s="5"/>
      <c r="VS192" s="5"/>
      <c r="VT192" s="5"/>
      <c r="VU192" s="5"/>
      <c r="VV192" s="5"/>
      <c r="VW192" s="5"/>
      <c r="VX192" s="5"/>
      <c r="VY192" s="5"/>
      <c r="VZ192" s="5"/>
      <c r="WA192" s="5"/>
      <c r="WB192" s="5"/>
      <c r="WC192" s="5"/>
      <c r="WD192" s="5"/>
      <c r="WE192" s="5"/>
      <c r="WF192" s="5"/>
      <c r="WG192" s="5"/>
      <c r="WH192" s="5"/>
      <c r="WI192" s="5"/>
      <c r="WJ192" s="5"/>
      <c r="WK192" s="5"/>
      <c r="WL192" s="5"/>
      <c r="WM192" s="5"/>
      <c r="WN192" s="5"/>
      <c r="WO192" s="5"/>
      <c r="WP192" s="5"/>
      <c r="WQ192" s="5"/>
      <c r="WR192" s="5"/>
      <c r="WS192" s="5"/>
      <c r="WT192" s="5"/>
      <c r="WU192" s="5"/>
      <c r="WV192" s="5"/>
      <c r="WW192" s="5"/>
      <c r="WX192" s="5"/>
      <c r="WY192" s="5"/>
      <c r="WZ192" s="5"/>
      <c r="XA192" s="5"/>
      <c r="XB192" s="5"/>
      <c r="XC192" s="5"/>
      <c r="XD192" s="5"/>
      <c r="XE192" s="5"/>
      <c r="XF192" s="5"/>
      <c r="XG192" s="5"/>
      <c r="XH192" s="5"/>
      <c r="XI192" s="5"/>
      <c r="XJ192" s="5"/>
      <c r="XK192" s="5"/>
      <c r="XL192" s="5"/>
      <c r="XM192" s="5"/>
      <c r="XN192" s="5"/>
      <c r="XO192" s="5"/>
      <c r="XP192" s="5"/>
      <c r="XQ192" s="5"/>
      <c r="XR192" s="5"/>
      <c r="XS192" s="5"/>
      <c r="XT192" s="5"/>
      <c r="XU192" s="5"/>
      <c r="XV192" s="5"/>
      <c r="XW192" s="5"/>
      <c r="XX192" s="5"/>
      <c r="XY192" s="5"/>
      <c r="XZ192" s="5"/>
      <c r="YA192" s="5"/>
      <c r="YB192" s="5"/>
      <c r="YC192" s="5"/>
      <c r="YD192" s="5"/>
      <c r="YE192" s="5"/>
      <c r="YF192" s="5"/>
      <c r="YG192" s="5"/>
      <c r="YH192" s="5"/>
      <c r="YI192" s="5"/>
      <c r="YJ192" s="5"/>
      <c r="YK192" s="5"/>
      <c r="YL192" s="5"/>
      <c r="YM192" s="5"/>
      <c r="YN192" s="5"/>
      <c r="YO192" s="5"/>
      <c r="YP192" s="5"/>
      <c r="YQ192" s="5"/>
      <c r="YR192" s="5"/>
      <c r="YS192" s="5"/>
      <c r="YT192" s="5"/>
      <c r="YU192" s="5"/>
      <c r="YV192" s="5"/>
      <c r="YW192" s="5"/>
      <c r="YX192" s="5"/>
      <c r="YY192" s="5"/>
      <c r="YZ192" s="5"/>
    </row>
    <row r="193" spans="1:676">
      <c r="A193" s="7">
        <v>183</v>
      </c>
      <c r="B193" s="7" t="s">
        <v>453</v>
      </c>
      <c r="C193" s="10" t="s">
        <v>454</v>
      </c>
      <c r="D193" s="7" t="s">
        <v>296</v>
      </c>
      <c r="E193" s="7" t="s">
        <v>279</v>
      </c>
      <c r="F193" s="7" t="s">
        <v>389</v>
      </c>
      <c r="G193" s="7"/>
      <c r="H193" s="7" t="s">
        <v>52</v>
      </c>
      <c r="I193" s="11">
        <v>2</v>
      </c>
      <c r="J193" s="11">
        <v>3</v>
      </c>
      <c r="K193" s="11">
        <v>0</v>
      </c>
      <c r="L193" s="11">
        <v>0</v>
      </c>
      <c r="M193" s="11">
        <v>0</v>
      </c>
      <c r="N193" s="11">
        <v>0</v>
      </c>
      <c r="O193" s="11">
        <v>0</v>
      </c>
      <c r="P193" s="11">
        <v>0</v>
      </c>
      <c r="Q193" s="11">
        <v>0</v>
      </c>
      <c r="R193" s="11">
        <v>0.18</v>
      </c>
      <c r="S193" s="11">
        <v>0.18</v>
      </c>
      <c r="T193" s="11">
        <v>0.18</v>
      </c>
      <c r="U193" s="11">
        <v>0</v>
      </c>
      <c r="V193" s="11">
        <v>0</v>
      </c>
      <c r="W193" s="13">
        <v>18</v>
      </c>
      <c r="X193" s="13">
        <v>27</v>
      </c>
      <c r="Y193" s="13" t="str">
        <f>MIN(W193,S193)</f>
        <v>0</v>
      </c>
      <c r="Z193" s="13" t="str">
        <f>MIN(X193,(S193-Y193))</f>
        <v>0</v>
      </c>
      <c r="AA193" s="13" t="str">
        <f>S193-SUM(Y193,Z193)</f>
        <v>0</v>
      </c>
      <c r="AB193" s="15"/>
      <c r="AC193" s="15"/>
      <c r="AD193" s="1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W193" s="5"/>
      <c r="BX193" s="5"/>
      <c r="BY193" s="5"/>
      <c r="BZ193" s="5"/>
      <c r="CA193" s="5"/>
      <c r="CB193" s="5"/>
      <c r="CC193" s="5"/>
      <c r="CD193" s="5"/>
      <c r="CE193" s="5"/>
      <c r="CF193" s="5"/>
      <c r="CG193" s="5"/>
      <c r="CH193" s="5"/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5"/>
      <c r="CY193" s="5"/>
      <c r="CZ193" s="5"/>
      <c r="DA193" s="5"/>
      <c r="DB193" s="5"/>
      <c r="DC193" s="5"/>
      <c r="DD193" s="5"/>
      <c r="DE193" s="5"/>
      <c r="DF193" s="5"/>
      <c r="DG193" s="5"/>
      <c r="DH193" s="5"/>
      <c r="DI193" s="5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  <c r="EC193" s="5"/>
      <c r="ED193" s="5"/>
      <c r="EE193" s="5"/>
      <c r="EF193" s="5"/>
      <c r="EG193" s="5"/>
      <c r="EH193" s="5"/>
      <c r="EI193" s="5"/>
      <c r="EJ193" s="5"/>
      <c r="EK193" s="5"/>
      <c r="EL193" s="5"/>
      <c r="EM193" s="5"/>
      <c r="EN193" s="5"/>
      <c r="EO193" s="5"/>
      <c r="EP193" s="5"/>
      <c r="EQ193" s="5"/>
      <c r="ER193" s="5"/>
      <c r="ES193" s="5"/>
      <c r="ET193" s="5"/>
      <c r="EU193" s="5"/>
      <c r="EV193" s="5"/>
      <c r="EW193" s="5"/>
      <c r="EX193" s="5"/>
      <c r="EY193" s="5"/>
      <c r="EZ193" s="5"/>
      <c r="FA193" s="5"/>
      <c r="FB193" s="5"/>
      <c r="FC193" s="5"/>
      <c r="FD193" s="5"/>
      <c r="FE193" s="5"/>
      <c r="FF193" s="5"/>
      <c r="FG193" s="5"/>
      <c r="FH193" s="5"/>
      <c r="FI193" s="5"/>
      <c r="FJ193" s="5"/>
      <c r="FK193" s="5"/>
      <c r="FL193" s="5"/>
      <c r="FM193" s="5"/>
      <c r="FN193" s="5"/>
      <c r="FO193" s="5"/>
      <c r="FP193" s="5"/>
      <c r="FQ193" s="5"/>
      <c r="FR193" s="5"/>
      <c r="FS193" s="5"/>
      <c r="FT193" s="5"/>
      <c r="FU193" s="5"/>
      <c r="FV193" s="5"/>
      <c r="FW193" s="5"/>
      <c r="FX193" s="5"/>
      <c r="FY193" s="5"/>
      <c r="FZ193" s="5"/>
      <c r="GA193" s="5"/>
      <c r="GB193" s="5"/>
      <c r="GC193" s="5"/>
      <c r="GD193" s="5"/>
      <c r="GE193" s="5"/>
      <c r="GF193" s="5"/>
      <c r="GG193" s="5"/>
      <c r="GH193" s="5"/>
      <c r="GI193" s="5"/>
      <c r="GJ193" s="5"/>
      <c r="GK193" s="5"/>
      <c r="GL193" s="5"/>
      <c r="GM193" s="5"/>
      <c r="GN193" s="5"/>
      <c r="GO193" s="5"/>
      <c r="GP193" s="5"/>
      <c r="GQ193" s="5"/>
      <c r="GR193" s="5"/>
      <c r="GS193" s="5"/>
      <c r="GT193" s="5"/>
      <c r="GU193" s="5"/>
      <c r="GV193" s="5"/>
      <c r="GW193" s="5"/>
      <c r="GX193" s="5"/>
      <c r="GY193" s="5"/>
      <c r="GZ193" s="5"/>
      <c r="HA193" s="5"/>
      <c r="HB193" s="5"/>
      <c r="HC193" s="5"/>
      <c r="HD193" s="5"/>
      <c r="HE193" s="5"/>
      <c r="HF193" s="5"/>
      <c r="HG193" s="5"/>
      <c r="HH193" s="5"/>
      <c r="HI193" s="5"/>
      <c r="HJ193" s="5"/>
      <c r="HK193" s="5"/>
      <c r="HL193" s="5"/>
      <c r="HM193" s="5"/>
      <c r="HN193" s="5"/>
      <c r="HO193" s="5"/>
      <c r="HP193" s="5"/>
      <c r="HQ193" s="5"/>
      <c r="HR193" s="5"/>
      <c r="HS193" s="5"/>
      <c r="HT193" s="5"/>
      <c r="HU193" s="5"/>
      <c r="HV193" s="5"/>
      <c r="HW193" s="5"/>
      <c r="HX193" s="5"/>
      <c r="HY193" s="5"/>
      <c r="HZ193" s="5"/>
      <c r="IA193" s="5"/>
      <c r="IB193" s="5"/>
      <c r="IC193" s="5"/>
      <c r="ID193" s="5"/>
      <c r="IE193" s="5"/>
      <c r="IF193" s="5"/>
      <c r="IG193" s="5"/>
      <c r="IH193" s="5"/>
      <c r="II193" s="5"/>
      <c r="IJ193" s="5"/>
      <c r="IK193" s="5"/>
      <c r="IL193" s="5"/>
      <c r="IM193" s="5"/>
      <c r="IN193" s="5"/>
      <c r="IO193" s="5"/>
      <c r="IP193" s="5"/>
      <c r="IQ193" s="5"/>
      <c r="IR193" s="5"/>
      <c r="IS193" s="5"/>
      <c r="IT193" s="5"/>
      <c r="IU193" s="5"/>
      <c r="IV193" s="5"/>
      <c r="IW193" s="5"/>
      <c r="IX193" s="5"/>
      <c r="IY193" s="5"/>
      <c r="IZ193" s="5"/>
      <c r="JA193" s="5"/>
      <c r="JB193" s="5"/>
      <c r="JC193" s="5"/>
      <c r="JD193" s="5"/>
      <c r="JE193" s="5"/>
      <c r="JF193" s="5"/>
      <c r="JG193" s="5"/>
      <c r="JH193" s="5"/>
      <c r="JI193" s="5"/>
      <c r="JJ193" s="5"/>
      <c r="JK193" s="5"/>
      <c r="JL193" s="5"/>
      <c r="JM193" s="5"/>
      <c r="JN193" s="5"/>
      <c r="JO193" s="5"/>
      <c r="JP193" s="5"/>
      <c r="JQ193" s="5"/>
      <c r="JR193" s="5"/>
      <c r="JS193" s="5"/>
      <c r="JT193" s="5"/>
      <c r="JU193" s="5"/>
      <c r="JV193" s="5"/>
      <c r="JW193" s="5"/>
      <c r="JX193" s="5"/>
      <c r="JY193" s="5"/>
      <c r="JZ193" s="5"/>
      <c r="KA193" s="5"/>
      <c r="KB193" s="5"/>
      <c r="KC193" s="5"/>
      <c r="KD193" s="5"/>
      <c r="KE193" s="5"/>
      <c r="KF193" s="5"/>
      <c r="KG193" s="5"/>
      <c r="KH193" s="5"/>
      <c r="KI193" s="5"/>
      <c r="KJ193" s="5"/>
      <c r="KK193" s="5"/>
      <c r="KL193" s="5"/>
      <c r="KM193" s="5"/>
      <c r="KN193" s="5"/>
      <c r="KO193" s="5"/>
      <c r="KP193" s="5"/>
      <c r="KQ193" s="5"/>
      <c r="KR193" s="5"/>
      <c r="KS193" s="5"/>
      <c r="KT193" s="5"/>
      <c r="KU193" s="5"/>
      <c r="KV193" s="5"/>
      <c r="KW193" s="5"/>
      <c r="KX193" s="5"/>
      <c r="KY193" s="5"/>
      <c r="KZ193" s="5"/>
      <c r="LA193" s="5"/>
      <c r="LB193" s="5"/>
      <c r="LC193" s="5"/>
      <c r="LD193" s="5"/>
      <c r="LE193" s="5"/>
      <c r="LF193" s="5"/>
      <c r="LG193" s="5"/>
      <c r="LH193" s="5"/>
      <c r="LI193" s="5"/>
      <c r="LJ193" s="5"/>
      <c r="LK193" s="5"/>
      <c r="LL193" s="5"/>
      <c r="LM193" s="5"/>
      <c r="LN193" s="5"/>
      <c r="LO193" s="5"/>
      <c r="LP193" s="5"/>
      <c r="LQ193" s="5"/>
      <c r="LR193" s="5"/>
      <c r="LS193" s="5"/>
      <c r="LT193" s="5"/>
      <c r="LU193" s="5"/>
      <c r="LV193" s="5"/>
      <c r="LW193" s="5"/>
      <c r="LX193" s="5"/>
      <c r="LY193" s="5"/>
      <c r="LZ193" s="5"/>
      <c r="MA193" s="5"/>
      <c r="MB193" s="5"/>
      <c r="MC193" s="5"/>
      <c r="MD193" s="5"/>
      <c r="ME193" s="5"/>
      <c r="MF193" s="5"/>
      <c r="MG193" s="5"/>
      <c r="MH193" s="5"/>
      <c r="MI193" s="5"/>
      <c r="MJ193" s="5"/>
      <c r="MK193" s="5"/>
      <c r="ML193" s="5"/>
      <c r="MM193" s="5"/>
      <c r="MN193" s="5"/>
      <c r="MO193" s="5"/>
      <c r="MP193" s="5"/>
      <c r="MQ193" s="5"/>
      <c r="MR193" s="5"/>
      <c r="MS193" s="5"/>
      <c r="MT193" s="5"/>
      <c r="MU193" s="5"/>
      <c r="MV193" s="5"/>
      <c r="MW193" s="5"/>
      <c r="MX193" s="5"/>
      <c r="MY193" s="5"/>
      <c r="MZ193" s="5"/>
      <c r="NA193" s="5"/>
      <c r="NB193" s="5"/>
      <c r="NC193" s="5"/>
      <c r="ND193" s="5"/>
      <c r="NE193" s="5"/>
      <c r="NF193" s="5"/>
      <c r="NG193" s="5"/>
      <c r="NH193" s="5"/>
      <c r="NI193" s="5"/>
      <c r="NJ193" s="5"/>
      <c r="NK193" s="5"/>
      <c r="NL193" s="5"/>
      <c r="NM193" s="5"/>
      <c r="NN193" s="5"/>
      <c r="NO193" s="5"/>
      <c r="NP193" s="5"/>
      <c r="NQ193" s="5"/>
      <c r="NR193" s="5"/>
      <c r="NS193" s="5"/>
      <c r="NT193" s="5"/>
      <c r="NU193" s="5"/>
      <c r="NV193" s="5"/>
      <c r="NW193" s="5"/>
      <c r="NX193" s="5"/>
      <c r="NY193" s="5"/>
      <c r="NZ193" s="5"/>
      <c r="OA193" s="5"/>
      <c r="OB193" s="5"/>
      <c r="OC193" s="5"/>
      <c r="OD193" s="5"/>
      <c r="OE193" s="5"/>
      <c r="OF193" s="5"/>
      <c r="OG193" s="5"/>
      <c r="OH193" s="5"/>
      <c r="OI193" s="5"/>
      <c r="OJ193" s="5"/>
      <c r="OK193" s="5"/>
      <c r="OL193" s="5"/>
      <c r="OM193" s="5"/>
      <c r="ON193" s="5"/>
      <c r="OO193" s="5"/>
      <c r="OP193" s="5"/>
      <c r="OQ193" s="5"/>
      <c r="OR193" s="5"/>
      <c r="OS193" s="5"/>
      <c r="OT193" s="5"/>
      <c r="OU193" s="5"/>
      <c r="OV193" s="5"/>
      <c r="OW193" s="5"/>
      <c r="OX193" s="5"/>
      <c r="OY193" s="5"/>
      <c r="OZ193" s="5"/>
      <c r="PA193" s="5"/>
      <c r="PB193" s="5"/>
      <c r="PC193" s="5"/>
      <c r="PD193" s="5"/>
      <c r="PE193" s="5"/>
      <c r="PF193" s="5"/>
      <c r="PG193" s="5"/>
      <c r="PH193" s="5"/>
      <c r="PI193" s="5"/>
      <c r="PJ193" s="5"/>
      <c r="PK193" s="5"/>
      <c r="PL193" s="5"/>
      <c r="PM193" s="5"/>
      <c r="PN193" s="5"/>
      <c r="PO193" s="5"/>
      <c r="PP193" s="5"/>
      <c r="PQ193" s="5"/>
      <c r="PR193" s="5"/>
      <c r="PS193" s="5"/>
      <c r="PT193" s="5"/>
      <c r="PU193" s="5"/>
      <c r="PV193" s="5"/>
      <c r="PW193" s="5"/>
      <c r="PX193" s="5"/>
      <c r="PY193" s="5"/>
      <c r="PZ193" s="5"/>
      <c r="QA193" s="5"/>
      <c r="QB193" s="5"/>
      <c r="QC193" s="5"/>
      <c r="QD193" s="5"/>
      <c r="QE193" s="5"/>
      <c r="QF193" s="5"/>
      <c r="QG193" s="5"/>
      <c r="QH193" s="5"/>
      <c r="QI193" s="5"/>
      <c r="QJ193" s="5"/>
      <c r="QK193" s="5"/>
      <c r="QL193" s="5"/>
      <c r="QM193" s="5"/>
      <c r="QN193" s="5"/>
      <c r="QO193" s="5"/>
      <c r="QP193" s="5"/>
      <c r="QQ193" s="5"/>
      <c r="QR193" s="5"/>
      <c r="QS193" s="5"/>
      <c r="QT193" s="5"/>
      <c r="QU193" s="5"/>
      <c r="QV193" s="5"/>
      <c r="QW193" s="5"/>
      <c r="QX193" s="5"/>
      <c r="QY193" s="5"/>
      <c r="QZ193" s="5"/>
      <c r="RA193" s="5"/>
      <c r="RB193" s="5"/>
      <c r="RC193" s="5"/>
      <c r="RD193" s="5"/>
      <c r="RE193" s="5"/>
      <c r="RF193" s="5"/>
      <c r="RG193" s="5"/>
      <c r="RH193" s="5"/>
      <c r="RI193" s="5"/>
      <c r="RJ193" s="5"/>
      <c r="RK193" s="5"/>
      <c r="RL193" s="5"/>
      <c r="RM193" s="5"/>
      <c r="RN193" s="5"/>
      <c r="RO193" s="5"/>
      <c r="RP193" s="5"/>
      <c r="RQ193" s="5"/>
      <c r="RR193" s="5"/>
      <c r="RS193" s="5"/>
      <c r="RT193" s="5"/>
      <c r="RU193" s="5"/>
      <c r="RV193" s="5"/>
      <c r="RW193" s="5"/>
      <c r="RX193" s="5"/>
      <c r="RY193" s="5"/>
      <c r="RZ193" s="5"/>
      <c r="SA193" s="5"/>
      <c r="SB193" s="5"/>
      <c r="SC193" s="5"/>
      <c r="SD193" s="5"/>
      <c r="SE193" s="5"/>
      <c r="SF193" s="5"/>
      <c r="SG193" s="5"/>
      <c r="SH193" s="5"/>
      <c r="SI193" s="5"/>
      <c r="SJ193" s="5"/>
      <c r="SK193" s="5"/>
      <c r="SL193" s="5"/>
      <c r="SM193" s="5"/>
      <c r="SN193" s="5"/>
      <c r="SO193" s="5"/>
      <c r="SP193" s="5"/>
      <c r="SQ193" s="5"/>
      <c r="SR193" s="5"/>
      <c r="SS193" s="5"/>
      <c r="ST193" s="5"/>
      <c r="SU193" s="5"/>
      <c r="SV193" s="5"/>
      <c r="SW193" s="5"/>
      <c r="SX193" s="5"/>
      <c r="SY193" s="5"/>
      <c r="SZ193" s="5"/>
      <c r="TA193" s="5"/>
      <c r="TB193" s="5"/>
      <c r="TC193" s="5"/>
      <c r="TD193" s="5"/>
      <c r="TE193" s="5"/>
      <c r="TF193" s="5"/>
      <c r="TG193" s="5"/>
      <c r="TH193" s="5"/>
      <c r="TI193" s="5"/>
      <c r="TJ193" s="5"/>
      <c r="TK193" s="5"/>
      <c r="TL193" s="5"/>
      <c r="TM193" s="5"/>
      <c r="TN193" s="5"/>
      <c r="TO193" s="5"/>
      <c r="TP193" s="5"/>
      <c r="TQ193" s="5"/>
      <c r="TR193" s="5"/>
      <c r="TS193" s="5"/>
      <c r="TT193" s="5"/>
      <c r="TU193" s="5"/>
      <c r="TV193" s="5"/>
      <c r="TW193" s="5"/>
      <c r="TX193" s="5"/>
      <c r="TY193" s="5"/>
      <c r="TZ193" s="5"/>
      <c r="UA193" s="5"/>
      <c r="UB193" s="5"/>
      <c r="UC193" s="5"/>
      <c r="UD193" s="5"/>
      <c r="UE193" s="5"/>
      <c r="UF193" s="5"/>
      <c r="UG193" s="5"/>
      <c r="UH193" s="5"/>
      <c r="UI193" s="5"/>
      <c r="UJ193" s="5"/>
      <c r="UK193" s="5"/>
      <c r="UL193" s="5"/>
      <c r="UM193" s="5"/>
      <c r="UN193" s="5"/>
      <c r="UO193" s="5"/>
      <c r="UP193" s="5"/>
      <c r="UQ193" s="5"/>
      <c r="UR193" s="5"/>
      <c r="US193" s="5"/>
      <c r="UT193" s="5"/>
      <c r="UU193" s="5"/>
      <c r="UV193" s="5"/>
      <c r="UW193" s="5"/>
      <c r="UX193" s="5"/>
      <c r="UY193" s="5"/>
      <c r="UZ193" s="5"/>
      <c r="VA193" s="5"/>
      <c r="VB193" s="5"/>
      <c r="VC193" s="5"/>
      <c r="VD193" s="5"/>
      <c r="VE193" s="5"/>
      <c r="VF193" s="5"/>
      <c r="VG193" s="5"/>
      <c r="VH193" s="5"/>
      <c r="VI193" s="5"/>
      <c r="VJ193" s="5"/>
      <c r="VK193" s="5"/>
      <c r="VL193" s="5"/>
      <c r="VM193" s="5"/>
      <c r="VN193" s="5"/>
      <c r="VO193" s="5"/>
      <c r="VP193" s="5"/>
      <c r="VQ193" s="5"/>
      <c r="VR193" s="5"/>
      <c r="VS193" s="5"/>
      <c r="VT193" s="5"/>
      <c r="VU193" s="5"/>
      <c r="VV193" s="5"/>
      <c r="VW193" s="5"/>
      <c r="VX193" s="5"/>
      <c r="VY193" s="5"/>
      <c r="VZ193" s="5"/>
      <c r="WA193" s="5"/>
      <c r="WB193" s="5"/>
      <c r="WC193" s="5"/>
      <c r="WD193" s="5"/>
      <c r="WE193" s="5"/>
      <c r="WF193" s="5"/>
      <c r="WG193" s="5"/>
      <c r="WH193" s="5"/>
      <c r="WI193" s="5"/>
      <c r="WJ193" s="5"/>
      <c r="WK193" s="5"/>
      <c r="WL193" s="5"/>
      <c r="WM193" s="5"/>
      <c r="WN193" s="5"/>
      <c r="WO193" s="5"/>
      <c r="WP193" s="5"/>
      <c r="WQ193" s="5"/>
      <c r="WR193" s="5"/>
      <c r="WS193" s="5"/>
      <c r="WT193" s="5"/>
      <c r="WU193" s="5"/>
      <c r="WV193" s="5"/>
      <c r="WW193" s="5"/>
      <c r="WX193" s="5"/>
      <c r="WY193" s="5"/>
      <c r="WZ193" s="5"/>
      <c r="XA193" s="5"/>
      <c r="XB193" s="5"/>
      <c r="XC193" s="5"/>
      <c r="XD193" s="5"/>
      <c r="XE193" s="5"/>
      <c r="XF193" s="5"/>
      <c r="XG193" s="5"/>
      <c r="XH193" s="5"/>
      <c r="XI193" s="5"/>
      <c r="XJ193" s="5"/>
      <c r="XK193" s="5"/>
      <c r="XL193" s="5"/>
      <c r="XM193" s="5"/>
      <c r="XN193" s="5"/>
      <c r="XO193" s="5"/>
      <c r="XP193" s="5"/>
      <c r="XQ193" s="5"/>
      <c r="XR193" s="5"/>
      <c r="XS193" s="5"/>
      <c r="XT193" s="5"/>
      <c r="XU193" s="5"/>
      <c r="XV193" s="5"/>
      <c r="XW193" s="5"/>
      <c r="XX193" s="5"/>
      <c r="XY193" s="5"/>
      <c r="XZ193" s="5"/>
      <c r="YA193" s="5"/>
      <c r="YB193" s="5"/>
      <c r="YC193" s="5"/>
      <c r="YD193" s="5"/>
      <c r="YE193" s="5"/>
      <c r="YF193" s="5"/>
      <c r="YG193" s="5"/>
      <c r="YH193" s="5"/>
      <c r="YI193" s="5"/>
      <c r="YJ193" s="5"/>
      <c r="YK193" s="5"/>
      <c r="YL193" s="5"/>
      <c r="YM193" s="5"/>
      <c r="YN193" s="5"/>
      <c r="YO193" s="5"/>
      <c r="YP193" s="5"/>
      <c r="YQ193" s="5"/>
      <c r="YR193" s="5"/>
      <c r="YS193" s="5"/>
      <c r="YT193" s="5"/>
      <c r="YU193" s="5"/>
      <c r="YV193" s="5"/>
      <c r="YW193" s="5"/>
      <c r="YX193" s="5"/>
      <c r="YY193" s="5"/>
      <c r="YZ193" s="5"/>
    </row>
    <row r="194" spans="1:676">
      <c r="A194" s="7">
        <v>184</v>
      </c>
      <c r="B194" s="7" t="s">
        <v>455</v>
      </c>
      <c r="C194" s="10" t="s">
        <v>456</v>
      </c>
      <c r="D194" s="7" t="s">
        <v>93</v>
      </c>
      <c r="E194" s="7" t="s">
        <v>381</v>
      </c>
      <c r="F194" s="7" t="s">
        <v>386</v>
      </c>
      <c r="G194" s="7"/>
      <c r="H194" s="7" t="s">
        <v>52</v>
      </c>
      <c r="I194" s="11">
        <v>2</v>
      </c>
      <c r="J194" s="11">
        <v>3</v>
      </c>
      <c r="K194" s="11">
        <v>0</v>
      </c>
      <c r="L194" s="11">
        <v>3.220000000000002</v>
      </c>
      <c r="M194" s="11">
        <v>0.59</v>
      </c>
      <c r="N194" s="11">
        <v>0</v>
      </c>
      <c r="O194" s="11">
        <v>0.06</v>
      </c>
      <c r="P194" s="11">
        <v>0</v>
      </c>
      <c r="Q194" s="11">
        <v>3.870000000000002</v>
      </c>
      <c r="R194" s="11">
        <v>23.35000000000001</v>
      </c>
      <c r="S194" s="11">
        <v>27.22000000000001</v>
      </c>
      <c r="T194" s="11">
        <v>2</v>
      </c>
      <c r="U194" s="11">
        <v>3</v>
      </c>
      <c r="V194" s="11">
        <v>22.22000000000001</v>
      </c>
      <c r="W194" s="13">
        <v>18</v>
      </c>
      <c r="X194" s="13">
        <v>27</v>
      </c>
      <c r="Y194" s="13" t="str">
        <f>MIN(W194,S194)</f>
        <v>0</v>
      </c>
      <c r="Z194" s="13" t="str">
        <f>MIN(X194,(S194-Y194))</f>
        <v>0</v>
      </c>
      <c r="AA194" s="13" t="str">
        <f>S194-SUM(Y194,Z194)</f>
        <v>0</v>
      </c>
      <c r="AB194" s="15"/>
      <c r="AC194" s="15"/>
      <c r="AD194" s="1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W194" s="5"/>
      <c r="BX194" s="5"/>
      <c r="BY194" s="5"/>
      <c r="BZ194" s="5"/>
      <c r="CA194" s="5"/>
      <c r="CB194" s="5"/>
      <c r="CC194" s="5"/>
      <c r="CD194" s="5"/>
      <c r="CE194" s="5"/>
      <c r="CF194" s="5"/>
      <c r="CG194" s="5"/>
      <c r="CH194" s="5"/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5"/>
      <c r="CY194" s="5"/>
      <c r="CZ194" s="5"/>
      <c r="DA194" s="5"/>
      <c r="DB194" s="5"/>
      <c r="DC194" s="5"/>
      <c r="DD194" s="5"/>
      <c r="DE194" s="5"/>
      <c r="DF194" s="5"/>
      <c r="DG194" s="5"/>
      <c r="DH194" s="5"/>
      <c r="DI194" s="5"/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  <c r="EC194" s="5"/>
      <c r="ED194" s="5"/>
      <c r="EE194" s="5"/>
      <c r="EF194" s="5"/>
      <c r="EG194" s="5"/>
      <c r="EH194" s="5"/>
      <c r="EI194" s="5"/>
      <c r="EJ194" s="5"/>
      <c r="EK194" s="5"/>
      <c r="EL194" s="5"/>
      <c r="EM194" s="5"/>
      <c r="EN194" s="5"/>
      <c r="EO194" s="5"/>
      <c r="EP194" s="5"/>
      <c r="EQ194" s="5"/>
      <c r="ER194" s="5"/>
      <c r="ES194" s="5"/>
      <c r="ET194" s="5"/>
      <c r="EU194" s="5"/>
      <c r="EV194" s="5"/>
      <c r="EW194" s="5"/>
      <c r="EX194" s="5"/>
      <c r="EY194" s="5"/>
      <c r="EZ194" s="5"/>
      <c r="FA194" s="5"/>
      <c r="FB194" s="5"/>
      <c r="FC194" s="5"/>
      <c r="FD194" s="5"/>
      <c r="FE194" s="5"/>
      <c r="FF194" s="5"/>
      <c r="FG194" s="5"/>
      <c r="FH194" s="5"/>
      <c r="FI194" s="5"/>
      <c r="FJ194" s="5"/>
      <c r="FK194" s="5"/>
      <c r="FL194" s="5"/>
      <c r="FM194" s="5"/>
      <c r="FN194" s="5"/>
      <c r="FO194" s="5"/>
      <c r="FP194" s="5"/>
      <c r="FQ194" s="5"/>
      <c r="FR194" s="5"/>
      <c r="FS194" s="5"/>
      <c r="FT194" s="5"/>
      <c r="FU194" s="5"/>
      <c r="FV194" s="5"/>
      <c r="FW194" s="5"/>
      <c r="FX194" s="5"/>
      <c r="FY194" s="5"/>
      <c r="FZ194" s="5"/>
      <c r="GA194" s="5"/>
      <c r="GB194" s="5"/>
      <c r="GC194" s="5"/>
      <c r="GD194" s="5"/>
      <c r="GE194" s="5"/>
      <c r="GF194" s="5"/>
      <c r="GG194" s="5"/>
      <c r="GH194" s="5"/>
      <c r="GI194" s="5"/>
      <c r="GJ194" s="5"/>
      <c r="GK194" s="5"/>
      <c r="GL194" s="5"/>
      <c r="GM194" s="5"/>
      <c r="GN194" s="5"/>
      <c r="GO194" s="5"/>
      <c r="GP194" s="5"/>
      <c r="GQ194" s="5"/>
      <c r="GR194" s="5"/>
      <c r="GS194" s="5"/>
      <c r="GT194" s="5"/>
      <c r="GU194" s="5"/>
      <c r="GV194" s="5"/>
      <c r="GW194" s="5"/>
      <c r="GX194" s="5"/>
      <c r="GY194" s="5"/>
      <c r="GZ194" s="5"/>
      <c r="HA194" s="5"/>
      <c r="HB194" s="5"/>
      <c r="HC194" s="5"/>
      <c r="HD194" s="5"/>
      <c r="HE194" s="5"/>
      <c r="HF194" s="5"/>
      <c r="HG194" s="5"/>
      <c r="HH194" s="5"/>
      <c r="HI194" s="5"/>
      <c r="HJ194" s="5"/>
      <c r="HK194" s="5"/>
      <c r="HL194" s="5"/>
      <c r="HM194" s="5"/>
      <c r="HN194" s="5"/>
      <c r="HO194" s="5"/>
      <c r="HP194" s="5"/>
      <c r="HQ194" s="5"/>
      <c r="HR194" s="5"/>
      <c r="HS194" s="5"/>
      <c r="HT194" s="5"/>
      <c r="HU194" s="5"/>
      <c r="HV194" s="5"/>
      <c r="HW194" s="5"/>
      <c r="HX194" s="5"/>
      <c r="HY194" s="5"/>
      <c r="HZ194" s="5"/>
      <c r="IA194" s="5"/>
      <c r="IB194" s="5"/>
      <c r="IC194" s="5"/>
      <c r="ID194" s="5"/>
      <c r="IE194" s="5"/>
      <c r="IF194" s="5"/>
      <c r="IG194" s="5"/>
      <c r="IH194" s="5"/>
      <c r="II194" s="5"/>
      <c r="IJ194" s="5"/>
      <c r="IK194" s="5"/>
      <c r="IL194" s="5"/>
      <c r="IM194" s="5"/>
      <c r="IN194" s="5"/>
      <c r="IO194" s="5"/>
      <c r="IP194" s="5"/>
      <c r="IQ194" s="5"/>
      <c r="IR194" s="5"/>
      <c r="IS194" s="5"/>
      <c r="IT194" s="5"/>
      <c r="IU194" s="5"/>
      <c r="IV194" s="5"/>
      <c r="IW194" s="5"/>
      <c r="IX194" s="5"/>
      <c r="IY194" s="5"/>
      <c r="IZ194" s="5"/>
      <c r="JA194" s="5"/>
      <c r="JB194" s="5"/>
      <c r="JC194" s="5"/>
      <c r="JD194" s="5"/>
      <c r="JE194" s="5"/>
      <c r="JF194" s="5"/>
      <c r="JG194" s="5"/>
      <c r="JH194" s="5"/>
      <c r="JI194" s="5"/>
      <c r="JJ194" s="5"/>
      <c r="JK194" s="5"/>
      <c r="JL194" s="5"/>
      <c r="JM194" s="5"/>
      <c r="JN194" s="5"/>
      <c r="JO194" s="5"/>
      <c r="JP194" s="5"/>
      <c r="JQ194" s="5"/>
      <c r="JR194" s="5"/>
      <c r="JS194" s="5"/>
      <c r="JT194" s="5"/>
      <c r="JU194" s="5"/>
      <c r="JV194" s="5"/>
      <c r="JW194" s="5"/>
      <c r="JX194" s="5"/>
      <c r="JY194" s="5"/>
      <c r="JZ194" s="5"/>
      <c r="KA194" s="5"/>
      <c r="KB194" s="5"/>
      <c r="KC194" s="5"/>
      <c r="KD194" s="5"/>
      <c r="KE194" s="5"/>
      <c r="KF194" s="5"/>
      <c r="KG194" s="5"/>
      <c r="KH194" s="5"/>
      <c r="KI194" s="5"/>
      <c r="KJ194" s="5"/>
      <c r="KK194" s="5"/>
      <c r="KL194" s="5"/>
      <c r="KM194" s="5"/>
      <c r="KN194" s="5"/>
      <c r="KO194" s="5"/>
      <c r="KP194" s="5"/>
      <c r="KQ194" s="5"/>
      <c r="KR194" s="5"/>
      <c r="KS194" s="5"/>
      <c r="KT194" s="5"/>
      <c r="KU194" s="5"/>
      <c r="KV194" s="5"/>
      <c r="KW194" s="5"/>
      <c r="KX194" s="5"/>
      <c r="KY194" s="5"/>
      <c r="KZ194" s="5"/>
      <c r="LA194" s="5"/>
      <c r="LB194" s="5"/>
      <c r="LC194" s="5"/>
      <c r="LD194" s="5"/>
      <c r="LE194" s="5"/>
      <c r="LF194" s="5"/>
      <c r="LG194" s="5"/>
      <c r="LH194" s="5"/>
      <c r="LI194" s="5"/>
      <c r="LJ194" s="5"/>
      <c r="LK194" s="5"/>
      <c r="LL194" s="5"/>
      <c r="LM194" s="5"/>
      <c r="LN194" s="5"/>
      <c r="LO194" s="5"/>
      <c r="LP194" s="5"/>
      <c r="LQ194" s="5"/>
      <c r="LR194" s="5"/>
      <c r="LS194" s="5"/>
      <c r="LT194" s="5"/>
      <c r="LU194" s="5"/>
      <c r="LV194" s="5"/>
      <c r="LW194" s="5"/>
      <c r="LX194" s="5"/>
      <c r="LY194" s="5"/>
      <c r="LZ194" s="5"/>
      <c r="MA194" s="5"/>
      <c r="MB194" s="5"/>
      <c r="MC194" s="5"/>
      <c r="MD194" s="5"/>
      <c r="ME194" s="5"/>
      <c r="MF194" s="5"/>
      <c r="MG194" s="5"/>
      <c r="MH194" s="5"/>
      <c r="MI194" s="5"/>
      <c r="MJ194" s="5"/>
      <c r="MK194" s="5"/>
      <c r="ML194" s="5"/>
      <c r="MM194" s="5"/>
      <c r="MN194" s="5"/>
      <c r="MO194" s="5"/>
      <c r="MP194" s="5"/>
      <c r="MQ194" s="5"/>
      <c r="MR194" s="5"/>
      <c r="MS194" s="5"/>
      <c r="MT194" s="5"/>
      <c r="MU194" s="5"/>
      <c r="MV194" s="5"/>
      <c r="MW194" s="5"/>
      <c r="MX194" s="5"/>
      <c r="MY194" s="5"/>
      <c r="MZ194" s="5"/>
      <c r="NA194" s="5"/>
      <c r="NB194" s="5"/>
      <c r="NC194" s="5"/>
      <c r="ND194" s="5"/>
      <c r="NE194" s="5"/>
      <c r="NF194" s="5"/>
      <c r="NG194" s="5"/>
      <c r="NH194" s="5"/>
      <c r="NI194" s="5"/>
      <c r="NJ194" s="5"/>
      <c r="NK194" s="5"/>
      <c r="NL194" s="5"/>
      <c r="NM194" s="5"/>
      <c r="NN194" s="5"/>
      <c r="NO194" s="5"/>
      <c r="NP194" s="5"/>
      <c r="NQ194" s="5"/>
      <c r="NR194" s="5"/>
      <c r="NS194" s="5"/>
      <c r="NT194" s="5"/>
      <c r="NU194" s="5"/>
      <c r="NV194" s="5"/>
      <c r="NW194" s="5"/>
      <c r="NX194" s="5"/>
      <c r="NY194" s="5"/>
      <c r="NZ194" s="5"/>
      <c r="OA194" s="5"/>
      <c r="OB194" s="5"/>
      <c r="OC194" s="5"/>
      <c r="OD194" s="5"/>
      <c r="OE194" s="5"/>
      <c r="OF194" s="5"/>
      <c r="OG194" s="5"/>
      <c r="OH194" s="5"/>
      <c r="OI194" s="5"/>
      <c r="OJ194" s="5"/>
      <c r="OK194" s="5"/>
      <c r="OL194" s="5"/>
      <c r="OM194" s="5"/>
      <c r="ON194" s="5"/>
      <c r="OO194" s="5"/>
      <c r="OP194" s="5"/>
      <c r="OQ194" s="5"/>
      <c r="OR194" s="5"/>
      <c r="OS194" s="5"/>
      <c r="OT194" s="5"/>
      <c r="OU194" s="5"/>
      <c r="OV194" s="5"/>
      <c r="OW194" s="5"/>
      <c r="OX194" s="5"/>
      <c r="OY194" s="5"/>
      <c r="OZ194" s="5"/>
      <c r="PA194" s="5"/>
      <c r="PB194" s="5"/>
      <c r="PC194" s="5"/>
      <c r="PD194" s="5"/>
      <c r="PE194" s="5"/>
      <c r="PF194" s="5"/>
      <c r="PG194" s="5"/>
      <c r="PH194" s="5"/>
      <c r="PI194" s="5"/>
      <c r="PJ194" s="5"/>
      <c r="PK194" s="5"/>
      <c r="PL194" s="5"/>
      <c r="PM194" s="5"/>
      <c r="PN194" s="5"/>
      <c r="PO194" s="5"/>
      <c r="PP194" s="5"/>
      <c r="PQ194" s="5"/>
      <c r="PR194" s="5"/>
      <c r="PS194" s="5"/>
      <c r="PT194" s="5"/>
      <c r="PU194" s="5"/>
      <c r="PV194" s="5"/>
      <c r="PW194" s="5"/>
      <c r="PX194" s="5"/>
      <c r="PY194" s="5"/>
      <c r="PZ194" s="5"/>
      <c r="QA194" s="5"/>
      <c r="QB194" s="5"/>
      <c r="QC194" s="5"/>
      <c r="QD194" s="5"/>
      <c r="QE194" s="5"/>
      <c r="QF194" s="5"/>
      <c r="QG194" s="5"/>
      <c r="QH194" s="5"/>
      <c r="QI194" s="5"/>
      <c r="QJ194" s="5"/>
      <c r="QK194" s="5"/>
      <c r="QL194" s="5"/>
      <c r="QM194" s="5"/>
      <c r="QN194" s="5"/>
      <c r="QO194" s="5"/>
      <c r="QP194" s="5"/>
      <c r="QQ194" s="5"/>
      <c r="QR194" s="5"/>
      <c r="QS194" s="5"/>
      <c r="QT194" s="5"/>
      <c r="QU194" s="5"/>
      <c r="QV194" s="5"/>
      <c r="QW194" s="5"/>
      <c r="QX194" s="5"/>
      <c r="QY194" s="5"/>
      <c r="QZ194" s="5"/>
      <c r="RA194" s="5"/>
      <c r="RB194" s="5"/>
      <c r="RC194" s="5"/>
      <c r="RD194" s="5"/>
      <c r="RE194" s="5"/>
      <c r="RF194" s="5"/>
      <c r="RG194" s="5"/>
      <c r="RH194" s="5"/>
      <c r="RI194" s="5"/>
      <c r="RJ194" s="5"/>
      <c r="RK194" s="5"/>
      <c r="RL194" s="5"/>
      <c r="RM194" s="5"/>
      <c r="RN194" s="5"/>
      <c r="RO194" s="5"/>
      <c r="RP194" s="5"/>
      <c r="RQ194" s="5"/>
      <c r="RR194" s="5"/>
      <c r="RS194" s="5"/>
      <c r="RT194" s="5"/>
      <c r="RU194" s="5"/>
      <c r="RV194" s="5"/>
      <c r="RW194" s="5"/>
      <c r="RX194" s="5"/>
      <c r="RY194" s="5"/>
      <c r="RZ194" s="5"/>
      <c r="SA194" s="5"/>
      <c r="SB194" s="5"/>
      <c r="SC194" s="5"/>
      <c r="SD194" s="5"/>
      <c r="SE194" s="5"/>
      <c r="SF194" s="5"/>
      <c r="SG194" s="5"/>
      <c r="SH194" s="5"/>
      <c r="SI194" s="5"/>
      <c r="SJ194" s="5"/>
      <c r="SK194" s="5"/>
      <c r="SL194" s="5"/>
      <c r="SM194" s="5"/>
      <c r="SN194" s="5"/>
      <c r="SO194" s="5"/>
      <c r="SP194" s="5"/>
      <c r="SQ194" s="5"/>
      <c r="SR194" s="5"/>
      <c r="SS194" s="5"/>
      <c r="ST194" s="5"/>
      <c r="SU194" s="5"/>
      <c r="SV194" s="5"/>
      <c r="SW194" s="5"/>
      <c r="SX194" s="5"/>
      <c r="SY194" s="5"/>
      <c r="SZ194" s="5"/>
      <c r="TA194" s="5"/>
      <c r="TB194" s="5"/>
      <c r="TC194" s="5"/>
      <c r="TD194" s="5"/>
      <c r="TE194" s="5"/>
      <c r="TF194" s="5"/>
      <c r="TG194" s="5"/>
      <c r="TH194" s="5"/>
      <c r="TI194" s="5"/>
      <c r="TJ194" s="5"/>
      <c r="TK194" s="5"/>
      <c r="TL194" s="5"/>
      <c r="TM194" s="5"/>
      <c r="TN194" s="5"/>
      <c r="TO194" s="5"/>
      <c r="TP194" s="5"/>
      <c r="TQ194" s="5"/>
      <c r="TR194" s="5"/>
      <c r="TS194" s="5"/>
      <c r="TT194" s="5"/>
      <c r="TU194" s="5"/>
      <c r="TV194" s="5"/>
      <c r="TW194" s="5"/>
      <c r="TX194" s="5"/>
      <c r="TY194" s="5"/>
      <c r="TZ194" s="5"/>
      <c r="UA194" s="5"/>
      <c r="UB194" s="5"/>
      <c r="UC194" s="5"/>
      <c r="UD194" s="5"/>
      <c r="UE194" s="5"/>
      <c r="UF194" s="5"/>
      <c r="UG194" s="5"/>
      <c r="UH194" s="5"/>
      <c r="UI194" s="5"/>
      <c r="UJ194" s="5"/>
      <c r="UK194" s="5"/>
      <c r="UL194" s="5"/>
      <c r="UM194" s="5"/>
      <c r="UN194" s="5"/>
      <c r="UO194" s="5"/>
      <c r="UP194" s="5"/>
      <c r="UQ194" s="5"/>
      <c r="UR194" s="5"/>
      <c r="US194" s="5"/>
      <c r="UT194" s="5"/>
      <c r="UU194" s="5"/>
      <c r="UV194" s="5"/>
      <c r="UW194" s="5"/>
      <c r="UX194" s="5"/>
      <c r="UY194" s="5"/>
      <c r="UZ194" s="5"/>
      <c r="VA194" s="5"/>
      <c r="VB194" s="5"/>
      <c r="VC194" s="5"/>
      <c r="VD194" s="5"/>
      <c r="VE194" s="5"/>
      <c r="VF194" s="5"/>
      <c r="VG194" s="5"/>
      <c r="VH194" s="5"/>
      <c r="VI194" s="5"/>
      <c r="VJ194" s="5"/>
      <c r="VK194" s="5"/>
      <c r="VL194" s="5"/>
      <c r="VM194" s="5"/>
      <c r="VN194" s="5"/>
      <c r="VO194" s="5"/>
      <c r="VP194" s="5"/>
      <c r="VQ194" s="5"/>
      <c r="VR194" s="5"/>
      <c r="VS194" s="5"/>
      <c r="VT194" s="5"/>
      <c r="VU194" s="5"/>
      <c r="VV194" s="5"/>
      <c r="VW194" s="5"/>
      <c r="VX194" s="5"/>
      <c r="VY194" s="5"/>
      <c r="VZ194" s="5"/>
      <c r="WA194" s="5"/>
      <c r="WB194" s="5"/>
      <c r="WC194" s="5"/>
      <c r="WD194" s="5"/>
      <c r="WE194" s="5"/>
      <c r="WF194" s="5"/>
      <c r="WG194" s="5"/>
      <c r="WH194" s="5"/>
      <c r="WI194" s="5"/>
      <c r="WJ194" s="5"/>
      <c r="WK194" s="5"/>
      <c r="WL194" s="5"/>
      <c r="WM194" s="5"/>
      <c r="WN194" s="5"/>
      <c r="WO194" s="5"/>
      <c r="WP194" s="5"/>
      <c r="WQ194" s="5"/>
      <c r="WR194" s="5"/>
      <c r="WS194" s="5"/>
      <c r="WT194" s="5"/>
      <c r="WU194" s="5"/>
      <c r="WV194" s="5"/>
      <c r="WW194" s="5"/>
      <c r="WX194" s="5"/>
      <c r="WY194" s="5"/>
      <c r="WZ194" s="5"/>
      <c r="XA194" s="5"/>
      <c r="XB194" s="5"/>
      <c r="XC194" s="5"/>
      <c r="XD194" s="5"/>
      <c r="XE194" s="5"/>
      <c r="XF194" s="5"/>
      <c r="XG194" s="5"/>
      <c r="XH194" s="5"/>
      <c r="XI194" s="5"/>
      <c r="XJ194" s="5"/>
      <c r="XK194" s="5"/>
      <c r="XL194" s="5"/>
      <c r="XM194" s="5"/>
      <c r="XN194" s="5"/>
      <c r="XO194" s="5"/>
      <c r="XP194" s="5"/>
      <c r="XQ194" s="5"/>
      <c r="XR194" s="5"/>
      <c r="XS194" s="5"/>
      <c r="XT194" s="5"/>
      <c r="XU194" s="5"/>
      <c r="XV194" s="5"/>
      <c r="XW194" s="5"/>
      <c r="XX194" s="5"/>
      <c r="XY194" s="5"/>
      <c r="XZ194" s="5"/>
      <c r="YA194" s="5"/>
      <c r="YB194" s="5"/>
      <c r="YC194" s="5"/>
      <c r="YD194" s="5"/>
      <c r="YE194" s="5"/>
      <c r="YF194" s="5"/>
      <c r="YG194" s="5"/>
      <c r="YH194" s="5"/>
      <c r="YI194" s="5"/>
      <c r="YJ194" s="5"/>
      <c r="YK194" s="5"/>
      <c r="YL194" s="5"/>
      <c r="YM194" s="5"/>
      <c r="YN194" s="5"/>
      <c r="YO194" s="5"/>
      <c r="YP194" s="5"/>
      <c r="YQ194" s="5"/>
      <c r="YR194" s="5"/>
      <c r="YS194" s="5"/>
      <c r="YT194" s="5"/>
      <c r="YU194" s="5"/>
      <c r="YV194" s="5"/>
      <c r="YW194" s="5"/>
      <c r="YX194" s="5"/>
      <c r="YY194" s="5"/>
      <c r="YZ194" s="5"/>
    </row>
    <row r="195" spans="1:676">
      <c r="A195" s="7">
        <v>185</v>
      </c>
      <c r="B195" s="7" t="s">
        <v>457</v>
      </c>
      <c r="C195" s="10" t="s">
        <v>458</v>
      </c>
      <c r="D195" s="7" t="s">
        <v>407</v>
      </c>
      <c r="E195" s="7" t="s">
        <v>381</v>
      </c>
      <c r="F195" s="7" t="s">
        <v>389</v>
      </c>
      <c r="G195" s="7"/>
      <c r="H195" s="7" t="s">
        <v>52</v>
      </c>
      <c r="I195" s="11">
        <v>2</v>
      </c>
      <c r="J195" s="11">
        <v>3</v>
      </c>
      <c r="K195" s="11">
        <v>0</v>
      </c>
      <c r="L195" s="11">
        <v>0.72</v>
      </c>
      <c r="M195" s="11">
        <v>0</v>
      </c>
      <c r="N195" s="11">
        <v>0</v>
      </c>
      <c r="O195" s="11">
        <v>0</v>
      </c>
      <c r="P195" s="11">
        <v>0</v>
      </c>
      <c r="Q195" s="11">
        <v>0.72</v>
      </c>
      <c r="R195" s="11">
        <v>0</v>
      </c>
      <c r="S195" s="11">
        <v>0.72</v>
      </c>
      <c r="T195" s="11">
        <v>0.72</v>
      </c>
      <c r="U195" s="11">
        <v>0</v>
      </c>
      <c r="V195" s="11">
        <v>0</v>
      </c>
      <c r="W195" s="13">
        <v>18</v>
      </c>
      <c r="X195" s="13">
        <v>27</v>
      </c>
      <c r="Y195" s="13" t="str">
        <f>MIN(W195,S195)</f>
        <v>0</v>
      </c>
      <c r="Z195" s="13" t="str">
        <f>MIN(X195,(S195-Y195))</f>
        <v>0</v>
      </c>
      <c r="AA195" s="13" t="str">
        <f>S195-SUM(Y195,Z195)</f>
        <v>0</v>
      </c>
      <c r="AB195" s="15"/>
      <c r="AC195" s="15"/>
      <c r="AD195" s="1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W195" s="5"/>
      <c r="BX195" s="5"/>
      <c r="BY195" s="5"/>
      <c r="BZ195" s="5"/>
      <c r="CA195" s="5"/>
      <c r="CB195" s="5"/>
      <c r="CC195" s="5"/>
      <c r="CD195" s="5"/>
      <c r="CE195" s="5"/>
      <c r="CF195" s="5"/>
      <c r="CG195" s="5"/>
      <c r="CH195" s="5"/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5"/>
      <c r="DE195" s="5"/>
      <c r="DF195" s="5"/>
      <c r="DG195" s="5"/>
      <c r="DH195" s="5"/>
      <c r="DI195" s="5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  <c r="EC195" s="5"/>
      <c r="ED195" s="5"/>
      <c r="EE195" s="5"/>
      <c r="EF195" s="5"/>
      <c r="EG195" s="5"/>
      <c r="EH195" s="5"/>
      <c r="EI195" s="5"/>
      <c r="EJ195" s="5"/>
      <c r="EK195" s="5"/>
      <c r="EL195" s="5"/>
      <c r="EM195" s="5"/>
      <c r="EN195" s="5"/>
      <c r="EO195" s="5"/>
      <c r="EP195" s="5"/>
      <c r="EQ195" s="5"/>
      <c r="ER195" s="5"/>
      <c r="ES195" s="5"/>
      <c r="ET195" s="5"/>
      <c r="EU195" s="5"/>
      <c r="EV195" s="5"/>
      <c r="EW195" s="5"/>
      <c r="EX195" s="5"/>
      <c r="EY195" s="5"/>
      <c r="EZ195" s="5"/>
      <c r="FA195" s="5"/>
      <c r="FB195" s="5"/>
      <c r="FC195" s="5"/>
      <c r="FD195" s="5"/>
      <c r="FE195" s="5"/>
      <c r="FF195" s="5"/>
      <c r="FG195" s="5"/>
      <c r="FH195" s="5"/>
      <c r="FI195" s="5"/>
      <c r="FJ195" s="5"/>
      <c r="FK195" s="5"/>
      <c r="FL195" s="5"/>
      <c r="FM195" s="5"/>
      <c r="FN195" s="5"/>
      <c r="FO195" s="5"/>
      <c r="FP195" s="5"/>
      <c r="FQ195" s="5"/>
      <c r="FR195" s="5"/>
      <c r="FS195" s="5"/>
      <c r="FT195" s="5"/>
      <c r="FU195" s="5"/>
      <c r="FV195" s="5"/>
      <c r="FW195" s="5"/>
      <c r="FX195" s="5"/>
      <c r="FY195" s="5"/>
      <c r="FZ195" s="5"/>
      <c r="GA195" s="5"/>
      <c r="GB195" s="5"/>
      <c r="GC195" s="5"/>
      <c r="GD195" s="5"/>
      <c r="GE195" s="5"/>
      <c r="GF195" s="5"/>
      <c r="GG195" s="5"/>
      <c r="GH195" s="5"/>
      <c r="GI195" s="5"/>
      <c r="GJ195" s="5"/>
      <c r="GK195" s="5"/>
      <c r="GL195" s="5"/>
      <c r="GM195" s="5"/>
      <c r="GN195" s="5"/>
      <c r="GO195" s="5"/>
      <c r="GP195" s="5"/>
      <c r="GQ195" s="5"/>
      <c r="GR195" s="5"/>
      <c r="GS195" s="5"/>
      <c r="GT195" s="5"/>
      <c r="GU195" s="5"/>
      <c r="GV195" s="5"/>
      <c r="GW195" s="5"/>
      <c r="GX195" s="5"/>
      <c r="GY195" s="5"/>
      <c r="GZ195" s="5"/>
      <c r="HA195" s="5"/>
      <c r="HB195" s="5"/>
      <c r="HC195" s="5"/>
      <c r="HD195" s="5"/>
      <c r="HE195" s="5"/>
      <c r="HF195" s="5"/>
      <c r="HG195" s="5"/>
      <c r="HH195" s="5"/>
      <c r="HI195" s="5"/>
      <c r="HJ195" s="5"/>
      <c r="HK195" s="5"/>
      <c r="HL195" s="5"/>
      <c r="HM195" s="5"/>
      <c r="HN195" s="5"/>
      <c r="HO195" s="5"/>
      <c r="HP195" s="5"/>
      <c r="HQ195" s="5"/>
      <c r="HR195" s="5"/>
      <c r="HS195" s="5"/>
      <c r="HT195" s="5"/>
      <c r="HU195" s="5"/>
      <c r="HV195" s="5"/>
      <c r="HW195" s="5"/>
      <c r="HX195" s="5"/>
      <c r="HY195" s="5"/>
      <c r="HZ195" s="5"/>
      <c r="IA195" s="5"/>
      <c r="IB195" s="5"/>
      <c r="IC195" s="5"/>
      <c r="ID195" s="5"/>
      <c r="IE195" s="5"/>
      <c r="IF195" s="5"/>
      <c r="IG195" s="5"/>
      <c r="IH195" s="5"/>
      <c r="II195" s="5"/>
      <c r="IJ195" s="5"/>
      <c r="IK195" s="5"/>
      <c r="IL195" s="5"/>
      <c r="IM195" s="5"/>
      <c r="IN195" s="5"/>
      <c r="IO195" s="5"/>
      <c r="IP195" s="5"/>
      <c r="IQ195" s="5"/>
      <c r="IR195" s="5"/>
      <c r="IS195" s="5"/>
      <c r="IT195" s="5"/>
      <c r="IU195" s="5"/>
      <c r="IV195" s="5"/>
      <c r="IW195" s="5"/>
      <c r="IX195" s="5"/>
      <c r="IY195" s="5"/>
      <c r="IZ195" s="5"/>
      <c r="JA195" s="5"/>
      <c r="JB195" s="5"/>
      <c r="JC195" s="5"/>
      <c r="JD195" s="5"/>
      <c r="JE195" s="5"/>
      <c r="JF195" s="5"/>
      <c r="JG195" s="5"/>
      <c r="JH195" s="5"/>
      <c r="JI195" s="5"/>
      <c r="JJ195" s="5"/>
      <c r="JK195" s="5"/>
      <c r="JL195" s="5"/>
      <c r="JM195" s="5"/>
      <c r="JN195" s="5"/>
      <c r="JO195" s="5"/>
      <c r="JP195" s="5"/>
      <c r="JQ195" s="5"/>
      <c r="JR195" s="5"/>
      <c r="JS195" s="5"/>
      <c r="JT195" s="5"/>
      <c r="JU195" s="5"/>
      <c r="JV195" s="5"/>
      <c r="JW195" s="5"/>
      <c r="JX195" s="5"/>
      <c r="JY195" s="5"/>
      <c r="JZ195" s="5"/>
      <c r="KA195" s="5"/>
      <c r="KB195" s="5"/>
      <c r="KC195" s="5"/>
      <c r="KD195" s="5"/>
      <c r="KE195" s="5"/>
      <c r="KF195" s="5"/>
      <c r="KG195" s="5"/>
      <c r="KH195" s="5"/>
      <c r="KI195" s="5"/>
      <c r="KJ195" s="5"/>
      <c r="KK195" s="5"/>
      <c r="KL195" s="5"/>
      <c r="KM195" s="5"/>
      <c r="KN195" s="5"/>
      <c r="KO195" s="5"/>
      <c r="KP195" s="5"/>
      <c r="KQ195" s="5"/>
      <c r="KR195" s="5"/>
      <c r="KS195" s="5"/>
      <c r="KT195" s="5"/>
      <c r="KU195" s="5"/>
      <c r="KV195" s="5"/>
      <c r="KW195" s="5"/>
      <c r="KX195" s="5"/>
      <c r="KY195" s="5"/>
      <c r="KZ195" s="5"/>
      <c r="LA195" s="5"/>
      <c r="LB195" s="5"/>
      <c r="LC195" s="5"/>
      <c r="LD195" s="5"/>
      <c r="LE195" s="5"/>
      <c r="LF195" s="5"/>
      <c r="LG195" s="5"/>
      <c r="LH195" s="5"/>
      <c r="LI195" s="5"/>
      <c r="LJ195" s="5"/>
      <c r="LK195" s="5"/>
      <c r="LL195" s="5"/>
      <c r="LM195" s="5"/>
      <c r="LN195" s="5"/>
      <c r="LO195" s="5"/>
      <c r="LP195" s="5"/>
      <c r="LQ195" s="5"/>
      <c r="LR195" s="5"/>
      <c r="LS195" s="5"/>
      <c r="LT195" s="5"/>
      <c r="LU195" s="5"/>
      <c r="LV195" s="5"/>
      <c r="LW195" s="5"/>
      <c r="LX195" s="5"/>
      <c r="LY195" s="5"/>
      <c r="LZ195" s="5"/>
      <c r="MA195" s="5"/>
      <c r="MB195" s="5"/>
      <c r="MC195" s="5"/>
      <c r="MD195" s="5"/>
      <c r="ME195" s="5"/>
      <c r="MF195" s="5"/>
      <c r="MG195" s="5"/>
      <c r="MH195" s="5"/>
      <c r="MI195" s="5"/>
      <c r="MJ195" s="5"/>
      <c r="MK195" s="5"/>
      <c r="ML195" s="5"/>
      <c r="MM195" s="5"/>
      <c r="MN195" s="5"/>
      <c r="MO195" s="5"/>
      <c r="MP195" s="5"/>
      <c r="MQ195" s="5"/>
      <c r="MR195" s="5"/>
      <c r="MS195" s="5"/>
      <c r="MT195" s="5"/>
      <c r="MU195" s="5"/>
      <c r="MV195" s="5"/>
      <c r="MW195" s="5"/>
      <c r="MX195" s="5"/>
      <c r="MY195" s="5"/>
      <c r="MZ195" s="5"/>
      <c r="NA195" s="5"/>
      <c r="NB195" s="5"/>
      <c r="NC195" s="5"/>
      <c r="ND195" s="5"/>
      <c r="NE195" s="5"/>
      <c r="NF195" s="5"/>
      <c r="NG195" s="5"/>
      <c r="NH195" s="5"/>
      <c r="NI195" s="5"/>
      <c r="NJ195" s="5"/>
      <c r="NK195" s="5"/>
      <c r="NL195" s="5"/>
      <c r="NM195" s="5"/>
      <c r="NN195" s="5"/>
      <c r="NO195" s="5"/>
      <c r="NP195" s="5"/>
      <c r="NQ195" s="5"/>
      <c r="NR195" s="5"/>
      <c r="NS195" s="5"/>
      <c r="NT195" s="5"/>
      <c r="NU195" s="5"/>
      <c r="NV195" s="5"/>
      <c r="NW195" s="5"/>
      <c r="NX195" s="5"/>
      <c r="NY195" s="5"/>
      <c r="NZ195" s="5"/>
      <c r="OA195" s="5"/>
      <c r="OB195" s="5"/>
      <c r="OC195" s="5"/>
      <c r="OD195" s="5"/>
      <c r="OE195" s="5"/>
      <c r="OF195" s="5"/>
      <c r="OG195" s="5"/>
      <c r="OH195" s="5"/>
      <c r="OI195" s="5"/>
      <c r="OJ195" s="5"/>
      <c r="OK195" s="5"/>
      <c r="OL195" s="5"/>
      <c r="OM195" s="5"/>
      <c r="ON195" s="5"/>
      <c r="OO195" s="5"/>
      <c r="OP195" s="5"/>
      <c r="OQ195" s="5"/>
      <c r="OR195" s="5"/>
      <c r="OS195" s="5"/>
      <c r="OT195" s="5"/>
      <c r="OU195" s="5"/>
      <c r="OV195" s="5"/>
      <c r="OW195" s="5"/>
      <c r="OX195" s="5"/>
      <c r="OY195" s="5"/>
      <c r="OZ195" s="5"/>
      <c r="PA195" s="5"/>
      <c r="PB195" s="5"/>
      <c r="PC195" s="5"/>
      <c r="PD195" s="5"/>
      <c r="PE195" s="5"/>
      <c r="PF195" s="5"/>
      <c r="PG195" s="5"/>
      <c r="PH195" s="5"/>
      <c r="PI195" s="5"/>
      <c r="PJ195" s="5"/>
      <c r="PK195" s="5"/>
      <c r="PL195" s="5"/>
      <c r="PM195" s="5"/>
      <c r="PN195" s="5"/>
      <c r="PO195" s="5"/>
      <c r="PP195" s="5"/>
      <c r="PQ195" s="5"/>
      <c r="PR195" s="5"/>
      <c r="PS195" s="5"/>
      <c r="PT195" s="5"/>
      <c r="PU195" s="5"/>
      <c r="PV195" s="5"/>
      <c r="PW195" s="5"/>
      <c r="PX195" s="5"/>
      <c r="PY195" s="5"/>
      <c r="PZ195" s="5"/>
      <c r="QA195" s="5"/>
      <c r="QB195" s="5"/>
      <c r="QC195" s="5"/>
      <c r="QD195" s="5"/>
      <c r="QE195" s="5"/>
      <c r="QF195" s="5"/>
      <c r="QG195" s="5"/>
      <c r="QH195" s="5"/>
      <c r="QI195" s="5"/>
      <c r="QJ195" s="5"/>
      <c r="QK195" s="5"/>
      <c r="QL195" s="5"/>
      <c r="QM195" s="5"/>
      <c r="QN195" s="5"/>
      <c r="QO195" s="5"/>
      <c r="QP195" s="5"/>
      <c r="QQ195" s="5"/>
      <c r="QR195" s="5"/>
      <c r="QS195" s="5"/>
      <c r="QT195" s="5"/>
      <c r="QU195" s="5"/>
      <c r="QV195" s="5"/>
      <c r="QW195" s="5"/>
      <c r="QX195" s="5"/>
      <c r="QY195" s="5"/>
      <c r="QZ195" s="5"/>
      <c r="RA195" s="5"/>
      <c r="RB195" s="5"/>
      <c r="RC195" s="5"/>
      <c r="RD195" s="5"/>
      <c r="RE195" s="5"/>
      <c r="RF195" s="5"/>
      <c r="RG195" s="5"/>
      <c r="RH195" s="5"/>
      <c r="RI195" s="5"/>
      <c r="RJ195" s="5"/>
      <c r="RK195" s="5"/>
      <c r="RL195" s="5"/>
      <c r="RM195" s="5"/>
      <c r="RN195" s="5"/>
      <c r="RO195" s="5"/>
      <c r="RP195" s="5"/>
      <c r="RQ195" s="5"/>
      <c r="RR195" s="5"/>
      <c r="RS195" s="5"/>
      <c r="RT195" s="5"/>
      <c r="RU195" s="5"/>
      <c r="RV195" s="5"/>
      <c r="RW195" s="5"/>
      <c r="RX195" s="5"/>
      <c r="RY195" s="5"/>
      <c r="RZ195" s="5"/>
      <c r="SA195" s="5"/>
      <c r="SB195" s="5"/>
      <c r="SC195" s="5"/>
      <c r="SD195" s="5"/>
      <c r="SE195" s="5"/>
      <c r="SF195" s="5"/>
      <c r="SG195" s="5"/>
      <c r="SH195" s="5"/>
      <c r="SI195" s="5"/>
      <c r="SJ195" s="5"/>
      <c r="SK195" s="5"/>
      <c r="SL195" s="5"/>
      <c r="SM195" s="5"/>
      <c r="SN195" s="5"/>
      <c r="SO195" s="5"/>
      <c r="SP195" s="5"/>
      <c r="SQ195" s="5"/>
      <c r="SR195" s="5"/>
      <c r="SS195" s="5"/>
      <c r="ST195" s="5"/>
      <c r="SU195" s="5"/>
      <c r="SV195" s="5"/>
      <c r="SW195" s="5"/>
      <c r="SX195" s="5"/>
      <c r="SY195" s="5"/>
      <c r="SZ195" s="5"/>
      <c r="TA195" s="5"/>
      <c r="TB195" s="5"/>
      <c r="TC195" s="5"/>
      <c r="TD195" s="5"/>
      <c r="TE195" s="5"/>
      <c r="TF195" s="5"/>
      <c r="TG195" s="5"/>
      <c r="TH195" s="5"/>
      <c r="TI195" s="5"/>
      <c r="TJ195" s="5"/>
      <c r="TK195" s="5"/>
      <c r="TL195" s="5"/>
      <c r="TM195" s="5"/>
      <c r="TN195" s="5"/>
      <c r="TO195" s="5"/>
      <c r="TP195" s="5"/>
      <c r="TQ195" s="5"/>
      <c r="TR195" s="5"/>
      <c r="TS195" s="5"/>
      <c r="TT195" s="5"/>
      <c r="TU195" s="5"/>
      <c r="TV195" s="5"/>
      <c r="TW195" s="5"/>
      <c r="TX195" s="5"/>
      <c r="TY195" s="5"/>
      <c r="TZ195" s="5"/>
      <c r="UA195" s="5"/>
      <c r="UB195" s="5"/>
      <c r="UC195" s="5"/>
      <c r="UD195" s="5"/>
      <c r="UE195" s="5"/>
      <c r="UF195" s="5"/>
      <c r="UG195" s="5"/>
      <c r="UH195" s="5"/>
      <c r="UI195" s="5"/>
      <c r="UJ195" s="5"/>
      <c r="UK195" s="5"/>
      <c r="UL195" s="5"/>
      <c r="UM195" s="5"/>
      <c r="UN195" s="5"/>
      <c r="UO195" s="5"/>
      <c r="UP195" s="5"/>
      <c r="UQ195" s="5"/>
      <c r="UR195" s="5"/>
      <c r="US195" s="5"/>
      <c r="UT195" s="5"/>
      <c r="UU195" s="5"/>
      <c r="UV195" s="5"/>
      <c r="UW195" s="5"/>
      <c r="UX195" s="5"/>
      <c r="UY195" s="5"/>
      <c r="UZ195" s="5"/>
      <c r="VA195" s="5"/>
      <c r="VB195" s="5"/>
      <c r="VC195" s="5"/>
      <c r="VD195" s="5"/>
      <c r="VE195" s="5"/>
      <c r="VF195" s="5"/>
      <c r="VG195" s="5"/>
      <c r="VH195" s="5"/>
      <c r="VI195" s="5"/>
      <c r="VJ195" s="5"/>
      <c r="VK195" s="5"/>
      <c r="VL195" s="5"/>
      <c r="VM195" s="5"/>
      <c r="VN195" s="5"/>
      <c r="VO195" s="5"/>
      <c r="VP195" s="5"/>
      <c r="VQ195" s="5"/>
      <c r="VR195" s="5"/>
      <c r="VS195" s="5"/>
      <c r="VT195" s="5"/>
      <c r="VU195" s="5"/>
      <c r="VV195" s="5"/>
      <c r="VW195" s="5"/>
      <c r="VX195" s="5"/>
      <c r="VY195" s="5"/>
      <c r="VZ195" s="5"/>
      <c r="WA195" s="5"/>
      <c r="WB195" s="5"/>
      <c r="WC195" s="5"/>
      <c r="WD195" s="5"/>
      <c r="WE195" s="5"/>
      <c r="WF195" s="5"/>
      <c r="WG195" s="5"/>
      <c r="WH195" s="5"/>
      <c r="WI195" s="5"/>
      <c r="WJ195" s="5"/>
      <c r="WK195" s="5"/>
      <c r="WL195" s="5"/>
      <c r="WM195" s="5"/>
      <c r="WN195" s="5"/>
      <c r="WO195" s="5"/>
      <c r="WP195" s="5"/>
      <c r="WQ195" s="5"/>
      <c r="WR195" s="5"/>
      <c r="WS195" s="5"/>
      <c r="WT195" s="5"/>
      <c r="WU195" s="5"/>
      <c r="WV195" s="5"/>
      <c r="WW195" s="5"/>
      <c r="WX195" s="5"/>
      <c r="WY195" s="5"/>
      <c r="WZ195" s="5"/>
      <c r="XA195" s="5"/>
      <c r="XB195" s="5"/>
      <c r="XC195" s="5"/>
      <c r="XD195" s="5"/>
      <c r="XE195" s="5"/>
      <c r="XF195" s="5"/>
      <c r="XG195" s="5"/>
      <c r="XH195" s="5"/>
      <c r="XI195" s="5"/>
      <c r="XJ195" s="5"/>
      <c r="XK195" s="5"/>
      <c r="XL195" s="5"/>
      <c r="XM195" s="5"/>
      <c r="XN195" s="5"/>
      <c r="XO195" s="5"/>
      <c r="XP195" s="5"/>
      <c r="XQ195" s="5"/>
      <c r="XR195" s="5"/>
      <c r="XS195" s="5"/>
      <c r="XT195" s="5"/>
      <c r="XU195" s="5"/>
      <c r="XV195" s="5"/>
      <c r="XW195" s="5"/>
      <c r="XX195" s="5"/>
      <c r="XY195" s="5"/>
      <c r="XZ195" s="5"/>
      <c r="YA195" s="5"/>
      <c r="YB195" s="5"/>
      <c r="YC195" s="5"/>
      <c r="YD195" s="5"/>
      <c r="YE195" s="5"/>
      <c r="YF195" s="5"/>
      <c r="YG195" s="5"/>
      <c r="YH195" s="5"/>
      <c r="YI195" s="5"/>
      <c r="YJ195" s="5"/>
      <c r="YK195" s="5"/>
      <c r="YL195" s="5"/>
      <c r="YM195" s="5"/>
      <c r="YN195" s="5"/>
      <c r="YO195" s="5"/>
      <c r="YP195" s="5"/>
      <c r="YQ195" s="5"/>
      <c r="YR195" s="5"/>
      <c r="YS195" s="5"/>
      <c r="YT195" s="5"/>
      <c r="YU195" s="5"/>
      <c r="YV195" s="5"/>
      <c r="YW195" s="5"/>
      <c r="YX195" s="5"/>
      <c r="YY195" s="5"/>
      <c r="YZ195" s="5"/>
    </row>
    <row r="196" spans="1:676">
      <c r="A196" s="7">
        <v>186</v>
      </c>
      <c r="B196" s="7" t="s">
        <v>459</v>
      </c>
      <c r="C196" s="10" t="s">
        <v>460</v>
      </c>
      <c r="D196" s="7" t="s">
        <v>296</v>
      </c>
      <c r="E196" s="7" t="s">
        <v>279</v>
      </c>
      <c r="F196" s="7" t="s">
        <v>386</v>
      </c>
      <c r="G196" s="7"/>
      <c r="H196" s="7" t="s">
        <v>52</v>
      </c>
      <c r="I196" s="11">
        <v>2</v>
      </c>
      <c r="J196" s="11">
        <v>3</v>
      </c>
      <c r="K196" s="11">
        <v>0</v>
      </c>
      <c r="L196" s="11">
        <v>6.27</v>
      </c>
      <c r="M196" s="11">
        <v>0.34</v>
      </c>
      <c r="N196" s="11">
        <v>0</v>
      </c>
      <c r="O196" s="11">
        <v>0</v>
      </c>
      <c r="P196" s="11">
        <v>0</v>
      </c>
      <c r="Q196" s="11">
        <v>6.61</v>
      </c>
      <c r="R196" s="11">
        <v>22.63999999999999</v>
      </c>
      <c r="S196" s="11">
        <v>29.24999999999999</v>
      </c>
      <c r="T196" s="11">
        <v>2</v>
      </c>
      <c r="U196" s="11">
        <v>3</v>
      </c>
      <c r="V196" s="11">
        <v>24.24999999999999</v>
      </c>
      <c r="W196" s="13">
        <v>18</v>
      </c>
      <c r="X196" s="13">
        <v>27</v>
      </c>
      <c r="Y196" s="13" t="str">
        <f>MIN(W196,S196)</f>
        <v>0</v>
      </c>
      <c r="Z196" s="13" t="str">
        <f>MIN(X196,(S196-Y196))</f>
        <v>0</v>
      </c>
      <c r="AA196" s="13" t="str">
        <f>S196-SUM(Y196,Z196)</f>
        <v>0</v>
      </c>
      <c r="AB196" s="15"/>
      <c r="AC196" s="15"/>
      <c r="AD196" s="1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  <c r="EC196" s="5"/>
      <c r="ED196" s="5"/>
      <c r="EE196" s="5"/>
      <c r="EF196" s="5"/>
      <c r="EG196" s="5"/>
      <c r="EH196" s="5"/>
      <c r="EI196" s="5"/>
      <c r="EJ196" s="5"/>
      <c r="EK196" s="5"/>
      <c r="EL196" s="5"/>
      <c r="EM196" s="5"/>
      <c r="EN196" s="5"/>
      <c r="EO196" s="5"/>
      <c r="EP196" s="5"/>
      <c r="EQ196" s="5"/>
      <c r="ER196" s="5"/>
      <c r="ES196" s="5"/>
      <c r="ET196" s="5"/>
      <c r="EU196" s="5"/>
      <c r="EV196" s="5"/>
      <c r="EW196" s="5"/>
      <c r="EX196" s="5"/>
      <c r="EY196" s="5"/>
      <c r="EZ196" s="5"/>
      <c r="FA196" s="5"/>
      <c r="FB196" s="5"/>
      <c r="FC196" s="5"/>
      <c r="FD196" s="5"/>
      <c r="FE196" s="5"/>
      <c r="FF196" s="5"/>
      <c r="FG196" s="5"/>
      <c r="FH196" s="5"/>
      <c r="FI196" s="5"/>
      <c r="FJ196" s="5"/>
      <c r="FK196" s="5"/>
      <c r="FL196" s="5"/>
      <c r="FM196" s="5"/>
      <c r="FN196" s="5"/>
      <c r="FO196" s="5"/>
      <c r="FP196" s="5"/>
      <c r="FQ196" s="5"/>
      <c r="FR196" s="5"/>
      <c r="FS196" s="5"/>
      <c r="FT196" s="5"/>
      <c r="FU196" s="5"/>
      <c r="FV196" s="5"/>
      <c r="FW196" s="5"/>
      <c r="FX196" s="5"/>
      <c r="FY196" s="5"/>
      <c r="FZ196" s="5"/>
      <c r="GA196" s="5"/>
      <c r="GB196" s="5"/>
      <c r="GC196" s="5"/>
      <c r="GD196" s="5"/>
      <c r="GE196" s="5"/>
      <c r="GF196" s="5"/>
      <c r="GG196" s="5"/>
      <c r="GH196" s="5"/>
      <c r="GI196" s="5"/>
      <c r="GJ196" s="5"/>
      <c r="GK196" s="5"/>
      <c r="GL196" s="5"/>
      <c r="GM196" s="5"/>
      <c r="GN196" s="5"/>
      <c r="GO196" s="5"/>
      <c r="GP196" s="5"/>
      <c r="GQ196" s="5"/>
      <c r="GR196" s="5"/>
      <c r="GS196" s="5"/>
      <c r="GT196" s="5"/>
      <c r="GU196" s="5"/>
      <c r="GV196" s="5"/>
      <c r="GW196" s="5"/>
      <c r="GX196" s="5"/>
      <c r="GY196" s="5"/>
      <c r="GZ196" s="5"/>
      <c r="HA196" s="5"/>
      <c r="HB196" s="5"/>
      <c r="HC196" s="5"/>
      <c r="HD196" s="5"/>
      <c r="HE196" s="5"/>
      <c r="HF196" s="5"/>
      <c r="HG196" s="5"/>
      <c r="HH196" s="5"/>
      <c r="HI196" s="5"/>
      <c r="HJ196" s="5"/>
      <c r="HK196" s="5"/>
      <c r="HL196" s="5"/>
      <c r="HM196" s="5"/>
      <c r="HN196" s="5"/>
      <c r="HO196" s="5"/>
      <c r="HP196" s="5"/>
      <c r="HQ196" s="5"/>
      <c r="HR196" s="5"/>
      <c r="HS196" s="5"/>
      <c r="HT196" s="5"/>
      <c r="HU196" s="5"/>
      <c r="HV196" s="5"/>
      <c r="HW196" s="5"/>
      <c r="HX196" s="5"/>
      <c r="HY196" s="5"/>
      <c r="HZ196" s="5"/>
      <c r="IA196" s="5"/>
      <c r="IB196" s="5"/>
      <c r="IC196" s="5"/>
      <c r="ID196" s="5"/>
      <c r="IE196" s="5"/>
      <c r="IF196" s="5"/>
      <c r="IG196" s="5"/>
      <c r="IH196" s="5"/>
      <c r="II196" s="5"/>
      <c r="IJ196" s="5"/>
      <c r="IK196" s="5"/>
      <c r="IL196" s="5"/>
      <c r="IM196" s="5"/>
      <c r="IN196" s="5"/>
      <c r="IO196" s="5"/>
      <c r="IP196" s="5"/>
      <c r="IQ196" s="5"/>
      <c r="IR196" s="5"/>
      <c r="IS196" s="5"/>
      <c r="IT196" s="5"/>
      <c r="IU196" s="5"/>
      <c r="IV196" s="5"/>
      <c r="IW196" s="5"/>
      <c r="IX196" s="5"/>
      <c r="IY196" s="5"/>
      <c r="IZ196" s="5"/>
      <c r="JA196" s="5"/>
      <c r="JB196" s="5"/>
      <c r="JC196" s="5"/>
      <c r="JD196" s="5"/>
      <c r="JE196" s="5"/>
      <c r="JF196" s="5"/>
      <c r="JG196" s="5"/>
      <c r="JH196" s="5"/>
      <c r="JI196" s="5"/>
      <c r="JJ196" s="5"/>
      <c r="JK196" s="5"/>
      <c r="JL196" s="5"/>
      <c r="JM196" s="5"/>
      <c r="JN196" s="5"/>
      <c r="JO196" s="5"/>
      <c r="JP196" s="5"/>
      <c r="JQ196" s="5"/>
      <c r="JR196" s="5"/>
      <c r="JS196" s="5"/>
      <c r="JT196" s="5"/>
      <c r="JU196" s="5"/>
      <c r="JV196" s="5"/>
      <c r="JW196" s="5"/>
      <c r="JX196" s="5"/>
      <c r="JY196" s="5"/>
      <c r="JZ196" s="5"/>
      <c r="KA196" s="5"/>
      <c r="KB196" s="5"/>
      <c r="KC196" s="5"/>
      <c r="KD196" s="5"/>
      <c r="KE196" s="5"/>
      <c r="KF196" s="5"/>
      <c r="KG196" s="5"/>
      <c r="KH196" s="5"/>
      <c r="KI196" s="5"/>
      <c r="KJ196" s="5"/>
      <c r="KK196" s="5"/>
      <c r="KL196" s="5"/>
      <c r="KM196" s="5"/>
      <c r="KN196" s="5"/>
      <c r="KO196" s="5"/>
      <c r="KP196" s="5"/>
      <c r="KQ196" s="5"/>
      <c r="KR196" s="5"/>
      <c r="KS196" s="5"/>
      <c r="KT196" s="5"/>
      <c r="KU196" s="5"/>
      <c r="KV196" s="5"/>
      <c r="KW196" s="5"/>
      <c r="KX196" s="5"/>
      <c r="KY196" s="5"/>
      <c r="KZ196" s="5"/>
      <c r="LA196" s="5"/>
      <c r="LB196" s="5"/>
      <c r="LC196" s="5"/>
      <c r="LD196" s="5"/>
      <c r="LE196" s="5"/>
      <c r="LF196" s="5"/>
      <c r="LG196" s="5"/>
      <c r="LH196" s="5"/>
      <c r="LI196" s="5"/>
      <c r="LJ196" s="5"/>
      <c r="LK196" s="5"/>
      <c r="LL196" s="5"/>
      <c r="LM196" s="5"/>
      <c r="LN196" s="5"/>
      <c r="LO196" s="5"/>
      <c r="LP196" s="5"/>
      <c r="LQ196" s="5"/>
      <c r="LR196" s="5"/>
      <c r="LS196" s="5"/>
      <c r="LT196" s="5"/>
      <c r="LU196" s="5"/>
      <c r="LV196" s="5"/>
      <c r="LW196" s="5"/>
      <c r="LX196" s="5"/>
      <c r="LY196" s="5"/>
      <c r="LZ196" s="5"/>
      <c r="MA196" s="5"/>
      <c r="MB196" s="5"/>
      <c r="MC196" s="5"/>
      <c r="MD196" s="5"/>
      <c r="ME196" s="5"/>
      <c r="MF196" s="5"/>
      <c r="MG196" s="5"/>
      <c r="MH196" s="5"/>
      <c r="MI196" s="5"/>
      <c r="MJ196" s="5"/>
      <c r="MK196" s="5"/>
      <c r="ML196" s="5"/>
      <c r="MM196" s="5"/>
      <c r="MN196" s="5"/>
      <c r="MO196" s="5"/>
      <c r="MP196" s="5"/>
      <c r="MQ196" s="5"/>
      <c r="MR196" s="5"/>
      <c r="MS196" s="5"/>
      <c r="MT196" s="5"/>
      <c r="MU196" s="5"/>
      <c r="MV196" s="5"/>
      <c r="MW196" s="5"/>
      <c r="MX196" s="5"/>
      <c r="MY196" s="5"/>
      <c r="MZ196" s="5"/>
      <c r="NA196" s="5"/>
      <c r="NB196" s="5"/>
      <c r="NC196" s="5"/>
      <c r="ND196" s="5"/>
      <c r="NE196" s="5"/>
      <c r="NF196" s="5"/>
      <c r="NG196" s="5"/>
      <c r="NH196" s="5"/>
      <c r="NI196" s="5"/>
      <c r="NJ196" s="5"/>
      <c r="NK196" s="5"/>
      <c r="NL196" s="5"/>
      <c r="NM196" s="5"/>
      <c r="NN196" s="5"/>
      <c r="NO196" s="5"/>
      <c r="NP196" s="5"/>
      <c r="NQ196" s="5"/>
      <c r="NR196" s="5"/>
      <c r="NS196" s="5"/>
      <c r="NT196" s="5"/>
      <c r="NU196" s="5"/>
      <c r="NV196" s="5"/>
      <c r="NW196" s="5"/>
      <c r="NX196" s="5"/>
      <c r="NY196" s="5"/>
      <c r="NZ196" s="5"/>
      <c r="OA196" s="5"/>
      <c r="OB196" s="5"/>
      <c r="OC196" s="5"/>
      <c r="OD196" s="5"/>
      <c r="OE196" s="5"/>
      <c r="OF196" s="5"/>
      <c r="OG196" s="5"/>
      <c r="OH196" s="5"/>
      <c r="OI196" s="5"/>
      <c r="OJ196" s="5"/>
      <c r="OK196" s="5"/>
      <c r="OL196" s="5"/>
      <c r="OM196" s="5"/>
      <c r="ON196" s="5"/>
      <c r="OO196" s="5"/>
      <c r="OP196" s="5"/>
      <c r="OQ196" s="5"/>
      <c r="OR196" s="5"/>
      <c r="OS196" s="5"/>
      <c r="OT196" s="5"/>
      <c r="OU196" s="5"/>
      <c r="OV196" s="5"/>
      <c r="OW196" s="5"/>
      <c r="OX196" s="5"/>
      <c r="OY196" s="5"/>
      <c r="OZ196" s="5"/>
      <c r="PA196" s="5"/>
      <c r="PB196" s="5"/>
      <c r="PC196" s="5"/>
      <c r="PD196" s="5"/>
      <c r="PE196" s="5"/>
      <c r="PF196" s="5"/>
      <c r="PG196" s="5"/>
      <c r="PH196" s="5"/>
      <c r="PI196" s="5"/>
      <c r="PJ196" s="5"/>
      <c r="PK196" s="5"/>
      <c r="PL196" s="5"/>
      <c r="PM196" s="5"/>
      <c r="PN196" s="5"/>
      <c r="PO196" s="5"/>
      <c r="PP196" s="5"/>
      <c r="PQ196" s="5"/>
      <c r="PR196" s="5"/>
      <c r="PS196" s="5"/>
      <c r="PT196" s="5"/>
      <c r="PU196" s="5"/>
      <c r="PV196" s="5"/>
      <c r="PW196" s="5"/>
      <c r="PX196" s="5"/>
      <c r="PY196" s="5"/>
      <c r="PZ196" s="5"/>
      <c r="QA196" s="5"/>
      <c r="QB196" s="5"/>
      <c r="QC196" s="5"/>
      <c r="QD196" s="5"/>
      <c r="QE196" s="5"/>
      <c r="QF196" s="5"/>
      <c r="QG196" s="5"/>
      <c r="QH196" s="5"/>
      <c r="QI196" s="5"/>
      <c r="QJ196" s="5"/>
      <c r="QK196" s="5"/>
      <c r="QL196" s="5"/>
      <c r="QM196" s="5"/>
      <c r="QN196" s="5"/>
      <c r="QO196" s="5"/>
      <c r="QP196" s="5"/>
      <c r="QQ196" s="5"/>
      <c r="QR196" s="5"/>
      <c r="QS196" s="5"/>
      <c r="QT196" s="5"/>
      <c r="QU196" s="5"/>
      <c r="QV196" s="5"/>
      <c r="QW196" s="5"/>
      <c r="QX196" s="5"/>
      <c r="QY196" s="5"/>
      <c r="QZ196" s="5"/>
      <c r="RA196" s="5"/>
      <c r="RB196" s="5"/>
      <c r="RC196" s="5"/>
      <c r="RD196" s="5"/>
      <c r="RE196" s="5"/>
      <c r="RF196" s="5"/>
      <c r="RG196" s="5"/>
      <c r="RH196" s="5"/>
      <c r="RI196" s="5"/>
      <c r="RJ196" s="5"/>
      <c r="RK196" s="5"/>
      <c r="RL196" s="5"/>
      <c r="RM196" s="5"/>
      <c r="RN196" s="5"/>
      <c r="RO196" s="5"/>
      <c r="RP196" s="5"/>
      <c r="RQ196" s="5"/>
      <c r="RR196" s="5"/>
      <c r="RS196" s="5"/>
      <c r="RT196" s="5"/>
      <c r="RU196" s="5"/>
      <c r="RV196" s="5"/>
      <c r="RW196" s="5"/>
      <c r="RX196" s="5"/>
      <c r="RY196" s="5"/>
      <c r="RZ196" s="5"/>
      <c r="SA196" s="5"/>
      <c r="SB196" s="5"/>
      <c r="SC196" s="5"/>
      <c r="SD196" s="5"/>
      <c r="SE196" s="5"/>
      <c r="SF196" s="5"/>
      <c r="SG196" s="5"/>
      <c r="SH196" s="5"/>
      <c r="SI196" s="5"/>
      <c r="SJ196" s="5"/>
      <c r="SK196" s="5"/>
      <c r="SL196" s="5"/>
      <c r="SM196" s="5"/>
      <c r="SN196" s="5"/>
      <c r="SO196" s="5"/>
      <c r="SP196" s="5"/>
      <c r="SQ196" s="5"/>
      <c r="SR196" s="5"/>
      <c r="SS196" s="5"/>
      <c r="ST196" s="5"/>
      <c r="SU196" s="5"/>
      <c r="SV196" s="5"/>
      <c r="SW196" s="5"/>
      <c r="SX196" s="5"/>
      <c r="SY196" s="5"/>
      <c r="SZ196" s="5"/>
      <c r="TA196" s="5"/>
      <c r="TB196" s="5"/>
      <c r="TC196" s="5"/>
      <c r="TD196" s="5"/>
      <c r="TE196" s="5"/>
      <c r="TF196" s="5"/>
      <c r="TG196" s="5"/>
      <c r="TH196" s="5"/>
      <c r="TI196" s="5"/>
      <c r="TJ196" s="5"/>
      <c r="TK196" s="5"/>
      <c r="TL196" s="5"/>
      <c r="TM196" s="5"/>
      <c r="TN196" s="5"/>
      <c r="TO196" s="5"/>
      <c r="TP196" s="5"/>
      <c r="TQ196" s="5"/>
      <c r="TR196" s="5"/>
      <c r="TS196" s="5"/>
      <c r="TT196" s="5"/>
      <c r="TU196" s="5"/>
      <c r="TV196" s="5"/>
      <c r="TW196" s="5"/>
      <c r="TX196" s="5"/>
      <c r="TY196" s="5"/>
      <c r="TZ196" s="5"/>
      <c r="UA196" s="5"/>
      <c r="UB196" s="5"/>
      <c r="UC196" s="5"/>
      <c r="UD196" s="5"/>
      <c r="UE196" s="5"/>
      <c r="UF196" s="5"/>
      <c r="UG196" s="5"/>
      <c r="UH196" s="5"/>
      <c r="UI196" s="5"/>
      <c r="UJ196" s="5"/>
      <c r="UK196" s="5"/>
      <c r="UL196" s="5"/>
      <c r="UM196" s="5"/>
      <c r="UN196" s="5"/>
      <c r="UO196" s="5"/>
      <c r="UP196" s="5"/>
      <c r="UQ196" s="5"/>
      <c r="UR196" s="5"/>
      <c r="US196" s="5"/>
      <c r="UT196" s="5"/>
      <c r="UU196" s="5"/>
      <c r="UV196" s="5"/>
      <c r="UW196" s="5"/>
      <c r="UX196" s="5"/>
      <c r="UY196" s="5"/>
      <c r="UZ196" s="5"/>
      <c r="VA196" s="5"/>
      <c r="VB196" s="5"/>
      <c r="VC196" s="5"/>
      <c r="VD196" s="5"/>
      <c r="VE196" s="5"/>
      <c r="VF196" s="5"/>
      <c r="VG196" s="5"/>
      <c r="VH196" s="5"/>
      <c r="VI196" s="5"/>
      <c r="VJ196" s="5"/>
      <c r="VK196" s="5"/>
      <c r="VL196" s="5"/>
      <c r="VM196" s="5"/>
      <c r="VN196" s="5"/>
      <c r="VO196" s="5"/>
      <c r="VP196" s="5"/>
      <c r="VQ196" s="5"/>
      <c r="VR196" s="5"/>
      <c r="VS196" s="5"/>
      <c r="VT196" s="5"/>
      <c r="VU196" s="5"/>
      <c r="VV196" s="5"/>
      <c r="VW196" s="5"/>
      <c r="VX196" s="5"/>
      <c r="VY196" s="5"/>
      <c r="VZ196" s="5"/>
      <c r="WA196" s="5"/>
      <c r="WB196" s="5"/>
      <c r="WC196" s="5"/>
      <c r="WD196" s="5"/>
      <c r="WE196" s="5"/>
      <c r="WF196" s="5"/>
      <c r="WG196" s="5"/>
      <c r="WH196" s="5"/>
      <c r="WI196" s="5"/>
      <c r="WJ196" s="5"/>
      <c r="WK196" s="5"/>
      <c r="WL196" s="5"/>
      <c r="WM196" s="5"/>
      <c r="WN196" s="5"/>
      <c r="WO196" s="5"/>
      <c r="WP196" s="5"/>
      <c r="WQ196" s="5"/>
      <c r="WR196" s="5"/>
      <c r="WS196" s="5"/>
      <c r="WT196" s="5"/>
      <c r="WU196" s="5"/>
      <c r="WV196" s="5"/>
      <c r="WW196" s="5"/>
      <c r="WX196" s="5"/>
      <c r="WY196" s="5"/>
      <c r="WZ196" s="5"/>
      <c r="XA196" s="5"/>
      <c r="XB196" s="5"/>
      <c r="XC196" s="5"/>
      <c r="XD196" s="5"/>
      <c r="XE196" s="5"/>
      <c r="XF196" s="5"/>
      <c r="XG196" s="5"/>
      <c r="XH196" s="5"/>
      <c r="XI196" s="5"/>
      <c r="XJ196" s="5"/>
      <c r="XK196" s="5"/>
      <c r="XL196" s="5"/>
      <c r="XM196" s="5"/>
      <c r="XN196" s="5"/>
      <c r="XO196" s="5"/>
      <c r="XP196" s="5"/>
      <c r="XQ196" s="5"/>
      <c r="XR196" s="5"/>
      <c r="XS196" s="5"/>
      <c r="XT196" s="5"/>
      <c r="XU196" s="5"/>
      <c r="XV196" s="5"/>
      <c r="XW196" s="5"/>
      <c r="XX196" s="5"/>
      <c r="XY196" s="5"/>
      <c r="XZ196" s="5"/>
      <c r="YA196" s="5"/>
      <c r="YB196" s="5"/>
      <c r="YC196" s="5"/>
      <c r="YD196" s="5"/>
      <c r="YE196" s="5"/>
      <c r="YF196" s="5"/>
      <c r="YG196" s="5"/>
      <c r="YH196" s="5"/>
      <c r="YI196" s="5"/>
      <c r="YJ196" s="5"/>
      <c r="YK196" s="5"/>
      <c r="YL196" s="5"/>
      <c r="YM196" s="5"/>
      <c r="YN196" s="5"/>
      <c r="YO196" s="5"/>
      <c r="YP196" s="5"/>
      <c r="YQ196" s="5"/>
      <c r="YR196" s="5"/>
      <c r="YS196" s="5"/>
      <c r="YT196" s="5"/>
      <c r="YU196" s="5"/>
      <c r="YV196" s="5"/>
      <c r="YW196" s="5"/>
      <c r="YX196" s="5"/>
      <c r="YY196" s="5"/>
      <c r="YZ196" s="5"/>
    </row>
    <row r="197" spans="1:676">
      <c r="A197" s="7">
        <v>187</v>
      </c>
      <c r="B197" s="7" t="s">
        <v>461</v>
      </c>
      <c r="C197" s="10" t="s">
        <v>462</v>
      </c>
      <c r="D197" s="7" t="s">
        <v>85</v>
      </c>
      <c r="E197" s="7" t="s">
        <v>279</v>
      </c>
      <c r="F197" s="7" t="s">
        <v>394</v>
      </c>
      <c r="G197" s="7"/>
      <c r="H197" s="7" t="s">
        <v>52</v>
      </c>
      <c r="I197" s="11">
        <v>2</v>
      </c>
      <c r="J197" s="11">
        <v>3</v>
      </c>
      <c r="K197" s="11">
        <v>0</v>
      </c>
      <c r="L197" s="11">
        <v>1</v>
      </c>
      <c r="M197" s="11">
        <v>0.17</v>
      </c>
      <c r="N197" s="11">
        <v>0</v>
      </c>
      <c r="O197" s="11">
        <v>0.18</v>
      </c>
      <c r="P197" s="11">
        <v>0</v>
      </c>
      <c r="Q197" s="11">
        <v>1.35</v>
      </c>
      <c r="R197" s="11">
        <v>19.03</v>
      </c>
      <c r="S197" s="11">
        <v>20.38000000000001</v>
      </c>
      <c r="T197" s="11">
        <v>2</v>
      </c>
      <c r="U197" s="11">
        <v>3</v>
      </c>
      <c r="V197" s="11">
        <v>15.38000000000001</v>
      </c>
      <c r="W197" s="13">
        <v>18</v>
      </c>
      <c r="X197" s="13">
        <v>27</v>
      </c>
      <c r="Y197" s="13" t="str">
        <f>MIN(W197,S197)</f>
        <v>0</v>
      </c>
      <c r="Z197" s="13" t="str">
        <f>MIN(X197,(S197-Y197))</f>
        <v>0</v>
      </c>
      <c r="AA197" s="13" t="str">
        <f>S197-SUM(Y197,Z197)</f>
        <v>0</v>
      </c>
      <c r="AB197" s="15"/>
      <c r="AC197" s="15"/>
      <c r="AD197" s="1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5"/>
      <c r="DB197" s="5"/>
      <c r="DC197" s="5"/>
      <c r="DD197" s="5"/>
      <c r="DE197" s="5"/>
      <c r="DF197" s="5"/>
      <c r="DG197" s="5"/>
      <c r="DH197" s="5"/>
      <c r="DI197" s="5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  <c r="EC197" s="5"/>
      <c r="ED197" s="5"/>
      <c r="EE197" s="5"/>
      <c r="EF197" s="5"/>
      <c r="EG197" s="5"/>
      <c r="EH197" s="5"/>
      <c r="EI197" s="5"/>
      <c r="EJ197" s="5"/>
      <c r="EK197" s="5"/>
      <c r="EL197" s="5"/>
      <c r="EM197" s="5"/>
      <c r="EN197" s="5"/>
      <c r="EO197" s="5"/>
      <c r="EP197" s="5"/>
      <c r="EQ197" s="5"/>
      <c r="ER197" s="5"/>
      <c r="ES197" s="5"/>
      <c r="ET197" s="5"/>
      <c r="EU197" s="5"/>
      <c r="EV197" s="5"/>
      <c r="EW197" s="5"/>
      <c r="EX197" s="5"/>
      <c r="EY197" s="5"/>
      <c r="EZ197" s="5"/>
      <c r="FA197" s="5"/>
      <c r="FB197" s="5"/>
      <c r="FC197" s="5"/>
      <c r="FD197" s="5"/>
      <c r="FE197" s="5"/>
      <c r="FF197" s="5"/>
      <c r="FG197" s="5"/>
      <c r="FH197" s="5"/>
      <c r="FI197" s="5"/>
      <c r="FJ197" s="5"/>
      <c r="FK197" s="5"/>
      <c r="FL197" s="5"/>
      <c r="FM197" s="5"/>
      <c r="FN197" s="5"/>
      <c r="FO197" s="5"/>
      <c r="FP197" s="5"/>
      <c r="FQ197" s="5"/>
      <c r="FR197" s="5"/>
      <c r="FS197" s="5"/>
      <c r="FT197" s="5"/>
      <c r="FU197" s="5"/>
      <c r="FV197" s="5"/>
      <c r="FW197" s="5"/>
      <c r="FX197" s="5"/>
      <c r="FY197" s="5"/>
      <c r="FZ197" s="5"/>
      <c r="GA197" s="5"/>
      <c r="GB197" s="5"/>
      <c r="GC197" s="5"/>
      <c r="GD197" s="5"/>
      <c r="GE197" s="5"/>
      <c r="GF197" s="5"/>
      <c r="GG197" s="5"/>
      <c r="GH197" s="5"/>
      <c r="GI197" s="5"/>
      <c r="GJ197" s="5"/>
      <c r="GK197" s="5"/>
      <c r="GL197" s="5"/>
      <c r="GM197" s="5"/>
      <c r="GN197" s="5"/>
      <c r="GO197" s="5"/>
      <c r="GP197" s="5"/>
      <c r="GQ197" s="5"/>
      <c r="GR197" s="5"/>
      <c r="GS197" s="5"/>
      <c r="GT197" s="5"/>
      <c r="GU197" s="5"/>
      <c r="GV197" s="5"/>
      <c r="GW197" s="5"/>
      <c r="GX197" s="5"/>
      <c r="GY197" s="5"/>
      <c r="GZ197" s="5"/>
      <c r="HA197" s="5"/>
      <c r="HB197" s="5"/>
      <c r="HC197" s="5"/>
      <c r="HD197" s="5"/>
      <c r="HE197" s="5"/>
      <c r="HF197" s="5"/>
      <c r="HG197" s="5"/>
      <c r="HH197" s="5"/>
      <c r="HI197" s="5"/>
      <c r="HJ197" s="5"/>
      <c r="HK197" s="5"/>
      <c r="HL197" s="5"/>
      <c r="HM197" s="5"/>
      <c r="HN197" s="5"/>
      <c r="HO197" s="5"/>
      <c r="HP197" s="5"/>
      <c r="HQ197" s="5"/>
      <c r="HR197" s="5"/>
      <c r="HS197" s="5"/>
      <c r="HT197" s="5"/>
      <c r="HU197" s="5"/>
      <c r="HV197" s="5"/>
      <c r="HW197" s="5"/>
      <c r="HX197" s="5"/>
      <c r="HY197" s="5"/>
      <c r="HZ197" s="5"/>
      <c r="IA197" s="5"/>
      <c r="IB197" s="5"/>
      <c r="IC197" s="5"/>
      <c r="ID197" s="5"/>
      <c r="IE197" s="5"/>
      <c r="IF197" s="5"/>
      <c r="IG197" s="5"/>
      <c r="IH197" s="5"/>
      <c r="II197" s="5"/>
      <c r="IJ197" s="5"/>
      <c r="IK197" s="5"/>
      <c r="IL197" s="5"/>
      <c r="IM197" s="5"/>
      <c r="IN197" s="5"/>
      <c r="IO197" s="5"/>
      <c r="IP197" s="5"/>
      <c r="IQ197" s="5"/>
      <c r="IR197" s="5"/>
      <c r="IS197" s="5"/>
      <c r="IT197" s="5"/>
      <c r="IU197" s="5"/>
      <c r="IV197" s="5"/>
      <c r="IW197" s="5"/>
      <c r="IX197" s="5"/>
      <c r="IY197" s="5"/>
      <c r="IZ197" s="5"/>
      <c r="JA197" s="5"/>
      <c r="JB197" s="5"/>
      <c r="JC197" s="5"/>
      <c r="JD197" s="5"/>
      <c r="JE197" s="5"/>
      <c r="JF197" s="5"/>
      <c r="JG197" s="5"/>
      <c r="JH197" s="5"/>
      <c r="JI197" s="5"/>
      <c r="JJ197" s="5"/>
      <c r="JK197" s="5"/>
      <c r="JL197" s="5"/>
      <c r="JM197" s="5"/>
      <c r="JN197" s="5"/>
      <c r="JO197" s="5"/>
      <c r="JP197" s="5"/>
      <c r="JQ197" s="5"/>
      <c r="JR197" s="5"/>
      <c r="JS197" s="5"/>
      <c r="JT197" s="5"/>
      <c r="JU197" s="5"/>
      <c r="JV197" s="5"/>
      <c r="JW197" s="5"/>
      <c r="JX197" s="5"/>
      <c r="JY197" s="5"/>
      <c r="JZ197" s="5"/>
      <c r="KA197" s="5"/>
      <c r="KB197" s="5"/>
      <c r="KC197" s="5"/>
      <c r="KD197" s="5"/>
      <c r="KE197" s="5"/>
      <c r="KF197" s="5"/>
      <c r="KG197" s="5"/>
      <c r="KH197" s="5"/>
      <c r="KI197" s="5"/>
      <c r="KJ197" s="5"/>
      <c r="KK197" s="5"/>
      <c r="KL197" s="5"/>
      <c r="KM197" s="5"/>
      <c r="KN197" s="5"/>
      <c r="KO197" s="5"/>
      <c r="KP197" s="5"/>
      <c r="KQ197" s="5"/>
      <c r="KR197" s="5"/>
      <c r="KS197" s="5"/>
      <c r="KT197" s="5"/>
      <c r="KU197" s="5"/>
      <c r="KV197" s="5"/>
      <c r="KW197" s="5"/>
      <c r="KX197" s="5"/>
      <c r="KY197" s="5"/>
      <c r="KZ197" s="5"/>
      <c r="LA197" s="5"/>
      <c r="LB197" s="5"/>
      <c r="LC197" s="5"/>
      <c r="LD197" s="5"/>
      <c r="LE197" s="5"/>
      <c r="LF197" s="5"/>
      <c r="LG197" s="5"/>
      <c r="LH197" s="5"/>
      <c r="LI197" s="5"/>
      <c r="LJ197" s="5"/>
      <c r="LK197" s="5"/>
      <c r="LL197" s="5"/>
      <c r="LM197" s="5"/>
      <c r="LN197" s="5"/>
      <c r="LO197" s="5"/>
      <c r="LP197" s="5"/>
      <c r="LQ197" s="5"/>
      <c r="LR197" s="5"/>
      <c r="LS197" s="5"/>
      <c r="LT197" s="5"/>
      <c r="LU197" s="5"/>
      <c r="LV197" s="5"/>
      <c r="LW197" s="5"/>
      <c r="LX197" s="5"/>
      <c r="LY197" s="5"/>
      <c r="LZ197" s="5"/>
      <c r="MA197" s="5"/>
      <c r="MB197" s="5"/>
      <c r="MC197" s="5"/>
      <c r="MD197" s="5"/>
      <c r="ME197" s="5"/>
      <c r="MF197" s="5"/>
      <c r="MG197" s="5"/>
      <c r="MH197" s="5"/>
      <c r="MI197" s="5"/>
      <c r="MJ197" s="5"/>
      <c r="MK197" s="5"/>
      <c r="ML197" s="5"/>
      <c r="MM197" s="5"/>
      <c r="MN197" s="5"/>
      <c r="MO197" s="5"/>
      <c r="MP197" s="5"/>
      <c r="MQ197" s="5"/>
      <c r="MR197" s="5"/>
      <c r="MS197" s="5"/>
      <c r="MT197" s="5"/>
      <c r="MU197" s="5"/>
      <c r="MV197" s="5"/>
      <c r="MW197" s="5"/>
      <c r="MX197" s="5"/>
      <c r="MY197" s="5"/>
      <c r="MZ197" s="5"/>
      <c r="NA197" s="5"/>
      <c r="NB197" s="5"/>
      <c r="NC197" s="5"/>
      <c r="ND197" s="5"/>
      <c r="NE197" s="5"/>
      <c r="NF197" s="5"/>
      <c r="NG197" s="5"/>
      <c r="NH197" s="5"/>
      <c r="NI197" s="5"/>
      <c r="NJ197" s="5"/>
      <c r="NK197" s="5"/>
      <c r="NL197" s="5"/>
      <c r="NM197" s="5"/>
      <c r="NN197" s="5"/>
      <c r="NO197" s="5"/>
      <c r="NP197" s="5"/>
      <c r="NQ197" s="5"/>
      <c r="NR197" s="5"/>
      <c r="NS197" s="5"/>
      <c r="NT197" s="5"/>
      <c r="NU197" s="5"/>
      <c r="NV197" s="5"/>
      <c r="NW197" s="5"/>
      <c r="NX197" s="5"/>
      <c r="NY197" s="5"/>
      <c r="NZ197" s="5"/>
      <c r="OA197" s="5"/>
      <c r="OB197" s="5"/>
      <c r="OC197" s="5"/>
      <c r="OD197" s="5"/>
      <c r="OE197" s="5"/>
      <c r="OF197" s="5"/>
      <c r="OG197" s="5"/>
      <c r="OH197" s="5"/>
      <c r="OI197" s="5"/>
      <c r="OJ197" s="5"/>
      <c r="OK197" s="5"/>
      <c r="OL197" s="5"/>
      <c r="OM197" s="5"/>
      <c r="ON197" s="5"/>
      <c r="OO197" s="5"/>
      <c r="OP197" s="5"/>
      <c r="OQ197" s="5"/>
      <c r="OR197" s="5"/>
      <c r="OS197" s="5"/>
      <c r="OT197" s="5"/>
      <c r="OU197" s="5"/>
      <c r="OV197" s="5"/>
      <c r="OW197" s="5"/>
      <c r="OX197" s="5"/>
      <c r="OY197" s="5"/>
      <c r="OZ197" s="5"/>
      <c r="PA197" s="5"/>
      <c r="PB197" s="5"/>
      <c r="PC197" s="5"/>
      <c r="PD197" s="5"/>
      <c r="PE197" s="5"/>
      <c r="PF197" s="5"/>
      <c r="PG197" s="5"/>
      <c r="PH197" s="5"/>
      <c r="PI197" s="5"/>
      <c r="PJ197" s="5"/>
      <c r="PK197" s="5"/>
      <c r="PL197" s="5"/>
      <c r="PM197" s="5"/>
      <c r="PN197" s="5"/>
      <c r="PO197" s="5"/>
      <c r="PP197" s="5"/>
      <c r="PQ197" s="5"/>
      <c r="PR197" s="5"/>
      <c r="PS197" s="5"/>
      <c r="PT197" s="5"/>
      <c r="PU197" s="5"/>
      <c r="PV197" s="5"/>
      <c r="PW197" s="5"/>
      <c r="PX197" s="5"/>
      <c r="PY197" s="5"/>
      <c r="PZ197" s="5"/>
      <c r="QA197" s="5"/>
      <c r="QB197" s="5"/>
      <c r="QC197" s="5"/>
      <c r="QD197" s="5"/>
      <c r="QE197" s="5"/>
      <c r="QF197" s="5"/>
      <c r="QG197" s="5"/>
      <c r="QH197" s="5"/>
      <c r="QI197" s="5"/>
      <c r="QJ197" s="5"/>
      <c r="QK197" s="5"/>
      <c r="QL197" s="5"/>
      <c r="QM197" s="5"/>
      <c r="QN197" s="5"/>
      <c r="QO197" s="5"/>
      <c r="QP197" s="5"/>
      <c r="QQ197" s="5"/>
      <c r="QR197" s="5"/>
      <c r="QS197" s="5"/>
      <c r="QT197" s="5"/>
      <c r="QU197" s="5"/>
      <c r="QV197" s="5"/>
      <c r="QW197" s="5"/>
      <c r="QX197" s="5"/>
      <c r="QY197" s="5"/>
      <c r="QZ197" s="5"/>
      <c r="RA197" s="5"/>
      <c r="RB197" s="5"/>
      <c r="RC197" s="5"/>
      <c r="RD197" s="5"/>
      <c r="RE197" s="5"/>
      <c r="RF197" s="5"/>
      <c r="RG197" s="5"/>
      <c r="RH197" s="5"/>
      <c r="RI197" s="5"/>
      <c r="RJ197" s="5"/>
      <c r="RK197" s="5"/>
      <c r="RL197" s="5"/>
      <c r="RM197" s="5"/>
      <c r="RN197" s="5"/>
      <c r="RO197" s="5"/>
      <c r="RP197" s="5"/>
      <c r="RQ197" s="5"/>
      <c r="RR197" s="5"/>
      <c r="RS197" s="5"/>
      <c r="RT197" s="5"/>
      <c r="RU197" s="5"/>
      <c r="RV197" s="5"/>
      <c r="RW197" s="5"/>
      <c r="RX197" s="5"/>
      <c r="RY197" s="5"/>
      <c r="RZ197" s="5"/>
      <c r="SA197" s="5"/>
      <c r="SB197" s="5"/>
      <c r="SC197" s="5"/>
      <c r="SD197" s="5"/>
      <c r="SE197" s="5"/>
      <c r="SF197" s="5"/>
      <c r="SG197" s="5"/>
      <c r="SH197" s="5"/>
      <c r="SI197" s="5"/>
      <c r="SJ197" s="5"/>
      <c r="SK197" s="5"/>
      <c r="SL197" s="5"/>
      <c r="SM197" s="5"/>
      <c r="SN197" s="5"/>
      <c r="SO197" s="5"/>
      <c r="SP197" s="5"/>
      <c r="SQ197" s="5"/>
      <c r="SR197" s="5"/>
      <c r="SS197" s="5"/>
      <c r="ST197" s="5"/>
      <c r="SU197" s="5"/>
      <c r="SV197" s="5"/>
      <c r="SW197" s="5"/>
      <c r="SX197" s="5"/>
      <c r="SY197" s="5"/>
      <c r="SZ197" s="5"/>
      <c r="TA197" s="5"/>
      <c r="TB197" s="5"/>
      <c r="TC197" s="5"/>
      <c r="TD197" s="5"/>
      <c r="TE197" s="5"/>
      <c r="TF197" s="5"/>
      <c r="TG197" s="5"/>
      <c r="TH197" s="5"/>
      <c r="TI197" s="5"/>
      <c r="TJ197" s="5"/>
      <c r="TK197" s="5"/>
      <c r="TL197" s="5"/>
      <c r="TM197" s="5"/>
      <c r="TN197" s="5"/>
      <c r="TO197" s="5"/>
      <c r="TP197" s="5"/>
      <c r="TQ197" s="5"/>
      <c r="TR197" s="5"/>
      <c r="TS197" s="5"/>
      <c r="TT197" s="5"/>
      <c r="TU197" s="5"/>
      <c r="TV197" s="5"/>
      <c r="TW197" s="5"/>
      <c r="TX197" s="5"/>
      <c r="TY197" s="5"/>
      <c r="TZ197" s="5"/>
      <c r="UA197" s="5"/>
      <c r="UB197" s="5"/>
      <c r="UC197" s="5"/>
      <c r="UD197" s="5"/>
      <c r="UE197" s="5"/>
      <c r="UF197" s="5"/>
      <c r="UG197" s="5"/>
      <c r="UH197" s="5"/>
      <c r="UI197" s="5"/>
      <c r="UJ197" s="5"/>
      <c r="UK197" s="5"/>
      <c r="UL197" s="5"/>
      <c r="UM197" s="5"/>
      <c r="UN197" s="5"/>
      <c r="UO197" s="5"/>
      <c r="UP197" s="5"/>
      <c r="UQ197" s="5"/>
      <c r="UR197" s="5"/>
      <c r="US197" s="5"/>
      <c r="UT197" s="5"/>
      <c r="UU197" s="5"/>
      <c r="UV197" s="5"/>
      <c r="UW197" s="5"/>
      <c r="UX197" s="5"/>
      <c r="UY197" s="5"/>
      <c r="UZ197" s="5"/>
      <c r="VA197" s="5"/>
      <c r="VB197" s="5"/>
      <c r="VC197" s="5"/>
      <c r="VD197" s="5"/>
      <c r="VE197" s="5"/>
      <c r="VF197" s="5"/>
      <c r="VG197" s="5"/>
      <c r="VH197" s="5"/>
      <c r="VI197" s="5"/>
      <c r="VJ197" s="5"/>
      <c r="VK197" s="5"/>
      <c r="VL197" s="5"/>
      <c r="VM197" s="5"/>
      <c r="VN197" s="5"/>
      <c r="VO197" s="5"/>
      <c r="VP197" s="5"/>
      <c r="VQ197" s="5"/>
      <c r="VR197" s="5"/>
      <c r="VS197" s="5"/>
      <c r="VT197" s="5"/>
      <c r="VU197" s="5"/>
      <c r="VV197" s="5"/>
      <c r="VW197" s="5"/>
      <c r="VX197" s="5"/>
      <c r="VY197" s="5"/>
      <c r="VZ197" s="5"/>
      <c r="WA197" s="5"/>
      <c r="WB197" s="5"/>
      <c r="WC197" s="5"/>
      <c r="WD197" s="5"/>
      <c r="WE197" s="5"/>
      <c r="WF197" s="5"/>
      <c r="WG197" s="5"/>
      <c r="WH197" s="5"/>
      <c r="WI197" s="5"/>
      <c r="WJ197" s="5"/>
      <c r="WK197" s="5"/>
      <c r="WL197" s="5"/>
      <c r="WM197" s="5"/>
      <c r="WN197" s="5"/>
      <c r="WO197" s="5"/>
      <c r="WP197" s="5"/>
      <c r="WQ197" s="5"/>
      <c r="WR197" s="5"/>
      <c r="WS197" s="5"/>
      <c r="WT197" s="5"/>
      <c r="WU197" s="5"/>
      <c r="WV197" s="5"/>
      <c r="WW197" s="5"/>
      <c r="WX197" s="5"/>
      <c r="WY197" s="5"/>
      <c r="WZ197" s="5"/>
      <c r="XA197" s="5"/>
      <c r="XB197" s="5"/>
      <c r="XC197" s="5"/>
      <c r="XD197" s="5"/>
      <c r="XE197" s="5"/>
      <c r="XF197" s="5"/>
      <c r="XG197" s="5"/>
      <c r="XH197" s="5"/>
      <c r="XI197" s="5"/>
      <c r="XJ197" s="5"/>
      <c r="XK197" s="5"/>
      <c r="XL197" s="5"/>
      <c r="XM197" s="5"/>
      <c r="XN197" s="5"/>
      <c r="XO197" s="5"/>
      <c r="XP197" s="5"/>
      <c r="XQ197" s="5"/>
      <c r="XR197" s="5"/>
      <c r="XS197" s="5"/>
      <c r="XT197" s="5"/>
      <c r="XU197" s="5"/>
      <c r="XV197" s="5"/>
      <c r="XW197" s="5"/>
      <c r="XX197" s="5"/>
      <c r="XY197" s="5"/>
      <c r="XZ197" s="5"/>
      <c r="YA197" s="5"/>
      <c r="YB197" s="5"/>
      <c r="YC197" s="5"/>
      <c r="YD197" s="5"/>
      <c r="YE197" s="5"/>
      <c r="YF197" s="5"/>
      <c r="YG197" s="5"/>
      <c r="YH197" s="5"/>
      <c r="YI197" s="5"/>
      <c r="YJ197" s="5"/>
      <c r="YK197" s="5"/>
      <c r="YL197" s="5"/>
      <c r="YM197" s="5"/>
      <c r="YN197" s="5"/>
      <c r="YO197" s="5"/>
      <c r="YP197" s="5"/>
      <c r="YQ197" s="5"/>
      <c r="YR197" s="5"/>
      <c r="YS197" s="5"/>
      <c r="YT197" s="5"/>
      <c r="YU197" s="5"/>
      <c r="YV197" s="5"/>
      <c r="YW197" s="5"/>
      <c r="YX197" s="5"/>
      <c r="YY197" s="5"/>
      <c r="YZ197" s="5"/>
    </row>
    <row r="198" spans="1:676">
      <c r="A198" s="7">
        <v>188</v>
      </c>
      <c r="B198" s="7" t="s">
        <v>463</v>
      </c>
      <c r="C198" s="10" t="s">
        <v>464</v>
      </c>
      <c r="D198" s="7" t="s">
        <v>85</v>
      </c>
      <c r="E198" s="7" t="s">
        <v>279</v>
      </c>
      <c r="F198" s="7" t="s">
        <v>386</v>
      </c>
      <c r="G198" s="7"/>
      <c r="H198" s="7" t="s">
        <v>52</v>
      </c>
      <c r="I198" s="11">
        <v>2</v>
      </c>
      <c r="J198" s="11">
        <v>3</v>
      </c>
      <c r="K198" s="11">
        <v>0</v>
      </c>
      <c r="L198" s="11">
        <v>2.700000000000001</v>
      </c>
      <c r="M198" s="11">
        <v>0</v>
      </c>
      <c r="N198" s="11">
        <v>0</v>
      </c>
      <c r="O198" s="11">
        <v>0.18</v>
      </c>
      <c r="P198" s="11">
        <v>0</v>
      </c>
      <c r="Q198" s="11">
        <v>2.880000000000001</v>
      </c>
      <c r="R198" s="11">
        <v>11.42000000000001</v>
      </c>
      <c r="S198" s="11">
        <v>14.30000000000001</v>
      </c>
      <c r="T198" s="11">
        <v>2</v>
      </c>
      <c r="U198" s="11">
        <v>3</v>
      </c>
      <c r="V198" s="11">
        <v>9.300000000000006</v>
      </c>
      <c r="W198" s="13">
        <v>18</v>
      </c>
      <c r="X198" s="13">
        <v>27</v>
      </c>
      <c r="Y198" s="13" t="str">
        <f>MIN(W198,S198)</f>
        <v>0</v>
      </c>
      <c r="Z198" s="13" t="str">
        <f>MIN(X198,(S198-Y198))</f>
        <v>0</v>
      </c>
      <c r="AA198" s="13" t="str">
        <f>S198-SUM(Y198,Z198)</f>
        <v>0</v>
      </c>
      <c r="AB198" s="15"/>
      <c r="AC198" s="15"/>
      <c r="AD198" s="1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  <c r="IW198" s="5"/>
      <c r="IX198" s="5"/>
      <c r="IY198" s="5"/>
      <c r="IZ198" s="5"/>
      <c r="JA198" s="5"/>
      <c r="JB198" s="5"/>
      <c r="JC198" s="5"/>
      <c r="JD198" s="5"/>
      <c r="JE198" s="5"/>
      <c r="JF198" s="5"/>
      <c r="JG198" s="5"/>
      <c r="JH198" s="5"/>
      <c r="JI198" s="5"/>
      <c r="JJ198" s="5"/>
      <c r="JK198" s="5"/>
      <c r="JL198" s="5"/>
      <c r="JM198" s="5"/>
      <c r="JN198" s="5"/>
      <c r="JO198" s="5"/>
      <c r="JP198" s="5"/>
      <c r="JQ198" s="5"/>
      <c r="JR198" s="5"/>
      <c r="JS198" s="5"/>
      <c r="JT198" s="5"/>
      <c r="JU198" s="5"/>
      <c r="JV198" s="5"/>
      <c r="JW198" s="5"/>
      <c r="JX198" s="5"/>
      <c r="JY198" s="5"/>
      <c r="JZ198" s="5"/>
      <c r="KA198" s="5"/>
      <c r="KB198" s="5"/>
      <c r="KC198" s="5"/>
      <c r="KD198" s="5"/>
      <c r="KE198" s="5"/>
      <c r="KF198" s="5"/>
      <c r="KG198" s="5"/>
      <c r="KH198" s="5"/>
      <c r="KI198" s="5"/>
      <c r="KJ198" s="5"/>
      <c r="KK198" s="5"/>
      <c r="KL198" s="5"/>
      <c r="KM198" s="5"/>
      <c r="KN198" s="5"/>
      <c r="KO198" s="5"/>
      <c r="KP198" s="5"/>
      <c r="KQ198" s="5"/>
      <c r="KR198" s="5"/>
      <c r="KS198" s="5"/>
      <c r="KT198" s="5"/>
      <c r="KU198" s="5"/>
      <c r="KV198" s="5"/>
      <c r="KW198" s="5"/>
      <c r="KX198" s="5"/>
      <c r="KY198" s="5"/>
      <c r="KZ198" s="5"/>
      <c r="LA198" s="5"/>
      <c r="LB198" s="5"/>
      <c r="LC198" s="5"/>
      <c r="LD198" s="5"/>
      <c r="LE198" s="5"/>
      <c r="LF198" s="5"/>
      <c r="LG198" s="5"/>
      <c r="LH198" s="5"/>
      <c r="LI198" s="5"/>
      <c r="LJ198" s="5"/>
      <c r="LK198" s="5"/>
      <c r="LL198" s="5"/>
      <c r="LM198" s="5"/>
      <c r="LN198" s="5"/>
      <c r="LO198" s="5"/>
      <c r="LP198" s="5"/>
      <c r="LQ198" s="5"/>
      <c r="LR198" s="5"/>
      <c r="LS198" s="5"/>
      <c r="LT198" s="5"/>
      <c r="LU198" s="5"/>
      <c r="LV198" s="5"/>
      <c r="LW198" s="5"/>
      <c r="LX198" s="5"/>
      <c r="LY198" s="5"/>
      <c r="LZ198" s="5"/>
      <c r="MA198" s="5"/>
      <c r="MB198" s="5"/>
      <c r="MC198" s="5"/>
      <c r="MD198" s="5"/>
      <c r="ME198" s="5"/>
      <c r="MF198" s="5"/>
      <c r="MG198" s="5"/>
      <c r="MH198" s="5"/>
      <c r="MI198" s="5"/>
      <c r="MJ198" s="5"/>
      <c r="MK198" s="5"/>
      <c r="ML198" s="5"/>
      <c r="MM198" s="5"/>
      <c r="MN198" s="5"/>
      <c r="MO198" s="5"/>
      <c r="MP198" s="5"/>
      <c r="MQ198" s="5"/>
      <c r="MR198" s="5"/>
      <c r="MS198" s="5"/>
      <c r="MT198" s="5"/>
      <c r="MU198" s="5"/>
      <c r="MV198" s="5"/>
      <c r="MW198" s="5"/>
      <c r="MX198" s="5"/>
      <c r="MY198" s="5"/>
      <c r="MZ198" s="5"/>
      <c r="NA198" s="5"/>
      <c r="NB198" s="5"/>
      <c r="NC198" s="5"/>
      <c r="ND198" s="5"/>
      <c r="NE198" s="5"/>
      <c r="NF198" s="5"/>
      <c r="NG198" s="5"/>
      <c r="NH198" s="5"/>
      <c r="NI198" s="5"/>
      <c r="NJ198" s="5"/>
      <c r="NK198" s="5"/>
      <c r="NL198" s="5"/>
      <c r="NM198" s="5"/>
      <c r="NN198" s="5"/>
      <c r="NO198" s="5"/>
      <c r="NP198" s="5"/>
      <c r="NQ198" s="5"/>
      <c r="NR198" s="5"/>
      <c r="NS198" s="5"/>
      <c r="NT198" s="5"/>
      <c r="NU198" s="5"/>
      <c r="NV198" s="5"/>
      <c r="NW198" s="5"/>
      <c r="NX198" s="5"/>
      <c r="NY198" s="5"/>
      <c r="NZ198" s="5"/>
      <c r="OA198" s="5"/>
      <c r="OB198" s="5"/>
      <c r="OC198" s="5"/>
      <c r="OD198" s="5"/>
      <c r="OE198" s="5"/>
      <c r="OF198" s="5"/>
      <c r="OG198" s="5"/>
      <c r="OH198" s="5"/>
      <c r="OI198" s="5"/>
      <c r="OJ198" s="5"/>
      <c r="OK198" s="5"/>
      <c r="OL198" s="5"/>
      <c r="OM198" s="5"/>
      <c r="ON198" s="5"/>
      <c r="OO198" s="5"/>
      <c r="OP198" s="5"/>
      <c r="OQ198" s="5"/>
      <c r="OR198" s="5"/>
      <c r="OS198" s="5"/>
      <c r="OT198" s="5"/>
      <c r="OU198" s="5"/>
      <c r="OV198" s="5"/>
      <c r="OW198" s="5"/>
      <c r="OX198" s="5"/>
      <c r="OY198" s="5"/>
      <c r="OZ198" s="5"/>
      <c r="PA198" s="5"/>
      <c r="PB198" s="5"/>
      <c r="PC198" s="5"/>
      <c r="PD198" s="5"/>
      <c r="PE198" s="5"/>
      <c r="PF198" s="5"/>
      <c r="PG198" s="5"/>
      <c r="PH198" s="5"/>
      <c r="PI198" s="5"/>
      <c r="PJ198" s="5"/>
      <c r="PK198" s="5"/>
      <c r="PL198" s="5"/>
      <c r="PM198" s="5"/>
      <c r="PN198" s="5"/>
      <c r="PO198" s="5"/>
      <c r="PP198" s="5"/>
      <c r="PQ198" s="5"/>
      <c r="PR198" s="5"/>
      <c r="PS198" s="5"/>
      <c r="PT198" s="5"/>
      <c r="PU198" s="5"/>
      <c r="PV198" s="5"/>
      <c r="PW198" s="5"/>
      <c r="PX198" s="5"/>
      <c r="PY198" s="5"/>
      <c r="PZ198" s="5"/>
      <c r="QA198" s="5"/>
      <c r="QB198" s="5"/>
      <c r="QC198" s="5"/>
      <c r="QD198" s="5"/>
      <c r="QE198" s="5"/>
      <c r="QF198" s="5"/>
      <c r="QG198" s="5"/>
      <c r="QH198" s="5"/>
      <c r="QI198" s="5"/>
      <c r="QJ198" s="5"/>
      <c r="QK198" s="5"/>
      <c r="QL198" s="5"/>
      <c r="QM198" s="5"/>
      <c r="QN198" s="5"/>
      <c r="QO198" s="5"/>
      <c r="QP198" s="5"/>
      <c r="QQ198" s="5"/>
      <c r="QR198" s="5"/>
      <c r="QS198" s="5"/>
      <c r="QT198" s="5"/>
      <c r="QU198" s="5"/>
      <c r="QV198" s="5"/>
      <c r="QW198" s="5"/>
      <c r="QX198" s="5"/>
      <c r="QY198" s="5"/>
      <c r="QZ198" s="5"/>
      <c r="RA198" s="5"/>
      <c r="RB198" s="5"/>
      <c r="RC198" s="5"/>
      <c r="RD198" s="5"/>
      <c r="RE198" s="5"/>
      <c r="RF198" s="5"/>
      <c r="RG198" s="5"/>
      <c r="RH198" s="5"/>
      <c r="RI198" s="5"/>
      <c r="RJ198" s="5"/>
      <c r="RK198" s="5"/>
      <c r="RL198" s="5"/>
      <c r="RM198" s="5"/>
      <c r="RN198" s="5"/>
      <c r="RO198" s="5"/>
      <c r="RP198" s="5"/>
      <c r="RQ198" s="5"/>
      <c r="RR198" s="5"/>
      <c r="RS198" s="5"/>
      <c r="RT198" s="5"/>
      <c r="RU198" s="5"/>
      <c r="RV198" s="5"/>
      <c r="RW198" s="5"/>
      <c r="RX198" s="5"/>
      <c r="RY198" s="5"/>
      <c r="RZ198" s="5"/>
      <c r="SA198" s="5"/>
      <c r="SB198" s="5"/>
      <c r="SC198" s="5"/>
      <c r="SD198" s="5"/>
      <c r="SE198" s="5"/>
      <c r="SF198" s="5"/>
      <c r="SG198" s="5"/>
      <c r="SH198" s="5"/>
      <c r="SI198" s="5"/>
      <c r="SJ198" s="5"/>
      <c r="SK198" s="5"/>
      <c r="SL198" s="5"/>
      <c r="SM198" s="5"/>
      <c r="SN198" s="5"/>
      <c r="SO198" s="5"/>
      <c r="SP198" s="5"/>
      <c r="SQ198" s="5"/>
      <c r="SR198" s="5"/>
      <c r="SS198" s="5"/>
      <c r="ST198" s="5"/>
      <c r="SU198" s="5"/>
      <c r="SV198" s="5"/>
      <c r="SW198" s="5"/>
      <c r="SX198" s="5"/>
      <c r="SY198" s="5"/>
      <c r="SZ198" s="5"/>
      <c r="TA198" s="5"/>
      <c r="TB198" s="5"/>
      <c r="TC198" s="5"/>
      <c r="TD198" s="5"/>
      <c r="TE198" s="5"/>
      <c r="TF198" s="5"/>
      <c r="TG198" s="5"/>
      <c r="TH198" s="5"/>
      <c r="TI198" s="5"/>
      <c r="TJ198" s="5"/>
      <c r="TK198" s="5"/>
      <c r="TL198" s="5"/>
      <c r="TM198" s="5"/>
      <c r="TN198" s="5"/>
      <c r="TO198" s="5"/>
      <c r="TP198" s="5"/>
      <c r="TQ198" s="5"/>
      <c r="TR198" s="5"/>
      <c r="TS198" s="5"/>
      <c r="TT198" s="5"/>
      <c r="TU198" s="5"/>
      <c r="TV198" s="5"/>
      <c r="TW198" s="5"/>
      <c r="TX198" s="5"/>
      <c r="TY198" s="5"/>
      <c r="TZ198" s="5"/>
      <c r="UA198" s="5"/>
      <c r="UB198" s="5"/>
      <c r="UC198" s="5"/>
      <c r="UD198" s="5"/>
      <c r="UE198" s="5"/>
      <c r="UF198" s="5"/>
      <c r="UG198" s="5"/>
      <c r="UH198" s="5"/>
      <c r="UI198" s="5"/>
      <c r="UJ198" s="5"/>
      <c r="UK198" s="5"/>
      <c r="UL198" s="5"/>
      <c r="UM198" s="5"/>
      <c r="UN198" s="5"/>
      <c r="UO198" s="5"/>
      <c r="UP198" s="5"/>
      <c r="UQ198" s="5"/>
      <c r="UR198" s="5"/>
      <c r="US198" s="5"/>
      <c r="UT198" s="5"/>
      <c r="UU198" s="5"/>
      <c r="UV198" s="5"/>
      <c r="UW198" s="5"/>
      <c r="UX198" s="5"/>
      <c r="UY198" s="5"/>
      <c r="UZ198" s="5"/>
      <c r="VA198" s="5"/>
      <c r="VB198" s="5"/>
      <c r="VC198" s="5"/>
      <c r="VD198" s="5"/>
      <c r="VE198" s="5"/>
      <c r="VF198" s="5"/>
      <c r="VG198" s="5"/>
      <c r="VH198" s="5"/>
      <c r="VI198" s="5"/>
      <c r="VJ198" s="5"/>
      <c r="VK198" s="5"/>
      <c r="VL198" s="5"/>
      <c r="VM198" s="5"/>
      <c r="VN198" s="5"/>
      <c r="VO198" s="5"/>
      <c r="VP198" s="5"/>
      <c r="VQ198" s="5"/>
      <c r="VR198" s="5"/>
      <c r="VS198" s="5"/>
      <c r="VT198" s="5"/>
      <c r="VU198" s="5"/>
      <c r="VV198" s="5"/>
      <c r="VW198" s="5"/>
      <c r="VX198" s="5"/>
      <c r="VY198" s="5"/>
      <c r="VZ198" s="5"/>
      <c r="WA198" s="5"/>
      <c r="WB198" s="5"/>
      <c r="WC198" s="5"/>
      <c r="WD198" s="5"/>
      <c r="WE198" s="5"/>
      <c r="WF198" s="5"/>
      <c r="WG198" s="5"/>
      <c r="WH198" s="5"/>
      <c r="WI198" s="5"/>
      <c r="WJ198" s="5"/>
      <c r="WK198" s="5"/>
      <c r="WL198" s="5"/>
      <c r="WM198" s="5"/>
      <c r="WN198" s="5"/>
      <c r="WO198" s="5"/>
      <c r="WP198" s="5"/>
      <c r="WQ198" s="5"/>
      <c r="WR198" s="5"/>
      <c r="WS198" s="5"/>
      <c r="WT198" s="5"/>
      <c r="WU198" s="5"/>
      <c r="WV198" s="5"/>
      <c r="WW198" s="5"/>
      <c r="WX198" s="5"/>
      <c r="WY198" s="5"/>
      <c r="WZ198" s="5"/>
      <c r="XA198" s="5"/>
      <c r="XB198" s="5"/>
      <c r="XC198" s="5"/>
      <c r="XD198" s="5"/>
      <c r="XE198" s="5"/>
      <c r="XF198" s="5"/>
      <c r="XG198" s="5"/>
      <c r="XH198" s="5"/>
      <c r="XI198" s="5"/>
      <c r="XJ198" s="5"/>
      <c r="XK198" s="5"/>
      <c r="XL198" s="5"/>
      <c r="XM198" s="5"/>
      <c r="XN198" s="5"/>
      <c r="XO198" s="5"/>
      <c r="XP198" s="5"/>
      <c r="XQ198" s="5"/>
      <c r="XR198" s="5"/>
      <c r="XS198" s="5"/>
      <c r="XT198" s="5"/>
      <c r="XU198" s="5"/>
      <c r="XV198" s="5"/>
      <c r="XW198" s="5"/>
      <c r="XX198" s="5"/>
      <c r="XY198" s="5"/>
      <c r="XZ198" s="5"/>
      <c r="YA198" s="5"/>
      <c r="YB198" s="5"/>
      <c r="YC198" s="5"/>
      <c r="YD198" s="5"/>
      <c r="YE198" s="5"/>
      <c r="YF198" s="5"/>
      <c r="YG198" s="5"/>
      <c r="YH198" s="5"/>
      <c r="YI198" s="5"/>
      <c r="YJ198" s="5"/>
      <c r="YK198" s="5"/>
      <c r="YL198" s="5"/>
      <c r="YM198" s="5"/>
      <c r="YN198" s="5"/>
      <c r="YO198" s="5"/>
      <c r="YP198" s="5"/>
      <c r="YQ198" s="5"/>
      <c r="YR198" s="5"/>
      <c r="YS198" s="5"/>
      <c r="YT198" s="5"/>
      <c r="YU198" s="5"/>
      <c r="YV198" s="5"/>
      <c r="YW198" s="5"/>
      <c r="YX198" s="5"/>
      <c r="YY198" s="5"/>
      <c r="YZ198" s="5"/>
    </row>
    <row r="199" spans="1:676">
      <c r="A199" s="7">
        <v>189</v>
      </c>
      <c r="B199" s="7" t="s">
        <v>465</v>
      </c>
      <c r="C199" s="10" t="s">
        <v>466</v>
      </c>
      <c r="D199" s="7" t="s">
        <v>217</v>
      </c>
      <c r="E199" s="7" t="s">
        <v>279</v>
      </c>
      <c r="F199" s="7" t="s">
        <v>389</v>
      </c>
      <c r="G199" s="7"/>
      <c r="H199" s="7" t="s">
        <v>52</v>
      </c>
      <c r="I199" s="11">
        <v>2</v>
      </c>
      <c r="J199" s="11">
        <v>3</v>
      </c>
      <c r="K199" s="11">
        <v>0</v>
      </c>
      <c r="L199" s="11">
        <v>0</v>
      </c>
      <c r="M199" s="11">
        <v>0</v>
      </c>
      <c r="N199" s="11">
        <v>0</v>
      </c>
      <c r="O199" s="11">
        <v>0</v>
      </c>
      <c r="P199" s="11">
        <v>0</v>
      </c>
      <c r="Q199" s="11">
        <v>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13">
        <v>18</v>
      </c>
      <c r="X199" s="13">
        <v>27</v>
      </c>
      <c r="Y199" s="13" t="str">
        <f>MIN(W199,S199)</f>
        <v>0</v>
      </c>
      <c r="Z199" s="13" t="str">
        <f>MIN(X199,(S199-Y199))</f>
        <v>0</v>
      </c>
      <c r="AA199" s="13" t="str">
        <f>S199-SUM(Y199,Z199)</f>
        <v>0</v>
      </c>
      <c r="AB199" s="15"/>
      <c r="AC199" s="15"/>
      <c r="AD199" s="1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5"/>
      <c r="DE199" s="5"/>
      <c r="DF199" s="5"/>
      <c r="DG199" s="5"/>
      <c r="DH199" s="5"/>
      <c r="DI199" s="5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  <c r="EC199" s="5"/>
      <c r="ED199" s="5"/>
      <c r="EE199" s="5"/>
      <c r="EF199" s="5"/>
      <c r="EG199" s="5"/>
      <c r="EH199" s="5"/>
      <c r="EI199" s="5"/>
      <c r="EJ199" s="5"/>
      <c r="EK199" s="5"/>
      <c r="EL199" s="5"/>
      <c r="EM199" s="5"/>
      <c r="EN199" s="5"/>
      <c r="EO199" s="5"/>
      <c r="EP199" s="5"/>
      <c r="EQ199" s="5"/>
      <c r="ER199" s="5"/>
      <c r="ES199" s="5"/>
      <c r="ET199" s="5"/>
      <c r="EU199" s="5"/>
      <c r="EV199" s="5"/>
      <c r="EW199" s="5"/>
      <c r="EX199" s="5"/>
      <c r="EY199" s="5"/>
      <c r="EZ199" s="5"/>
      <c r="FA199" s="5"/>
      <c r="FB199" s="5"/>
      <c r="FC199" s="5"/>
      <c r="FD199" s="5"/>
      <c r="FE199" s="5"/>
      <c r="FF199" s="5"/>
      <c r="FG199" s="5"/>
      <c r="FH199" s="5"/>
      <c r="FI199" s="5"/>
      <c r="FJ199" s="5"/>
      <c r="FK199" s="5"/>
      <c r="FL199" s="5"/>
      <c r="FM199" s="5"/>
      <c r="FN199" s="5"/>
      <c r="FO199" s="5"/>
      <c r="FP199" s="5"/>
      <c r="FQ199" s="5"/>
      <c r="FR199" s="5"/>
      <c r="FS199" s="5"/>
      <c r="FT199" s="5"/>
      <c r="FU199" s="5"/>
      <c r="FV199" s="5"/>
      <c r="FW199" s="5"/>
      <c r="FX199" s="5"/>
      <c r="FY199" s="5"/>
      <c r="FZ199" s="5"/>
      <c r="GA199" s="5"/>
      <c r="GB199" s="5"/>
      <c r="GC199" s="5"/>
      <c r="GD199" s="5"/>
      <c r="GE199" s="5"/>
      <c r="GF199" s="5"/>
      <c r="GG199" s="5"/>
      <c r="GH199" s="5"/>
      <c r="GI199" s="5"/>
      <c r="GJ199" s="5"/>
      <c r="GK199" s="5"/>
      <c r="GL199" s="5"/>
      <c r="GM199" s="5"/>
      <c r="GN199" s="5"/>
      <c r="GO199" s="5"/>
      <c r="GP199" s="5"/>
      <c r="GQ199" s="5"/>
      <c r="GR199" s="5"/>
      <c r="GS199" s="5"/>
      <c r="GT199" s="5"/>
      <c r="GU199" s="5"/>
      <c r="GV199" s="5"/>
      <c r="GW199" s="5"/>
      <c r="GX199" s="5"/>
      <c r="GY199" s="5"/>
      <c r="GZ199" s="5"/>
      <c r="HA199" s="5"/>
      <c r="HB199" s="5"/>
      <c r="HC199" s="5"/>
      <c r="HD199" s="5"/>
      <c r="HE199" s="5"/>
      <c r="HF199" s="5"/>
      <c r="HG199" s="5"/>
      <c r="HH199" s="5"/>
      <c r="HI199" s="5"/>
      <c r="HJ199" s="5"/>
      <c r="HK199" s="5"/>
      <c r="HL199" s="5"/>
      <c r="HM199" s="5"/>
      <c r="HN199" s="5"/>
      <c r="HO199" s="5"/>
      <c r="HP199" s="5"/>
      <c r="HQ199" s="5"/>
      <c r="HR199" s="5"/>
      <c r="HS199" s="5"/>
      <c r="HT199" s="5"/>
      <c r="HU199" s="5"/>
      <c r="HV199" s="5"/>
      <c r="HW199" s="5"/>
      <c r="HX199" s="5"/>
      <c r="HY199" s="5"/>
      <c r="HZ199" s="5"/>
      <c r="IA199" s="5"/>
      <c r="IB199" s="5"/>
      <c r="IC199" s="5"/>
      <c r="ID199" s="5"/>
      <c r="IE199" s="5"/>
      <c r="IF199" s="5"/>
      <c r="IG199" s="5"/>
      <c r="IH199" s="5"/>
      <c r="II199" s="5"/>
      <c r="IJ199" s="5"/>
      <c r="IK199" s="5"/>
      <c r="IL199" s="5"/>
      <c r="IM199" s="5"/>
      <c r="IN199" s="5"/>
      <c r="IO199" s="5"/>
      <c r="IP199" s="5"/>
      <c r="IQ199" s="5"/>
      <c r="IR199" s="5"/>
      <c r="IS199" s="5"/>
      <c r="IT199" s="5"/>
      <c r="IU199" s="5"/>
      <c r="IV199" s="5"/>
      <c r="IW199" s="5"/>
      <c r="IX199" s="5"/>
      <c r="IY199" s="5"/>
      <c r="IZ199" s="5"/>
      <c r="JA199" s="5"/>
      <c r="JB199" s="5"/>
      <c r="JC199" s="5"/>
      <c r="JD199" s="5"/>
      <c r="JE199" s="5"/>
      <c r="JF199" s="5"/>
      <c r="JG199" s="5"/>
      <c r="JH199" s="5"/>
      <c r="JI199" s="5"/>
      <c r="JJ199" s="5"/>
      <c r="JK199" s="5"/>
      <c r="JL199" s="5"/>
      <c r="JM199" s="5"/>
      <c r="JN199" s="5"/>
      <c r="JO199" s="5"/>
      <c r="JP199" s="5"/>
      <c r="JQ199" s="5"/>
      <c r="JR199" s="5"/>
      <c r="JS199" s="5"/>
      <c r="JT199" s="5"/>
      <c r="JU199" s="5"/>
      <c r="JV199" s="5"/>
      <c r="JW199" s="5"/>
      <c r="JX199" s="5"/>
      <c r="JY199" s="5"/>
      <c r="JZ199" s="5"/>
      <c r="KA199" s="5"/>
      <c r="KB199" s="5"/>
      <c r="KC199" s="5"/>
      <c r="KD199" s="5"/>
      <c r="KE199" s="5"/>
      <c r="KF199" s="5"/>
      <c r="KG199" s="5"/>
      <c r="KH199" s="5"/>
      <c r="KI199" s="5"/>
      <c r="KJ199" s="5"/>
      <c r="KK199" s="5"/>
      <c r="KL199" s="5"/>
      <c r="KM199" s="5"/>
      <c r="KN199" s="5"/>
      <c r="KO199" s="5"/>
      <c r="KP199" s="5"/>
      <c r="KQ199" s="5"/>
      <c r="KR199" s="5"/>
      <c r="KS199" s="5"/>
      <c r="KT199" s="5"/>
      <c r="KU199" s="5"/>
      <c r="KV199" s="5"/>
      <c r="KW199" s="5"/>
      <c r="KX199" s="5"/>
      <c r="KY199" s="5"/>
      <c r="KZ199" s="5"/>
      <c r="LA199" s="5"/>
      <c r="LB199" s="5"/>
      <c r="LC199" s="5"/>
      <c r="LD199" s="5"/>
      <c r="LE199" s="5"/>
      <c r="LF199" s="5"/>
      <c r="LG199" s="5"/>
      <c r="LH199" s="5"/>
      <c r="LI199" s="5"/>
      <c r="LJ199" s="5"/>
      <c r="LK199" s="5"/>
      <c r="LL199" s="5"/>
      <c r="LM199" s="5"/>
      <c r="LN199" s="5"/>
      <c r="LO199" s="5"/>
      <c r="LP199" s="5"/>
      <c r="LQ199" s="5"/>
      <c r="LR199" s="5"/>
      <c r="LS199" s="5"/>
      <c r="LT199" s="5"/>
      <c r="LU199" s="5"/>
      <c r="LV199" s="5"/>
      <c r="LW199" s="5"/>
      <c r="LX199" s="5"/>
      <c r="LY199" s="5"/>
      <c r="LZ199" s="5"/>
      <c r="MA199" s="5"/>
      <c r="MB199" s="5"/>
      <c r="MC199" s="5"/>
      <c r="MD199" s="5"/>
      <c r="ME199" s="5"/>
      <c r="MF199" s="5"/>
      <c r="MG199" s="5"/>
      <c r="MH199" s="5"/>
      <c r="MI199" s="5"/>
      <c r="MJ199" s="5"/>
      <c r="MK199" s="5"/>
      <c r="ML199" s="5"/>
      <c r="MM199" s="5"/>
      <c r="MN199" s="5"/>
      <c r="MO199" s="5"/>
      <c r="MP199" s="5"/>
      <c r="MQ199" s="5"/>
      <c r="MR199" s="5"/>
      <c r="MS199" s="5"/>
      <c r="MT199" s="5"/>
      <c r="MU199" s="5"/>
      <c r="MV199" s="5"/>
      <c r="MW199" s="5"/>
      <c r="MX199" s="5"/>
      <c r="MY199" s="5"/>
      <c r="MZ199" s="5"/>
      <c r="NA199" s="5"/>
      <c r="NB199" s="5"/>
      <c r="NC199" s="5"/>
      <c r="ND199" s="5"/>
      <c r="NE199" s="5"/>
      <c r="NF199" s="5"/>
      <c r="NG199" s="5"/>
      <c r="NH199" s="5"/>
      <c r="NI199" s="5"/>
      <c r="NJ199" s="5"/>
      <c r="NK199" s="5"/>
      <c r="NL199" s="5"/>
      <c r="NM199" s="5"/>
      <c r="NN199" s="5"/>
      <c r="NO199" s="5"/>
      <c r="NP199" s="5"/>
      <c r="NQ199" s="5"/>
      <c r="NR199" s="5"/>
      <c r="NS199" s="5"/>
      <c r="NT199" s="5"/>
      <c r="NU199" s="5"/>
      <c r="NV199" s="5"/>
      <c r="NW199" s="5"/>
      <c r="NX199" s="5"/>
      <c r="NY199" s="5"/>
      <c r="NZ199" s="5"/>
      <c r="OA199" s="5"/>
      <c r="OB199" s="5"/>
      <c r="OC199" s="5"/>
      <c r="OD199" s="5"/>
      <c r="OE199" s="5"/>
      <c r="OF199" s="5"/>
      <c r="OG199" s="5"/>
      <c r="OH199" s="5"/>
      <c r="OI199" s="5"/>
      <c r="OJ199" s="5"/>
      <c r="OK199" s="5"/>
      <c r="OL199" s="5"/>
      <c r="OM199" s="5"/>
      <c r="ON199" s="5"/>
      <c r="OO199" s="5"/>
      <c r="OP199" s="5"/>
      <c r="OQ199" s="5"/>
      <c r="OR199" s="5"/>
      <c r="OS199" s="5"/>
      <c r="OT199" s="5"/>
      <c r="OU199" s="5"/>
      <c r="OV199" s="5"/>
      <c r="OW199" s="5"/>
      <c r="OX199" s="5"/>
      <c r="OY199" s="5"/>
      <c r="OZ199" s="5"/>
      <c r="PA199" s="5"/>
      <c r="PB199" s="5"/>
      <c r="PC199" s="5"/>
      <c r="PD199" s="5"/>
      <c r="PE199" s="5"/>
      <c r="PF199" s="5"/>
      <c r="PG199" s="5"/>
      <c r="PH199" s="5"/>
      <c r="PI199" s="5"/>
      <c r="PJ199" s="5"/>
      <c r="PK199" s="5"/>
      <c r="PL199" s="5"/>
      <c r="PM199" s="5"/>
      <c r="PN199" s="5"/>
      <c r="PO199" s="5"/>
      <c r="PP199" s="5"/>
      <c r="PQ199" s="5"/>
      <c r="PR199" s="5"/>
      <c r="PS199" s="5"/>
      <c r="PT199" s="5"/>
      <c r="PU199" s="5"/>
      <c r="PV199" s="5"/>
      <c r="PW199" s="5"/>
      <c r="PX199" s="5"/>
      <c r="PY199" s="5"/>
      <c r="PZ199" s="5"/>
      <c r="QA199" s="5"/>
      <c r="QB199" s="5"/>
      <c r="QC199" s="5"/>
      <c r="QD199" s="5"/>
      <c r="QE199" s="5"/>
      <c r="QF199" s="5"/>
      <c r="QG199" s="5"/>
      <c r="QH199" s="5"/>
      <c r="QI199" s="5"/>
      <c r="QJ199" s="5"/>
      <c r="QK199" s="5"/>
      <c r="QL199" s="5"/>
      <c r="QM199" s="5"/>
      <c r="QN199" s="5"/>
      <c r="QO199" s="5"/>
      <c r="QP199" s="5"/>
      <c r="QQ199" s="5"/>
      <c r="QR199" s="5"/>
      <c r="QS199" s="5"/>
      <c r="QT199" s="5"/>
      <c r="QU199" s="5"/>
      <c r="QV199" s="5"/>
      <c r="QW199" s="5"/>
      <c r="QX199" s="5"/>
      <c r="QY199" s="5"/>
      <c r="QZ199" s="5"/>
      <c r="RA199" s="5"/>
      <c r="RB199" s="5"/>
      <c r="RC199" s="5"/>
      <c r="RD199" s="5"/>
      <c r="RE199" s="5"/>
      <c r="RF199" s="5"/>
      <c r="RG199" s="5"/>
      <c r="RH199" s="5"/>
      <c r="RI199" s="5"/>
      <c r="RJ199" s="5"/>
      <c r="RK199" s="5"/>
      <c r="RL199" s="5"/>
      <c r="RM199" s="5"/>
      <c r="RN199" s="5"/>
      <c r="RO199" s="5"/>
      <c r="RP199" s="5"/>
      <c r="RQ199" s="5"/>
      <c r="RR199" s="5"/>
      <c r="RS199" s="5"/>
      <c r="RT199" s="5"/>
      <c r="RU199" s="5"/>
      <c r="RV199" s="5"/>
      <c r="RW199" s="5"/>
      <c r="RX199" s="5"/>
      <c r="RY199" s="5"/>
      <c r="RZ199" s="5"/>
      <c r="SA199" s="5"/>
      <c r="SB199" s="5"/>
      <c r="SC199" s="5"/>
      <c r="SD199" s="5"/>
      <c r="SE199" s="5"/>
      <c r="SF199" s="5"/>
      <c r="SG199" s="5"/>
      <c r="SH199" s="5"/>
      <c r="SI199" s="5"/>
      <c r="SJ199" s="5"/>
      <c r="SK199" s="5"/>
      <c r="SL199" s="5"/>
      <c r="SM199" s="5"/>
      <c r="SN199" s="5"/>
      <c r="SO199" s="5"/>
      <c r="SP199" s="5"/>
      <c r="SQ199" s="5"/>
      <c r="SR199" s="5"/>
      <c r="SS199" s="5"/>
      <c r="ST199" s="5"/>
      <c r="SU199" s="5"/>
      <c r="SV199" s="5"/>
      <c r="SW199" s="5"/>
      <c r="SX199" s="5"/>
      <c r="SY199" s="5"/>
      <c r="SZ199" s="5"/>
      <c r="TA199" s="5"/>
      <c r="TB199" s="5"/>
      <c r="TC199" s="5"/>
      <c r="TD199" s="5"/>
      <c r="TE199" s="5"/>
      <c r="TF199" s="5"/>
      <c r="TG199" s="5"/>
      <c r="TH199" s="5"/>
      <c r="TI199" s="5"/>
      <c r="TJ199" s="5"/>
      <c r="TK199" s="5"/>
      <c r="TL199" s="5"/>
      <c r="TM199" s="5"/>
      <c r="TN199" s="5"/>
      <c r="TO199" s="5"/>
      <c r="TP199" s="5"/>
      <c r="TQ199" s="5"/>
      <c r="TR199" s="5"/>
      <c r="TS199" s="5"/>
      <c r="TT199" s="5"/>
      <c r="TU199" s="5"/>
      <c r="TV199" s="5"/>
      <c r="TW199" s="5"/>
      <c r="TX199" s="5"/>
      <c r="TY199" s="5"/>
      <c r="TZ199" s="5"/>
      <c r="UA199" s="5"/>
      <c r="UB199" s="5"/>
      <c r="UC199" s="5"/>
      <c r="UD199" s="5"/>
      <c r="UE199" s="5"/>
      <c r="UF199" s="5"/>
      <c r="UG199" s="5"/>
      <c r="UH199" s="5"/>
      <c r="UI199" s="5"/>
      <c r="UJ199" s="5"/>
      <c r="UK199" s="5"/>
      <c r="UL199" s="5"/>
      <c r="UM199" s="5"/>
      <c r="UN199" s="5"/>
      <c r="UO199" s="5"/>
      <c r="UP199" s="5"/>
      <c r="UQ199" s="5"/>
      <c r="UR199" s="5"/>
      <c r="US199" s="5"/>
      <c r="UT199" s="5"/>
      <c r="UU199" s="5"/>
      <c r="UV199" s="5"/>
      <c r="UW199" s="5"/>
      <c r="UX199" s="5"/>
      <c r="UY199" s="5"/>
      <c r="UZ199" s="5"/>
      <c r="VA199" s="5"/>
      <c r="VB199" s="5"/>
      <c r="VC199" s="5"/>
      <c r="VD199" s="5"/>
      <c r="VE199" s="5"/>
      <c r="VF199" s="5"/>
      <c r="VG199" s="5"/>
      <c r="VH199" s="5"/>
      <c r="VI199" s="5"/>
      <c r="VJ199" s="5"/>
      <c r="VK199" s="5"/>
      <c r="VL199" s="5"/>
      <c r="VM199" s="5"/>
      <c r="VN199" s="5"/>
      <c r="VO199" s="5"/>
      <c r="VP199" s="5"/>
      <c r="VQ199" s="5"/>
      <c r="VR199" s="5"/>
      <c r="VS199" s="5"/>
      <c r="VT199" s="5"/>
      <c r="VU199" s="5"/>
      <c r="VV199" s="5"/>
      <c r="VW199" s="5"/>
      <c r="VX199" s="5"/>
      <c r="VY199" s="5"/>
      <c r="VZ199" s="5"/>
      <c r="WA199" s="5"/>
      <c r="WB199" s="5"/>
      <c r="WC199" s="5"/>
      <c r="WD199" s="5"/>
      <c r="WE199" s="5"/>
      <c r="WF199" s="5"/>
      <c r="WG199" s="5"/>
      <c r="WH199" s="5"/>
      <c r="WI199" s="5"/>
      <c r="WJ199" s="5"/>
      <c r="WK199" s="5"/>
      <c r="WL199" s="5"/>
      <c r="WM199" s="5"/>
      <c r="WN199" s="5"/>
      <c r="WO199" s="5"/>
      <c r="WP199" s="5"/>
      <c r="WQ199" s="5"/>
      <c r="WR199" s="5"/>
      <c r="WS199" s="5"/>
      <c r="WT199" s="5"/>
      <c r="WU199" s="5"/>
      <c r="WV199" s="5"/>
      <c r="WW199" s="5"/>
      <c r="WX199" s="5"/>
      <c r="WY199" s="5"/>
      <c r="WZ199" s="5"/>
      <c r="XA199" s="5"/>
      <c r="XB199" s="5"/>
      <c r="XC199" s="5"/>
      <c r="XD199" s="5"/>
      <c r="XE199" s="5"/>
      <c r="XF199" s="5"/>
      <c r="XG199" s="5"/>
      <c r="XH199" s="5"/>
      <c r="XI199" s="5"/>
      <c r="XJ199" s="5"/>
      <c r="XK199" s="5"/>
      <c r="XL199" s="5"/>
      <c r="XM199" s="5"/>
      <c r="XN199" s="5"/>
      <c r="XO199" s="5"/>
      <c r="XP199" s="5"/>
      <c r="XQ199" s="5"/>
      <c r="XR199" s="5"/>
      <c r="XS199" s="5"/>
      <c r="XT199" s="5"/>
      <c r="XU199" s="5"/>
      <c r="XV199" s="5"/>
      <c r="XW199" s="5"/>
      <c r="XX199" s="5"/>
      <c r="XY199" s="5"/>
      <c r="XZ199" s="5"/>
      <c r="YA199" s="5"/>
      <c r="YB199" s="5"/>
      <c r="YC199" s="5"/>
      <c r="YD199" s="5"/>
      <c r="YE199" s="5"/>
      <c r="YF199" s="5"/>
      <c r="YG199" s="5"/>
      <c r="YH199" s="5"/>
      <c r="YI199" s="5"/>
      <c r="YJ199" s="5"/>
      <c r="YK199" s="5"/>
      <c r="YL199" s="5"/>
      <c r="YM199" s="5"/>
      <c r="YN199" s="5"/>
      <c r="YO199" s="5"/>
      <c r="YP199" s="5"/>
      <c r="YQ199" s="5"/>
      <c r="YR199" s="5"/>
      <c r="YS199" s="5"/>
      <c r="YT199" s="5"/>
      <c r="YU199" s="5"/>
      <c r="YV199" s="5"/>
      <c r="YW199" s="5"/>
      <c r="YX199" s="5"/>
      <c r="YY199" s="5"/>
      <c r="YZ199" s="5"/>
    </row>
    <row r="200" spans="1:676">
      <c r="A200" s="7">
        <v>190</v>
      </c>
      <c r="B200" s="7" t="s">
        <v>467</v>
      </c>
      <c r="C200" s="10" t="s">
        <v>468</v>
      </c>
      <c r="D200" s="7" t="s">
        <v>407</v>
      </c>
      <c r="E200" s="7" t="s">
        <v>381</v>
      </c>
      <c r="F200" s="7" t="s">
        <v>394</v>
      </c>
      <c r="G200" s="7"/>
      <c r="H200" s="7" t="s">
        <v>100</v>
      </c>
      <c r="I200" s="11">
        <v>2</v>
      </c>
      <c r="J200" s="11">
        <v>3</v>
      </c>
      <c r="K200" s="11">
        <v>0.95</v>
      </c>
      <c r="L200" s="11">
        <v>4.98</v>
      </c>
      <c r="M200" s="11">
        <v>0.66</v>
      </c>
      <c r="N200" s="11">
        <v>0</v>
      </c>
      <c r="O200" s="11">
        <v>0.46</v>
      </c>
      <c r="P200" s="11">
        <v>0</v>
      </c>
      <c r="Q200" s="11">
        <v>7.050000000000001</v>
      </c>
      <c r="R200" s="11">
        <v>38.87</v>
      </c>
      <c r="S200" s="11">
        <v>45.92</v>
      </c>
      <c r="T200" s="11">
        <v>2</v>
      </c>
      <c r="U200" s="11">
        <v>3</v>
      </c>
      <c r="V200" s="11">
        <v>40.92</v>
      </c>
      <c r="W200" s="13">
        <v>18</v>
      </c>
      <c r="X200" s="13">
        <v>27</v>
      </c>
      <c r="Y200" s="13" t="str">
        <f>MIN(W200,S200)</f>
        <v>0</v>
      </c>
      <c r="Z200" s="13" t="str">
        <f>MIN(X200,(S200-Y200))</f>
        <v>0</v>
      </c>
      <c r="AA200" s="13" t="str">
        <f>S200-SUM(Y200,Z200)</f>
        <v>0</v>
      </c>
      <c r="AB200" s="15"/>
      <c r="AC200" s="15"/>
      <c r="AD200" s="1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5"/>
      <c r="CY200" s="5"/>
      <c r="CZ200" s="5"/>
      <c r="DA200" s="5"/>
      <c r="DB200" s="5"/>
      <c r="DC200" s="5"/>
      <c r="DD200" s="5"/>
      <c r="DE200" s="5"/>
      <c r="DF200" s="5"/>
      <c r="DG200" s="5"/>
      <c r="DH200" s="5"/>
      <c r="DI200" s="5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  <c r="EC200" s="5"/>
      <c r="ED200" s="5"/>
      <c r="EE200" s="5"/>
      <c r="EF200" s="5"/>
      <c r="EG200" s="5"/>
      <c r="EH200" s="5"/>
      <c r="EI200" s="5"/>
      <c r="EJ200" s="5"/>
      <c r="EK200" s="5"/>
      <c r="EL200" s="5"/>
      <c r="EM200" s="5"/>
      <c r="EN200" s="5"/>
      <c r="EO200" s="5"/>
      <c r="EP200" s="5"/>
      <c r="EQ200" s="5"/>
      <c r="ER200" s="5"/>
      <c r="ES200" s="5"/>
      <c r="ET200" s="5"/>
      <c r="EU200" s="5"/>
      <c r="EV200" s="5"/>
      <c r="EW200" s="5"/>
      <c r="EX200" s="5"/>
      <c r="EY200" s="5"/>
      <c r="EZ200" s="5"/>
      <c r="FA200" s="5"/>
      <c r="FB200" s="5"/>
      <c r="FC200" s="5"/>
      <c r="FD200" s="5"/>
      <c r="FE200" s="5"/>
      <c r="FF200" s="5"/>
      <c r="FG200" s="5"/>
      <c r="FH200" s="5"/>
      <c r="FI200" s="5"/>
      <c r="FJ200" s="5"/>
      <c r="FK200" s="5"/>
      <c r="FL200" s="5"/>
      <c r="FM200" s="5"/>
      <c r="FN200" s="5"/>
      <c r="FO200" s="5"/>
      <c r="FP200" s="5"/>
      <c r="FQ200" s="5"/>
      <c r="FR200" s="5"/>
      <c r="FS200" s="5"/>
      <c r="FT200" s="5"/>
      <c r="FU200" s="5"/>
      <c r="FV200" s="5"/>
      <c r="FW200" s="5"/>
      <c r="FX200" s="5"/>
      <c r="FY200" s="5"/>
      <c r="FZ200" s="5"/>
      <c r="GA200" s="5"/>
      <c r="GB200" s="5"/>
      <c r="GC200" s="5"/>
      <c r="GD200" s="5"/>
      <c r="GE200" s="5"/>
      <c r="GF200" s="5"/>
      <c r="GG200" s="5"/>
      <c r="GH200" s="5"/>
      <c r="GI200" s="5"/>
      <c r="GJ200" s="5"/>
      <c r="GK200" s="5"/>
      <c r="GL200" s="5"/>
      <c r="GM200" s="5"/>
      <c r="GN200" s="5"/>
      <c r="GO200" s="5"/>
      <c r="GP200" s="5"/>
      <c r="GQ200" s="5"/>
      <c r="GR200" s="5"/>
      <c r="GS200" s="5"/>
      <c r="GT200" s="5"/>
      <c r="GU200" s="5"/>
      <c r="GV200" s="5"/>
      <c r="GW200" s="5"/>
      <c r="GX200" s="5"/>
      <c r="GY200" s="5"/>
      <c r="GZ200" s="5"/>
      <c r="HA200" s="5"/>
      <c r="HB200" s="5"/>
      <c r="HC200" s="5"/>
      <c r="HD200" s="5"/>
      <c r="HE200" s="5"/>
      <c r="HF200" s="5"/>
      <c r="HG200" s="5"/>
      <c r="HH200" s="5"/>
      <c r="HI200" s="5"/>
      <c r="HJ200" s="5"/>
      <c r="HK200" s="5"/>
      <c r="HL200" s="5"/>
      <c r="HM200" s="5"/>
      <c r="HN200" s="5"/>
      <c r="HO200" s="5"/>
      <c r="HP200" s="5"/>
      <c r="HQ200" s="5"/>
      <c r="HR200" s="5"/>
      <c r="HS200" s="5"/>
      <c r="HT200" s="5"/>
      <c r="HU200" s="5"/>
      <c r="HV200" s="5"/>
      <c r="HW200" s="5"/>
      <c r="HX200" s="5"/>
      <c r="HY200" s="5"/>
      <c r="HZ200" s="5"/>
      <c r="IA200" s="5"/>
      <c r="IB200" s="5"/>
      <c r="IC200" s="5"/>
      <c r="ID200" s="5"/>
      <c r="IE200" s="5"/>
      <c r="IF200" s="5"/>
      <c r="IG200" s="5"/>
      <c r="IH200" s="5"/>
      <c r="II200" s="5"/>
      <c r="IJ200" s="5"/>
      <c r="IK200" s="5"/>
      <c r="IL200" s="5"/>
      <c r="IM200" s="5"/>
      <c r="IN200" s="5"/>
      <c r="IO200" s="5"/>
      <c r="IP200" s="5"/>
      <c r="IQ200" s="5"/>
      <c r="IR200" s="5"/>
      <c r="IS200" s="5"/>
      <c r="IT200" s="5"/>
      <c r="IU200" s="5"/>
      <c r="IV200" s="5"/>
      <c r="IW200" s="5"/>
      <c r="IX200" s="5"/>
      <c r="IY200" s="5"/>
      <c r="IZ200" s="5"/>
      <c r="JA200" s="5"/>
      <c r="JB200" s="5"/>
      <c r="JC200" s="5"/>
      <c r="JD200" s="5"/>
      <c r="JE200" s="5"/>
      <c r="JF200" s="5"/>
      <c r="JG200" s="5"/>
      <c r="JH200" s="5"/>
      <c r="JI200" s="5"/>
      <c r="JJ200" s="5"/>
      <c r="JK200" s="5"/>
      <c r="JL200" s="5"/>
      <c r="JM200" s="5"/>
      <c r="JN200" s="5"/>
      <c r="JO200" s="5"/>
      <c r="JP200" s="5"/>
      <c r="JQ200" s="5"/>
      <c r="JR200" s="5"/>
      <c r="JS200" s="5"/>
      <c r="JT200" s="5"/>
      <c r="JU200" s="5"/>
      <c r="JV200" s="5"/>
      <c r="JW200" s="5"/>
      <c r="JX200" s="5"/>
      <c r="JY200" s="5"/>
      <c r="JZ200" s="5"/>
      <c r="KA200" s="5"/>
      <c r="KB200" s="5"/>
      <c r="KC200" s="5"/>
      <c r="KD200" s="5"/>
      <c r="KE200" s="5"/>
      <c r="KF200" s="5"/>
      <c r="KG200" s="5"/>
      <c r="KH200" s="5"/>
      <c r="KI200" s="5"/>
      <c r="KJ200" s="5"/>
      <c r="KK200" s="5"/>
      <c r="KL200" s="5"/>
      <c r="KM200" s="5"/>
      <c r="KN200" s="5"/>
      <c r="KO200" s="5"/>
      <c r="KP200" s="5"/>
      <c r="KQ200" s="5"/>
      <c r="KR200" s="5"/>
      <c r="KS200" s="5"/>
      <c r="KT200" s="5"/>
      <c r="KU200" s="5"/>
      <c r="KV200" s="5"/>
      <c r="KW200" s="5"/>
      <c r="KX200" s="5"/>
      <c r="KY200" s="5"/>
      <c r="KZ200" s="5"/>
      <c r="LA200" s="5"/>
      <c r="LB200" s="5"/>
      <c r="LC200" s="5"/>
      <c r="LD200" s="5"/>
      <c r="LE200" s="5"/>
      <c r="LF200" s="5"/>
      <c r="LG200" s="5"/>
      <c r="LH200" s="5"/>
      <c r="LI200" s="5"/>
      <c r="LJ200" s="5"/>
      <c r="LK200" s="5"/>
      <c r="LL200" s="5"/>
      <c r="LM200" s="5"/>
      <c r="LN200" s="5"/>
      <c r="LO200" s="5"/>
      <c r="LP200" s="5"/>
      <c r="LQ200" s="5"/>
      <c r="LR200" s="5"/>
      <c r="LS200" s="5"/>
      <c r="LT200" s="5"/>
      <c r="LU200" s="5"/>
      <c r="LV200" s="5"/>
      <c r="LW200" s="5"/>
      <c r="LX200" s="5"/>
      <c r="LY200" s="5"/>
      <c r="LZ200" s="5"/>
      <c r="MA200" s="5"/>
      <c r="MB200" s="5"/>
      <c r="MC200" s="5"/>
      <c r="MD200" s="5"/>
      <c r="ME200" s="5"/>
      <c r="MF200" s="5"/>
      <c r="MG200" s="5"/>
      <c r="MH200" s="5"/>
      <c r="MI200" s="5"/>
      <c r="MJ200" s="5"/>
      <c r="MK200" s="5"/>
      <c r="ML200" s="5"/>
      <c r="MM200" s="5"/>
      <c r="MN200" s="5"/>
      <c r="MO200" s="5"/>
      <c r="MP200" s="5"/>
      <c r="MQ200" s="5"/>
      <c r="MR200" s="5"/>
      <c r="MS200" s="5"/>
      <c r="MT200" s="5"/>
      <c r="MU200" s="5"/>
      <c r="MV200" s="5"/>
      <c r="MW200" s="5"/>
      <c r="MX200" s="5"/>
      <c r="MY200" s="5"/>
      <c r="MZ200" s="5"/>
      <c r="NA200" s="5"/>
      <c r="NB200" s="5"/>
      <c r="NC200" s="5"/>
      <c r="ND200" s="5"/>
      <c r="NE200" s="5"/>
      <c r="NF200" s="5"/>
      <c r="NG200" s="5"/>
      <c r="NH200" s="5"/>
      <c r="NI200" s="5"/>
      <c r="NJ200" s="5"/>
      <c r="NK200" s="5"/>
      <c r="NL200" s="5"/>
      <c r="NM200" s="5"/>
      <c r="NN200" s="5"/>
      <c r="NO200" s="5"/>
      <c r="NP200" s="5"/>
      <c r="NQ200" s="5"/>
      <c r="NR200" s="5"/>
      <c r="NS200" s="5"/>
      <c r="NT200" s="5"/>
      <c r="NU200" s="5"/>
      <c r="NV200" s="5"/>
      <c r="NW200" s="5"/>
      <c r="NX200" s="5"/>
      <c r="NY200" s="5"/>
      <c r="NZ200" s="5"/>
      <c r="OA200" s="5"/>
      <c r="OB200" s="5"/>
      <c r="OC200" s="5"/>
      <c r="OD200" s="5"/>
      <c r="OE200" s="5"/>
      <c r="OF200" s="5"/>
      <c r="OG200" s="5"/>
      <c r="OH200" s="5"/>
      <c r="OI200" s="5"/>
      <c r="OJ200" s="5"/>
      <c r="OK200" s="5"/>
      <c r="OL200" s="5"/>
      <c r="OM200" s="5"/>
      <c r="ON200" s="5"/>
      <c r="OO200" s="5"/>
      <c r="OP200" s="5"/>
      <c r="OQ200" s="5"/>
      <c r="OR200" s="5"/>
      <c r="OS200" s="5"/>
      <c r="OT200" s="5"/>
      <c r="OU200" s="5"/>
      <c r="OV200" s="5"/>
      <c r="OW200" s="5"/>
      <c r="OX200" s="5"/>
      <c r="OY200" s="5"/>
      <c r="OZ200" s="5"/>
      <c r="PA200" s="5"/>
      <c r="PB200" s="5"/>
      <c r="PC200" s="5"/>
      <c r="PD200" s="5"/>
      <c r="PE200" s="5"/>
      <c r="PF200" s="5"/>
      <c r="PG200" s="5"/>
      <c r="PH200" s="5"/>
      <c r="PI200" s="5"/>
      <c r="PJ200" s="5"/>
      <c r="PK200" s="5"/>
      <c r="PL200" s="5"/>
      <c r="PM200" s="5"/>
      <c r="PN200" s="5"/>
      <c r="PO200" s="5"/>
      <c r="PP200" s="5"/>
      <c r="PQ200" s="5"/>
      <c r="PR200" s="5"/>
      <c r="PS200" s="5"/>
      <c r="PT200" s="5"/>
      <c r="PU200" s="5"/>
      <c r="PV200" s="5"/>
      <c r="PW200" s="5"/>
      <c r="PX200" s="5"/>
      <c r="PY200" s="5"/>
      <c r="PZ200" s="5"/>
      <c r="QA200" s="5"/>
      <c r="QB200" s="5"/>
      <c r="QC200" s="5"/>
      <c r="QD200" s="5"/>
      <c r="QE200" s="5"/>
      <c r="QF200" s="5"/>
      <c r="QG200" s="5"/>
      <c r="QH200" s="5"/>
      <c r="QI200" s="5"/>
      <c r="QJ200" s="5"/>
      <c r="QK200" s="5"/>
      <c r="QL200" s="5"/>
      <c r="QM200" s="5"/>
      <c r="QN200" s="5"/>
      <c r="QO200" s="5"/>
      <c r="QP200" s="5"/>
      <c r="QQ200" s="5"/>
      <c r="QR200" s="5"/>
      <c r="QS200" s="5"/>
      <c r="QT200" s="5"/>
      <c r="QU200" s="5"/>
      <c r="QV200" s="5"/>
      <c r="QW200" s="5"/>
      <c r="QX200" s="5"/>
      <c r="QY200" s="5"/>
      <c r="QZ200" s="5"/>
      <c r="RA200" s="5"/>
      <c r="RB200" s="5"/>
      <c r="RC200" s="5"/>
      <c r="RD200" s="5"/>
      <c r="RE200" s="5"/>
      <c r="RF200" s="5"/>
      <c r="RG200" s="5"/>
      <c r="RH200" s="5"/>
      <c r="RI200" s="5"/>
      <c r="RJ200" s="5"/>
      <c r="RK200" s="5"/>
      <c r="RL200" s="5"/>
      <c r="RM200" s="5"/>
      <c r="RN200" s="5"/>
      <c r="RO200" s="5"/>
      <c r="RP200" s="5"/>
      <c r="RQ200" s="5"/>
      <c r="RR200" s="5"/>
      <c r="RS200" s="5"/>
      <c r="RT200" s="5"/>
      <c r="RU200" s="5"/>
      <c r="RV200" s="5"/>
      <c r="RW200" s="5"/>
      <c r="RX200" s="5"/>
      <c r="RY200" s="5"/>
      <c r="RZ200" s="5"/>
      <c r="SA200" s="5"/>
      <c r="SB200" s="5"/>
      <c r="SC200" s="5"/>
      <c r="SD200" s="5"/>
      <c r="SE200" s="5"/>
      <c r="SF200" s="5"/>
      <c r="SG200" s="5"/>
      <c r="SH200" s="5"/>
      <c r="SI200" s="5"/>
      <c r="SJ200" s="5"/>
      <c r="SK200" s="5"/>
      <c r="SL200" s="5"/>
      <c r="SM200" s="5"/>
      <c r="SN200" s="5"/>
      <c r="SO200" s="5"/>
      <c r="SP200" s="5"/>
      <c r="SQ200" s="5"/>
      <c r="SR200" s="5"/>
      <c r="SS200" s="5"/>
      <c r="ST200" s="5"/>
      <c r="SU200" s="5"/>
      <c r="SV200" s="5"/>
      <c r="SW200" s="5"/>
      <c r="SX200" s="5"/>
      <c r="SY200" s="5"/>
      <c r="SZ200" s="5"/>
      <c r="TA200" s="5"/>
      <c r="TB200" s="5"/>
      <c r="TC200" s="5"/>
      <c r="TD200" s="5"/>
      <c r="TE200" s="5"/>
      <c r="TF200" s="5"/>
      <c r="TG200" s="5"/>
      <c r="TH200" s="5"/>
      <c r="TI200" s="5"/>
      <c r="TJ200" s="5"/>
      <c r="TK200" s="5"/>
      <c r="TL200" s="5"/>
      <c r="TM200" s="5"/>
      <c r="TN200" s="5"/>
      <c r="TO200" s="5"/>
      <c r="TP200" s="5"/>
      <c r="TQ200" s="5"/>
      <c r="TR200" s="5"/>
      <c r="TS200" s="5"/>
      <c r="TT200" s="5"/>
      <c r="TU200" s="5"/>
      <c r="TV200" s="5"/>
      <c r="TW200" s="5"/>
      <c r="TX200" s="5"/>
      <c r="TY200" s="5"/>
      <c r="TZ200" s="5"/>
      <c r="UA200" s="5"/>
      <c r="UB200" s="5"/>
      <c r="UC200" s="5"/>
      <c r="UD200" s="5"/>
      <c r="UE200" s="5"/>
      <c r="UF200" s="5"/>
      <c r="UG200" s="5"/>
      <c r="UH200" s="5"/>
      <c r="UI200" s="5"/>
      <c r="UJ200" s="5"/>
      <c r="UK200" s="5"/>
      <c r="UL200" s="5"/>
      <c r="UM200" s="5"/>
      <c r="UN200" s="5"/>
      <c r="UO200" s="5"/>
      <c r="UP200" s="5"/>
      <c r="UQ200" s="5"/>
      <c r="UR200" s="5"/>
      <c r="US200" s="5"/>
      <c r="UT200" s="5"/>
      <c r="UU200" s="5"/>
      <c r="UV200" s="5"/>
      <c r="UW200" s="5"/>
      <c r="UX200" s="5"/>
      <c r="UY200" s="5"/>
      <c r="UZ200" s="5"/>
      <c r="VA200" s="5"/>
      <c r="VB200" s="5"/>
      <c r="VC200" s="5"/>
      <c r="VD200" s="5"/>
      <c r="VE200" s="5"/>
      <c r="VF200" s="5"/>
      <c r="VG200" s="5"/>
      <c r="VH200" s="5"/>
      <c r="VI200" s="5"/>
      <c r="VJ200" s="5"/>
      <c r="VK200" s="5"/>
      <c r="VL200" s="5"/>
      <c r="VM200" s="5"/>
      <c r="VN200" s="5"/>
      <c r="VO200" s="5"/>
      <c r="VP200" s="5"/>
      <c r="VQ200" s="5"/>
      <c r="VR200" s="5"/>
      <c r="VS200" s="5"/>
      <c r="VT200" s="5"/>
      <c r="VU200" s="5"/>
      <c r="VV200" s="5"/>
      <c r="VW200" s="5"/>
      <c r="VX200" s="5"/>
      <c r="VY200" s="5"/>
      <c r="VZ200" s="5"/>
      <c r="WA200" s="5"/>
      <c r="WB200" s="5"/>
      <c r="WC200" s="5"/>
      <c r="WD200" s="5"/>
      <c r="WE200" s="5"/>
      <c r="WF200" s="5"/>
      <c r="WG200" s="5"/>
      <c r="WH200" s="5"/>
      <c r="WI200" s="5"/>
      <c r="WJ200" s="5"/>
      <c r="WK200" s="5"/>
      <c r="WL200" s="5"/>
      <c r="WM200" s="5"/>
      <c r="WN200" s="5"/>
      <c r="WO200" s="5"/>
      <c r="WP200" s="5"/>
      <c r="WQ200" s="5"/>
      <c r="WR200" s="5"/>
      <c r="WS200" s="5"/>
      <c r="WT200" s="5"/>
      <c r="WU200" s="5"/>
      <c r="WV200" s="5"/>
      <c r="WW200" s="5"/>
      <c r="WX200" s="5"/>
      <c r="WY200" s="5"/>
      <c r="WZ200" s="5"/>
      <c r="XA200" s="5"/>
      <c r="XB200" s="5"/>
      <c r="XC200" s="5"/>
      <c r="XD200" s="5"/>
      <c r="XE200" s="5"/>
      <c r="XF200" s="5"/>
      <c r="XG200" s="5"/>
      <c r="XH200" s="5"/>
      <c r="XI200" s="5"/>
      <c r="XJ200" s="5"/>
      <c r="XK200" s="5"/>
      <c r="XL200" s="5"/>
      <c r="XM200" s="5"/>
      <c r="XN200" s="5"/>
      <c r="XO200" s="5"/>
      <c r="XP200" s="5"/>
      <c r="XQ200" s="5"/>
      <c r="XR200" s="5"/>
      <c r="XS200" s="5"/>
      <c r="XT200" s="5"/>
      <c r="XU200" s="5"/>
      <c r="XV200" s="5"/>
      <c r="XW200" s="5"/>
      <c r="XX200" s="5"/>
      <c r="XY200" s="5"/>
      <c r="XZ200" s="5"/>
      <c r="YA200" s="5"/>
      <c r="YB200" s="5"/>
      <c r="YC200" s="5"/>
      <c r="YD200" s="5"/>
      <c r="YE200" s="5"/>
      <c r="YF200" s="5"/>
      <c r="YG200" s="5"/>
      <c r="YH200" s="5"/>
      <c r="YI200" s="5"/>
      <c r="YJ200" s="5"/>
      <c r="YK200" s="5"/>
      <c r="YL200" s="5"/>
      <c r="YM200" s="5"/>
      <c r="YN200" s="5"/>
      <c r="YO200" s="5"/>
      <c r="YP200" s="5"/>
      <c r="YQ200" s="5"/>
      <c r="YR200" s="5"/>
      <c r="YS200" s="5"/>
      <c r="YT200" s="5"/>
      <c r="YU200" s="5"/>
      <c r="YV200" s="5"/>
      <c r="YW200" s="5"/>
      <c r="YX200" s="5"/>
      <c r="YY200" s="5"/>
      <c r="YZ200" s="5"/>
    </row>
    <row r="201" spans="1:676">
      <c r="A201" s="7">
        <v>191</v>
      </c>
      <c r="B201" s="7" t="s">
        <v>469</v>
      </c>
      <c r="C201" s="10" t="s">
        <v>470</v>
      </c>
      <c r="D201" s="7" t="s">
        <v>348</v>
      </c>
      <c r="E201" s="7" t="s">
        <v>279</v>
      </c>
      <c r="F201" s="7" t="s">
        <v>394</v>
      </c>
      <c r="G201" s="7"/>
      <c r="H201" s="7" t="s">
        <v>100</v>
      </c>
      <c r="I201" s="11">
        <v>2</v>
      </c>
      <c r="J201" s="11">
        <v>3</v>
      </c>
      <c r="K201" s="11">
        <v>0.95</v>
      </c>
      <c r="L201" s="11">
        <v>6.619999999999999</v>
      </c>
      <c r="M201" s="11">
        <v>0.33</v>
      </c>
      <c r="N201" s="11">
        <v>0</v>
      </c>
      <c r="O201" s="11">
        <v>0.34</v>
      </c>
      <c r="P201" s="11">
        <v>0</v>
      </c>
      <c r="Q201" s="11">
        <v>8.239999999999998</v>
      </c>
      <c r="R201" s="11">
        <v>65.79999999999998</v>
      </c>
      <c r="S201" s="11">
        <v>74.03999999999998</v>
      </c>
      <c r="T201" s="11">
        <v>2</v>
      </c>
      <c r="U201" s="11">
        <v>3</v>
      </c>
      <c r="V201" s="11">
        <v>69.03999999999998</v>
      </c>
      <c r="W201" s="13">
        <v>18</v>
      </c>
      <c r="X201" s="13">
        <v>27</v>
      </c>
      <c r="Y201" s="13" t="str">
        <f>MIN(W201,S201)</f>
        <v>0</v>
      </c>
      <c r="Z201" s="13" t="str">
        <f>MIN(X201,(S201-Y201))</f>
        <v>0</v>
      </c>
      <c r="AA201" s="13" t="str">
        <f>S201-SUM(Y201,Z201)</f>
        <v>0</v>
      </c>
      <c r="AB201" s="15"/>
      <c r="AC201" s="15"/>
      <c r="AD201" s="1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  <c r="EC201" s="5"/>
      <c r="ED201" s="5"/>
      <c r="EE201" s="5"/>
      <c r="EF201" s="5"/>
      <c r="EG201" s="5"/>
      <c r="EH201" s="5"/>
      <c r="EI201" s="5"/>
      <c r="EJ201" s="5"/>
      <c r="EK201" s="5"/>
      <c r="EL201" s="5"/>
      <c r="EM201" s="5"/>
      <c r="EN201" s="5"/>
      <c r="EO201" s="5"/>
      <c r="EP201" s="5"/>
      <c r="EQ201" s="5"/>
      <c r="ER201" s="5"/>
      <c r="ES201" s="5"/>
      <c r="ET201" s="5"/>
      <c r="EU201" s="5"/>
      <c r="EV201" s="5"/>
      <c r="EW201" s="5"/>
      <c r="EX201" s="5"/>
      <c r="EY201" s="5"/>
      <c r="EZ201" s="5"/>
      <c r="FA201" s="5"/>
      <c r="FB201" s="5"/>
      <c r="FC201" s="5"/>
      <c r="FD201" s="5"/>
      <c r="FE201" s="5"/>
      <c r="FF201" s="5"/>
      <c r="FG201" s="5"/>
      <c r="FH201" s="5"/>
      <c r="FI201" s="5"/>
      <c r="FJ201" s="5"/>
      <c r="FK201" s="5"/>
      <c r="FL201" s="5"/>
      <c r="FM201" s="5"/>
      <c r="FN201" s="5"/>
      <c r="FO201" s="5"/>
      <c r="FP201" s="5"/>
      <c r="FQ201" s="5"/>
      <c r="FR201" s="5"/>
      <c r="FS201" s="5"/>
      <c r="FT201" s="5"/>
      <c r="FU201" s="5"/>
      <c r="FV201" s="5"/>
      <c r="FW201" s="5"/>
      <c r="FX201" s="5"/>
      <c r="FY201" s="5"/>
      <c r="FZ201" s="5"/>
      <c r="GA201" s="5"/>
      <c r="GB201" s="5"/>
      <c r="GC201" s="5"/>
      <c r="GD201" s="5"/>
      <c r="GE201" s="5"/>
      <c r="GF201" s="5"/>
      <c r="GG201" s="5"/>
      <c r="GH201" s="5"/>
      <c r="GI201" s="5"/>
      <c r="GJ201" s="5"/>
      <c r="GK201" s="5"/>
      <c r="GL201" s="5"/>
      <c r="GM201" s="5"/>
      <c r="GN201" s="5"/>
      <c r="GO201" s="5"/>
      <c r="GP201" s="5"/>
      <c r="GQ201" s="5"/>
      <c r="GR201" s="5"/>
      <c r="GS201" s="5"/>
      <c r="GT201" s="5"/>
      <c r="GU201" s="5"/>
      <c r="GV201" s="5"/>
      <c r="GW201" s="5"/>
      <c r="GX201" s="5"/>
      <c r="GY201" s="5"/>
      <c r="GZ201" s="5"/>
      <c r="HA201" s="5"/>
      <c r="HB201" s="5"/>
      <c r="HC201" s="5"/>
      <c r="HD201" s="5"/>
      <c r="HE201" s="5"/>
      <c r="HF201" s="5"/>
      <c r="HG201" s="5"/>
      <c r="HH201" s="5"/>
      <c r="HI201" s="5"/>
      <c r="HJ201" s="5"/>
      <c r="HK201" s="5"/>
      <c r="HL201" s="5"/>
      <c r="HM201" s="5"/>
      <c r="HN201" s="5"/>
      <c r="HO201" s="5"/>
      <c r="HP201" s="5"/>
      <c r="HQ201" s="5"/>
      <c r="HR201" s="5"/>
      <c r="HS201" s="5"/>
      <c r="HT201" s="5"/>
      <c r="HU201" s="5"/>
      <c r="HV201" s="5"/>
      <c r="HW201" s="5"/>
      <c r="HX201" s="5"/>
      <c r="HY201" s="5"/>
      <c r="HZ201" s="5"/>
      <c r="IA201" s="5"/>
      <c r="IB201" s="5"/>
      <c r="IC201" s="5"/>
      <c r="ID201" s="5"/>
      <c r="IE201" s="5"/>
      <c r="IF201" s="5"/>
      <c r="IG201" s="5"/>
      <c r="IH201" s="5"/>
      <c r="II201" s="5"/>
      <c r="IJ201" s="5"/>
      <c r="IK201" s="5"/>
      <c r="IL201" s="5"/>
      <c r="IM201" s="5"/>
      <c r="IN201" s="5"/>
      <c r="IO201" s="5"/>
      <c r="IP201" s="5"/>
      <c r="IQ201" s="5"/>
      <c r="IR201" s="5"/>
      <c r="IS201" s="5"/>
      <c r="IT201" s="5"/>
      <c r="IU201" s="5"/>
      <c r="IV201" s="5"/>
      <c r="IW201" s="5"/>
      <c r="IX201" s="5"/>
      <c r="IY201" s="5"/>
      <c r="IZ201" s="5"/>
      <c r="JA201" s="5"/>
      <c r="JB201" s="5"/>
      <c r="JC201" s="5"/>
      <c r="JD201" s="5"/>
      <c r="JE201" s="5"/>
      <c r="JF201" s="5"/>
      <c r="JG201" s="5"/>
      <c r="JH201" s="5"/>
      <c r="JI201" s="5"/>
      <c r="JJ201" s="5"/>
      <c r="JK201" s="5"/>
      <c r="JL201" s="5"/>
      <c r="JM201" s="5"/>
      <c r="JN201" s="5"/>
      <c r="JO201" s="5"/>
      <c r="JP201" s="5"/>
      <c r="JQ201" s="5"/>
      <c r="JR201" s="5"/>
      <c r="JS201" s="5"/>
      <c r="JT201" s="5"/>
      <c r="JU201" s="5"/>
      <c r="JV201" s="5"/>
      <c r="JW201" s="5"/>
      <c r="JX201" s="5"/>
      <c r="JY201" s="5"/>
      <c r="JZ201" s="5"/>
      <c r="KA201" s="5"/>
      <c r="KB201" s="5"/>
      <c r="KC201" s="5"/>
      <c r="KD201" s="5"/>
      <c r="KE201" s="5"/>
      <c r="KF201" s="5"/>
      <c r="KG201" s="5"/>
      <c r="KH201" s="5"/>
      <c r="KI201" s="5"/>
      <c r="KJ201" s="5"/>
      <c r="KK201" s="5"/>
      <c r="KL201" s="5"/>
      <c r="KM201" s="5"/>
      <c r="KN201" s="5"/>
      <c r="KO201" s="5"/>
      <c r="KP201" s="5"/>
      <c r="KQ201" s="5"/>
      <c r="KR201" s="5"/>
      <c r="KS201" s="5"/>
      <c r="KT201" s="5"/>
      <c r="KU201" s="5"/>
      <c r="KV201" s="5"/>
      <c r="KW201" s="5"/>
      <c r="KX201" s="5"/>
      <c r="KY201" s="5"/>
      <c r="KZ201" s="5"/>
      <c r="LA201" s="5"/>
      <c r="LB201" s="5"/>
      <c r="LC201" s="5"/>
      <c r="LD201" s="5"/>
      <c r="LE201" s="5"/>
      <c r="LF201" s="5"/>
      <c r="LG201" s="5"/>
      <c r="LH201" s="5"/>
      <c r="LI201" s="5"/>
      <c r="LJ201" s="5"/>
      <c r="LK201" s="5"/>
      <c r="LL201" s="5"/>
      <c r="LM201" s="5"/>
      <c r="LN201" s="5"/>
      <c r="LO201" s="5"/>
      <c r="LP201" s="5"/>
      <c r="LQ201" s="5"/>
      <c r="LR201" s="5"/>
      <c r="LS201" s="5"/>
      <c r="LT201" s="5"/>
      <c r="LU201" s="5"/>
      <c r="LV201" s="5"/>
      <c r="LW201" s="5"/>
      <c r="LX201" s="5"/>
      <c r="LY201" s="5"/>
      <c r="LZ201" s="5"/>
      <c r="MA201" s="5"/>
      <c r="MB201" s="5"/>
      <c r="MC201" s="5"/>
      <c r="MD201" s="5"/>
      <c r="ME201" s="5"/>
      <c r="MF201" s="5"/>
      <c r="MG201" s="5"/>
      <c r="MH201" s="5"/>
      <c r="MI201" s="5"/>
      <c r="MJ201" s="5"/>
      <c r="MK201" s="5"/>
      <c r="ML201" s="5"/>
      <c r="MM201" s="5"/>
      <c r="MN201" s="5"/>
      <c r="MO201" s="5"/>
      <c r="MP201" s="5"/>
      <c r="MQ201" s="5"/>
      <c r="MR201" s="5"/>
      <c r="MS201" s="5"/>
      <c r="MT201" s="5"/>
      <c r="MU201" s="5"/>
      <c r="MV201" s="5"/>
      <c r="MW201" s="5"/>
      <c r="MX201" s="5"/>
      <c r="MY201" s="5"/>
      <c r="MZ201" s="5"/>
      <c r="NA201" s="5"/>
      <c r="NB201" s="5"/>
      <c r="NC201" s="5"/>
      <c r="ND201" s="5"/>
      <c r="NE201" s="5"/>
      <c r="NF201" s="5"/>
      <c r="NG201" s="5"/>
      <c r="NH201" s="5"/>
      <c r="NI201" s="5"/>
      <c r="NJ201" s="5"/>
      <c r="NK201" s="5"/>
      <c r="NL201" s="5"/>
      <c r="NM201" s="5"/>
      <c r="NN201" s="5"/>
      <c r="NO201" s="5"/>
      <c r="NP201" s="5"/>
      <c r="NQ201" s="5"/>
      <c r="NR201" s="5"/>
      <c r="NS201" s="5"/>
      <c r="NT201" s="5"/>
      <c r="NU201" s="5"/>
      <c r="NV201" s="5"/>
      <c r="NW201" s="5"/>
      <c r="NX201" s="5"/>
      <c r="NY201" s="5"/>
      <c r="NZ201" s="5"/>
      <c r="OA201" s="5"/>
      <c r="OB201" s="5"/>
      <c r="OC201" s="5"/>
      <c r="OD201" s="5"/>
      <c r="OE201" s="5"/>
      <c r="OF201" s="5"/>
      <c r="OG201" s="5"/>
      <c r="OH201" s="5"/>
      <c r="OI201" s="5"/>
      <c r="OJ201" s="5"/>
      <c r="OK201" s="5"/>
      <c r="OL201" s="5"/>
      <c r="OM201" s="5"/>
      <c r="ON201" s="5"/>
      <c r="OO201" s="5"/>
      <c r="OP201" s="5"/>
      <c r="OQ201" s="5"/>
      <c r="OR201" s="5"/>
      <c r="OS201" s="5"/>
      <c r="OT201" s="5"/>
      <c r="OU201" s="5"/>
      <c r="OV201" s="5"/>
      <c r="OW201" s="5"/>
      <c r="OX201" s="5"/>
      <c r="OY201" s="5"/>
      <c r="OZ201" s="5"/>
      <c r="PA201" s="5"/>
      <c r="PB201" s="5"/>
      <c r="PC201" s="5"/>
      <c r="PD201" s="5"/>
      <c r="PE201" s="5"/>
      <c r="PF201" s="5"/>
      <c r="PG201" s="5"/>
      <c r="PH201" s="5"/>
      <c r="PI201" s="5"/>
      <c r="PJ201" s="5"/>
      <c r="PK201" s="5"/>
      <c r="PL201" s="5"/>
      <c r="PM201" s="5"/>
      <c r="PN201" s="5"/>
      <c r="PO201" s="5"/>
      <c r="PP201" s="5"/>
      <c r="PQ201" s="5"/>
      <c r="PR201" s="5"/>
      <c r="PS201" s="5"/>
      <c r="PT201" s="5"/>
      <c r="PU201" s="5"/>
      <c r="PV201" s="5"/>
      <c r="PW201" s="5"/>
      <c r="PX201" s="5"/>
      <c r="PY201" s="5"/>
      <c r="PZ201" s="5"/>
      <c r="QA201" s="5"/>
      <c r="QB201" s="5"/>
      <c r="QC201" s="5"/>
      <c r="QD201" s="5"/>
      <c r="QE201" s="5"/>
      <c r="QF201" s="5"/>
      <c r="QG201" s="5"/>
      <c r="QH201" s="5"/>
      <c r="QI201" s="5"/>
      <c r="QJ201" s="5"/>
      <c r="QK201" s="5"/>
      <c r="QL201" s="5"/>
      <c r="QM201" s="5"/>
      <c r="QN201" s="5"/>
      <c r="QO201" s="5"/>
      <c r="QP201" s="5"/>
      <c r="QQ201" s="5"/>
      <c r="QR201" s="5"/>
      <c r="QS201" s="5"/>
      <c r="QT201" s="5"/>
      <c r="QU201" s="5"/>
      <c r="QV201" s="5"/>
      <c r="QW201" s="5"/>
      <c r="QX201" s="5"/>
      <c r="QY201" s="5"/>
      <c r="QZ201" s="5"/>
      <c r="RA201" s="5"/>
      <c r="RB201" s="5"/>
      <c r="RC201" s="5"/>
      <c r="RD201" s="5"/>
      <c r="RE201" s="5"/>
      <c r="RF201" s="5"/>
      <c r="RG201" s="5"/>
      <c r="RH201" s="5"/>
      <c r="RI201" s="5"/>
      <c r="RJ201" s="5"/>
      <c r="RK201" s="5"/>
      <c r="RL201" s="5"/>
      <c r="RM201" s="5"/>
      <c r="RN201" s="5"/>
      <c r="RO201" s="5"/>
      <c r="RP201" s="5"/>
      <c r="RQ201" s="5"/>
      <c r="RR201" s="5"/>
      <c r="RS201" s="5"/>
      <c r="RT201" s="5"/>
      <c r="RU201" s="5"/>
      <c r="RV201" s="5"/>
      <c r="RW201" s="5"/>
      <c r="RX201" s="5"/>
      <c r="RY201" s="5"/>
      <c r="RZ201" s="5"/>
      <c r="SA201" s="5"/>
      <c r="SB201" s="5"/>
      <c r="SC201" s="5"/>
      <c r="SD201" s="5"/>
      <c r="SE201" s="5"/>
      <c r="SF201" s="5"/>
      <c r="SG201" s="5"/>
      <c r="SH201" s="5"/>
      <c r="SI201" s="5"/>
      <c r="SJ201" s="5"/>
      <c r="SK201" s="5"/>
      <c r="SL201" s="5"/>
      <c r="SM201" s="5"/>
      <c r="SN201" s="5"/>
      <c r="SO201" s="5"/>
      <c r="SP201" s="5"/>
      <c r="SQ201" s="5"/>
      <c r="SR201" s="5"/>
      <c r="SS201" s="5"/>
      <c r="ST201" s="5"/>
      <c r="SU201" s="5"/>
      <c r="SV201" s="5"/>
      <c r="SW201" s="5"/>
      <c r="SX201" s="5"/>
      <c r="SY201" s="5"/>
      <c r="SZ201" s="5"/>
      <c r="TA201" s="5"/>
      <c r="TB201" s="5"/>
      <c r="TC201" s="5"/>
      <c r="TD201" s="5"/>
      <c r="TE201" s="5"/>
      <c r="TF201" s="5"/>
      <c r="TG201" s="5"/>
      <c r="TH201" s="5"/>
      <c r="TI201" s="5"/>
      <c r="TJ201" s="5"/>
      <c r="TK201" s="5"/>
      <c r="TL201" s="5"/>
      <c r="TM201" s="5"/>
      <c r="TN201" s="5"/>
      <c r="TO201" s="5"/>
      <c r="TP201" s="5"/>
      <c r="TQ201" s="5"/>
      <c r="TR201" s="5"/>
      <c r="TS201" s="5"/>
      <c r="TT201" s="5"/>
      <c r="TU201" s="5"/>
      <c r="TV201" s="5"/>
      <c r="TW201" s="5"/>
      <c r="TX201" s="5"/>
      <c r="TY201" s="5"/>
      <c r="TZ201" s="5"/>
      <c r="UA201" s="5"/>
      <c r="UB201" s="5"/>
      <c r="UC201" s="5"/>
      <c r="UD201" s="5"/>
      <c r="UE201" s="5"/>
      <c r="UF201" s="5"/>
      <c r="UG201" s="5"/>
      <c r="UH201" s="5"/>
      <c r="UI201" s="5"/>
      <c r="UJ201" s="5"/>
      <c r="UK201" s="5"/>
      <c r="UL201" s="5"/>
      <c r="UM201" s="5"/>
      <c r="UN201" s="5"/>
      <c r="UO201" s="5"/>
      <c r="UP201" s="5"/>
      <c r="UQ201" s="5"/>
      <c r="UR201" s="5"/>
      <c r="US201" s="5"/>
      <c r="UT201" s="5"/>
      <c r="UU201" s="5"/>
      <c r="UV201" s="5"/>
      <c r="UW201" s="5"/>
      <c r="UX201" s="5"/>
      <c r="UY201" s="5"/>
      <c r="UZ201" s="5"/>
      <c r="VA201" s="5"/>
      <c r="VB201" s="5"/>
      <c r="VC201" s="5"/>
      <c r="VD201" s="5"/>
      <c r="VE201" s="5"/>
      <c r="VF201" s="5"/>
      <c r="VG201" s="5"/>
      <c r="VH201" s="5"/>
      <c r="VI201" s="5"/>
      <c r="VJ201" s="5"/>
      <c r="VK201" s="5"/>
      <c r="VL201" s="5"/>
      <c r="VM201" s="5"/>
      <c r="VN201" s="5"/>
      <c r="VO201" s="5"/>
      <c r="VP201" s="5"/>
      <c r="VQ201" s="5"/>
      <c r="VR201" s="5"/>
      <c r="VS201" s="5"/>
      <c r="VT201" s="5"/>
      <c r="VU201" s="5"/>
      <c r="VV201" s="5"/>
      <c r="VW201" s="5"/>
      <c r="VX201" s="5"/>
      <c r="VY201" s="5"/>
      <c r="VZ201" s="5"/>
      <c r="WA201" s="5"/>
      <c r="WB201" s="5"/>
      <c r="WC201" s="5"/>
      <c r="WD201" s="5"/>
      <c r="WE201" s="5"/>
      <c r="WF201" s="5"/>
      <c r="WG201" s="5"/>
      <c r="WH201" s="5"/>
      <c r="WI201" s="5"/>
      <c r="WJ201" s="5"/>
      <c r="WK201" s="5"/>
      <c r="WL201" s="5"/>
      <c r="WM201" s="5"/>
      <c r="WN201" s="5"/>
      <c r="WO201" s="5"/>
      <c r="WP201" s="5"/>
      <c r="WQ201" s="5"/>
      <c r="WR201" s="5"/>
      <c r="WS201" s="5"/>
      <c r="WT201" s="5"/>
      <c r="WU201" s="5"/>
      <c r="WV201" s="5"/>
      <c r="WW201" s="5"/>
      <c r="WX201" s="5"/>
      <c r="WY201" s="5"/>
      <c r="WZ201" s="5"/>
      <c r="XA201" s="5"/>
      <c r="XB201" s="5"/>
      <c r="XC201" s="5"/>
      <c r="XD201" s="5"/>
      <c r="XE201" s="5"/>
      <c r="XF201" s="5"/>
      <c r="XG201" s="5"/>
      <c r="XH201" s="5"/>
      <c r="XI201" s="5"/>
      <c r="XJ201" s="5"/>
      <c r="XK201" s="5"/>
      <c r="XL201" s="5"/>
      <c r="XM201" s="5"/>
      <c r="XN201" s="5"/>
      <c r="XO201" s="5"/>
      <c r="XP201" s="5"/>
      <c r="XQ201" s="5"/>
      <c r="XR201" s="5"/>
      <c r="XS201" s="5"/>
      <c r="XT201" s="5"/>
      <c r="XU201" s="5"/>
      <c r="XV201" s="5"/>
      <c r="XW201" s="5"/>
      <c r="XX201" s="5"/>
      <c r="XY201" s="5"/>
      <c r="XZ201" s="5"/>
      <c r="YA201" s="5"/>
      <c r="YB201" s="5"/>
      <c r="YC201" s="5"/>
      <c r="YD201" s="5"/>
      <c r="YE201" s="5"/>
      <c r="YF201" s="5"/>
      <c r="YG201" s="5"/>
      <c r="YH201" s="5"/>
      <c r="YI201" s="5"/>
      <c r="YJ201" s="5"/>
      <c r="YK201" s="5"/>
      <c r="YL201" s="5"/>
      <c r="YM201" s="5"/>
      <c r="YN201" s="5"/>
      <c r="YO201" s="5"/>
      <c r="YP201" s="5"/>
      <c r="YQ201" s="5"/>
      <c r="YR201" s="5"/>
      <c r="YS201" s="5"/>
      <c r="YT201" s="5"/>
      <c r="YU201" s="5"/>
      <c r="YV201" s="5"/>
      <c r="YW201" s="5"/>
      <c r="YX201" s="5"/>
      <c r="YY201" s="5"/>
      <c r="YZ201" s="5"/>
    </row>
    <row r="202" spans="1:676">
      <c r="A202" s="7">
        <v>192</v>
      </c>
      <c r="B202" s="7" t="s">
        <v>471</v>
      </c>
      <c r="C202" s="10" t="s">
        <v>472</v>
      </c>
      <c r="D202" s="7" t="s">
        <v>407</v>
      </c>
      <c r="E202" s="7" t="s">
        <v>381</v>
      </c>
      <c r="F202" s="7" t="s">
        <v>394</v>
      </c>
      <c r="G202" s="7"/>
      <c r="H202" s="7" t="s">
        <v>52</v>
      </c>
      <c r="I202" s="11">
        <v>2</v>
      </c>
      <c r="J202" s="11">
        <v>3</v>
      </c>
      <c r="K202" s="11">
        <v>0</v>
      </c>
      <c r="L202" s="11">
        <v>1.42</v>
      </c>
      <c r="M202" s="11">
        <v>0</v>
      </c>
      <c r="N202" s="11">
        <v>0</v>
      </c>
      <c r="O202" s="11">
        <v>0</v>
      </c>
      <c r="P202" s="11">
        <v>0</v>
      </c>
      <c r="Q202" s="11">
        <v>1.42</v>
      </c>
      <c r="R202" s="11">
        <v>29.75</v>
      </c>
      <c r="S202" s="11">
        <v>31.17</v>
      </c>
      <c r="T202" s="11">
        <v>2</v>
      </c>
      <c r="U202" s="11">
        <v>3</v>
      </c>
      <c r="V202" s="11">
        <v>26.17</v>
      </c>
      <c r="W202" s="13">
        <v>18</v>
      </c>
      <c r="X202" s="13">
        <v>27</v>
      </c>
      <c r="Y202" s="13" t="str">
        <f>MIN(W202,S202)</f>
        <v>0</v>
      </c>
      <c r="Z202" s="13" t="str">
        <f>MIN(X202,(S202-Y202))</f>
        <v>0</v>
      </c>
      <c r="AA202" s="13" t="str">
        <f>S202-SUM(Y202,Z202)</f>
        <v>0</v>
      </c>
      <c r="AB202" s="15"/>
      <c r="AC202" s="15"/>
      <c r="AD202" s="1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  <c r="EC202" s="5"/>
      <c r="ED202" s="5"/>
      <c r="EE202" s="5"/>
      <c r="EF202" s="5"/>
      <c r="EG202" s="5"/>
      <c r="EH202" s="5"/>
      <c r="EI202" s="5"/>
      <c r="EJ202" s="5"/>
      <c r="EK202" s="5"/>
      <c r="EL202" s="5"/>
      <c r="EM202" s="5"/>
      <c r="EN202" s="5"/>
      <c r="EO202" s="5"/>
      <c r="EP202" s="5"/>
      <c r="EQ202" s="5"/>
      <c r="ER202" s="5"/>
      <c r="ES202" s="5"/>
      <c r="ET202" s="5"/>
      <c r="EU202" s="5"/>
      <c r="EV202" s="5"/>
      <c r="EW202" s="5"/>
      <c r="EX202" s="5"/>
      <c r="EY202" s="5"/>
      <c r="EZ202" s="5"/>
      <c r="FA202" s="5"/>
      <c r="FB202" s="5"/>
      <c r="FC202" s="5"/>
      <c r="FD202" s="5"/>
      <c r="FE202" s="5"/>
      <c r="FF202" s="5"/>
      <c r="FG202" s="5"/>
      <c r="FH202" s="5"/>
      <c r="FI202" s="5"/>
      <c r="FJ202" s="5"/>
      <c r="FK202" s="5"/>
      <c r="FL202" s="5"/>
      <c r="FM202" s="5"/>
      <c r="FN202" s="5"/>
      <c r="FO202" s="5"/>
      <c r="FP202" s="5"/>
      <c r="FQ202" s="5"/>
      <c r="FR202" s="5"/>
      <c r="FS202" s="5"/>
      <c r="FT202" s="5"/>
      <c r="FU202" s="5"/>
      <c r="FV202" s="5"/>
      <c r="FW202" s="5"/>
      <c r="FX202" s="5"/>
      <c r="FY202" s="5"/>
      <c r="FZ202" s="5"/>
      <c r="GA202" s="5"/>
      <c r="GB202" s="5"/>
      <c r="GC202" s="5"/>
      <c r="GD202" s="5"/>
      <c r="GE202" s="5"/>
      <c r="GF202" s="5"/>
      <c r="GG202" s="5"/>
      <c r="GH202" s="5"/>
      <c r="GI202" s="5"/>
      <c r="GJ202" s="5"/>
      <c r="GK202" s="5"/>
      <c r="GL202" s="5"/>
      <c r="GM202" s="5"/>
      <c r="GN202" s="5"/>
      <c r="GO202" s="5"/>
      <c r="GP202" s="5"/>
      <c r="GQ202" s="5"/>
      <c r="GR202" s="5"/>
      <c r="GS202" s="5"/>
      <c r="GT202" s="5"/>
      <c r="GU202" s="5"/>
      <c r="GV202" s="5"/>
      <c r="GW202" s="5"/>
      <c r="GX202" s="5"/>
      <c r="GY202" s="5"/>
      <c r="GZ202" s="5"/>
      <c r="HA202" s="5"/>
      <c r="HB202" s="5"/>
      <c r="HC202" s="5"/>
      <c r="HD202" s="5"/>
      <c r="HE202" s="5"/>
      <c r="HF202" s="5"/>
      <c r="HG202" s="5"/>
      <c r="HH202" s="5"/>
      <c r="HI202" s="5"/>
      <c r="HJ202" s="5"/>
      <c r="HK202" s="5"/>
      <c r="HL202" s="5"/>
      <c r="HM202" s="5"/>
      <c r="HN202" s="5"/>
      <c r="HO202" s="5"/>
      <c r="HP202" s="5"/>
      <c r="HQ202" s="5"/>
      <c r="HR202" s="5"/>
      <c r="HS202" s="5"/>
      <c r="HT202" s="5"/>
      <c r="HU202" s="5"/>
      <c r="HV202" s="5"/>
      <c r="HW202" s="5"/>
      <c r="HX202" s="5"/>
      <c r="HY202" s="5"/>
      <c r="HZ202" s="5"/>
      <c r="IA202" s="5"/>
      <c r="IB202" s="5"/>
      <c r="IC202" s="5"/>
      <c r="ID202" s="5"/>
      <c r="IE202" s="5"/>
      <c r="IF202" s="5"/>
      <c r="IG202" s="5"/>
      <c r="IH202" s="5"/>
      <c r="II202" s="5"/>
      <c r="IJ202" s="5"/>
      <c r="IK202" s="5"/>
      <c r="IL202" s="5"/>
      <c r="IM202" s="5"/>
      <c r="IN202" s="5"/>
      <c r="IO202" s="5"/>
      <c r="IP202" s="5"/>
      <c r="IQ202" s="5"/>
      <c r="IR202" s="5"/>
      <c r="IS202" s="5"/>
      <c r="IT202" s="5"/>
      <c r="IU202" s="5"/>
      <c r="IV202" s="5"/>
      <c r="IW202" s="5"/>
      <c r="IX202" s="5"/>
      <c r="IY202" s="5"/>
      <c r="IZ202" s="5"/>
      <c r="JA202" s="5"/>
      <c r="JB202" s="5"/>
      <c r="JC202" s="5"/>
      <c r="JD202" s="5"/>
      <c r="JE202" s="5"/>
      <c r="JF202" s="5"/>
      <c r="JG202" s="5"/>
      <c r="JH202" s="5"/>
      <c r="JI202" s="5"/>
      <c r="JJ202" s="5"/>
      <c r="JK202" s="5"/>
      <c r="JL202" s="5"/>
      <c r="JM202" s="5"/>
      <c r="JN202" s="5"/>
      <c r="JO202" s="5"/>
      <c r="JP202" s="5"/>
      <c r="JQ202" s="5"/>
      <c r="JR202" s="5"/>
      <c r="JS202" s="5"/>
      <c r="JT202" s="5"/>
      <c r="JU202" s="5"/>
      <c r="JV202" s="5"/>
      <c r="JW202" s="5"/>
      <c r="JX202" s="5"/>
      <c r="JY202" s="5"/>
      <c r="JZ202" s="5"/>
      <c r="KA202" s="5"/>
      <c r="KB202" s="5"/>
      <c r="KC202" s="5"/>
      <c r="KD202" s="5"/>
      <c r="KE202" s="5"/>
      <c r="KF202" s="5"/>
      <c r="KG202" s="5"/>
      <c r="KH202" s="5"/>
      <c r="KI202" s="5"/>
      <c r="KJ202" s="5"/>
      <c r="KK202" s="5"/>
      <c r="KL202" s="5"/>
      <c r="KM202" s="5"/>
      <c r="KN202" s="5"/>
      <c r="KO202" s="5"/>
      <c r="KP202" s="5"/>
      <c r="KQ202" s="5"/>
      <c r="KR202" s="5"/>
      <c r="KS202" s="5"/>
      <c r="KT202" s="5"/>
      <c r="KU202" s="5"/>
      <c r="KV202" s="5"/>
      <c r="KW202" s="5"/>
      <c r="KX202" s="5"/>
      <c r="KY202" s="5"/>
      <c r="KZ202" s="5"/>
      <c r="LA202" s="5"/>
      <c r="LB202" s="5"/>
      <c r="LC202" s="5"/>
      <c r="LD202" s="5"/>
      <c r="LE202" s="5"/>
      <c r="LF202" s="5"/>
      <c r="LG202" s="5"/>
      <c r="LH202" s="5"/>
      <c r="LI202" s="5"/>
      <c r="LJ202" s="5"/>
      <c r="LK202" s="5"/>
      <c r="LL202" s="5"/>
      <c r="LM202" s="5"/>
      <c r="LN202" s="5"/>
      <c r="LO202" s="5"/>
      <c r="LP202" s="5"/>
      <c r="LQ202" s="5"/>
      <c r="LR202" s="5"/>
      <c r="LS202" s="5"/>
      <c r="LT202" s="5"/>
      <c r="LU202" s="5"/>
      <c r="LV202" s="5"/>
      <c r="LW202" s="5"/>
      <c r="LX202" s="5"/>
      <c r="LY202" s="5"/>
      <c r="LZ202" s="5"/>
      <c r="MA202" s="5"/>
      <c r="MB202" s="5"/>
      <c r="MC202" s="5"/>
      <c r="MD202" s="5"/>
      <c r="ME202" s="5"/>
      <c r="MF202" s="5"/>
      <c r="MG202" s="5"/>
      <c r="MH202" s="5"/>
      <c r="MI202" s="5"/>
      <c r="MJ202" s="5"/>
      <c r="MK202" s="5"/>
      <c r="ML202" s="5"/>
      <c r="MM202" s="5"/>
      <c r="MN202" s="5"/>
      <c r="MO202" s="5"/>
      <c r="MP202" s="5"/>
      <c r="MQ202" s="5"/>
      <c r="MR202" s="5"/>
      <c r="MS202" s="5"/>
      <c r="MT202" s="5"/>
      <c r="MU202" s="5"/>
      <c r="MV202" s="5"/>
      <c r="MW202" s="5"/>
      <c r="MX202" s="5"/>
      <c r="MY202" s="5"/>
      <c r="MZ202" s="5"/>
      <c r="NA202" s="5"/>
      <c r="NB202" s="5"/>
      <c r="NC202" s="5"/>
      <c r="ND202" s="5"/>
      <c r="NE202" s="5"/>
      <c r="NF202" s="5"/>
      <c r="NG202" s="5"/>
      <c r="NH202" s="5"/>
      <c r="NI202" s="5"/>
      <c r="NJ202" s="5"/>
      <c r="NK202" s="5"/>
      <c r="NL202" s="5"/>
      <c r="NM202" s="5"/>
      <c r="NN202" s="5"/>
      <c r="NO202" s="5"/>
      <c r="NP202" s="5"/>
      <c r="NQ202" s="5"/>
      <c r="NR202" s="5"/>
      <c r="NS202" s="5"/>
      <c r="NT202" s="5"/>
      <c r="NU202" s="5"/>
      <c r="NV202" s="5"/>
      <c r="NW202" s="5"/>
      <c r="NX202" s="5"/>
      <c r="NY202" s="5"/>
      <c r="NZ202" s="5"/>
      <c r="OA202" s="5"/>
      <c r="OB202" s="5"/>
      <c r="OC202" s="5"/>
      <c r="OD202" s="5"/>
      <c r="OE202" s="5"/>
      <c r="OF202" s="5"/>
      <c r="OG202" s="5"/>
      <c r="OH202" s="5"/>
      <c r="OI202" s="5"/>
      <c r="OJ202" s="5"/>
      <c r="OK202" s="5"/>
      <c r="OL202" s="5"/>
      <c r="OM202" s="5"/>
      <c r="ON202" s="5"/>
      <c r="OO202" s="5"/>
      <c r="OP202" s="5"/>
      <c r="OQ202" s="5"/>
      <c r="OR202" s="5"/>
      <c r="OS202" s="5"/>
      <c r="OT202" s="5"/>
      <c r="OU202" s="5"/>
      <c r="OV202" s="5"/>
      <c r="OW202" s="5"/>
      <c r="OX202" s="5"/>
      <c r="OY202" s="5"/>
      <c r="OZ202" s="5"/>
      <c r="PA202" s="5"/>
      <c r="PB202" s="5"/>
      <c r="PC202" s="5"/>
      <c r="PD202" s="5"/>
      <c r="PE202" s="5"/>
      <c r="PF202" s="5"/>
      <c r="PG202" s="5"/>
      <c r="PH202" s="5"/>
      <c r="PI202" s="5"/>
      <c r="PJ202" s="5"/>
      <c r="PK202" s="5"/>
      <c r="PL202" s="5"/>
      <c r="PM202" s="5"/>
      <c r="PN202" s="5"/>
      <c r="PO202" s="5"/>
      <c r="PP202" s="5"/>
      <c r="PQ202" s="5"/>
      <c r="PR202" s="5"/>
      <c r="PS202" s="5"/>
      <c r="PT202" s="5"/>
      <c r="PU202" s="5"/>
      <c r="PV202" s="5"/>
      <c r="PW202" s="5"/>
      <c r="PX202" s="5"/>
      <c r="PY202" s="5"/>
      <c r="PZ202" s="5"/>
      <c r="QA202" s="5"/>
      <c r="QB202" s="5"/>
      <c r="QC202" s="5"/>
      <c r="QD202" s="5"/>
      <c r="QE202" s="5"/>
      <c r="QF202" s="5"/>
      <c r="QG202" s="5"/>
      <c r="QH202" s="5"/>
      <c r="QI202" s="5"/>
      <c r="QJ202" s="5"/>
      <c r="QK202" s="5"/>
      <c r="QL202" s="5"/>
      <c r="QM202" s="5"/>
      <c r="QN202" s="5"/>
      <c r="QO202" s="5"/>
      <c r="QP202" s="5"/>
      <c r="QQ202" s="5"/>
      <c r="QR202" s="5"/>
      <c r="QS202" s="5"/>
      <c r="QT202" s="5"/>
      <c r="QU202" s="5"/>
      <c r="QV202" s="5"/>
      <c r="QW202" s="5"/>
      <c r="QX202" s="5"/>
      <c r="QY202" s="5"/>
      <c r="QZ202" s="5"/>
      <c r="RA202" s="5"/>
      <c r="RB202" s="5"/>
      <c r="RC202" s="5"/>
      <c r="RD202" s="5"/>
      <c r="RE202" s="5"/>
      <c r="RF202" s="5"/>
      <c r="RG202" s="5"/>
      <c r="RH202" s="5"/>
      <c r="RI202" s="5"/>
      <c r="RJ202" s="5"/>
      <c r="RK202" s="5"/>
      <c r="RL202" s="5"/>
      <c r="RM202" s="5"/>
      <c r="RN202" s="5"/>
      <c r="RO202" s="5"/>
      <c r="RP202" s="5"/>
      <c r="RQ202" s="5"/>
      <c r="RR202" s="5"/>
      <c r="RS202" s="5"/>
      <c r="RT202" s="5"/>
      <c r="RU202" s="5"/>
      <c r="RV202" s="5"/>
      <c r="RW202" s="5"/>
      <c r="RX202" s="5"/>
      <c r="RY202" s="5"/>
      <c r="RZ202" s="5"/>
      <c r="SA202" s="5"/>
      <c r="SB202" s="5"/>
      <c r="SC202" s="5"/>
      <c r="SD202" s="5"/>
      <c r="SE202" s="5"/>
      <c r="SF202" s="5"/>
      <c r="SG202" s="5"/>
      <c r="SH202" s="5"/>
      <c r="SI202" s="5"/>
      <c r="SJ202" s="5"/>
      <c r="SK202" s="5"/>
      <c r="SL202" s="5"/>
      <c r="SM202" s="5"/>
      <c r="SN202" s="5"/>
      <c r="SO202" s="5"/>
      <c r="SP202" s="5"/>
      <c r="SQ202" s="5"/>
      <c r="SR202" s="5"/>
      <c r="SS202" s="5"/>
      <c r="ST202" s="5"/>
      <c r="SU202" s="5"/>
      <c r="SV202" s="5"/>
      <c r="SW202" s="5"/>
      <c r="SX202" s="5"/>
      <c r="SY202" s="5"/>
      <c r="SZ202" s="5"/>
      <c r="TA202" s="5"/>
      <c r="TB202" s="5"/>
      <c r="TC202" s="5"/>
      <c r="TD202" s="5"/>
      <c r="TE202" s="5"/>
      <c r="TF202" s="5"/>
      <c r="TG202" s="5"/>
      <c r="TH202" s="5"/>
      <c r="TI202" s="5"/>
      <c r="TJ202" s="5"/>
      <c r="TK202" s="5"/>
      <c r="TL202" s="5"/>
      <c r="TM202" s="5"/>
      <c r="TN202" s="5"/>
      <c r="TO202" s="5"/>
      <c r="TP202" s="5"/>
      <c r="TQ202" s="5"/>
      <c r="TR202" s="5"/>
      <c r="TS202" s="5"/>
      <c r="TT202" s="5"/>
      <c r="TU202" s="5"/>
      <c r="TV202" s="5"/>
      <c r="TW202" s="5"/>
      <c r="TX202" s="5"/>
      <c r="TY202" s="5"/>
      <c r="TZ202" s="5"/>
      <c r="UA202" s="5"/>
      <c r="UB202" s="5"/>
      <c r="UC202" s="5"/>
      <c r="UD202" s="5"/>
      <c r="UE202" s="5"/>
      <c r="UF202" s="5"/>
      <c r="UG202" s="5"/>
      <c r="UH202" s="5"/>
      <c r="UI202" s="5"/>
      <c r="UJ202" s="5"/>
      <c r="UK202" s="5"/>
      <c r="UL202" s="5"/>
      <c r="UM202" s="5"/>
      <c r="UN202" s="5"/>
      <c r="UO202" s="5"/>
      <c r="UP202" s="5"/>
      <c r="UQ202" s="5"/>
      <c r="UR202" s="5"/>
      <c r="US202" s="5"/>
      <c r="UT202" s="5"/>
      <c r="UU202" s="5"/>
      <c r="UV202" s="5"/>
      <c r="UW202" s="5"/>
      <c r="UX202" s="5"/>
      <c r="UY202" s="5"/>
      <c r="UZ202" s="5"/>
      <c r="VA202" s="5"/>
      <c r="VB202" s="5"/>
      <c r="VC202" s="5"/>
      <c r="VD202" s="5"/>
      <c r="VE202" s="5"/>
      <c r="VF202" s="5"/>
      <c r="VG202" s="5"/>
      <c r="VH202" s="5"/>
      <c r="VI202" s="5"/>
      <c r="VJ202" s="5"/>
      <c r="VK202" s="5"/>
      <c r="VL202" s="5"/>
      <c r="VM202" s="5"/>
      <c r="VN202" s="5"/>
      <c r="VO202" s="5"/>
      <c r="VP202" s="5"/>
      <c r="VQ202" s="5"/>
      <c r="VR202" s="5"/>
      <c r="VS202" s="5"/>
      <c r="VT202" s="5"/>
      <c r="VU202" s="5"/>
      <c r="VV202" s="5"/>
      <c r="VW202" s="5"/>
      <c r="VX202" s="5"/>
      <c r="VY202" s="5"/>
      <c r="VZ202" s="5"/>
      <c r="WA202" s="5"/>
      <c r="WB202" s="5"/>
      <c r="WC202" s="5"/>
      <c r="WD202" s="5"/>
      <c r="WE202" s="5"/>
      <c r="WF202" s="5"/>
      <c r="WG202" s="5"/>
      <c r="WH202" s="5"/>
      <c r="WI202" s="5"/>
      <c r="WJ202" s="5"/>
      <c r="WK202" s="5"/>
      <c r="WL202" s="5"/>
      <c r="WM202" s="5"/>
      <c r="WN202" s="5"/>
      <c r="WO202" s="5"/>
      <c r="WP202" s="5"/>
      <c r="WQ202" s="5"/>
      <c r="WR202" s="5"/>
      <c r="WS202" s="5"/>
      <c r="WT202" s="5"/>
      <c r="WU202" s="5"/>
      <c r="WV202" s="5"/>
      <c r="WW202" s="5"/>
      <c r="WX202" s="5"/>
      <c r="WY202" s="5"/>
      <c r="WZ202" s="5"/>
      <c r="XA202" s="5"/>
      <c r="XB202" s="5"/>
      <c r="XC202" s="5"/>
      <c r="XD202" s="5"/>
      <c r="XE202" s="5"/>
      <c r="XF202" s="5"/>
      <c r="XG202" s="5"/>
      <c r="XH202" s="5"/>
      <c r="XI202" s="5"/>
      <c r="XJ202" s="5"/>
      <c r="XK202" s="5"/>
      <c r="XL202" s="5"/>
      <c r="XM202" s="5"/>
      <c r="XN202" s="5"/>
      <c r="XO202" s="5"/>
      <c r="XP202" s="5"/>
      <c r="XQ202" s="5"/>
      <c r="XR202" s="5"/>
      <c r="XS202" s="5"/>
      <c r="XT202" s="5"/>
      <c r="XU202" s="5"/>
      <c r="XV202" s="5"/>
      <c r="XW202" s="5"/>
      <c r="XX202" s="5"/>
      <c r="XY202" s="5"/>
      <c r="XZ202" s="5"/>
      <c r="YA202" s="5"/>
      <c r="YB202" s="5"/>
      <c r="YC202" s="5"/>
      <c r="YD202" s="5"/>
      <c r="YE202" s="5"/>
      <c r="YF202" s="5"/>
      <c r="YG202" s="5"/>
      <c r="YH202" s="5"/>
      <c r="YI202" s="5"/>
      <c r="YJ202" s="5"/>
      <c r="YK202" s="5"/>
      <c r="YL202" s="5"/>
      <c r="YM202" s="5"/>
      <c r="YN202" s="5"/>
      <c r="YO202" s="5"/>
      <c r="YP202" s="5"/>
      <c r="YQ202" s="5"/>
      <c r="YR202" s="5"/>
      <c r="YS202" s="5"/>
      <c r="YT202" s="5"/>
      <c r="YU202" s="5"/>
      <c r="YV202" s="5"/>
      <c r="YW202" s="5"/>
      <c r="YX202" s="5"/>
      <c r="YY202" s="5"/>
      <c r="YZ202" s="5"/>
    </row>
    <row r="203" spans="1:676">
      <c r="A203" s="7">
        <v>193</v>
      </c>
      <c r="B203" s="7" t="s">
        <v>473</v>
      </c>
      <c r="C203" s="10" t="s">
        <v>474</v>
      </c>
      <c r="D203" s="7" t="s">
        <v>85</v>
      </c>
      <c r="E203" s="7" t="s">
        <v>279</v>
      </c>
      <c r="F203" s="7" t="s">
        <v>394</v>
      </c>
      <c r="G203" s="7"/>
      <c r="H203" s="7" t="s">
        <v>52</v>
      </c>
      <c r="I203" s="11">
        <v>2</v>
      </c>
      <c r="J203" s="11">
        <v>3</v>
      </c>
      <c r="K203" s="11">
        <v>0</v>
      </c>
      <c r="L203" s="11">
        <v>2.34</v>
      </c>
      <c r="M203" s="11">
        <v>0.33</v>
      </c>
      <c r="N203" s="11">
        <v>0</v>
      </c>
      <c r="O203" s="11">
        <v>0.18</v>
      </c>
      <c r="P203" s="11">
        <v>0</v>
      </c>
      <c r="Q203" s="11">
        <v>2.850000000000001</v>
      </c>
      <c r="R203" s="11">
        <v>19.7</v>
      </c>
      <c r="S203" s="11">
        <v>22.55</v>
      </c>
      <c r="T203" s="11">
        <v>2</v>
      </c>
      <c r="U203" s="11">
        <v>3</v>
      </c>
      <c r="V203" s="11">
        <v>17.55</v>
      </c>
      <c r="W203" s="13">
        <v>18</v>
      </c>
      <c r="X203" s="13">
        <v>27</v>
      </c>
      <c r="Y203" s="13" t="str">
        <f>MIN(W203,S203)</f>
        <v>0</v>
      </c>
      <c r="Z203" s="13" t="str">
        <f>MIN(X203,(S203-Y203))</f>
        <v>0</v>
      </c>
      <c r="AA203" s="13" t="str">
        <f>S203-SUM(Y203,Z203)</f>
        <v>0</v>
      </c>
      <c r="AB203" s="15"/>
      <c r="AC203" s="15"/>
      <c r="AD203" s="1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W203" s="5"/>
      <c r="BX203" s="5"/>
      <c r="BY203" s="5"/>
      <c r="BZ203" s="5"/>
      <c r="CA203" s="5"/>
      <c r="CB203" s="5"/>
      <c r="CC203" s="5"/>
      <c r="CD203" s="5"/>
      <c r="CE203" s="5"/>
      <c r="CF203" s="5"/>
      <c r="CG203" s="5"/>
      <c r="CH203" s="5"/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5"/>
      <c r="DE203" s="5"/>
      <c r="DF203" s="5"/>
      <c r="DG203" s="5"/>
      <c r="DH203" s="5"/>
      <c r="DI203" s="5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  <c r="EC203" s="5"/>
      <c r="ED203" s="5"/>
      <c r="EE203" s="5"/>
      <c r="EF203" s="5"/>
      <c r="EG203" s="5"/>
      <c r="EH203" s="5"/>
      <c r="EI203" s="5"/>
      <c r="EJ203" s="5"/>
      <c r="EK203" s="5"/>
      <c r="EL203" s="5"/>
      <c r="EM203" s="5"/>
      <c r="EN203" s="5"/>
      <c r="EO203" s="5"/>
      <c r="EP203" s="5"/>
      <c r="EQ203" s="5"/>
      <c r="ER203" s="5"/>
      <c r="ES203" s="5"/>
      <c r="ET203" s="5"/>
      <c r="EU203" s="5"/>
      <c r="EV203" s="5"/>
      <c r="EW203" s="5"/>
      <c r="EX203" s="5"/>
      <c r="EY203" s="5"/>
      <c r="EZ203" s="5"/>
      <c r="FA203" s="5"/>
      <c r="FB203" s="5"/>
      <c r="FC203" s="5"/>
      <c r="FD203" s="5"/>
      <c r="FE203" s="5"/>
      <c r="FF203" s="5"/>
      <c r="FG203" s="5"/>
      <c r="FH203" s="5"/>
      <c r="FI203" s="5"/>
      <c r="FJ203" s="5"/>
      <c r="FK203" s="5"/>
      <c r="FL203" s="5"/>
      <c r="FM203" s="5"/>
      <c r="FN203" s="5"/>
      <c r="FO203" s="5"/>
      <c r="FP203" s="5"/>
      <c r="FQ203" s="5"/>
      <c r="FR203" s="5"/>
      <c r="FS203" s="5"/>
      <c r="FT203" s="5"/>
      <c r="FU203" s="5"/>
      <c r="FV203" s="5"/>
      <c r="FW203" s="5"/>
      <c r="FX203" s="5"/>
      <c r="FY203" s="5"/>
      <c r="FZ203" s="5"/>
      <c r="GA203" s="5"/>
      <c r="GB203" s="5"/>
      <c r="GC203" s="5"/>
      <c r="GD203" s="5"/>
      <c r="GE203" s="5"/>
      <c r="GF203" s="5"/>
      <c r="GG203" s="5"/>
      <c r="GH203" s="5"/>
      <c r="GI203" s="5"/>
      <c r="GJ203" s="5"/>
      <c r="GK203" s="5"/>
      <c r="GL203" s="5"/>
      <c r="GM203" s="5"/>
      <c r="GN203" s="5"/>
      <c r="GO203" s="5"/>
      <c r="GP203" s="5"/>
      <c r="GQ203" s="5"/>
      <c r="GR203" s="5"/>
      <c r="GS203" s="5"/>
      <c r="GT203" s="5"/>
      <c r="GU203" s="5"/>
      <c r="GV203" s="5"/>
      <c r="GW203" s="5"/>
      <c r="GX203" s="5"/>
      <c r="GY203" s="5"/>
      <c r="GZ203" s="5"/>
      <c r="HA203" s="5"/>
      <c r="HB203" s="5"/>
      <c r="HC203" s="5"/>
      <c r="HD203" s="5"/>
      <c r="HE203" s="5"/>
      <c r="HF203" s="5"/>
      <c r="HG203" s="5"/>
      <c r="HH203" s="5"/>
      <c r="HI203" s="5"/>
      <c r="HJ203" s="5"/>
      <c r="HK203" s="5"/>
      <c r="HL203" s="5"/>
      <c r="HM203" s="5"/>
      <c r="HN203" s="5"/>
      <c r="HO203" s="5"/>
      <c r="HP203" s="5"/>
      <c r="HQ203" s="5"/>
      <c r="HR203" s="5"/>
      <c r="HS203" s="5"/>
      <c r="HT203" s="5"/>
      <c r="HU203" s="5"/>
      <c r="HV203" s="5"/>
      <c r="HW203" s="5"/>
      <c r="HX203" s="5"/>
      <c r="HY203" s="5"/>
      <c r="HZ203" s="5"/>
      <c r="IA203" s="5"/>
      <c r="IB203" s="5"/>
      <c r="IC203" s="5"/>
      <c r="ID203" s="5"/>
      <c r="IE203" s="5"/>
      <c r="IF203" s="5"/>
      <c r="IG203" s="5"/>
      <c r="IH203" s="5"/>
      <c r="II203" s="5"/>
      <c r="IJ203" s="5"/>
      <c r="IK203" s="5"/>
      <c r="IL203" s="5"/>
      <c r="IM203" s="5"/>
      <c r="IN203" s="5"/>
      <c r="IO203" s="5"/>
      <c r="IP203" s="5"/>
      <c r="IQ203" s="5"/>
      <c r="IR203" s="5"/>
      <c r="IS203" s="5"/>
      <c r="IT203" s="5"/>
      <c r="IU203" s="5"/>
      <c r="IV203" s="5"/>
      <c r="IW203" s="5"/>
      <c r="IX203" s="5"/>
      <c r="IY203" s="5"/>
      <c r="IZ203" s="5"/>
      <c r="JA203" s="5"/>
      <c r="JB203" s="5"/>
      <c r="JC203" s="5"/>
      <c r="JD203" s="5"/>
      <c r="JE203" s="5"/>
      <c r="JF203" s="5"/>
      <c r="JG203" s="5"/>
      <c r="JH203" s="5"/>
      <c r="JI203" s="5"/>
      <c r="JJ203" s="5"/>
      <c r="JK203" s="5"/>
      <c r="JL203" s="5"/>
      <c r="JM203" s="5"/>
      <c r="JN203" s="5"/>
      <c r="JO203" s="5"/>
      <c r="JP203" s="5"/>
      <c r="JQ203" s="5"/>
      <c r="JR203" s="5"/>
      <c r="JS203" s="5"/>
      <c r="JT203" s="5"/>
      <c r="JU203" s="5"/>
      <c r="JV203" s="5"/>
      <c r="JW203" s="5"/>
      <c r="JX203" s="5"/>
      <c r="JY203" s="5"/>
      <c r="JZ203" s="5"/>
      <c r="KA203" s="5"/>
      <c r="KB203" s="5"/>
      <c r="KC203" s="5"/>
      <c r="KD203" s="5"/>
      <c r="KE203" s="5"/>
      <c r="KF203" s="5"/>
      <c r="KG203" s="5"/>
      <c r="KH203" s="5"/>
      <c r="KI203" s="5"/>
      <c r="KJ203" s="5"/>
      <c r="KK203" s="5"/>
      <c r="KL203" s="5"/>
      <c r="KM203" s="5"/>
      <c r="KN203" s="5"/>
      <c r="KO203" s="5"/>
      <c r="KP203" s="5"/>
      <c r="KQ203" s="5"/>
      <c r="KR203" s="5"/>
      <c r="KS203" s="5"/>
      <c r="KT203" s="5"/>
      <c r="KU203" s="5"/>
      <c r="KV203" s="5"/>
      <c r="KW203" s="5"/>
      <c r="KX203" s="5"/>
      <c r="KY203" s="5"/>
      <c r="KZ203" s="5"/>
      <c r="LA203" s="5"/>
      <c r="LB203" s="5"/>
      <c r="LC203" s="5"/>
      <c r="LD203" s="5"/>
      <c r="LE203" s="5"/>
      <c r="LF203" s="5"/>
      <c r="LG203" s="5"/>
      <c r="LH203" s="5"/>
      <c r="LI203" s="5"/>
      <c r="LJ203" s="5"/>
      <c r="LK203" s="5"/>
      <c r="LL203" s="5"/>
      <c r="LM203" s="5"/>
      <c r="LN203" s="5"/>
      <c r="LO203" s="5"/>
      <c r="LP203" s="5"/>
      <c r="LQ203" s="5"/>
      <c r="LR203" s="5"/>
      <c r="LS203" s="5"/>
      <c r="LT203" s="5"/>
      <c r="LU203" s="5"/>
      <c r="LV203" s="5"/>
      <c r="LW203" s="5"/>
      <c r="LX203" s="5"/>
      <c r="LY203" s="5"/>
      <c r="LZ203" s="5"/>
      <c r="MA203" s="5"/>
      <c r="MB203" s="5"/>
      <c r="MC203" s="5"/>
      <c r="MD203" s="5"/>
      <c r="ME203" s="5"/>
      <c r="MF203" s="5"/>
      <c r="MG203" s="5"/>
      <c r="MH203" s="5"/>
      <c r="MI203" s="5"/>
      <c r="MJ203" s="5"/>
      <c r="MK203" s="5"/>
      <c r="ML203" s="5"/>
      <c r="MM203" s="5"/>
      <c r="MN203" s="5"/>
      <c r="MO203" s="5"/>
      <c r="MP203" s="5"/>
      <c r="MQ203" s="5"/>
      <c r="MR203" s="5"/>
      <c r="MS203" s="5"/>
      <c r="MT203" s="5"/>
      <c r="MU203" s="5"/>
      <c r="MV203" s="5"/>
      <c r="MW203" s="5"/>
      <c r="MX203" s="5"/>
      <c r="MY203" s="5"/>
      <c r="MZ203" s="5"/>
      <c r="NA203" s="5"/>
      <c r="NB203" s="5"/>
      <c r="NC203" s="5"/>
      <c r="ND203" s="5"/>
      <c r="NE203" s="5"/>
      <c r="NF203" s="5"/>
      <c r="NG203" s="5"/>
      <c r="NH203" s="5"/>
      <c r="NI203" s="5"/>
      <c r="NJ203" s="5"/>
      <c r="NK203" s="5"/>
      <c r="NL203" s="5"/>
      <c r="NM203" s="5"/>
      <c r="NN203" s="5"/>
      <c r="NO203" s="5"/>
      <c r="NP203" s="5"/>
      <c r="NQ203" s="5"/>
      <c r="NR203" s="5"/>
      <c r="NS203" s="5"/>
      <c r="NT203" s="5"/>
      <c r="NU203" s="5"/>
      <c r="NV203" s="5"/>
      <c r="NW203" s="5"/>
      <c r="NX203" s="5"/>
      <c r="NY203" s="5"/>
      <c r="NZ203" s="5"/>
      <c r="OA203" s="5"/>
      <c r="OB203" s="5"/>
      <c r="OC203" s="5"/>
      <c r="OD203" s="5"/>
      <c r="OE203" s="5"/>
      <c r="OF203" s="5"/>
      <c r="OG203" s="5"/>
      <c r="OH203" s="5"/>
      <c r="OI203" s="5"/>
      <c r="OJ203" s="5"/>
      <c r="OK203" s="5"/>
      <c r="OL203" s="5"/>
      <c r="OM203" s="5"/>
      <c r="ON203" s="5"/>
      <c r="OO203" s="5"/>
      <c r="OP203" s="5"/>
      <c r="OQ203" s="5"/>
      <c r="OR203" s="5"/>
      <c r="OS203" s="5"/>
      <c r="OT203" s="5"/>
      <c r="OU203" s="5"/>
      <c r="OV203" s="5"/>
      <c r="OW203" s="5"/>
      <c r="OX203" s="5"/>
      <c r="OY203" s="5"/>
      <c r="OZ203" s="5"/>
      <c r="PA203" s="5"/>
      <c r="PB203" s="5"/>
      <c r="PC203" s="5"/>
      <c r="PD203" s="5"/>
      <c r="PE203" s="5"/>
      <c r="PF203" s="5"/>
      <c r="PG203" s="5"/>
      <c r="PH203" s="5"/>
      <c r="PI203" s="5"/>
      <c r="PJ203" s="5"/>
      <c r="PK203" s="5"/>
      <c r="PL203" s="5"/>
      <c r="PM203" s="5"/>
      <c r="PN203" s="5"/>
      <c r="PO203" s="5"/>
      <c r="PP203" s="5"/>
      <c r="PQ203" s="5"/>
      <c r="PR203" s="5"/>
      <c r="PS203" s="5"/>
      <c r="PT203" s="5"/>
      <c r="PU203" s="5"/>
      <c r="PV203" s="5"/>
      <c r="PW203" s="5"/>
      <c r="PX203" s="5"/>
      <c r="PY203" s="5"/>
      <c r="PZ203" s="5"/>
      <c r="QA203" s="5"/>
      <c r="QB203" s="5"/>
      <c r="QC203" s="5"/>
      <c r="QD203" s="5"/>
      <c r="QE203" s="5"/>
      <c r="QF203" s="5"/>
      <c r="QG203" s="5"/>
      <c r="QH203" s="5"/>
      <c r="QI203" s="5"/>
      <c r="QJ203" s="5"/>
      <c r="QK203" s="5"/>
      <c r="QL203" s="5"/>
      <c r="QM203" s="5"/>
      <c r="QN203" s="5"/>
      <c r="QO203" s="5"/>
      <c r="QP203" s="5"/>
      <c r="QQ203" s="5"/>
      <c r="QR203" s="5"/>
      <c r="QS203" s="5"/>
      <c r="QT203" s="5"/>
      <c r="QU203" s="5"/>
      <c r="QV203" s="5"/>
      <c r="QW203" s="5"/>
      <c r="QX203" s="5"/>
      <c r="QY203" s="5"/>
      <c r="QZ203" s="5"/>
      <c r="RA203" s="5"/>
      <c r="RB203" s="5"/>
      <c r="RC203" s="5"/>
      <c r="RD203" s="5"/>
      <c r="RE203" s="5"/>
      <c r="RF203" s="5"/>
      <c r="RG203" s="5"/>
      <c r="RH203" s="5"/>
      <c r="RI203" s="5"/>
      <c r="RJ203" s="5"/>
      <c r="RK203" s="5"/>
      <c r="RL203" s="5"/>
      <c r="RM203" s="5"/>
      <c r="RN203" s="5"/>
      <c r="RO203" s="5"/>
      <c r="RP203" s="5"/>
      <c r="RQ203" s="5"/>
      <c r="RR203" s="5"/>
      <c r="RS203" s="5"/>
      <c r="RT203" s="5"/>
      <c r="RU203" s="5"/>
      <c r="RV203" s="5"/>
      <c r="RW203" s="5"/>
      <c r="RX203" s="5"/>
      <c r="RY203" s="5"/>
      <c r="RZ203" s="5"/>
      <c r="SA203" s="5"/>
      <c r="SB203" s="5"/>
      <c r="SC203" s="5"/>
      <c r="SD203" s="5"/>
      <c r="SE203" s="5"/>
      <c r="SF203" s="5"/>
      <c r="SG203" s="5"/>
      <c r="SH203" s="5"/>
      <c r="SI203" s="5"/>
      <c r="SJ203" s="5"/>
      <c r="SK203" s="5"/>
      <c r="SL203" s="5"/>
      <c r="SM203" s="5"/>
      <c r="SN203" s="5"/>
      <c r="SO203" s="5"/>
      <c r="SP203" s="5"/>
      <c r="SQ203" s="5"/>
      <c r="SR203" s="5"/>
      <c r="SS203" s="5"/>
      <c r="ST203" s="5"/>
      <c r="SU203" s="5"/>
      <c r="SV203" s="5"/>
      <c r="SW203" s="5"/>
      <c r="SX203" s="5"/>
      <c r="SY203" s="5"/>
      <c r="SZ203" s="5"/>
      <c r="TA203" s="5"/>
      <c r="TB203" s="5"/>
      <c r="TC203" s="5"/>
      <c r="TD203" s="5"/>
      <c r="TE203" s="5"/>
      <c r="TF203" s="5"/>
      <c r="TG203" s="5"/>
      <c r="TH203" s="5"/>
      <c r="TI203" s="5"/>
      <c r="TJ203" s="5"/>
      <c r="TK203" s="5"/>
      <c r="TL203" s="5"/>
      <c r="TM203" s="5"/>
      <c r="TN203" s="5"/>
      <c r="TO203" s="5"/>
      <c r="TP203" s="5"/>
      <c r="TQ203" s="5"/>
      <c r="TR203" s="5"/>
      <c r="TS203" s="5"/>
      <c r="TT203" s="5"/>
      <c r="TU203" s="5"/>
      <c r="TV203" s="5"/>
      <c r="TW203" s="5"/>
      <c r="TX203" s="5"/>
      <c r="TY203" s="5"/>
      <c r="TZ203" s="5"/>
      <c r="UA203" s="5"/>
      <c r="UB203" s="5"/>
      <c r="UC203" s="5"/>
      <c r="UD203" s="5"/>
      <c r="UE203" s="5"/>
      <c r="UF203" s="5"/>
      <c r="UG203" s="5"/>
      <c r="UH203" s="5"/>
      <c r="UI203" s="5"/>
      <c r="UJ203" s="5"/>
      <c r="UK203" s="5"/>
      <c r="UL203" s="5"/>
      <c r="UM203" s="5"/>
      <c r="UN203" s="5"/>
      <c r="UO203" s="5"/>
      <c r="UP203" s="5"/>
      <c r="UQ203" s="5"/>
      <c r="UR203" s="5"/>
      <c r="US203" s="5"/>
      <c r="UT203" s="5"/>
      <c r="UU203" s="5"/>
      <c r="UV203" s="5"/>
      <c r="UW203" s="5"/>
      <c r="UX203" s="5"/>
      <c r="UY203" s="5"/>
      <c r="UZ203" s="5"/>
      <c r="VA203" s="5"/>
      <c r="VB203" s="5"/>
      <c r="VC203" s="5"/>
      <c r="VD203" s="5"/>
      <c r="VE203" s="5"/>
      <c r="VF203" s="5"/>
      <c r="VG203" s="5"/>
      <c r="VH203" s="5"/>
      <c r="VI203" s="5"/>
      <c r="VJ203" s="5"/>
      <c r="VK203" s="5"/>
      <c r="VL203" s="5"/>
      <c r="VM203" s="5"/>
      <c r="VN203" s="5"/>
      <c r="VO203" s="5"/>
      <c r="VP203" s="5"/>
      <c r="VQ203" s="5"/>
      <c r="VR203" s="5"/>
      <c r="VS203" s="5"/>
      <c r="VT203" s="5"/>
      <c r="VU203" s="5"/>
      <c r="VV203" s="5"/>
      <c r="VW203" s="5"/>
      <c r="VX203" s="5"/>
      <c r="VY203" s="5"/>
      <c r="VZ203" s="5"/>
      <c r="WA203" s="5"/>
      <c r="WB203" s="5"/>
      <c r="WC203" s="5"/>
      <c r="WD203" s="5"/>
      <c r="WE203" s="5"/>
      <c r="WF203" s="5"/>
      <c r="WG203" s="5"/>
      <c r="WH203" s="5"/>
      <c r="WI203" s="5"/>
      <c r="WJ203" s="5"/>
      <c r="WK203" s="5"/>
      <c r="WL203" s="5"/>
      <c r="WM203" s="5"/>
      <c r="WN203" s="5"/>
      <c r="WO203" s="5"/>
      <c r="WP203" s="5"/>
      <c r="WQ203" s="5"/>
      <c r="WR203" s="5"/>
      <c r="WS203" s="5"/>
      <c r="WT203" s="5"/>
      <c r="WU203" s="5"/>
      <c r="WV203" s="5"/>
      <c r="WW203" s="5"/>
      <c r="WX203" s="5"/>
      <c r="WY203" s="5"/>
      <c r="WZ203" s="5"/>
      <c r="XA203" s="5"/>
      <c r="XB203" s="5"/>
      <c r="XC203" s="5"/>
      <c r="XD203" s="5"/>
      <c r="XE203" s="5"/>
      <c r="XF203" s="5"/>
      <c r="XG203" s="5"/>
      <c r="XH203" s="5"/>
      <c r="XI203" s="5"/>
      <c r="XJ203" s="5"/>
      <c r="XK203" s="5"/>
      <c r="XL203" s="5"/>
      <c r="XM203" s="5"/>
      <c r="XN203" s="5"/>
      <c r="XO203" s="5"/>
      <c r="XP203" s="5"/>
      <c r="XQ203" s="5"/>
      <c r="XR203" s="5"/>
      <c r="XS203" s="5"/>
      <c r="XT203" s="5"/>
      <c r="XU203" s="5"/>
      <c r="XV203" s="5"/>
      <c r="XW203" s="5"/>
      <c r="XX203" s="5"/>
      <c r="XY203" s="5"/>
      <c r="XZ203" s="5"/>
      <c r="YA203" s="5"/>
      <c r="YB203" s="5"/>
      <c r="YC203" s="5"/>
      <c r="YD203" s="5"/>
      <c r="YE203" s="5"/>
      <c r="YF203" s="5"/>
      <c r="YG203" s="5"/>
      <c r="YH203" s="5"/>
      <c r="YI203" s="5"/>
      <c r="YJ203" s="5"/>
      <c r="YK203" s="5"/>
      <c r="YL203" s="5"/>
      <c r="YM203" s="5"/>
      <c r="YN203" s="5"/>
      <c r="YO203" s="5"/>
      <c r="YP203" s="5"/>
      <c r="YQ203" s="5"/>
      <c r="YR203" s="5"/>
      <c r="YS203" s="5"/>
      <c r="YT203" s="5"/>
      <c r="YU203" s="5"/>
      <c r="YV203" s="5"/>
      <c r="YW203" s="5"/>
      <c r="YX203" s="5"/>
      <c r="YY203" s="5"/>
      <c r="YZ203" s="5"/>
    </row>
    <row r="204" spans="1:676">
      <c r="A204" s="7">
        <v>194</v>
      </c>
      <c r="B204" s="7" t="s">
        <v>475</v>
      </c>
      <c r="C204" s="10" t="s">
        <v>476</v>
      </c>
      <c r="D204" s="7" t="s">
        <v>217</v>
      </c>
      <c r="E204" s="7" t="s">
        <v>279</v>
      </c>
      <c r="F204" s="7" t="s">
        <v>394</v>
      </c>
      <c r="G204" s="7"/>
      <c r="H204" s="7" t="s">
        <v>52</v>
      </c>
      <c r="I204" s="11">
        <v>2</v>
      </c>
      <c r="J204" s="11">
        <v>3</v>
      </c>
      <c r="K204" s="11">
        <v>0</v>
      </c>
      <c r="L204" s="11">
        <v>5.09</v>
      </c>
      <c r="M204" s="11">
        <v>0.17</v>
      </c>
      <c r="N204" s="11">
        <v>0</v>
      </c>
      <c r="O204" s="11">
        <v>0.75</v>
      </c>
      <c r="P204" s="11">
        <v>0</v>
      </c>
      <c r="Q204" s="11">
        <v>6.01</v>
      </c>
      <c r="R204" s="11">
        <v>30.1</v>
      </c>
      <c r="S204" s="11">
        <v>36.11</v>
      </c>
      <c r="T204" s="11">
        <v>2</v>
      </c>
      <c r="U204" s="11">
        <v>3</v>
      </c>
      <c r="V204" s="11">
        <v>31.11</v>
      </c>
      <c r="W204" s="13">
        <v>18</v>
      </c>
      <c r="X204" s="13">
        <v>27</v>
      </c>
      <c r="Y204" s="13" t="str">
        <f>MIN(W204,S204)</f>
        <v>0</v>
      </c>
      <c r="Z204" s="13" t="str">
        <f>MIN(X204,(S204-Y204))</f>
        <v>0</v>
      </c>
      <c r="AA204" s="13" t="str">
        <f>S204-SUM(Y204,Z204)</f>
        <v>0</v>
      </c>
      <c r="AB204" s="15"/>
      <c r="AC204" s="15"/>
      <c r="AD204" s="1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W204" s="5"/>
      <c r="BX204" s="5"/>
      <c r="BY204" s="5"/>
      <c r="BZ204" s="5"/>
      <c r="CA204" s="5"/>
      <c r="CB204" s="5"/>
      <c r="CC204" s="5"/>
      <c r="CD204" s="5"/>
      <c r="CE204" s="5"/>
      <c r="CF204" s="5"/>
      <c r="CG204" s="5"/>
      <c r="CH204" s="5"/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5"/>
      <c r="CY204" s="5"/>
      <c r="CZ204" s="5"/>
      <c r="DA204" s="5"/>
      <c r="DB204" s="5"/>
      <c r="DC204" s="5"/>
      <c r="DD204" s="5"/>
      <c r="DE204" s="5"/>
      <c r="DF204" s="5"/>
      <c r="DG204" s="5"/>
      <c r="DH204" s="5"/>
      <c r="DI204" s="5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  <c r="EC204" s="5"/>
      <c r="ED204" s="5"/>
      <c r="EE204" s="5"/>
      <c r="EF204" s="5"/>
      <c r="EG204" s="5"/>
      <c r="EH204" s="5"/>
      <c r="EI204" s="5"/>
      <c r="EJ204" s="5"/>
      <c r="EK204" s="5"/>
      <c r="EL204" s="5"/>
      <c r="EM204" s="5"/>
      <c r="EN204" s="5"/>
      <c r="EO204" s="5"/>
      <c r="EP204" s="5"/>
      <c r="EQ204" s="5"/>
      <c r="ER204" s="5"/>
      <c r="ES204" s="5"/>
      <c r="ET204" s="5"/>
      <c r="EU204" s="5"/>
      <c r="EV204" s="5"/>
      <c r="EW204" s="5"/>
      <c r="EX204" s="5"/>
      <c r="EY204" s="5"/>
      <c r="EZ204" s="5"/>
      <c r="FA204" s="5"/>
      <c r="FB204" s="5"/>
      <c r="FC204" s="5"/>
      <c r="FD204" s="5"/>
      <c r="FE204" s="5"/>
      <c r="FF204" s="5"/>
      <c r="FG204" s="5"/>
      <c r="FH204" s="5"/>
      <c r="FI204" s="5"/>
      <c r="FJ204" s="5"/>
      <c r="FK204" s="5"/>
      <c r="FL204" s="5"/>
      <c r="FM204" s="5"/>
      <c r="FN204" s="5"/>
      <c r="FO204" s="5"/>
      <c r="FP204" s="5"/>
      <c r="FQ204" s="5"/>
      <c r="FR204" s="5"/>
      <c r="FS204" s="5"/>
      <c r="FT204" s="5"/>
      <c r="FU204" s="5"/>
      <c r="FV204" s="5"/>
      <c r="FW204" s="5"/>
      <c r="FX204" s="5"/>
      <c r="FY204" s="5"/>
      <c r="FZ204" s="5"/>
      <c r="GA204" s="5"/>
      <c r="GB204" s="5"/>
      <c r="GC204" s="5"/>
      <c r="GD204" s="5"/>
      <c r="GE204" s="5"/>
      <c r="GF204" s="5"/>
      <c r="GG204" s="5"/>
      <c r="GH204" s="5"/>
      <c r="GI204" s="5"/>
      <c r="GJ204" s="5"/>
      <c r="GK204" s="5"/>
      <c r="GL204" s="5"/>
      <c r="GM204" s="5"/>
      <c r="GN204" s="5"/>
      <c r="GO204" s="5"/>
      <c r="GP204" s="5"/>
      <c r="GQ204" s="5"/>
      <c r="GR204" s="5"/>
      <c r="GS204" s="5"/>
      <c r="GT204" s="5"/>
      <c r="GU204" s="5"/>
      <c r="GV204" s="5"/>
      <c r="GW204" s="5"/>
      <c r="GX204" s="5"/>
      <c r="GY204" s="5"/>
      <c r="GZ204" s="5"/>
      <c r="HA204" s="5"/>
      <c r="HB204" s="5"/>
      <c r="HC204" s="5"/>
      <c r="HD204" s="5"/>
      <c r="HE204" s="5"/>
      <c r="HF204" s="5"/>
      <c r="HG204" s="5"/>
      <c r="HH204" s="5"/>
      <c r="HI204" s="5"/>
      <c r="HJ204" s="5"/>
      <c r="HK204" s="5"/>
      <c r="HL204" s="5"/>
      <c r="HM204" s="5"/>
      <c r="HN204" s="5"/>
      <c r="HO204" s="5"/>
      <c r="HP204" s="5"/>
      <c r="HQ204" s="5"/>
      <c r="HR204" s="5"/>
      <c r="HS204" s="5"/>
      <c r="HT204" s="5"/>
      <c r="HU204" s="5"/>
      <c r="HV204" s="5"/>
      <c r="HW204" s="5"/>
      <c r="HX204" s="5"/>
      <c r="HY204" s="5"/>
      <c r="HZ204" s="5"/>
      <c r="IA204" s="5"/>
      <c r="IB204" s="5"/>
      <c r="IC204" s="5"/>
      <c r="ID204" s="5"/>
      <c r="IE204" s="5"/>
      <c r="IF204" s="5"/>
      <c r="IG204" s="5"/>
      <c r="IH204" s="5"/>
      <c r="II204" s="5"/>
      <c r="IJ204" s="5"/>
      <c r="IK204" s="5"/>
      <c r="IL204" s="5"/>
      <c r="IM204" s="5"/>
      <c r="IN204" s="5"/>
      <c r="IO204" s="5"/>
      <c r="IP204" s="5"/>
      <c r="IQ204" s="5"/>
      <c r="IR204" s="5"/>
      <c r="IS204" s="5"/>
      <c r="IT204" s="5"/>
      <c r="IU204" s="5"/>
      <c r="IV204" s="5"/>
      <c r="IW204" s="5"/>
      <c r="IX204" s="5"/>
      <c r="IY204" s="5"/>
      <c r="IZ204" s="5"/>
      <c r="JA204" s="5"/>
      <c r="JB204" s="5"/>
      <c r="JC204" s="5"/>
      <c r="JD204" s="5"/>
      <c r="JE204" s="5"/>
      <c r="JF204" s="5"/>
      <c r="JG204" s="5"/>
      <c r="JH204" s="5"/>
      <c r="JI204" s="5"/>
      <c r="JJ204" s="5"/>
      <c r="JK204" s="5"/>
      <c r="JL204" s="5"/>
      <c r="JM204" s="5"/>
      <c r="JN204" s="5"/>
      <c r="JO204" s="5"/>
      <c r="JP204" s="5"/>
      <c r="JQ204" s="5"/>
      <c r="JR204" s="5"/>
      <c r="JS204" s="5"/>
      <c r="JT204" s="5"/>
      <c r="JU204" s="5"/>
      <c r="JV204" s="5"/>
      <c r="JW204" s="5"/>
      <c r="JX204" s="5"/>
      <c r="JY204" s="5"/>
      <c r="JZ204" s="5"/>
      <c r="KA204" s="5"/>
      <c r="KB204" s="5"/>
      <c r="KC204" s="5"/>
      <c r="KD204" s="5"/>
      <c r="KE204" s="5"/>
      <c r="KF204" s="5"/>
      <c r="KG204" s="5"/>
      <c r="KH204" s="5"/>
      <c r="KI204" s="5"/>
      <c r="KJ204" s="5"/>
      <c r="KK204" s="5"/>
      <c r="KL204" s="5"/>
      <c r="KM204" s="5"/>
      <c r="KN204" s="5"/>
      <c r="KO204" s="5"/>
      <c r="KP204" s="5"/>
      <c r="KQ204" s="5"/>
      <c r="KR204" s="5"/>
      <c r="KS204" s="5"/>
      <c r="KT204" s="5"/>
      <c r="KU204" s="5"/>
      <c r="KV204" s="5"/>
      <c r="KW204" s="5"/>
      <c r="KX204" s="5"/>
      <c r="KY204" s="5"/>
      <c r="KZ204" s="5"/>
      <c r="LA204" s="5"/>
      <c r="LB204" s="5"/>
      <c r="LC204" s="5"/>
      <c r="LD204" s="5"/>
      <c r="LE204" s="5"/>
      <c r="LF204" s="5"/>
      <c r="LG204" s="5"/>
      <c r="LH204" s="5"/>
      <c r="LI204" s="5"/>
      <c r="LJ204" s="5"/>
      <c r="LK204" s="5"/>
      <c r="LL204" s="5"/>
      <c r="LM204" s="5"/>
      <c r="LN204" s="5"/>
      <c r="LO204" s="5"/>
      <c r="LP204" s="5"/>
      <c r="LQ204" s="5"/>
      <c r="LR204" s="5"/>
      <c r="LS204" s="5"/>
      <c r="LT204" s="5"/>
      <c r="LU204" s="5"/>
      <c r="LV204" s="5"/>
      <c r="LW204" s="5"/>
      <c r="LX204" s="5"/>
      <c r="LY204" s="5"/>
      <c r="LZ204" s="5"/>
      <c r="MA204" s="5"/>
      <c r="MB204" s="5"/>
      <c r="MC204" s="5"/>
      <c r="MD204" s="5"/>
      <c r="ME204" s="5"/>
      <c r="MF204" s="5"/>
      <c r="MG204" s="5"/>
      <c r="MH204" s="5"/>
      <c r="MI204" s="5"/>
      <c r="MJ204" s="5"/>
      <c r="MK204" s="5"/>
      <c r="ML204" s="5"/>
      <c r="MM204" s="5"/>
      <c r="MN204" s="5"/>
      <c r="MO204" s="5"/>
      <c r="MP204" s="5"/>
      <c r="MQ204" s="5"/>
      <c r="MR204" s="5"/>
      <c r="MS204" s="5"/>
      <c r="MT204" s="5"/>
      <c r="MU204" s="5"/>
      <c r="MV204" s="5"/>
      <c r="MW204" s="5"/>
      <c r="MX204" s="5"/>
      <c r="MY204" s="5"/>
      <c r="MZ204" s="5"/>
      <c r="NA204" s="5"/>
      <c r="NB204" s="5"/>
      <c r="NC204" s="5"/>
      <c r="ND204" s="5"/>
      <c r="NE204" s="5"/>
      <c r="NF204" s="5"/>
      <c r="NG204" s="5"/>
      <c r="NH204" s="5"/>
      <c r="NI204" s="5"/>
      <c r="NJ204" s="5"/>
      <c r="NK204" s="5"/>
      <c r="NL204" s="5"/>
      <c r="NM204" s="5"/>
      <c r="NN204" s="5"/>
      <c r="NO204" s="5"/>
      <c r="NP204" s="5"/>
      <c r="NQ204" s="5"/>
      <c r="NR204" s="5"/>
      <c r="NS204" s="5"/>
      <c r="NT204" s="5"/>
      <c r="NU204" s="5"/>
      <c r="NV204" s="5"/>
      <c r="NW204" s="5"/>
      <c r="NX204" s="5"/>
      <c r="NY204" s="5"/>
      <c r="NZ204" s="5"/>
      <c r="OA204" s="5"/>
      <c r="OB204" s="5"/>
      <c r="OC204" s="5"/>
      <c r="OD204" s="5"/>
      <c r="OE204" s="5"/>
      <c r="OF204" s="5"/>
      <c r="OG204" s="5"/>
      <c r="OH204" s="5"/>
      <c r="OI204" s="5"/>
      <c r="OJ204" s="5"/>
      <c r="OK204" s="5"/>
      <c r="OL204" s="5"/>
      <c r="OM204" s="5"/>
      <c r="ON204" s="5"/>
      <c r="OO204" s="5"/>
      <c r="OP204" s="5"/>
      <c r="OQ204" s="5"/>
      <c r="OR204" s="5"/>
      <c r="OS204" s="5"/>
      <c r="OT204" s="5"/>
      <c r="OU204" s="5"/>
      <c r="OV204" s="5"/>
      <c r="OW204" s="5"/>
      <c r="OX204" s="5"/>
      <c r="OY204" s="5"/>
      <c r="OZ204" s="5"/>
      <c r="PA204" s="5"/>
      <c r="PB204" s="5"/>
      <c r="PC204" s="5"/>
      <c r="PD204" s="5"/>
      <c r="PE204" s="5"/>
      <c r="PF204" s="5"/>
      <c r="PG204" s="5"/>
      <c r="PH204" s="5"/>
      <c r="PI204" s="5"/>
      <c r="PJ204" s="5"/>
      <c r="PK204" s="5"/>
      <c r="PL204" s="5"/>
      <c r="PM204" s="5"/>
      <c r="PN204" s="5"/>
      <c r="PO204" s="5"/>
      <c r="PP204" s="5"/>
      <c r="PQ204" s="5"/>
      <c r="PR204" s="5"/>
      <c r="PS204" s="5"/>
      <c r="PT204" s="5"/>
      <c r="PU204" s="5"/>
      <c r="PV204" s="5"/>
      <c r="PW204" s="5"/>
      <c r="PX204" s="5"/>
      <c r="PY204" s="5"/>
      <c r="PZ204" s="5"/>
      <c r="QA204" s="5"/>
      <c r="QB204" s="5"/>
      <c r="QC204" s="5"/>
      <c r="QD204" s="5"/>
      <c r="QE204" s="5"/>
      <c r="QF204" s="5"/>
      <c r="QG204" s="5"/>
      <c r="QH204" s="5"/>
      <c r="QI204" s="5"/>
      <c r="QJ204" s="5"/>
      <c r="QK204" s="5"/>
      <c r="QL204" s="5"/>
      <c r="QM204" s="5"/>
      <c r="QN204" s="5"/>
      <c r="QO204" s="5"/>
      <c r="QP204" s="5"/>
      <c r="QQ204" s="5"/>
      <c r="QR204" s="5"/>
      <c r="QS204" s="5"/>
      <c r="QT204" s="5"/>
      <c r="QU204" s="5"/>
      <c r="QV204" s="5"/>
      <c r="QW204" s="5"/>
      <c r="QX204" s="5"/>
      <c r="QY204" s="5"/>
      <c r="QZ204" s="5"/>
      <c r="RA204" s="5"/>
      <c r="RB204" s="5"/>
      <c r="RC204" s="5"/>
      <c r="RD204" s="5"/>
      <c r="RE204" s="5"/>
      <c r="RF204" s="5"/>
      <c r="RG204" s="5"/>
      <c r="RH204" s="5"/>
      <c r="RI204" s="5"/>
      <c r="RJ204" s="5"/>
      <c r="RK204" s="5"/>
      <c r="RL204" s="5"/>
      <c r="RM204" s="5"/>
      <c r="RN204" s="5"/>
      <c r="RO204" s="5"/>
      <c r="RP204" s="5"/>
      <c r="RQ204" s="5"/>
      <c r="RR204" s="5"/>
      <c r="RS204" s="5"/>
      <c r="RT204" s="5"/>
      <c r="RU204" s="5"/>
      <c r="RV204" s="5"/>
      <c r="RW204" s="5"/>
      <c r="RX204" s="5"/>
      <c r="RY204" s="5"/>
      <c r="RZ204" s="5"/>
      <c r="SA204" s="5"/>
      <c r="SB204" s="5"/>
      <c r="SC204" s="5"/>
      <c r="SD204" s="5"/>
      <c r="SE204" s="5"/>
      <c r="SF204" s="5"/>
      <c r="SG204" s="5"/>
      <c r="SH204" s="5"/>
      <c r="SI204" s="5"/>
      <c r="SJ204" s="5"/>
      <c r="SK204" s="5"/>
      <c r="SL204" s="5"/>
      <c r="SM204" s="5"/>
      <c r="SN204" s="5"/>
      <c r="SO204" s="5"/>
      <c r="SP204" s="5"/>
      <c r="SQ204" s="5"/>
      <c r="SR204" s="5"/>
      <c r="SS204" s="5"/>
      <c r="ST204" s="5"/>
      <c r="SU204" s="5"/>
      <c r="SV204" s="5"/>
      <c r="SW204" s="5"/>
      <c r="SX204" s="5"/>
      <c r="SY204" s="5"/>
      <c r="SZ204" s="5"/>
      <c r="TA204" s="5"/>
      <c r="TB204" s="5"/>
      <c r="TC204" s="5"/>
      <c r="TD204" s="5"/>
      <c r="TE204" s="5"/>
      <c r="TF204" s="5"/>
      <c r="TG204" s="5"/>
      <c r="TH204" s="5"/>
      <c r="TI204" s="5"/>
      <c r="TJ204" s="5"/>
      <c r="TK204" s="5"/>
      <c r="TL204" s="5"/>
      <c r="TM204" s="5"/>
      <c r="TN204" s="5"/>
      <c r="TO204" s="5"/>
      <c r="TP204" s="5"/>
      <c r="TQ204" s="5"/>
      <c r="TR204" s="5"/>
      <c r="TS204" s="5"/>
      <c r="TT204" s="5"/>
      <c r="TU204" s="5"/>
      <c r="TV204" s="5"/>
      <c r="TW204" s="5"/>
      <c r="TX204" s="5"/>
      <c r="TY204" s="5"/>
      <c r="TZ204" s="5"/>
      <c r="UA204" s="5"/>
      <c r="UB204" s="5"/>
      <c r="UC204" s="5"/>
      <c r="UD204" s="5"/>
      <c r="UE204" s="5"/>
      <c r="UF204" s="5"/>
      <c r="UG204" s="5"/>
      <c r="UH204" s="5"/>
      <c r="UI204" s="5"/>
      <c r="UJ204" s="5"/>
      <c r="UK204" s="5"/>
      <c r="UL204" s="5"/>
      <c r="UM204" s="5"/>
      <c r="UN204" s="5"/>
      <c r="UO204" s="5"/>
      <c r="UP204" s="5"/>
      <c r="UQ204" s="5"/>
      <c r="UR204" s="5"/>
      <c r="US204" s="5"/>
      <c r="UT204" s="5"/>
      <c r="UU204" s="5"/>
      <c r="UV204" s="5"/>
      <c r="UW204" s="5"/>
      <c r="UX204" s="5"/>
      <c r="UY204" s="5"/>
      <c r="UZ204" s="5"/>
      <c r="VA204" s="5"/>
      <c r="VB204" s="5"/>
      <c r="VC204" s="5"/>
      <c r="VD204" s="5"/>
      <c r="VE204" s="5"/>
      <c r="VF204" s="5"/>
      <c r="VG204" s="5"/>
      <c r="VH204" s="5"/>
      <c r="VI204" s="5"/>
      <c r="VJ204" s="5"/>
      <c r="VK204" s="5"/>
      <c r="VL204" s="5"/>
      <c r="VM204" s="5"/>
      <c r="VN204" s="5"/>
      <c r="VO204" s="5"/>
      <c r="VP204" s="5"/>
      <c r="VQ204" s="5"/>
      <c r="VR204" s="5"/>
      <c r="VS204" s="5"/>
      <c r="VT204" s="5"/>
      <c r="VU204" s="5"/>
      <c r="VV204" s="5"/>
      <c r="VW204" s="5"/>
      <c r="VX204" s="5"/>
      <c r="VY204" s="5"/>
      <c r="VZ204" s="5"/>
      <c r="WA204" s="5"/>
      <c r="WB204" s="5"/>
      <c r="WC204" s="5"/>
      <c r="WD204" s="5"/>
      <c r="WE204" s="5"/>
      <c r="WF204" s="5"/>
      <c r="WG204" s="5"/>
      <c r="WH204" s="5"/>
      <c r="WI204" s="5"/>
      <c r="WJ204" s="5"/>
      <c r="WK204" s="5"/>
      <c r="WL204" s="5"/>
      <c r="WM204" s="5"/>
      <c r="WN204" s="5"/>
      <c r="WO204" s="5"/>
      <c r="WP204" s="5"/>
      <c r="WQ204" s="5"/>
      <c r="WR204" s="5"/>
      <c r="WS204" s="5"/>
      <c r="WT204" s="5"/>
      <c r="WU204" s="5"/>
      <c r="WV204" s="5"/>
      <c r="WW204" s="5"/>
      <c r="WX204" s="5"/>
      <c r="WY204" s="5"/>
      <c r="WZ204" s="5"/>
      <c r="XA204" s="5"/>
      <c r="XB204" s="5"/>
      <c r="XC204" s="5"/>
      <c r="XD204" s="5"/>
      <c r="XE204" s="5"/>
      <c r="XF204" s="5"/>
      <c r="XG204" s="5"/>
      <c r="XH204" s="5"/>
      <c r="XI204" s="5"/>
      <c r="XJ204" s="5"/>
      <c r="XK204" s="5"/>
      <c r="XL204" s="5"/>
      <c r="XM204" s="5"/>
      <c r="XN204" s="5"/>
      <c r="XO204" s="5"/>
      <c r="XP204" s="5"/>
      <c r="XQ204" s="5"/>
      <c r="XR204" s="5"/>
      <c r="XS204" s="5"/>
      <c r="XT204" s="5"/>
      <c r="XU204" s="5"/>
      <c r="XV204" s="5"/>
      <c r="XW204" s="5"/>
      <c r="XX204" s="5"/>
      <c r="XY204" s="5"/>
      <c r="XZ204" s="5"/>
      <c r="YA204" s="5"/>
      <c r="YB204" s="5"/>
      <c r="YC204" s="5"/>
      <c r="YD204" s="5"/>
      <c r="YE204" s="5"/>
      <c r="YF204" s="5"/>
      <c r="YG204" s="5"/>
      <c r="YH204" s="5"/>
      <c r="YI204" s="5"/>
      <c r="YJ204" s="5"/>
      <c r="YK204" s="5"/>
      <c r="YL204" s="5"/>
      <c r="YM204" s="5"/>
      <c r="YN204" s="5"/>
      <c r="YO204" s="5"/>
      <c r="YP204" s="5"/>
      <c r="YQ204" s="5"/>
      <c r="YR204" s="5"/>
      <c r="YS204" s="5"/>
      <c r="YT204" s="5"/>
      <c r="YU204" s="5"/>
      <c r="YV204" s="5"/>
      <c r="YW204" s="5"/>
      <c r="YX204" s="5"/>
      <c r="YY204" s="5"/>
      <c r="YZ204" s="5"/>
    </row>
    <row r="205" spans="1:676">
      <c r="A205" s="7">
        <v>195</v>
      </c>
      <c r="B205" s="7" t="s">
        <v>477</v>
      </c>
      <c r="C205" s="10" t="s">
        <v>478</v>
      </c>
      <c r="D205" s="7" t="s">
        <v>296</v>
      </c>
      <c r="E205" s="7" t="s">
        <v>279</v>
      </c>
      <c r="F205" s="7" t="s">
        <v>389</v>
      </c>
      <c r="G205" s="7"/>
      <c r="H205" s="7" t="s">
        <v>52</v>
      </c>
      <c r="I205" s="11">
        <v>2</v>
      </c>
      <c r="J205" s="11">
        <v>3</v>
      </c>
      <c r="K205" s="11">
        <v>0</v>
      </c>
      <c r="L205" s="11">
        <v>0</v>
      </c>
      <c r="M205" s="11">
        <v>0</v>
      </c>
      <c r="N205" s="11">
        <v>0</v>
      </c>
      <c r="O205" s="11">
        <v>0</v>
      </c>
      <c r="P205" s="11">
        <v>0</v>
      </c>
      <c r="Q205" s="11">
        <v>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13">
        <v>18</v>
      </c>
      <c r="X205" s="13">
        <v>27</v>
      </c>
      <c r="Y205" s="13" t="str">
        <f>MIN(W205,S205)</f>
        <v>0</v>
      </c>
      <c r="Z205" s="13" t="str">
        <f>MIN(X205,(S205-Y205))</f>
        <v>0</v>
      </c>
      <c r="AA205" s="13" t="str">
        <f>S205-SUM(Y205,Z205)</f>
        <v>0</v>
      </c>
      <c r="AB205" s="15"/>
      <c r="AC205" s="15"/>
      <c r="AD205" s="1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5"/>
      <c r="AY205" s="5"/>
      <c r="AZ205" s="5"/>
      <c r="BA205" s="5"/>
      <c r="BB205" s="5"/>
      <c r="BC205" s="5"/>
      <c r="BD205" s="5"/>
      <c r="BE205" s="5"/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W205" s="5"/>
      <c r="BX205" s="5"/>
      <c r="BY205" s="5"/>
      <c r="BZ205" s="5"/>
      <c r="CA205" s="5"/>
      <c r="CB205" s="5"/>
      <c r="CC205" s="5"/>
      <c r="CD205" s="5"/>
      <c r="CE205" s="5"/>
      <c r="CF205" s="5"/>
      <c r="CG205" s="5"/>
      <c r="CH205" s="5"/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5"/>
      <c r="DB205" s="5"/>
      <c r="DC205" s="5"/>
      <c r="DD205" s="5"/>
      <c r="DE205" s="5"/>
      <c r="DF205" s="5"/>
      <c r="DG205" s="5"/>
      <c r="DH205" s="5"/>
      <c r="DI205" s="5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  <c r="EC205" s="5"/>
      <c r="ED205" s="5"/>
      <c r="EE205" s="5"/>
      <c r="EF205" s="5"/>
      <c r="EG205" s="5"/>
      <c r="EH205" s="5"/>
      <c r="EI205" s="5"/>
      <c r="EJ205" s="5"/>
      <c r="EK205" s="5"/>
      <c r="EL205" s="5"/>
      <c r="EM205" s="5"/>
      <c r="EN205" s="5"/>
      <c r="EO205" s="5"/>
      <c r="EP205" s="5"/>
      <c r="EQ205" s="5"/>
      <c r="ER205" s="5"/>
      <c r="ES205" s="5"/>
      <c r="ET205" s="5"/>
      <c r="EU205" s="5"/>
      <c r="EV205" s="5"/>
      <c r="EW205" s="5"/>
      <c r="EX205" s="5"/>
      <c r="EY205" s="5"/>
      <c r="EZ205" s="5"/>
      <c r="FA205" s="5"/>
      <c r="FB205" s="5"/>
      <c r="FC205" s="5"/>
      <c r="FD205" s="5"/>
      <c r="FE205" s="5"/>
      <c r="FF205" s="5"/>
      <c r="FG205" s="5"/>
      <c r="FH205" s="5"/>
      <c r="FI205" s="5"/>
      <c r="FJ205" s="5"/>
      <c r="FK205" s="5"/>
      <c r="FL205" s="5"/>
      <c r="FM205" s="5"/>
      <c r="FN205" s="5"/>
      <c r="FO205" s="5"/>
      <c r="FP205" s="5"/>
      <c r="FQ205" s="5"/>
      <c r="FR205" s="5"/>
      <c r="FS205" s="5"/>
      <c r="FT205" s="5"/>
      <c r="FU205" s="5"/>
      <c r="FV205" s="5"/>
      <c r="FW205" s="5"/>
      <c r="FX205" s="5"/>
      <c r="FY205" s="5"/>
      <c r="FZ205" s="5"/>
      <c r="GA205" s="5"/>
      <c r="GB205" s="5"/>
      <c r="GC205" s="5"/>
      <c r="GD205" s="5"/>
      <c r="GE205" s="5"/>
      <c r="GF205" s="5"/>
      <c r="GG205" s="5"/>
      <c r="GH205" s="5"/>
      <c r="GI205" s="5"/>
      <c r="GJ205" s="5"/>
      <c r="GK205" s="5"/>
      <c r="GL205" s="5"/>
      <c r="GM205" s="5"/>
      <c r="GN205" s="5"/>
      <c r="GO205" s="5"/>
      <c r="GP205" s="5"/>
      <c r="GQ205" s="5"/>
      <c r="GR205" s="5"/>
      <c r="GS205" s="5"/>
      <c r="GT205" s="5"/>
      <c r="GU205" s="5"/>
      <c r="GV205" s="5"/>
      <c r="GW205" s="5"/>
      <c r="GX205" s="5"/>
      <c r="GY205" s="5"/>
      <c r="GZ205" s="5"/>
      <c r="HA205" s="5"/>
      <c r="HB205" s="5"/>
      <c r="HC205" s="5"/>
      <c r="HD205" s="5"/>
      <c r="HE205" s="5"/>
      <c r="HF205" s="5"/>
      <c r="HG205" s="5"/>
      <c r="HH205" s="5"/>
      <c r="HI205" s="5"/>
      <c r="HJ205" s="5"/>
      <c r="HK205" s="5"/>
      <c r="HL205" s="5"/>
      <c r="HM205" s="5"/>
      <c r="HN205" s="5"/>
      <c r="HO205" s="5"/>
      <c r="HP205" s="5"/>
      <c r="HQ205" s="5"/>
      <c r="HR205" s="5"/>
      <c r="HS205" s="5"/>
      <c r="HT205" s="5"/>
      <c r="HU205" s="5"/>
      <c r="HV205" s="5"/>
      <c r="HW205" s="5"/>
      <c r="HX205" s="5"/>
      <c r="HY205" s="5"/>
      <c r="HZ205" s="5"/>
      <c r="IA205" s="5"/>
      <c r="IB205" s="5"/>
      <c r="IC205" s="5"/>
      <c r="ID205" s="5"/>
      <c r="IE205" s="5"/>
      <c r="IF205" s="5"/>
      <c r="IG205" s="5"/>
      <c r="IH205" s="5"/>
      <c r="II205" s="5"/>
      <c r="IJ205" s="5"/>
      <c r="IK205" s="5"/>
      <c r="IL205" s="5"/>
      <c r="IM205" s="5"/>
      <c r="IN205" s="5"/>
      <c r="IO205" s="5"/>
      <c r="IP205" s="5"/>
      <c r="IQ205" s="5"/>
      <c r="IR205" s="5"/>
      <c r="IS205" s="5"/>
      <c r="IT205" s="5"/>
      <c r="IU205" s="5"/>
      <c r="IV205" s="5"/>
      <c r="IW205" s="5"/>
      <c r="IX205" s="5"/>
      <c r="IY205" s="5"/>
      <c r="IZ205" s="5"/>
      <c r="JA205" s="5"/>
      <c r="JB205" s="5"/>
      <c r="JC205" s="5"/>
      <c r="JD205" s="5"/>
      <c r="JE205" s="5"/>
      <c r="JF205" s="5"/>
      <c r="JG205" s="5"/>
      <c r="JH205" s="5"/>
      <c r="JI205" s="5"/>
      <c r="JJ205" s="5"/>
      <c r="JK205" s="5"/>
      <c r="JL205" s="5"/>
      <c r="JM205" s="5"/>
      <c r="JN205" s="5"/>
      <c r="JO205" s="5"/>
      <c r="JP205" s="5"/>
      <c r="JQ205" s="5"/>
      <c r="JR205" s="5"/>
      <c r="JS205" s="5"/>
      <c r="JT205" s="5"/>
      <c r="JU205" s="5"/>
      <c r="JV205" s="5"/>
      <c r="JW205" s="5"/>
      <c r="JX205" s="5"/>
      <c r="JY205" s="5"/>
      <c r="JZ205" s="5"/>
      <c r="KA205" s="5"/>
      <c r="KB205" s="5"/>
      <c r="KC205" s="5"/>
      <c r="KD205" s="5"/>
      <c r="KE205" s="5"/>
      <c r="KF205" s="5"/>
      <c r="KG205" s="5"/>
      <c r="KH205" s="5"/>
      <c r="KI205" s="5"/>
      <c r="KJ205" s="5"/>
      <c r="KK205" s="5"/>
      <c r="KL205" s="5"/>
      <c r="KM205" s="5"/>
      <c r="KN205" s="5"/>
      <c r="KO205" s="5"/>
      <c r="KP205" s="5"/>
      <c r="KQ205" s="5"/>
      <c r="KR205" s="5"/>
      <c r="KS205" s="5"/>
      <c r="KT205" s="5"/>
      <c r="KU205" s="5"/>
      <c r="KV205" s="5"/>
      <c r="KW205" s="5"/>
      <c r="KX205" s="5"/>
      <c r="KY205" s="5"/>
      <c r="KZ205" s="5"/>
      <c r="LA205" s="5"/>
      <c r="LB205" s="5"/>
      <c r="LC205" s="5"/>
      <c r="LD205" s="5"/>
      <c r="LE205" s="5"/>
      <c r="LF205" s="5"/>
      <c r="LG205" s="5"/>
      <c r="LH205" s="5"/>
      <c r="LI205" s="5"/>
      <c r="LJ205" s="5"/>
      <c r="LK205" s="5"/>
      <c r="LL205" s="5"/>
      <c r="LM205" s="5"/>
      <c r="LN205" s="5"/>
      <c r="LO205" s="5"/>
      <c r="LP205" s="5"/>
      <c r="LQ205" s="5"/>
      <c r="LR205" s="5"/>
      <c r="LS205" s="5"/>
      <c r="LT205" s="5"/>
      <c r="LU205" s="5"/>
      <c r="LV205" s="5"/>
      <c r="LW205" s="5"/>
      <c r="LX205" s="5"/>
      <c r="LY205" s="5"/>
      <c r="LZ205" s="5"/>
      <c r="MA205" s="5"/>
      <c r="MB205" s="5"/>
      <c r="MC205" s="5"/>
      <c r="MD205" s="5"/>
      <c r="ME205" s="5"/>
      <c r="MF205" s="5"/>
      <c r="MG205" s="5"/>
      <c r="MH205" s="5"/>
      <c r="MI205" s="5"/>
      <c r="MJ205" s="5"/>
      <c r="MK205" s="5"/>
      <c r="ML205" s="5"/>
      <c r="MM205" s="5"/>
      <c r="MN205" s="5"/>
      <c r="MO205" s="5"/>
      <c r="MP205" s="5"/>
      <c r="MQ205" s="5"/>
      <c r="MR205" s="5"/>
      <c r="MS205" s="5"/>
      <c r="MT205" s="5"/>
      <c r="MU205" s="5"/>
      <c r="MV205" s="5"/>
      <c r="MW205" s="5"/>
      <c r="MX205" s="5"/>
      <c r="MY205" s="5"/>
      <c r="MZ205" s="5"/>
      <c r="NA205" s="5"/>
      <c r="NB205" s="5"/>
      <c r="NC205" s="5"/>
      <c r="ND205" s="5"/>
      <c r="NE205" s="5"/>
      <c r="NF205" s="5"/>
      <c r="NG205" s="5"/>
      <c r="NH205" s="5"/>
      <c r="NI205" s="5"/>
      <c r="NJ205" s="5"/>
      <c r="NK205" s="5"/>
      <c r="NL205" s="5"/>
      <c r="NM205" s="5"/>
      <c r="NN205" s="5"/>
      <c r="NO205" s="5"/>
      <c r="NP205" s="5"/>
      <c r="NQ205" s="5"/>
      <c r="NR205" s="5"/>
      <c r="NS205" s="5"/>
      <c r="NT205" s="5"/>
      <c r="NU205" s="5"/>
      <c r="NV205" s="5"/>
      <c r="NW205" s="5"/>
      <c r="NX205" s="5"/>
      <c r="NY205" s="5"/>
      <c r="NZ205" s="5"/>
      <c r="OA205" s="5"/>
      <c r="OB205" s="5"/>
      <c r="OC205" s="5"/>
      <c r="OD205" s="5"/>
      <c r="OE205" s="5"/>
      <c r="OF205" s="5"/>
      <c r="OG205" s="5"/>
      <c r="OH205" s="5"/>
      <c r="OI205" s="5"/>
      <c r="OJ205" s="5"/>
      <c r="OK205" s="5"/>
      <c r="OL205" s="5"/>
      <c r="OM205" s="5"/>
      <c r="ON205" s="5"/>
      <c r="OO205" s="5"/>
      <c r="OP205" s="5"/>
      <c r="OQ205" s="5"/>
      <c r="OR205" s="5"/>
      <c r="OS205" s="5"/>
      <c r="OT205" s="5"/>
      <c r="OU205" s="5"/>
      <c r="OV205" s="5"/>
      <c r="OW205" s="5"/>
      <c r="OX205" s="5"/>
      <c r="OY205" s="5"/>
      <c r="OZ205" s="5"/>
      <c r="PA205" s="5"/>
      <c r="PB205" s="5"/>
      <c r="PC205" s="5"/>
      <c r="PD205" s="5"/>
      <c r="PE205" s="5"/>
      <c r="PF205" s="5"/>
      <c r="PG205" s="5"/>
      <c r="PH205" s="5"/>
      <c r="PI205" s="5"/>
      <c r="PJ205" s="5"/>
      <c r="PK205" s="5"/>
      <c r="PL205" s="5"/>
      <c r="PM205" s="5"/>
      <c r="PN205" s="5"/>
      <c r="PO205" s="5"/>
      <c r="PP205" s="5"/>
      <c r="PQ205" s="5"/>
      <c r="PR205" s="5"/>
      <c r="PS205" s="5"/>
      <c r="PT205" s="5"/>
      <c r="PU205" s="5"/>
      <c r="PV205" s="5"/>
      <c r="PW205" s="5"/>
      <c r="PX205" s="5"/>
      <c r="PY205" s="5"/>
      <c r="PZ205" s="5"/>
      <c r="QA205" s="5"/>
      <c r="QB205" s="5"/>
      <c r="QC205" s="5"/>
      <c r="QD205" s="5"/>
      <c r="QE205" s="5"/>
      <c r="QF205" s="5"/>
      <c r="QG205" s="5"/>
      <c r="QH205" s="5"/>
      <c r="QI205" s="5"/>
      <c r="QJ205" s="5"/>
      <c r="QK205" s="5"/>
      <c r="QL205" s="5"/>
      <c r="QM205" s="5"/>
      <c r="QN205" s="5"/>
      <c r="QO205" s="5"/>
      <c r="QP205" s="5"/>
      <c r="QQ205" s="5"/>
      <c r="QR205" s="5"/>
      <c r="QS205" s="5"/>
      <c r="QT205" s="5"/>
      <c r="QU205" s="5"/>
      <c r="QV205" s="5"/>
      <c r="QW205" s="5"/>
      <c r="QX205" s="5"/>
      <c r="QY205" s="5"/>
      <c r="QZ205" s="5"/>
      <c r="RA205" s="5"/>
      <c r="RB205" s="5"/>
      <c r="RC205" s="5"/>
      <c r="RD205" s="5"/>
      <c r="RE205" s="5"/>
      <c r="RF205" s="5"/>
      <c r="RG205" s="5"/>
      <c r="RH205" s="5"/>
      <c r="RI205" s="5"/>
      <c r="RJ205" s="5"/>
      <c r="RK205" s="5"/>
      <c r="RL205" s="5"/>
      <c r="RM205" s="5"/>
      <c r="RN205" s="5"/>
      <c r="RO205" s="5"/>
      <c r="RP205" s="5"/>
      <c r="RQ205" s="5"/>
      <c r="RR205" s="5"/>
      <c r="RS205" s="5"/>
      <c r="RT205" s="5"/>
      <c r="RU205" s="5"/>
      <c r="RV205" s="5"/>
      <c r="RW205" s="5"/>
      <c r="RX205" s="5"/>
      <c r="RY205" s="5"/>
      <c r="RZ205" s="5"/>
      <c r="SA205" s="5"/>
      <c r="SB205" s="5"/>
      <c r="SC205" s="5"/>
      <c r="SD205" s="5"/>
      <c r="SE205" s="5"/>
      <c r="SF205" s="5"/>
      <c r="SG205" s="5"/>
      <c r="SH205" s="5"/>
      <c r="SI205" s="5"/>
      <c r="SJ205" s="5"/>
      <c r="SK205" s="5"/>
      <c r="SL205" s="5"/>
      <c r="SM205" s="5"/>
      <c r="SN205" s="5"/>
      <c r="SO205" s="5"/>
      <c r="SP205" s="5"/>
      <c r="SQ205" s="5"/>
      <c r="SR205" s="5"/>
      <c r="SS205" s="5"/>
      <c r="ST205" s="5"/>
      <c r="SU205" s="5"/>
      <c r="SV205" s="5"/>
      <c r="SW205" s="5"/>
      <c r="SX205" s="5"/>
      <c r="SY205" s="5"/>
      <c r="SZ205" s="5"/>
      <c r="TA205" s="5"/>
      <c r="TB205" s="5"/>
      <c r="TC205" s="5"/>
      <c r="TD205" s="5"/>
      <c r="TE205" s="5"/>
      <c r="TF205" s="5"/>
      <c r="TG205" s="5"/>
      <c r="TH205" s="5"/>
      <c r="TI205" s="5"/>
      <c r="TJ205" s="5"/>
      <c r="TK205" s="5"/>
      <c r="TL205" s="5"/>
      <c r="TM205" s="5"/>
      <c r="TN205" s="5"/>
      <c r="TO205" s="5"/>
      <c r="TP205" s="5"/>
      <c r="TQ205" s="5"/>
      <c r="TR205" s="5"/>
      <c r="TS205" s="5"/>
      <c r="TT205" s="5"/>
      <c r="TU205" s="5"/>
      <c r="TV205" s="5"/>
      <c r="TW205" s="5"/>
      <c r="TX205" s="5"/>
      <c r="TY205" s="5"/>
      <c r="TZ205" s="5"/>
      <c r="UA205" s="5"/>
      <c r="UB205" s="5"/>
      <c r="UC205" s="5"/>
      <c r="UD205" s="5"/>
      <c r="UE205" s="5"/>
      <c r="UF205" s="5"/>
      <c r="UG205" s="5"/>
      <c r="UH205" s="5"/>
      <c r="UI205" s="5"/>
      <c r="UJ205" s="5"/>
      <c r="UK205" s="5"/>
      <c r="UL205" s="5"/>
      <c r="UM205" s="5"/>
      <c r="UN205" s="5"/>
      <c r="UO205" s="5"/>
      <c r="UP205" s="5"/>
      <c r="UQ205" s="5"/>
      <c r="UR205" s="5"/>
      <c r="US205" s="5"/>
      <c r="UT205" s="5"/>
      <c r="UU205" s="5"/>
      <c r="UV205" s="5"/>
      <c r="UW205" s="5"/>
      <c r="UX205" s="5"/>
      <c r="UY205" s="5"/>
      <c r="UZ205" s="5"/>
      <c r="VA205" s="5"/>
      <c r="VB205" s="5"/>
      <c r="VC205" s="5"/>
      <c r="VD205" s="5"/>
      <c r="VE205" s="5"/>
      <c r="VF205" s="5"/>
      <c r="VG205" s="5"/>
      <c r="VH205" s="5"/>
      <c r="VI205" s="5"/>
      <c r="VJ205" s="5"/>
      <c r="VK205" s="5"/>
      <c r="VL205" s="5"/>
      <c r="VM205" s="5"/>
      <c r="VN205" s="5"/>
      <c r="VO205" s="5"/>
      <c r="VP205" s="5"/>
      <c r="VQ205" s="5"/>
      <c r="VR205" s="5"/>
      <c r="VS205" s="5"/>
      <c r="VT205" s="5"/>
      <c r="VU205" s="5"/>
      <c r="VV205" s="5"/>
      <c r="VW205" s="5"/>
      <c r="VX205" s="5"/>
      <c r="VY205" s="5"/>
      <c r="VZ205" s="5"/>
      <c r="WA205" s="5"/>
      <c r="WB205" s="5"/>
      <c r="WC205" s="5"/>
      <c r="WD205" s="5"/>
      <c r="WE205" s="5"/>
      <c r="WF205" s="5"/>
      <c r="WG205" s="5"/>
      <c r="WH205" s="5"/>
      <c r="WI205" s="5"/>
      <c r="WJ205" s="5"/>
      <c r="WK205" s="5"/>
      <c r="WL205" s="5"/>
      <c r="WM205" s="5"/>
      <c r="WN205" s="5"/>
      <c r="WO205" s="5"/>
      <c r="WP205" s="5"/>
      <c r="WQ205" s="5"/>
      <c r="WR205" s="5"/>
      <c r="WS205" s="5"/>
      <c r="WT205" s="5"/>
      <c r="WU205" s="5"/>
      <c r="WV205" s="5"/>
      <c r="WW205" s="5"/>
      <c r="WX205" s="5"/>
      <c r="WY205" s="5"/>
      <c r="WZ205" s="5"/>
      <c r="XA205" s="5"/>
      <c r="XB205" s="5"/>
      <c r="XC205" s="5"/>
      <c r="XD205" s="5"/>
      <c r="XE205" s="5"/>
      <c r="XF205" s="5"/>
      <c r="XG205" s="5"/>
      <c r="XH205" s="5"/>
      <c r="XI205" s="5"/>
      <c r="XJ205" s="5"/>
      <c r="XK205" s="5"/>
      <c r="XL205" s="5"/>
      <c r="XM205" s="5"/>
      <c r="XN205" s="5"/>
      <c r="XO205" s="5"/>
      <c r="XP205" s="5"/>
      <c r="XQ205" s="5"/>
      <c r="XR205" s="5"/>
      <c r="XS205" s="5"/>
      <c r="XT205" s="5"/>
      <c r="XU205" s="5"/>
      <c r="XV205" s="5"/>
      <c r="XW205" s="5"/>
      <c r="XX205" s="5"/>
      <c r="XY205" s="5"/>
      <c r="XZ205" s="5"/>
      <c r="YA205" s="5"/>
      <c r="YB205" s="5"/>
      <c r="YC205" s="5"/>
      <c r="YD205" s="5"/>
      <c r="YE205" s="5"/>
      <c r="YF205" s="5"/>
      <c r="YG205" s="5"/>
      <c r="YH205" s="5"/>
      <c r="YI205" s="5"/>
      <c r="YJ205" s="5"/>
      <c r="YK205" s="5"/>
      <c r="YL205" s="5"/>
      <c r="YM205" s="5"/>
      <c r="YN205" s="5"/>
      <c r="YO205" s="5"/>
      <c r="YP205" s="5"/>
      <c r="YQ205" s="5"/>
      <c r="YR205" s="5"/>
      <c r="YS205" s="5"/>
      <c r="YT205" s="5"/>
      <c r="YU205" s="5"/>
      <c r="YV205" s="5"/>
      <c r="YW205" s="5"/>
      <c r="YX205" s="5"/>
      <c r="YY205" s="5"/>
      <c r="YZ205" s="5"/>
    </row>
    <row r="206" spans="1:676">
      <c r="A206" s="7">
        <v>196</v>
      </c>
      <c r="B206" s="7" t="s">
        <v>479</v>
      </c>
      <c r="C206" s="10" t="s">
        <v>480</v>
      </c>
      <c r="D206" s="7" t="s">
        <v>296</v>
      </c>
      <c r="E206" s="7" t="s">
        <v>381</v>
      </c>
      <c r="F206" s="7" t="s">
        <v>386</v>
      </c>
      <c r="G206" s="7"/>
      <c r="H206" s="7" t="s">
        <v>52</v>
      </c>
      <c r="I206" s="11">
        <v>2</v>
      </c>
      <c r="J206" s="11">
        <v>3</v>
      </c>
      <c r="K206" s="11">
        <v>0</v>
      </c>
      <c r="L206" s="11">
        <v>4.73</v>
      </c>
      <c r="M206" s="11">
        <v>0.17</v>
      </c>
      <c r="N206" s="11">
        <v>0</v>
      </c>
      <c r="O206" s="11">
        <v>0.25</v>
      </c>
      <c r="P206" s="11">
        <v>0</v>
      </c>
      <c r="Q206" s="11">
        <v>5.15</v>
      </c>
      <c r="R206" s="11">
        <v>25.5</v>
      </c>
      <c r="S206" s="11">
        <v>30.65</v>
      </c>
      <c r="T206" s="11">
        <v>2</v>
      </c>
      <c r="U206" s="11">
        <v>3</v>
      </c>
      <c r="V206" s="11">
        <v>25.65</v>
      </c>
      <c r="W206" s="13">
        <v>18</v>
      </c>
      <c r="X206" s="13">
        <v>27</v>
      </c>
      <c r="Y206" s="13" t="str">
        <f>MIN(W206,S206)</f>
        <v>0</v>
      </c>
      <c r="Z206" s="13" t="str">
        <f>MIN(X206,(S206-Y206))</f>
        <v>0</v>
      </c>
      <c r="AA206" s="13" t="str">
        <f>S206-SUM(Y206,Z206)</f>
        <v>0</v>
      </c>
      <c r="AB206" s="15"/>
      <c r="AC206" s="15"/>
      <c r="AD206" s="1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W206" s="5"/>
      <c r="BX206" s="5"/>
      <c r="BY206" s="5"/>
      <c r="BZ206" s="5"/>
      <c r="CA206" s="5"/>
      <c r="CB206" s="5"/>
      <c r="CC206" s="5"/>
      <c r="CD206" s="5"/>
      <c r="CE206" s="5"/>
      <c r="CF206" s="5"/>
      <c r="CG206" s="5"/>
      <c r="CH206" s="5"/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5"/>
      <c r="DE206" s="5"/>
      <c r="DF206" s="5"/>
      <c r="DG206" s="5"/>
      <c r="DH206" s="5"/>
      <c r="DI206" s="5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  <c r="EC206" s="5"/>
      <c r="ED206" s="5"/>
      <c r="EE206" s="5"/>
      <c r="EF206" s="5"/>
      <c r="EG206" s="5"/>
      <c r="EH206" s="5"/>
      <c r="EI206" s="5"/>
      <c r="EJ206" s="5"/>
      <c r="EK206" s="5"/>
      <c r="EL206" s="5"/>
      <c r="EM206" s="5"/>
      <c r="EN206" s="5"/>
      <c r="EO206" s="5"/>
      <c r="EP206" s="5"/>
      <c r="EQ206" s="5"/>
      <c r="ER206" s="5"/>
      <c r="ES206" s="5"/>
      <c r="ET206" s="5"/>
      <c r="EU206" s="5"/>
      <c r="EV206" s="5"/>
      <c r="EW206" s="5"/>
      <c r="EX206" s="5"/>
      <c r="EY206" s="5"/>
      <c r="EZ206" s="5"/>
      <c r="FA206" s="5"/>
      <c r="FB206" s="5"/>
      <c r="FC206" s="5"/>
      <c r="FD206" s="5"/>
      <c r="FE206" s="5"/>
      <c r="FF206" s="5"/>
      <c r="FG206" s="5"/>
      <c r="FH206" s="5"/>
      <c r="FI206" s="5"/>
      <c r="FJ206" s="5"/>
      <c r="FK206" s="5"/>
      <c r="FL206" s="5"/>
      <c r="FM206" s="5"/>
      <c r="FN206" s="5"/>
      <c r="FO206" s="5"/>
      <c r="FP206" s="5"/>
      <c r="FQ206" s="5"/>
      <c r="FR206" s="5"/>
      <c r="FS206" s="5"/>
      <c r="FT206" s="5"/>
      <c r="FU206" s="5"/>
      <c r="FV206" s="5"/>
      <c r="FW206" s="5"/>
      <c r="FX206" s="5"/>
      <c r="FY206" s="5"/>
      <c r="FZ206" s="5"/>
      <c r="GA206" s="5"/>
      <c r="GB206" s="5"/>
      <c r="GC206" s="5"/>
      <c r="GD206" s="5"/>
      <c r="GE206" s="5"/>
      <c r="GF206" s="5"/>
      <c r="GG206" s="5"/>
      <c r="GH206" s="5"/>
      <c r="GI206" s="5"/>
      <c r="GJ206" s="5"/>
      <c r="GK206" s="5"/>
      <c r="GL206" s="5"/>
      <c r="GM206" s="5"/>
      <c r="GN206" s="5"/>
      <c r="GO206" s="5"/>
      <c r="GP206" s="5"/>
      <c r="GQ206" s="5"/>
      <c r="GR206" s="5"/>
      <c r="GS206" s="5"/>
      <c r="GT206" s="5"/>
      <c r="GU206" s="5"/>
      <c r="GV206" s="5"/>
      <c r="GW206" s="5"/>
      <c r="GX206" s="5"/>
      <c r="GY206" s="5"/>
      <c r="GZ206" s="5"/>
      <c r="HA206" s="5"/>
      <c r="HB206" s="5"/>
      <c r="HC206" s="5"/>
      <c r="HD206" s="5"/>
      <c r="HE206" s="5"/>
      <c r="HF206" s="5"/>
      <c r="HG206" s="5"/>
      <c r="HH206" s="5"/>
      <c r="HI206" s="5"/>
      <c r="HJ206" s="5"/>
      <c r="HK206" s="5"/>
      <c r="HL206" s="5"/>
      <c r="HM206" s="5"/>
      <c r="HN206" s="5"/>
      <c r="HO206" s="5"/>
      <c r="HP206" s="5"/>
      <c r="HQ206" s="5"/>
      <c r="HR206" s="5"/>
      <c r="HS206" s="5"/>
      <c r="HT206" s="5"/>
      <c r="HU206" s="5"/>
      <c r="HV206" s="5"/>
      <c r="HW206" s="5"/>
      <c r="HX206" s="5"/>
      <c r="HY206" s="5"/>
      <c r="HZ206" s="5"/>
      <c r="IA206" s="5"/>
      <c r="IB206" s="5"/>
      <c r="IC206" s="5"/>
      <c r="ID206" s="5"/>
      <c r="IE206" s="5"/>
      <c r="IF206" s="5"/>
      <c r="IG206" s="5"/>
      <c r="IH206" s="5"/>
      <c r="II206" s="5"/>
      <c r="IJ206" s="5"/>
      <c r="IK206" s="5"/>
      <c r="IL206" s="5"/>
      <c r="IM206" s="5"/>
      <c r="IN206" s="5"/>
      <c r="IO206" s="5"/>
      <c r="IP206" s="5"/>
      <c r="IQ206" s="5"/>
      <c r="IR206" s="5"/>
      <c r="IS206" s="5"/>
      <c r="IT206" s="5"/>
      <c r="IU206" s="5"/>
      <c r="IV206" s="5"/>
      <c r="IW206" s="5"/>
      <c r="IX206" s="5"/>
      <c r="IY206" s="5"/>
      <c r="IZ206" s="5"/>
      <c r="JA206" s="5"/>
      <c r="JB206" s="5"/>
      <c r="JC206" s="5"/>
      <c r="JD206" s="5"/>
      <c r="JE206" s="5"/>
      <c r="JF206" s="5"/>
      <c r="JG206" s="5"/>
      <c r="JH206" s="5"/>
      <c r="JI206" s="5"/>
      <c r="JJ206" s="5"/>
      <c r="JK206" s="5"/>
      <c r="JL206" s="5"/>
      <c r="JM206" s="5"/>
      <c r="JN206" s="5"/>
      <c r="JO206" s="5"/>
      <c r="JP206" s="5"/>
      <c r="JQ206" s="5"/>
      <c r="JR206" s="5"/>
      <c r="JS206" s="5"/>
      <c r="JT206" s="5"/>
      <c r="JU206" s="5"/>
      <c r="JV206" s="5"/>
      <c r="JW206" s="5"/>
      <c r="JX206" s="5"/>
      <c r="JY206" s="5"/>
      <c r="JZ206" s="5"/>
      <c r="KA206" s="5"/>
      <c r="KB206" s="5"/>
      <c r="KC206" s="5"/>
      <c r="KD206" s="5"/>
      <c r="KE206" s="5"/>
      <c r="KF206" s="5"/>
      <c r="KG206" s="5"/>
      <c r="KH206" s="5"/>
      <c r="KI206" s="5"/>
      <c r="KJ206" s="5"/>
      <c r="KK206" s="5"/>
      <c r="KL206" s="5"/>
      <c r="KM206" s="5"/>
      <c r="KN206" s="5"/>
      <c r="KO206" s="5"/>
      <c r="KP206" s="5"/>
      <c r="KQ206" s="5"/>
      <c r="KR206" s="5"/>
      <c r="KS206" s="5"/>
      <c r="KT206" s="5"/>
      <c r="KU206" s="5"/>
      <c r="KV206" s="5"/>
      <c r="KW206" s="5"/>
      <c r="KX206" s="5"/>
      <c r="KY206" s="5"/>
      <c r="KZ206" s="5"/>
      <c r="LA206" s="5"/>
      <c r="LB206" s="5"/>
      <c r="LC206" s="5"/>
      <c r="LD206" s="5"/>
      <c r="LE206" s="5"/>
      <c r="LF206" s="5"/>
      <c r="LG206" s="5"/>
      <c r="LH206" s="5"/>
      <c r="LI206" s="5"/>
      <c r="LJ206" s="5"/>
      <c r="LK206" s="5"/>
      <c r="LL206" s="5"/>
      <c r="LM206" s="5"/>
      <c r="LN206" s="5"/>
      <c r="LO206" s="5"/>
      <c r="LP206" s="5"/>
      <c r="LQ206" s="5"/>
      <c r="LR206" s="5"/>
      <c r="LS206" s="5"/>
      <c r="LT206" s="5"/>
      <c r="LU206" s="5"/>
      <c r="LV206" s="5"/>
      <c r="LW206" s="5"/>
      <c r="LX206" s="5"/>
      <c r="LY206" s="5"/>
      <c r="LZ206" s="5"/>
      <c r="MA206" s="5"/>
      <c r="MB206" s="5"/>
      <c r="MC206" s="5"/>
      <c r="MD206" s="5"/>
      <c r="ME206" s="5"/>
      <c r="MF206" s="5"/>
      <c r="MG206" s="5"/>
      <c r="MH206" s="5"/>
      <c r="MI206" s="5"/>
      <c r="MJ206" s="5"/>
      <c r="MK206" s="5"/>
      <c r="ML206" s="5"/>
      <c r="MM206" s="5"/>
      <c r="MN206" s="5"/>
      <c r="MO206" s="5"/>
      <c r="MP206" s="5"/>
      <c r="MQ206" s="5"/>
      <c r="MR206" s="5"/>
      <c r="MS206" s="5"/>
      <c r="MT206" s="5"/>
      <c r="MU206" s="5"/>
      <c r="MV206" s="5"/>
      <c r="MW206" s="5"/>
      <c r="MX206" s="5"/>
      <c r="MY206" s="5"/>
      <c r="MZ206" s="5"/>
      <c r="NA206" s="5"/>
      <c r="NB206" s="5"/>
      <c r="NC206" s="5"/>
      <c r="ND206" s="5"/>
      <c r="NE206" s="5"/>
      <c r="NF206" s="5"/>
      <c r="NG206" s="5"/>
      <c r="NH206" s="5"/>
      <c r="NI206" s="5"/>
      <c r="NJ206" s="5"/>
      <c r="NK206" s="5"/>
      <c r="NL206" s="5"/>
      <c r="NM206" s="5"/>
      <c r="NN206" s="5"/>
      <c r="NO206" s="5"/>
      <c r="NP206" s="5"/>
      <c r="NQ206" s="5"/>
      <c r="NR206" s="5"/>
      <c r="NS206" s="5"/>
      <c r="NT206" s="5"/>
      <c r="NU206" s="5"/>
      <c r="NV206" s="5"/>
      <c r="NW206" s="5"/>
      <c r="NX206" s="5"/>
      <c r="NY206" s="5"/>
      <c r="NZ206" s="5"/>
      <c r="OA206" s="5"/>
      <c r="OB206" s="5"/>
      <c r="OC206" s="5"/>
      <c r="OD206" s="5"/>
      <c r="OE206" s="5"/>
      <c r="OF206" s="5"/>
      <c r="OG206" s="5"/>
      <c r="OH206" s="5"/>
      <c r="OI206" s="5"/>
      <c r="OJ206" s="5"/>
      <c r="OK206" s="5"/>
      <c r="OL206" s="5"/>
      <c r="OM206" s="5"/>
      <c r="ON206" s="5"/>
      <c r="OO206" s="5"/>
      <c r="OP206" s="5"/>
      <c r="OQ206" s="5"/>
      <c r="OR206" s="5"/>
      <c r="OS206" s="5"/>
      <c r="OT206" s="5"/>
      <c r="OU206" s="5"/>
      <c r="OV206" s="5"/>
      <c r="OW206" s="5"/>
      <c r="OX206" s="5"/>
      <c r="OY206" s="5"/>
      <c r="OZ206" s="5"/>
      <c r="PA206" s="5"/>
      <c r="PB206" s="5"/>
      <c r="PC206" s="5"/>
      <c r="PD206" s="5"/>
      <c r="PE206" s="5"/>
      <c r="PF206" s="5"/>
      <c r="PG206" s="5"/>
      <c r="PH206" s="5"/>
      <c r="PI206" s="5"/>
      <c r="PJ206" s="5"/>
      <c r="PK206" s="5"/>
      <c r="PL206" s="5"/>
      <c r="PM206" s="5"/>
      <c r="PN206" s="5"/>
      <c r="PO206" s="5"/>
      <c r="PP206" s="5"/>
      <c r="PQ206" s="5"/>
      <c r="PR206" s="5"/>
      <c r="PS206" s="5"/>
      <c r="PT206" s="5"/>
      <c r="PU206" s="5"/>
      <c r="PV206" s="5"/>
      <c r="PW206" s="5"/>
      <c r="PX206" s="5"/>
      <c r="PY206" s="5"/>
      <c r="PZ206" s="5"/>
      <c r="QA206" s="5"/>
      <c r="QB206" s="5"/>
      <c r="QC206" s="5"/>
      <c r="QD206" s="5"/>
      <c r="QE206" s="5"/>
      <c r="QF206" s="5"/>
      <c r="QG206" s="5"/>
      <c r="QH206" s="5"/>
      <c r="QI206" s="5"/>
      <c r="QJ206" s="5"/>
      <c r="QK206" s="5"/>
      <c r="QL206" s="5"/>
      <c r="QM206" s="5"/>
      <c r="QN206" s="5"/>
      <c r="QO206" s="5"/>
      <c r="QP206" s="5"/>
      <c r="QQ206" s="5"/>
      <c r="QR206" s="5"/>
      <c r="QS206" s="5"/>
      <c r="QT206" s="5"/>
      <c r="QU206" s="5"/>
      <c r="QV206" s="5"/>
      <c r="QW206" s="5"/>
      <c r="QX206" s="5"/>
      <c r="QY206" s="5"/>
      <c r="QZ206" s="5"/>
      <c r="RA206" s="5"/>
      <c r="RB206" s="5"/>
      <c r="RC206" s="5"/>
      <c r="RD206" s="5"/>
      <c r="RE206" s="5"/>
      <c r="RF206" s="5"/>
      <c r="RG206" s="5"/>
      <c r="RH206" s="5"/>
      <c r="RI206" s="5"/>
      <c r="RJ206" s="5"/>
      <c r="RK206" s="5"/>
      <c r="RL206" s="5"/>
      <c r="RM206" s="5"/>
      <c r="RN206" s="5"/>
      <c r="RO206" s="5"/>
      <c r="RP206" s="5"/>
      <c r="RQ206" s="5"/>
      <c r="RR206" s="5"/>
      <c r="RS206" s="5"/>
      <c r="RT206" s="5"/>
      <c r="RU206" s="5"/>
      <c r="RV206" s="5"/>
      <c r="RW206" s="5"/>
      <c r="RX206" s="5"/>
      <c r="RY206" s="5"/>
      <c r="RZ206" s="5"/>
      <c r="SA206" s="5"/>
      <c r="SB206" s="5"/>
      <c r="SC206" s="5"/>
      <c r="SD206" s="5"/>
      <c r="SE206" s="5"/>
      <c r="SF206" s="5"/>
      <c r="SG206" s="5"/>
      <c r="SH206" s="5"/>
      <c r="SI206" s="5"/>
      <c r="SJ206" s="5"/>
      <c r="SK206" s="5"/>
      <c r="SL206" s="5"/>
      <c r="SM206" s="5"/>
      <c r="SN206" s="5"/>
      <c r="SO206" s="5"/>
      <c r="SP206" s="5"/>
      <c r="SQ206" s="5"/>
      <c r="SR206" s="5"/>
      <c r="SS206" s="5"/>
      <c r="ST206" s="5"/>
      <c r="SU206" s="5"/>
      <c r="SV206" s="5"/>
      <c r="SW206" s="5"/>
      <c r="SX206" s="5"/>
      <c r="SY206" s="5"/>
      <c r="SZ206" s="5"/>
      <c r="TA206" s="5"/>
      <c r="TB206" s="5"/>
      <c r="TC206" s="5"/>
      <c r="TD206" s="5"/>
      <c r="TE206" s="5"/>
      <c r="TF206" s="5"/>
      <c r="TG206" s="5"/>
      <c r="TH206" s="5"/>
      <c r="TI206" s="5"/>
      <c r="TJ206" s="5"/>
      <c r="TK206" s="5"/>
      <c r="TL206" s="5"/>
      <c r="TM206" s="5"/>
      <c r="TN206" s="5"/>
      <c r="TO206" s="5"/>
      <c r="TP206" s="5"/>
      <c r="TQ206" s="5"/>
      <c r="TR206" s="5"/>
      <c r="TS206" s="5"/>
      <c r="TT206" s="5"/>
      <c r="TU206" s="5"/>
      <c r="TV206" s="5"/>
      <c r="TW206" s="5"/>
      <c r="TX206" s="5"/>
      <c r="TY206" s="5"/>
      <c r="TZ206" s="5"/>
      <c r="UA206" s="5"/>
      <c r="UB206" s="5"/>
      <c r="UC206" s="5"/>
      <c r="UD206" s="5"/>
      <c r="UE206" s="5"/>
      <c r="UF206" s="5"/>
      <c r="UG206" s="5"/>
      <c r="UH206" s="5"/>
      <c r="UI206" s="5"/>
      <c r="UJ206" s="5"/>
      <c r="UK206" s="5"/>
      <c r="UL206" s="5"/>
      <c r="UM206" s="5"/>
      <c r="UN206" s="5"/>
      <c r="UO206" s="5"/>
      <c r="UP206" s="5"/>
      <c r="UQ206" s="5"/>
      <c r="UR206" s="5"/>
      <c r="US206" s="5"/>
      <c r="UT206" s="5"/>
      <c r="UU206" s="5"/>
      <c r="UV206" s="5"/>
      <c r="UW206" s="5"/>
      <c r="UX206" s="5"/>
      <c r="UY206" s="5"/>
      <c r="UZ206" s="5"/>
      <c r="VA206" s="5"/>
      <c r="VB206" s="5"/>
      <c r="VC206" s="5"/>
      <c r="VD206" s="5"/>
      <c r="VE206" s="5"/>
      <c r="VF206" s="5"/>
      <c r="VG206" s="5"/>
      <c r="VH206" s="5"/>
      <c r="VI206" s="5"/>
      <c r="VJ206" s="5"/>
      <c r="VK206" s="5"/>
      <c r="VL206" s="5"/>
      <c r="VM206" s="5"/>
      <c r="VN206" s="5"/>
      <c r="VO206" s="5"/>
      <c r="VP206" s="5"/>
      <c r="VQ206" s="5"/>
      <c r="VR206" s="5"/>
      <c r="VS206" s="5"/>
      <c r="VT206" s="5"/>
      <c r="VU206" s="5"/>
      <c r="VV206" s="5"/>
      <c r="VW206" s="5"/>
      <c r="VX206" s="5"/>
      <c r="VY206" s="5"/>
      <c r="VZ206" s="5"/>
      <c r="WA206" s="5"/>
      <c r="WB206" s="5"/>
      <c r="WC206" s="5"/>
      <c r="WD206" s="5"/>
      <c r="WE206" s="5"/>
      <c r="WF206" s="5"/>
      <c r="WG206" s="5"/>
      <c r="WH206" s="5"/>
      <c r="WI206" s="5"/>
      <c r="WJ206" s="5"/>
      <c r="WK206" s="5"/>
      <c r="WL206" s="5"/>
      <c r="WM206" s="5"/>
      <c r="WN206" s="5"/>
      <c r="WO206" s="5"/>
      <c r="WP206" s="5"/>
      <c r="WQ206" s="5"/>
      <c r="WR206" s="5"/>
      <c r="WS206" s="5"/>
      <c r="WT206" s="5"/>
      <c r="WU206" s="5"/>
      <c r="WV206" s="5"/>
      <c r="WW206" s="5"/>
      <c r="WX206" s="5"/>
      <c r="WY206" s="5"/>
      <c r="WZ206" s="5"/>
      <c r="XA206" s="5"/>
      <c r="XB206" s="5"/>
      <c r="XC206" s="5"/>
      <c r="XD206" s="5"/>
      <c r="XE206" s="5"/>
      <c r="XF206" s="5"/>
      <c r="XG206" s="5"/>
      <c r="XH206" s="5"/>
      <c r="XI206" s="5"/>
      <c r="XJ206" s="5"/>
      <c r="XK206" s="5"/>
      <c r="XL206" s="5"/>
      <c r="XM206" s="5"/>
      <c r="XN206" s="5"/>
      <c r="XO206" s="5"/>
      <c r="XP206" s="5"/>
      <c r="XQ206" s="5"/>
      <c r="XR206" s="5"/>
      <c r="XS206" s="5"/>
      <c r="XT206" s="5"/>
      <c r="XU206" s="5"/>
      <c r="XV206" s="5"/>
      <c r="XW206" s="5"/>
      <c r="XX206" s="5"/>
      <c r="XY206" s="5"/>
      <c r="XZ206" s="5"/>
      <c r="YA206" s="5"/>
      <c r="YB206" s="5"/>
      <c r="YC206" s="5"/>
      <c r="YD206" s="5"/>
      <c r="YE206" s="5"/>
      <c r="YF206" s="5"/>
      <c r="YG206" s="5"/>
      <c r="YH206" s="5"/>
      <c r="YI206" s="5"/>
      <c r="YJ206" s="5"/>
      <c r="YK206" s="5"/>
      <c r="YL206" s="5"/>
      <c r="YM206" s="5"/>
      <c r="YN206" s="5"/>
      <c r="YO206" s="5"/>
      <c r="YP206" s="5"/>
      <c r="YQ206" s="5"/>
      <c r="YR206" s="5"/>
      <c r="YS206" s="5"/>
      <c r="YT206" s="5"/>
      <c r="YU206" s="5"/>
      <c r="YV206" s="5"/>
      <c r="YW206" s="5"/>
      <c r="YX206" s="5"/>
      <c r="YY206" s="5"/>
      <c r="YZ206" s="5"/>
    </row>
    <row r="207" spans="1:676">
      <c r="A207" s="7">
        <v>197</v>
      </c>
      <c r="B207" s="7" t="s">
        <v>481</v>
      </c>
      <c r="C207" s="10" t="s">
        <v>482</v>
      </c>
      <c r="D207" s="7" t="s">
        <v>407</v>
      </c>
      <c r="E207" s="7" t="s">
        <v>381</v>
      </c>
      <c r="F207" s="7" t="s">
        <v>394</v>
      </c>
      <c r="G207" s="7"/>
      <c r="H207" s="7" t="s">
        <v>52</v>
      </c>
      <c r="I207" s="11">
        <v>2</v>
      </c>
      <c r="J207" s="11">
        <v>3</v>
      </c>
      <c r="K207" s="11">
        <v>0</v>
      </c>
      <c r="L207" s="11">
        <v>6.600000000000001</v>
      </c>
      <c r="M207" s="11">
        <v>0.5700000000000001</v>
      </c>
      <c r="N207" s="11">
        <v>0</v>
      </c>
      <c r="O207" s="11">
        <v>0.2</v>
      </c>
      <c r="P207" s="11">
        <v>0</v>
      </c>
      <c r="Q207" s="11">
        <v>7.370000000000001</v>
      </c>
      <c r="R207" s="11">
        <v>40.91</v>
      </c>
      <c r="S207" s="11">
        <v>48.28</v>
      </c>
      <c r="T207" s="11">
        <v>2</v>
      </c>
      <c r="U207" s="11">
        <v>3</v>
      </c>
      <c r="V207" s="11">
        <v>43.28</v>
      </c>
      <c r="W207" s="13">
        <v>18</v>
      </c>
      <c r="X207" s="13">
        <v>27</v>
      </c>
      <c r="Y207" s="13" t="str">
        <f>MIN(W207,S207)</f>
        <v>0</v>
      </c>
      <c r="Z207" s="13" t="str">
        <f>MIN(X207,(S207-Y207))</f>
        <v>0</v>
      </c>
      <c r="AA207" s="13" t="str">
        <f>S207-SUM(Y207,Z207)</f>
        <v>0</v>
      </c>
      <c r="AB207" s="15"/>
      <c r="AC207" s="15"/>
      <c r="AD207" s="1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5"/>
      <c r="DE207" s="5"/>
      <c r="DF207" s="5"/>
      <c r="DG207" s="5"/>
      <c r="DH207" s="5"/>
      <c r="DI207" s="5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  <c r="EC207" s="5"/>
      <c r="ED207" s="5"/>
      <c r="EE207" s="5"/>
      <c r="EF207" s="5"/>
      <c r="EG207" s="5"/>
      <c r="EH207" s="5"/>
      <c r="EI207" s="5"/>
      <c r="EJ207" s="5"/>
      <c r="EK207" s="5"/>
      <c r="EL207" s="5"/>
      <c r="EM207" s="5"/>
      <c r="EN207" s="5"/>
      <c r="EO207" s="5"/>
      <c r="EP207" s="5"/>
      <c r="EQ207" s="5"/>
      <c r="ER207" s="5"/>
      <c r="ES207" s="5"/>
      <c r="ET207" s="5"/>
      <c r="EU207" s="5"/>
      <c r="EV207" s="5"/>
      <c r="EW207" s="5"/>
      <c r="EX207" s="5"/>
      <c r="EY207" s="5"/>
      <c r="EZ207" s="5"/>
      <c r="FA207" s="5"/>
      <c r="FB207" s="5"/>
      <c r="FC207" s="5"/>
      <c r="FD207" s="5"/>
      <c r="FE207" s="5"/>
      <c r="FF207" s="5"/>
      <c r="FG207" s="5"/>
      <c r="FH207" s="5"/>
      <c r="FI207" s="5"/>
      <c r="FJ207" s="5"/>
      <c r="FK207" s="5"/>
      <c r="FL207" s="5"/>
      <c r="FM207" s="5"/>
      <c r="FN207" s="5"/>
      <c r="FO207" s="5"/>
      <c r="FP207" s="5"/>
      <c r="FQ207" s="5"/>
      <c r="FR207" s="5"/>
      <c r="FS207" s="5"/>
      <c r="FT207" s="5"/>
      <c r="FU207" s="5"/>
      <c r="FV207" s="5"/>
      <c r="FW207" s="5"/>
      <c r="FX207" s="5"/>
      <c r="FY207" s="5"/>
      <c r="FZ207" s="5"/>
      <c r="GA207" s="5"/>
      <c r="GB207" s="5"/>
      <c r="GC207" s="5"/>
      <c r="GD207" s="5"/>
      <c r="GE207" s="5"/>
      <c r="GF207" s="5"/>
      <c r="GG207" s="5"/>
      <c r="GH207" s="5"/>
      <c r="GI207" s="5"/>
      <c r="GJ207" s="5"/>
      <c r="GK207" s="5"/>
      <c r="GL207" s="5"/>
      <c r="GM207" s="5"/>
      <c r="GN207" s="5"/>
      <c r="GO207" s="5"/>
      <c r="GP207" s="5"/>
      <c r="GQ207" s="5"/>
      <c r="GR207" s="5"/>
      <c r="GS207" s="5"/>
      <c r="GT207" s="5"/>
      <c r="GU207" s="5"/>
      <c r="GV207" s="5"/>
      <c r="GW207" s="5"/>
      <c r="GX207" s="5"/>
      <c r="GY207" s="5"/>
      <c r="GZ207" s="5"/>
      <c r="HA207" s="5"/>
      <c r="HB207" s="5"/>
      <c r="HC207" s="5"/>
      <c r="HD207" s="5"/>
      <c r="HE207" s="5"/>
      <c r="HF207" s="5"/>
      <c r="HG207" s="5"/>
      <c r="HH207" s="5"/>
      <c r="HI207" s="5"/>
      <c r="HJ207" s="5"/>
      <c r="HK207" s="5"/>
      <c r="HL207" s="5"/>
      <c r="HM207" s="5"/>
      <c r="HN207" s="5"/>
      <c r="HO207" s="5"/>
      <c r="HP207" s="5"/>
      <c r="HQ207" s="5"/>
      <c r="HR207" s="5"/>
      <c r="HS207" s="5"/>
      <c r="HT207" s="5"/>
      <c r="HU207" s="5"/>
      <c r="HV207" s="5"/>
      <c r="HW207" s="5"/>
      <c r="HX207" s="5"/>
      <c r="HY207" s="5"/>
      <c r="HZ207" s="5"/>
      <c r="IA207" s="5"/>
      <c r="IB207" s="5"/>
      <c r="IC207" s="5"/>
      <c r="ID207" s="5"/>
      <c r="IE207" s="5"/>
      <c r="IF207" s="5"/>
      <c r="IG207" s="5"/>
      <c r="IH207" s="5"/>
      <c r="II207" s="5"/>
      <c r="IJ207" s="5"/>
      <c r="IK207" s="5"/>
      <c r="IL207" s="5"/>
      <c r="IM207" s="5"/>
      <c r="IN207" s="5"/>
      <c r="IO207" s="5"/>
      <c r="IP207" s="5"/>
      <c r="IQ207" s="5"/>
      <c r="IR207" s="5"/>
      <c r="IS207" s="5"/>
      <c r="IT207" s="5"/>
      <c r="IU207" s="5"/>
      <c r="IV207" s="5"/>
      <c r="IW207" s="5"/>
      <c r="IX207" s="5"/>
      <c r="IY207" s="5"/>
      <c r="IZ207" s="5"/>
      <c r="JA207" s="5"/>
      <c r="JB207" s="5"/>
      <c r="JC207" s="5"/>
      <c r="JD207" s="5"/>
      <c r="JE207" s="5"/>
      <c r="JF207" s="5"/>
      <c r="JG207" s="5"/>
      <c r="JH207" s="5"/>
      <c r="JI207" s="5"/>
      <c r="JJ207" s="5"/>
      <c r="JK207" s="5"/>
      <c r="JL207" s="5"/>
      <c r="JM207" s="5"/>
      <c r="JN207" s="5"/>
      <c r="JO207" s="5"/>
      <c r="JP207" s="5"/>
      <c r="JQ207" s="5"/>
      <c r="JR207" s="5"/>
      <c r="JS207" s="5"/>
      <c r="JT207" s="5"/>
      <c r="JU207" s="5"/>
      <c r="JV207" s="5"/>
      <c r="JW207" s="5"/>
      <c r="JX207" s="5"/>
      <c r="JY207" s="5"/>
      <c r="JZ207" s="5"/>
      <c r="KA207" s="5"/>
      <c r="KB207" s="5"/>
      <c r="KC207" s="5"/>
      <c r="KD207" s="5"/>
      <c r="KE207" s="5"/>
      <c r="KF207" s="5"/>
      <c r="KG207" s="5"/>
      <c r="KH207" s="5"/>
      <c r="KI207" s="5"/>
      <c r="KJ207" s="5"/>
      <c r="KK207" s="5"/>
      <c r="KL207" s="5"/>
      <c r="KM207" s="5"/>
      <c r="KN207" s="5"/>
      <c r="KO207" s="5"/>
      <c r="KP207" s="5"/>
      <c r="KQ207" s="5"/>
      <c r="KR207" s="5"/>
      <c r="KS207" s="5"/>
      <c r="KT207" s="5"/>
      <c r="KU207" s="5"/>
      <c r="KV207" s="5"/>
      <c r="KW207" s="5"/>
      <c r="KX207" s="5"/>
      <c r="KY207" s="5"/>
      <c r="KZ207" s="5"/>
      <c r="LA207" s="5"/>
      <c r="LB207" s="5"/>
      <c r="LC207" s="5"/>
      <c r="LD207" s="5"/>
      <c r="LE207" s="5"/>
      <c r="LF207" s="5"/>
      <c r="LG207" s="5"/>
      <c r="LH207" s="5"/>
      <c r="LI207" s="5"/>
      <c r="LJ207" s="5"/>
      <c r="LK207" s="5"/>
      <c r="LL207" s="5"/>
      <c r="LM207" s="5"/>
      <c r="LN207" s="5"/>
      <c r="LO207" s="5"/>
      <c r="LP207" s="5"/>
      <c r="LQ207" s="5"/>
      <c r="LR207" s="5"/>
      <c r="LS207" s="5"/>
      <c r="LT207" s="5"/>
      <c r="LU207" s="5"/>
      <c r="LV207" s="5"/>
      <c r="LW207" s="5"/>
      <c r="LX207" s="5"/>
      <c r="LY207" s="5"/>
      <c r="LZ207" s="5"/>
      <c r="MA207" s="5"/>
      <c r="MB207" s="5"/>
      <c r="MC207" s="5"/>
      <c r="MD207" s="5"/>
      <c r="ME207" s="5"/>
      <c r="MF207" s="5"/>
      <c r="MG207" s="5"/>
      <c r="MH207" s="5"/>
      <c r="MI207" s="5"/>
      <c r="MJ207" s="5"/>
      <c r="MK207" s="5"/>
      <c r="ML207" s="5"/>
      <c r="MM207" s="5"/>
      <c r="MN207" s="5"/>
      <c r="MO207" s="5"/>
      <c r="MP207" s="5"/>
      <c r="MQ207" s="5"/>
      <c r="MR207" s="5"/>
      <c r="MS207" s="5"/>
      <c r="MT207" s="5"/>
      <c r="MU207" s="5"/>
      <c r="MV207" s="5"/>
      <c r="MW207" s="5"/>
      <c r="MX207" s="5"/>
      <c r="MY207" s="5"/>
      <c r="MZ207" s="5"/>
      <c r="NA207" s="5"/>
      <c r="NB207" s="5"/>
      <c r="NC207" s="5"/>
      <c r="ND207" s="5"/>
      <c r="NE207" s="5"/>
      <c r="NF207" s="5"/>
      <c r="NG207" s="5"/>
      <c r="NH207" s="5"/>
      <c r="NI207" s="5"/>
      <c r="NJ207" s="5"/>
      <c r="NK207" s="5"/>
      <c r="NL207" s="5"/>
      <c r="NM207" s="5"/>
      <c r="NN207" s="5"/>
      <c r="NO207" s="5"/>
      <c r="NP207" s="5"/>
      <c r="NQ207" s="5"/>
      <c r="NR207" s="5"/>
      <c r="NS207" s="5"/>
      <c r="NT207" s="5"/>
      <c r="NU207" s="5"/>
      <c r="NV207" s="5"/>
      <c r="NW207" s="5"/>
      <c r="NX207" s="5"/>
      <c r="NY207" s="5"/>
      <c r="NZ207" s="5"/>
      <c r="OA207" s="5"/>
      <c r="OB207" s="5"/>
      <c r="OC207" s="5"/>
      <c r="OD207" s="5"/>
      <c r="OE207" s="5"/>
      <c r="OF207" s="5"/>
      <c r="OG207" s="5"/>
      <c r="OH207" s="5"/>
      <c r="OI207" s="5"/>
      <c r="OJ207" s="5"/>
      <c r="OK207" s="5"/>
      <c r="OL207" s="5"/>
      <c r="OM207" s="5"/>
      <c r="ON207" s="5"/>
      <c r="OO207" s="5"/>
      <c r="OP207" s="5"/>
      <c r="OQ207" s="5"/>
      <c r="OR207" s="5"/>
      <c r="OS207" s="5"/>
      <c r="OT207" s="5"/>
      <c r="OU207" s="5"/>
      <c r="OV207" s="5"/>
      <c r="OW207" s="5"/>
      <c r="OX207" s="5"/>
      <c r="OY207" s="5"/>
      <c r="OZ207" s="5"/>
      <c r="PA207" s="5"/>
      <c r="PB207" s="5"/>
      <c r="PC207" s="5"/>
      <c r="PD207" s="5"/>
      <c r="PE207" s="5"/>
      <c r="PF207" s="5"/>
      <c r="PG207" s="5"/>
      <c r="PH207" s="5"/>
      <c r="PI207" s="5"/>
      <c r="PJ207" s="5"/>
      <c r="PK207" s="5"/>
      <c r="PL207" s="5"/>
      <c r="PM207" s="5"/>
      <c r="PN207" s="5"/>
      <c r="PO207" s="5"/>
      <c r="PP207" s="5"/>
      <c r="PQ207" s="5"/>
      <c r="PR207" s="5"/>
      <c r="PS207" s="5"/>
      <c r="PT207" s="5"/>
      <c r="PU207" s="5"/>
      <c r="PV207" s="5"/>
      <c r="PW207" s="5"/>
      <c r="PX207" s="5"/>
      <c r="PY207" s="5"/>
      <c r="PZ207" s="5"/>
      <c r="QA207" s="5"/>
      <c r="QB207" s="5"/>
      <c r="QC207" s="5"/>
      <c r="QD207" s="5"/>
      <c r="QE207" s="5"/>
      <c r="QF207" s="5"/>
      <c r="QG207" s="5"/>
      <c r="QH207" s="5"/>
      <c r="QI207" s="5"/>
      <c r="QJ207" s="5"/>
      <c r="QK207" s="5"/>
      <c r="QL207" s="5"/>
      <c r="QM207" s="5"/>
      <c r="QN207" s="5"/>
      <c r="QO207" s="5"/>
      <c r="QP207" s="5"/>
      <c r="QQ207" s="5"/>
      <c r="QR207" s="5"/>
      <c r="QS207" s="5"/>
      <c r="QT207" s="5"/>
      <c r="QU207" s="5"/>
      <c r="QV207" s="5"/>
      <c r="QW207" s="5"/>
      <c r="QX207" s="5"/>
      <c r="QY207" s="5"/>
      <c r="QZ207" s="5"/>
      <c r="RA207" s="5"/>
      <c r="RB207" s="5"/>
      <c r="RC207" s="5"/>
      <c r="RD207" s="5"/>
      <c r="RE207" s="5"/>
      <c r="RF207" s="5"/>
      <c r="RG207" s="5"/>
      <c r="RH207" s="5"/>
      <c r="RI207" s="5"/>
      <c r="RJ207" s="5"/>
      <c r="RK207" s="5"/>
      <c r="RL207" s="5"/>
      <c r="RM207" s="5"/>
      <c r="RN207" s="5"/>
      <c r="RO207" s="5"/>
      <c r="RP207" s="5"/>
      <c r="RQ207" s="5"/>
      <c r="RR207" s="5"/>
      <c r="RS207" s="5"/>
      <c r="RT207" s="5"/>
      <c r="RU207" s="5"/>
      <c r="RV207" s="5"/>
      <c r="RW207" s="5"/>
      <c r="RX207" s="5"/>
      <c r="RY207" s="5"/>
      <c r="RZ207" s="5"/>
      <c r="SA207" s="5"/>
      <c r="SB207" s="5"/>
      <c r="SC207" s="5"/>
      <c r="SD207" s="5"/>
      <c r="SE207" s="5"/>
      <c r="SF207" s="5"/>
      <c r="SG207" s="5"/>
      <c r="SH207" s="5"/>
      <c r="SI207" s="5"/>
      <c r="SJ207" s="5"/>
      <c r="SK207" s="5"/>
      <c r="SL207" s="5"/>
      <c r="SM207" s="5"/>
      <c r="SN207" s="5"/>
      <c r="SO207" s="5"/>
      <c r="SP207" s="5"/>
      <c r="SQ207" s="5"/>
      <c r="SR207" s="5"/>
      <c r="SS207" s="5"/>
      <c r="ST207" s="5"/>
      <c r="SU207" s="5"/>
      <c r="SV207" s="5"/>
      <c r="SW207" s="5"/>
      <c r="SX207" s="5"/>
      <c r="SY207" s="5"/>
      <c r="SZ207" s="5"/>
      <c r="TA207" s="5"/>
      <c r="TB207" s="5"/>
      <c r="TC207" s="5"/>
      <c r="TD207" s="5"/>
      <c r="TE207" s="5"/>
      <c r="TF207" s="5"/>
      <c r="TG207" s="5"/>
      <c r="TH207" s="5"/>
      <c r="TI207" s="5"/>
      <c r="TJ207" s="5"/>
      <c r="TK207" s="5"/>
      <c r="TL207" s="5"/>
      <c r="TM207" s="5"/>
      <c r="TN207" s="5"/>
      <c r="TO207" s="5"/>
      <c r="TP207" s="5"/>
      <c r="TQ207" s="5"/>
      <c r="TR207" s="5"/>
      <c r="TS207" s="5"/>
      <c r="TT207" s="5"/>
      <c r="TU207" s="5"/>
      <c r="TV207" s="5"/>
      <c r="TW207" s="5"/>
      <c r="TX207" s="5"/>
      <c r="TY207" s="5"/>
      <c r="TZ207" s="5"/>
      <c r="UA207" s="5"/>
      <c r="UB207" s="5"/>
      <c r="UC207" s="5"/>
      <c r="UD207" s="5"/>
      <c r="UE207" s="5"/>
      <c r="UF207" s="5"/>
      <c r="UG207" s="5"/>
      <c r="UH207" s="5"/>
      <c r="UI207" s="5"/>
      <c r="UJ207" s="5"/>
      <c r="UK207" s="5"/>
      <c r="UL207" s="5"/>
      <c r="UM207" s="5"/>
      <c r="UN207" s="5"/>
      <c r="UO207" s="5"/>
      <c r="UP207" s="5"/>
      <c r="UQ207" s="5"/>
      <c r="UR207" s="5"/>
      <c r="US207" s="5"/>
      <c r="UT207" s="5"/>
      <c r="UU207" s="5"/>
      <c r="UV207" s="5"/>
      <c r="UW207" s="5"/>
      <c r="UX207" s="5"/>
      <c r="UY207" s="5"/>
      <c r="UZ207" s="5"/>
      <c r="VA207" s="5"/>
      <c r="VB207" s="5"/>
      <c r="VC207" s="5"/>
      <c r="VD207" s="5"/>
      <c r="VE207" s="5"/>
      <c r="VF207" s="5"/>
      <c r="VG207" s="5"/>
      <c r="VH207" s="5"/>
      <c r="VI207" s="5"/>
      <c r="VJ207" s="5"/>
      <c r="VK207" s="5"/>
      <c r="VL207" s="5"/>
      <c r="VM207" s="5"/>
      <c r="VN207" s="5"/>
      <c r="VO207" s="5"/>
      <c r="VP207" s="5"/>
      <c r="VQ207" s="5"/>
      <c r="VR207" s="5"/>
      <c r="VS207" s="5"/>
      <c r="VT207" s="5"/>
      <c r="VU207" s="5"/>
      <c r="VV207" s="5"/>
      <c r="VW207" s="5"/>
      <c r="VX207" s="5"/>
      <c r="VY207" s="5"/>
      <c r="VZ207" s="5"/>
      <c r="WA207" s="5"/>
      <c r="WB207" s="5"/>
      <c r="WC207" s="5"/>
      <c r="WD207" s="5"/>
      <c r="WE207" s="5"/>
      <c r="WF207" s="5"/>
      <c r="WG207" s="5"/>
      <c r="WH207" s="5"/>
      <c r="WI207" s="5"/>
      <c r="WJ207" s="5"/>
      <c r="WK207" s="5"/>
      <c r="WL207" s="5"/>
      <c r="WM207" s="5"/>
      <c r="WN207" s="5"/>
      <c r="WO207" s="5"/>
      <c r="WP207" s="5"/>
      <c r="WQ207" s="5"/>
      <c r="WR207" s="5"/>
      <c r="WS207" s="5"/>
      <c r="WT207" s="5"/>
      <c r="WU207" s="5"/>
      <c r="WV207" s="5"/>
      <c r="WW207" s="5"/>
      <c r="WX207" s="5"/>
      <c r="WY207" s="5"/>
      <c r="WZ207" s="5"/>
      <c r="XA207" s="5"/>
      <c r="XB207" s="5"/>
      <c r="XC207" s="5"/>
      <c r="XD207" s="5"/>
      <c r="XE207" s="5"/>
      <c r="XF207" s="5"/>
      <c r="XG207" s="5"/>
      <c r="XH207" s="5"/>
      <c r="XI207" s="5"/>
      <c r="XJ207" s="5"/>
      <c r="XK207" s="5"/>
      <c r="XL207" s="5"/>
      <c r="XM207" s="5"/>
      <c r="XN207" s="5"/>
      <c r="XO207" s="5"/>
      <c r="XP207" s="5"/>
      <c r="XQ207" s="5"/>
      <c r="XR207" s="5"/>
      <c r="XS207" s="5"/>
      <c r="XT207" s="5"/>
      <c r="XU207" s="5"/>
      <c r="XV207" s="5"/>
      <c r="XW207" s="5"/>
      <c r="XX207" s="5"/>
      <c r="XY207" s="5"/>
      <c r="XZ207" s="5"/>
      <c r="YA207" s="5"/>
      <c r="YB207" s="5"/>
      <c r="YC207" s="5"/>
      <c r="YD207" s="5"/>
      <c r="YE207" s="5"/>
      <c r="YF207" s="5"/>
      <c r="YG207" s="5"/>
      <c r="YH207" s="5"/>
      <c r="YI207" s="5"/>
      <c r="YJ207" s="5"/>
      <c r="YK207" s="5"/>
      <c r="YL207" s="5"/>
      <c r="YM207" s="5"/>
      <c r="YN207" s="5"/>
      <c r="YO207" s="5"/>
      <c r="YP207" s="5"/>
      <c r="YQ207" s="5"/>
      <c r="YR207" s="5"/>
      <c r="YS207" s="5"/>
      <c r="YT207" s="5"/>
      <c r="YU207" s="5"/>
      <c r="YV207" s="5"/>
      <c r="YW207" s="5"/>
      <c r="YX207" s="5"/>
      <c r="YY207" s="5"/>
      <c r="YZ207" s="5"/>
    </row>
    <row r="211" spans="1:676">
      <c r="A211" s="16"/>
      <c r="B211" s="16" t="s">
        <v>483</v>
      </c>
      <c r="C211" s="16"/>
      <c r="D211" s="16"/>
      <c r="E211" s="16"/>
      <c r="F211" s="16"/>
      <c r="G211" s="16"/>
      <c r="H211" s="16"/>
      <c r="I211" s="16" t="s">
        <v>484</v>
      </c>
      <c r="J211" s="16"/>
      <c r="K211" s="16"/>
      <c r="L211" s="16"/>
      <c r="M211" s="16"/>
      <c r="N211" s="16"/>
      <c r="O211" s="16"/>
      <c r="P211" s="16"/>
      <c r="Q211" s="16"/>
    </row>
    <row r="212" spans="1:676">
      <c r="A212" s="16"/>
      <c r="B212" s="16" t="s">
        <v>485</v>
      </c>
      <c r="C212" s="16"/>
      <c r="D212" s="16"/>
      <c r="E212" s="16"/>
      <c r="F212" s="16"/>
      <c r="G212" s="16"/>
      <c r="H212" s="16"/>
      <c r="I212" s="16" t="s">
        <v>486</v>
      </c>
      <c r="J212" s="16"/>
      <c r="K212" s="16"/>
      <c r="L212" s="16"/>
      <c r="M212" s="16"/>
      <c r="N212" s="16"/>
      <c r="O212" s="16"/>
      <c r="P212" s="16"/>
      <c r="Q212" s="16"/>
    </row>
    <row r="213" spans="1:67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</row>
    <row r="214" spans="1:67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</row>
    <row r="215" spans="1:67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</row>
    <row r="216" spans="1:67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</row>
    <row r="217" spans="1:676">
      <c r="A217" s="16"/>
      <c r="B217" s="16" t="s">
        <v>487</v>
      </c>
      <c r="C217" s="16"/>
      <c r="D217" s="16"/>
      <c r="E217" s="16"/>
      <c r="F217" s="16"/>
      <c r="G217" s="16"/>
      <c r="H217" s="16"/>
      <c r="I217" s="16" t="s">
        <v>488</v>
      </c>
      <c r="J217" s="16"/>
      <c r="K217" s="16"/>
      <c r="L217" s="16"/>
      <c r="M217" s="16"/>
      <c r="N217" s="16"/>
      <c r="O217" s="16"/>
      <c r="P217" s="16"/>
      <c r="Q217" s="16"/>
    </row>
    <row r="218" spans="1:676">
      <c r="A218" s="16"/>
      <c r="B218" s="16" t="s">
        <v>489</v>
      </c>
      <c r="C218" s="16"/>
      <c r="D218" s="16"/>
      <c r="E218" s="16"/>
      <c r="F218" s="16"/>
      <c r="G218" s="16"/>
      <c r="H218" s="16"/>
      <c r="I218" s="16" t="s">
        <v>489</v>
      </c>
      <c r="J218" s="16"/>
      <c r="K218" s="16"/>
      <c r="L218" s="16"/>
      <c r="M218" s="16"/>
      <c r="N218" s="16"/>
      <c r="O218" s="16"/>
      <c r="P218" s="16"/>
      <c r="Q21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2017-10-26T09:19:07+07:00</dcterms:created>
  <dcterms:modified xsi:type="dcterms:W3CDTF">2017-10-26T09:19:07+07:00</dcterms:modified>
  <dc:title>Untitled Spreadsheet</dc:title>
  <dc:description/>
  <dc:subject/>
  <cp:keywords/>
  <cp:category/>
</cp:coreProperties>
</file>